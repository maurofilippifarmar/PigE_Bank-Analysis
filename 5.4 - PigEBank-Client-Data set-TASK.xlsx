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 - Data Analytics\5 - Data Ethics &amp; Applied Analytics\"/>
    </mc:Choice>
  </mc:AlternateContent>
  <xr:revisionPtr revIDLastSave="0" documentId="13_ncr:1_{E09F8B2F-74C2-42B7-9248-952ABA9FFFA1}" xr6:coauthVersionLast="47" xr6:coauthVersionMax="47" xr10:uidLastSave="{00000000-0000-0000-0000-000000000000}"/>
  <bookViews>
    <workbookView xWindow="-120" yWindow="-120" windowWidth="51840" windowHeight="21120" activeTab="7" xr2:uid="{83BC221A-BC7B-4D01-973E-B517B5708B17}"/>
  </bookViews>
  <sheets>
    <sheet name="Dataset-RAW" sheetId="1" r:id="rId1"/>
    <sheet name="Data Cleaning" sheetId="3" r:id="rId2"/>
    <sheet name="Dataset-CLEAN" sheetId="2" r:id="rId3"/>
    <sheet name="Left Bank" sheetId="9" r:id="rId4"/>
    <sheet name="Stayed Bank" sheetId="10" r:id="rId5"/>
    <sheet name="Descriptive pivots" sheetId="14" r:id="rId6"/>
    <sheet name="Statistical analysis &amp; insight" sheetId="5" r:id="rId7"/>
    <sheet name="Decision Tree" sheetId="13" r:id="rId8"/>
  </sheets>
  <definedNames>
    <definedName name="_xlnm._FilterDatabase" localSheetId="2" hidden="1">'Dataset-CLEAN'!$A$1:$Q$992</definedName>
    <definedName name="_xlnm._FilterDatabase" localSheetId="0" hidden="1">'Dataset-RAW'!$E$1:$E$992</definedName>
    <definedName name="_xlnm._FilterDatabase" localSheetId="3" hidden="1">'Left Bank'!$A$1:$N$205</definedName>
  </definedNames>
  <calcPr calcId="191029"/>
  <pivotCaches>
    <pivotCache cacheId="0" r:id="rId9"/>
    <pivotCache cacheId="1" r:id="rId10"/>
    <pivotCache cacheId="2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2" l="1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7" i="2"/>
  <c r="P328" i="2"/>
  <c r="P329" i="2"/>
  <c r="P330" i="2"/>
  <c r="P331" i="2"/>
  <c r="P332" i="2"/>
  <c r="P333" i="2"/>
  <c r="P334" i="2"/>
  <c r="P335" i="2"/>
  <c r="P336" i="2"/>
  <c r="P337" i="2"/>
  <c r="P338" i="2"/>
  <c r="P339" i="2"/>
  <c r="P340" i="2"/>
  <c r="P341" i="2"/>
  <c r="P342" i="2"/>
  <c r="P343" i="2"/>
  <c r="P344" i="2"/>
  <c r="P345" i="2"/>
  <c r="P346" i="2"/>
  <c r="P347" i="2"/>
  <c r="P348" i="2"/>
  <c r="P349" i="2"/>
  <c r="P350" i="2"/>
  <c r="P351" i="2"/>
  <c r="P352" i="2"/>
  <c r="P353" i="2"/>
  <c r="P354" i="2"/>
  <c r="P355" i="2"/>
  <c r="P356" i="2"/>
  <c r="P357" i="2"/>
  <c r="P358" i="2"/>
  <c r="P359" i="2"/>
  <c r="P360" i="2"/>
  <c r="P361" i="2"/>
  <c r="P362" i="2"/>
  <c r="P363" i="2"/>
  <c r="P364" i="2"/>
  <c r="P365" i="2"/>
  <c r="P366" i="2"/>
  <c r="P367" i="2"/>
  <c r="P368" i="2"/>
  <c r="P369" i="2"/>
  <c r="P370" i="2"/>
  <c r="P371" i="2"/>
  <c r="P372" i="2"/>
  <c r="P373" i="2"/>
  <c r="P374" i="2"/>
  <c r="P375" i="2"/>
  <c r="P376" i="2"/>
  <c r="P377" i="2"/>
  <c r="P378" i="2"/>
  <c r="P379" i="2"/>
  <c r="P380" i="2"/>
  <c r="P381" i="2"/>
  <c r="P382" i="2"/>
  <c r="P383" i="2"/>
  <c r="P384" i="2"/>
  <c r="P385" i="2"/>
  <c r="P386" i="2"/>
  <c r="P387" i="2"/>
  <c r="P388" i="2"/>
  <c r="P389" i="2"/>
  <c r="P390" i="2"/>
  <c r="P391" i="2"/>
  <c r="P392" i="2"/>
  <c r="P393" i="2"/>
  <c r="P394" i="2"/>
  <c r="P395" i="2"/>
  <c r="P396" i="2"/>
  <c r="P397" i="2"/>
  <c r="P398" i="2"/>
  <c r="P399" i="2"/>
  <c r="P400" i="2"/>
  <c r="P401" i="2"/>
  <c r="P402" i="2"/>
  <c r="P403" i="2"/>
  <c r="P404" i="2"/>
  <c r="P405" i="2"/>
  <c r="P406" i="2"/>
  <c r="P407" i="2"/>
  <c r="P408" i="2"/>
  <c r="P409" i="2"/>
  <c r="P410" i="2"/>
  <c r="P411" i="2"/>
  <c r="P412" i="2"/>
  <c r="P413" i="2"/>
  <c r="P414" i="2"/>
  <c r="P415" i="2"/>
  <c r="P416" i="2"/>
  <c r="P417" i="2"/>
  <c r="P418" i="2"/>
  <c r="P419" i="2"/>
  <c r="P420" i="2"/>
  <c r="P421" i="2"/>
  <c r="P422" i="2"/>
  <c r="P423" i="2"/>
  <c r="P424" i="2"/>
  <c r="P425" i="2"/>
  <c r="P426" i="2"/>
  <c r="P427" i="2"/>
  <c r="P428" i="2"/>
  <c r="P429" i="2"/>
  <c r="P430" i="2"/>
  <c r="P431" i="2"/>
  <c r="P432" i="2"/>
  <c r="P433" i="2"/>
  <c r="P434" i="2"/>
  <c r="P435" i="2"/>
  <c r="P436" i="2"/>
  <c r="P437" i="2"/>
  <c r="P438" i="2"/>
  <c r="P439" i="2"/>
  <c r="P440" i="2"/>
  <c r="P441" i="2"/>
  <c r="P442" i="2"/>
  <c r="P443" i="2"/>
  <c r="P444" i="2"/>
  <c r="P445" i="2"/>
  <c r="P446" i="2"/>
  <c r="P447" i="2"/>
  <c r="P448" i="2"/>
  <c r="P449" i="2"/>
  <c r="P450" i="2"/>
  <c r="P451" i="2"/>
  <c r="P452" i="2"/>
  <c r="P453" i="2"/>
  <c r="P454" i="2"/>
  <c r="P455" i="2"/>
  <c r="P456" i="2"/>
  <c r="P457" i="2"/>
  <c r="P458" i="2"/>
  <c r="P459" i="2"/>
  <c r="P460" i="2"/>
  <c r="P461" i="2"/>
  <c r="P462" i="2"/>
  <c r="P463" i="2"/>
  <c r="P464" i="2"/>
  <c r="P465" i="2"/>
  <c r="P466" i="2"/>
  <c r="P467" i="2"/>
  <c r="P468" i="2"/>
  <c r="P469" i="2"/>
  <c r="P470" i="2"/>
  <c r="P471" i="2"/>
  <c r="P472" i="2"/>
  <c r="P473" i="2"/>
  <c r="P474" i="2"/>
  <c r="P475" i="2"/>
  <c r="P476" i="2"/>
  <c r="P477" i="2"/>
  <c r="P478" i="2"/>
  <c r="P479" i="2"/>
  <c r="P480" i="2"/>
  <c r="P481" i="2"/>
  <c r="P482" i="2"/>
  <c r="P483" i="2"/>
  <c r="P484" i="2"/>
  <c r="P485" i="2"/>
  <c r="P486" i="2"/>
  <c r="P487" i="2"/>
  <c r="P488" i="2"/>
  <c r="P489" i="2"/>
  <c r="P490" i="2"/>
  <c r="P491" i="2"/>
  <c r="P492" i="2"/>
  <c r="P493" i="2"/>
  <c r="P494" i="2"/>
  <c r="P495" i="2"/>
  <c r="P496" i="2"/>
  <c r="P497" i="2"/>
  <c r="P498" i="2"/>
  <c r="P499" i="2"/>
  <c r="P500" i="2"/>
  <c r="P501" i="2"/>
  <c r="P502" i="2"/>
  <c r="P503" i="2"/>
  <c r="P504" i="2"/>
  <c r="P505" i="2"/>
  <c r="P506" i="2"/>
  <c r="P507" i="2"/>
  <c r="P508" i="2"/>
  <c r="P509" i="2"/>
  <c r="P510" i="2"/>
  <c r="P511" i="2"/>
  <c r="P512" i="2"/>
  <c r="P513" i="2"/>
  <c r="P514" i="2"/>
  <c r="P515" i="2"/>
  <c r="P516" i="2"/>
  <c r="P517" i="2"/>
  <c r="P518" i="2"/>
  <c r="P519" i="2"/>
  <c r="P520" i="2"/>
  <c r="P521" i="2"/>
  <c r="P522" i="2"/>
  <c r="P523" i="2"/>
  <c r="P524" i="2"/>
  <c r="P525" i="2"/>
  <c r="P526" i="2"/>
  <c r="P527" i="2"/>
  <c r="P528" i="2"/>
  <c r="P529" i="2"/>
  <c r="P530" i="2"/>
  <c r="P531" i="2"/>
  <c r="P532" i="2"/>
  <c r="P533" i="2"/>
  <c r="P534" i="2"/>
  <c r="P535" i="2"/>
  <c r="P536" i="2"/>
  <c r="P537" i="2"/>
  <c r="P538" i="2"/>
  <c r="P539" i="2"/>
  <c r="P540" i="2"/>
  <c r="P541" i="2"/>
  <c r="P542" i="2"/>
  <c r="P543" i="2"/>
  <c r="P544" i="2"/>
  <c r="P545" i="2"/>
  <c r="P546" i="2"/>
  <c r="P547" i="2"/>
  <c r="P548" i="2"/>
  <c r="P549" i="2"/>
  <c r="P550" i="2"/>
  <c r="P551" i="2"/>
  <c r="P552" i="2"/>
  <c r="P553" i="2"/>
  <c r="P554" i="2"/>
  <c r="P555" i="2"/>
  <c r="P556" i="2"/>
  <c r="P557" i="2"/>
  <c r="P558" i="2"/>
  <c r="P559" i="2"/>
  <c r="P560" i="2"/>
  <c r="P561" i="2"/>
  <c r="P562" i="2"/>
  <c r="P563" i="2"/>
  <c r="P564" i="2"/>
  <c r="P565" i="2"/>
  <c r="P566" i="2"/>
  <c r="P567" i="2"/>
  <c r="P568" i="2"/>
  <c r="P569" i="2"/>
  <c r="P570" i="2"/>
  <c r="P571" i="2"/>
  <c r="P572" i="2"/>
  <c r="P573" i="2"/>
  <c r="P574" i="2"/>
  <c r="P575" i="2"/>
  <c r="P576" i="2"/>
  <c r="P577" i="2"/>
  <c r="P578" i="2"/>
  <c r="P579" i="2"/>
  <c r="P580" i="2"/>
  <c r="P581" i="2"/>
  <c r="P582" i="2"/>
  <c r="P583" i="2"/>
  <c r="P584" i="2"/>
  <c r="P585" i="2"/>
  <c r="P586" i="2"/>
  <c r="P587" i="2"/>
  <c r="P588" i="2"/>
  <c r="P589" i="2"/>
  <c r="P590" i="2"/>
  <c r="P591" i="2"/>
  <c r="P592" i="2"/>
  <c r="P593" i="2"/>
  <c r="P594" i="2"/>
  <c r="P595" i="2"/>
  <c r="P596" i="2"/>
  <c r="P597" i="2"/>
  <c r="P598" i="2"/>
  <c r="P599" i="2"/>
  <c r="P600" i="2"/>
  <c r="P601" i="2"/>
  <c r="P602" i="2"/>
  <c r="P603" i="2"/>
  <c r="P604" i="2"/>
  <c r="P605" i="2"/>
  <c r="P606" i="2"/>
  <c r="P607" i="2"/>
  <c r="P608" i="2"/>
  <c r="P609" i="2"/>
  <c r="P610" i="2"/>
  <c r="P611" i="2"/>
  <c r="P612" i="2"/>
  <c r="P613" i="2"/>
  <c r="P614" i="2"/>
  <c r="P615" i="2"/>
  <c r="P616" i="2"/>
  <c r="P617" i="2"/>
  <c r="P618" i="2"/>
  <c r="P619" i="2"/>
  <c r="P620" i="2"/>
  <c r="P621" i="2"/>
  <c r="P622" i="2"/>
  <c r="P623" i="2"/>
  <c r="P624" i="2"/>
  <c r="P625" i="2"/>
  <c r="P626" i="2"/>
  <c r="P627" i="2"/>
  <c r="P628" i="2"/>
  <c r="P629" i="2"/>
  <c r="P630" i="2"/>
  <c r="P631" i="2"/>
  <c r="P632" i="2"/>
  <c r="P633" i="2"/>
  <c r="P634" i="2"/>
  <c r="P635" i="2"/>
  <c r="P636" i="2"/>
  <c r="P637" i="2"/>
  <c r="P638" i="2"/>
  <c r="P639" i="2"/>
  <c r="P640" i="2"/>
  <c r="P641" i="2"/>
  <c r="P642" i="2"/>
  <c r="P643" i="2"/>
  <c r="P644" i="2"/>
  <c r="P645" i="2"/>
  <c r="P646" i="2"/>
  <c r="P647" i="2"/>
  <c r="P648" i="2"/>
  <c r="P649" i="2"/>
  <c r="P650" i="2"/>
  <c r="P651" i="2"/>
  <c r="P652" i="2"/>
  <c r="P653" i="2"/>
  <c r="P654" i="2"/>
  <c r="P655" i="2"/>
  <c r="P656" i="2"/>
  <c r="P657" i="2"/>
  <c r="P658" i="2"/>
  <c r="P659" i="2"/>
  <c r="P660" i="2"/>
  <c r="P661" i="2"/>
  <c r="P662" i="2"/>
  <c r="P663" i="2"/>
  <c r="P664" i="2"/>
  <c r="P665" i="2"/>
  <c r="P666" i="2"/>
  <c r="P667" i="2"/>
  <c r="P668" i="2"/>
  <c r="P669" i="2"/>
  <c r="P670" i="2"/>
  <c r="P671" i="2"/>
  <c r="P672" i="2"/>
  <c r="P673" i="2"/>
  <c r="P674" i="2"/>
  <c r="P675" i="2"/>
  <c r="P676" i="2"/>
  <c r="P677" i="2"/>
  <c r="P678" i="2"/>
  <c r="P679" i="2"/>
  <c r="P680" i="2"/>
  <c r="P681" i="2"/>
  <c r="P682" i="2"/>
  <c r="P683" i="2"/>
  <c r="P684" i="2"/>
  <c r="P685" i="2"/>
  <c r="P686" i="2"/>
  <c r="P687" i="2"/>
  <c r="P688" i="2"/>
  <c r="P689" i="2"/>
  <c r="P690" i="2"/>
  <c r="P691" i="2"/>
  <c r="P692" i="2"/>
  <c r="P693" i="2"/>
  <c r="P694" i="2"/>
  <c r="P695" i="2"/>
  <c r="P696" i="2"/>
  <c r="P697" i="2"/>
  <c r="P698" i="2"/>
  <c r="P699" i="2"/>
  <c r="P700" i="2"/>
  <c r="P701" i="2"/>
  <c r="P702" i="2"/>
  <c r="P703" i="2"/>
  <c r="P704" i="2"/>
  <c r="P705" i="2"/>
  <c r="P706" i="2"/>
  <c r="P707" i="2"/>
  <c r="P708" i="2"/>
  <c r="P709" i="2"/>
  <c r="P710" i="2"/>
  <c r="P711" i="2"/>
  <c r="P712" i="2"/>
  <c r="P713" i="2"/>
  <c r="P714" i="2"/>
  <c r="P715" i="2"/>
  <c r="P716" i="2"/>
  <c r="P717" i="2"/>
  <c r="P718" i="2"/>
  <c r="P719" i="2"/>
  <c r="P720" i="2"/>
  <c r="P721" i="2"/>
  <c r="P722" i="2"/>
  <c r="P723" i="2"/>
  <c r="P724" i="2"/>
  <c r="P725" i="2"/>
  <c r="P726" i="2"/>
  <c r="P727" i="2"/>
  <c r="P728" i="2"/>
  <c r="P729" i="2"/>
  <c r="P730" i="2"/>
  <c r="P731" i="2"/>
  <c r="P732" i="2"/>
  <c r="P733" i="2"/>
  <c r="P734" i="2"/>
  <c r="P735" i="2"/>
  <c r="P736" i="2"/>
  <c r="P737" i="2"/>
  <c r="P738" i="2"/>
  <c r="P739" i="2"/>
  <c r="P740" i="2"/>
  <c r="P741" i="2"/>
  <c r="P742" i="2"/>
  <c r="P743" i="2"/>
  <c r="P744" i="2"/>
  <c r="P745" i="2"/>
  <c r="P746" i="2"/>
  <c r="P747" i="2"/>
  <c r="P748" i="2"/>
  <c r="P749" i="2"/>
  <c r="P750" i="2"/>
  <c r="P751" i="2"/>
  <c r="P752" i="2"/>
  <c r="P753" i="2"/>
  <c r="P754" i="2"/>
  <c r="P755" i="2"/>
  <c r="P756" i="2"/>
  <c r="P757" i="2"/>
  <c r="P758" i="2"/>
  <c r="P759" i="2"/>
  <c r="P760" i="2"/>
  <c r="P761" i="2"/>
  <c r="P762" i="2"/>
  <c r="P763" i="2"/>
  <c r="P764" i="2"/>
  <c r="P765" i="2"/>
  <c r="P766" i="2"/>
  <c r="P767" i="2"/>
  <c r="P768" i="2"/>
  <c r="P769" i="2"/>
  <c r="P770" i="2"/>
  <c r="P771" i="2"/>
  <c r="P772" i="2"/>
  <c r="P773" i="2"/>
  <c r="P774" i="2"/>
  <c r="P775" i="2"/>
  <c r="P776" i="2"/>
  <c r="P777" i="2"/>
  <c r="P778" i="2"/>
  <c r="P779" i="2"/>
  <c r="P780" i="2"/>
  <c r="P781" i="2"/>
  <c r="P782" i="2"/>
  <c r="P783" i="2"/>
  <c r="P784" i="2"/>
  <c r="P785" i="2"/>
  <c r="P786" i="2"/>
  <c r="P787" i="2"/>
  <c r="P788" i="2"/>
  <c r="P789" i="2"/>
  <c r="P790" i="2"/>
  <c r="P791" i="2"/>
  <c r="P792" i="2"/>
  <c r="P793" i="2"/>
  <c r="P794" i="2"/>
  <c r="P795" i="2"/>
  <c r="P796" i="2"/>
  <c r="P797" i="2"/>
  <c r="P798" i="2"/>
  <c r="P799" i="2"/>
  <c r="P800" i="2"/>
  <c r="P801" i="2"/>
  <c r="P802" i="2"/>
  <c r="P803" i="2"/>
  <c r="P804" i="2"/>
  <c r="P805" i="2"/>
  <c r="P806" i="2"/>
  <c r="P807" i="2"/>
  <c r="P808" i="2"/>
  <c r="P809" i="2"/>
  <c r="P810" i="2"/>
  <c r="P811" i="2"/>
  <c r="P812" i="2"/>
  <c r="P813" i="2"/>
  <c r="P814" i="2"/>
  <c r="P815" i="2"/>
  <c r="P816" i="2"/>
  <c r="P817" i="2"/>
  <c r="P818" i="2"/>
  <c r="P819" i="2"/>
  <c r="P820" i="2"/>
  <c r="P821" i="2"/>
  <c r="P822" i="2"/>
  <c r="P823" i="2"/>
  <c r="P824" i="2"/>
  <c r="P825" i="2"/>
  <c r="P826" i="2"/>
  <c r="P827" i="2"/>
  <c r="P828" i="2"/>
  <c r="P829" i="2"/>
  <c r="P830" i="2"/>
  <c r="P831" i="2"/>
  <c r="P832" i="2"/>
  <c r="P833" i="2"/>
  <c r="P834" i="2"/>
  <c r="P835" i="2"/>
  <c r="P836" i="2"/>
  <c r="P837" i="2"/>
  <c r="P838" i="2"/>
  <c r="P839" i="2"/>
  <c r="P840" i="2"/>
  <c r="P841" i="2"/>
  <c r="P842" i="2"/>
  <c r="P843" i="2"/>
  <c r="P844" i="2"/>
  <c r="P845" i="2"/>
  <c r="P846" i="2"/>
  <c r="P847" i="2"/>
  <c r="P848" i="2"/>
  <c r="P849" i="2"/>
  <c r="P850" i="2"/>
  <c r="P851" i="2"/>
  <c r="P852" i="2"/>
  <c r="P853" i="2"/>
  <c r="P854" i="2"/>
  <c r="P855" i="2"/>
  <c r="P856" i="2"/>
  <c r="P857" i="2"/>
  <c r="P858" i="2"/>
  <c r="P859" i="2"/>
  <c r="P860" i="2"/>
  <c r="P861" i="2"/>
  <c r="P862" i="2"/>
  <c r="P863" i="2"/>
  <c r="P864" i="2"/>
  <c r="P865" i="2"/>
  <c r="P866" i="2"/>
  <c r="P867" i="2"/>
  <c r="P868" i="2"/>
  <c r="P869" i="2"/>
  <c r="P870" i="2"/>
  <c r="P871" i="2"/>
  <c r="P872" i="2"/>
  <c r="P873" i="2"/>
  <c r="P874" i="2"/>
  <c r="P875" i="2"/>
  <c r="P876" i="2"/>
  <c r="P877" i="2"/>
  <c r="P878" i="2"/>
  <c r="P879" i="2"/>
  <c r="P880" i="2"/>
  <c r="P881" i="2"/>
  <c r="P882" i="2"/>
  <c r="P883" i="2"/>
  <c r="P884" i="2"/>
  <c r="P885" i="2"/>
  <c r="P886" i="2"/>
  <c r="P887" i="2"/>
  <c r="P888" i="2"/>
  <c r="P889" i="2"/>
  <c r="P890" i="2"/>
  <c r="P891" i="2"/>
  <c r="P892" i="2"/>
  <c r="P893" i="2"/>
  <c r="P894" i="2"/>
  <c r="P895" i="2"/>
  <c r="P896" i="2"/>
  <c r="P897" i="2"/>
  <c r="P898" i="2"/>
  <c r="P899" i="2"/>
  <c r="P900" i="2"/>
  <c r="P901" i="2"/>
  <c r="P902" i="2"/>
  <c r="P903" i="2"/>
  <c r="P904" i="2"/>
  <c r="P905" i="2"/>
  <c r="P906" i="2"/>
  <c r="P907" i="2"/>
  <c r="P908" i="2"/>
  <c r="P909" i="2"/>
  <c r="P910" i="2"/>
  <c r="P911" i="2"/>
  <c r="P912" i="2"/>
  <c r="P913" i="2"/>
  <c r="P914" i="2"/>
  <c r="P915" i="2"/>
  <c r="P916" i="2"/>
  <c r="P917" i="2"/>
  <c r="P918" i="2"/>
  <c r="P919" i="2"/>
  <c r="P920" i="2"/>
  <c r="P921" i="2"/>
  <c r="P922" i="2"/>
  <c r="P923" i="2"/>
  <c r="P924" i="2"/>
  <c r="P925" i="2"/>
  <c r="P926" i="2"/>
  <c r="P927" i="2"/>
  <c r="P928" i="2"/>
  <c r="P929" i="2"/>
  <c r="P930" i="2"/>
  <c r="P931" i="2"/>
  <c r="P932" i="2"/>
  <c r="P933" i="2"/>
  <c r="P934" i="2"/>
  <c r="P935" i="2"/>
  <c r="P936" i="2"/>
  <c r="P937" i="2"/>
  <c r="P938" i="2"/>
  <c r="P939" i="2"/>
  <c r="P940" i="2"/>
  <c r="P941" i="2"/>
  <c r="P942" i="2"/>
  <c r="P943" i="2"/>
  <c r="P944" i="2"/>
  <c r="P945" i="2"/>
  <c r="P946" i="2"/>
  <c r="P947" i="2"/>
  <c r="P948" i="2"/>
  <c r="P949" i="2"/>
  <c r="P950" i="2"/>
  <c r="P951" i="2"/>
  <c r="P952" i="2"/>
  <c r="P953" i="2"/>
  <c r="P954" i="2"/>
  <c r="P955" i="2"/>
  <c r="P956" i="2"/>
  <c r="P957" i="2"/>
  <c r="P958" i="2"/>
  <c r="P959" i="2"/>
  <c r="P960" i="2"/>
  <c r="P961" i="2"/>
  <c r="P962" i="2"/>
  <c r="P963" i="2"/>
  <c r="P964" i="2"/>
  <c r="P965" i="2"/>
  <c r="P966" i="2"/>
  <c r="P967" i="2"/>
  <c r="P968" i="2"/>
  <c r="P969" i="2"/>
  <c r="P970" i="2"/>
  <c r="P971" i="2"/>
  <c r="P972" i="2"/>
  <c r="P973" i="2"/>
  <c r="P974" i="2"/>
  <c r="P975" i="2"/>
  <c r="P976" i="2"/>
  <c r="P977" i="2"/>
  <c r="P978" i="2"/>
  <c r="P979" i="2"/>
  <c r="P980" i="2"/>
  <c r="P981" i="2"/>
  <c r="P982" i="2"/>
  <c r="P983" i="2"/>
  <c r="P984" i="2"/>
  <c r="P985" i="2"/>
  <c r="P986" i="2"/>
  <c r="P987" i="2"/>
  <c r="P988" i="2"/>
  <c r="P989" i="2"/>
  <c r="P990" i="2"/>
  <c r="P991" i="2"/>
  <c r="P992" i="2"/>
  <c r="P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R225" i="2"/>
  <c r="R226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R240" i="2"/>
  <c r="R241" i="2"/>
  <c r="R242" i="2"/>
  <c r="R243" i="2"/>
  <c r="R244" i="2"/>
  <c r="R245" i="2"/>
  <c r="R246" i="2"/>
  <c r="R247" i="2"/>
  <c r="R248" i="2"/>
  <c r="R249" i="2"/>
  <c r="R250" i="2"/>
  <c r="R251" i="2"/>
  <c r="R252" i="2"/>
  <c r="R253" i="2"/>
  <c r="R254" i="2"/>
  <c r="R255" i="2"/>
  <c r="R256" i="2"/>
  <c r="R257" i="2"/>
  <c r="R258" i="2"/>
  <c r="R259" i="2"/>
  <c r="R260" i="2"/>
  <c r="R261" i="2"/>
  <c r="R262" i="2"/>
  <c r="R263" i="2"/>
  <c r="R264" i="2"/>
  <c r="R265" i="2"/>
  <c r="R266" i="2"/>
  <c r="R267" i="2"/>
  <c r="R268" i="2"/>
  <c r="R269" i="2"/>
  <c r="R270" i="2"/>
  <c r="R271" i="2"/>
  <c r="R272" i="2"/>
  <c r="R273" i="2"/>
  <c r="R274" i="2"/>
  <c r="R275" i="2"/>
  <c r="R276" i="2"/>
  <c r="R277" i="2"/>
  <c r="R278" i="2"/>
  <c r="R279" i="2"/>
  <c r="R280" i="2"/>
  <c r="R281" i="2"/>
  <c r="R282" i="2"/>
  <c r="R283" i="2"/>
  <c r="R284" i="2"/>
  <c r="R285" i="2"/>
  <c r="R286" i="2"/>
  <c r="R287" i="2"/>
  <c r="R288" i="2"/>
  <c r="R289" i="2"/>
  <c r="R290" i="2"/>
  <c r="R291" i="2"/>
  <c r="R292" i="2"/>
  <c r="R293" i="2"/>
  <c r="R294" i="2"/>
  <c r="R295" i="2"/>
  <c r="R296" i="2"/>
  <c r="R297" i="2"/>
  <c r="R298" i="2"/>
  <c r="R299" i="2"/>
  <c r="R300" i="2"/>
  <c r="R301" i="2"/>
  <c r="R302" i="2"/>
  <c r="R303" i="2"/>
  <c r="R304" i="2"/>
  <c r="R305" i="2"/>
  <c r="R306" i="2"/>
  <c r="R307" i="2"/>
  <c r="R308" i="2"/>
  <c r="R309" i="2"/>
  <c r="R310" i="2"/>
  <c r="R311" i="2"/>
  <c r="R312" i="2"/>
  <c r="R313" i="2"/>
  <c r="R314" i="2"/>
  <c r="R315" i="2"/>
  <c r="R316" i="2"/>
  <c r="R317" i="2"/>
  <c r="R318" i="2"/>
  <c r="R319" i="2"/>
  <c r="R320" i="2"/>
  <c r="R321" i="2"/>
  <c r="R322" i="2"/>
  <c r="R323" i="2"/>
  <c r="R324" i="2"/>
  <c r="R325" i="2"/>
  <c r="R326" i="2"/>
  <c r="R327" i="2"/>
  <c r="R328" i="2"/>
  <c r="R329" i="2"/>
  <c r="R330" i="2"/>
  <c r="R331" i="2"/>
  <c r="R332" i="2"/>
  <c r="R333" i="2"/>
  <c r="R334" i="2"/>
  <c r="R335" i="2"/>
  <c r="R336" i="2"/>
  <c r="R337" i="2"/>
  <c r="R338" i="2"/>
  <c r="R339" i="2"/>
  <c r="R340" i="2"/>
  <c r="R341" i="2"/>
  <c r="R342" i="2"/>
  <c r="R343" i="2"/>
  <c r="R344" i="2"/>
  <c r="R345" i="2"/>
  <c r="R346" i="2"/>
  <c r="R347" i="2"/>
  <c r="R348" i="2"/>
  <c r="R349" i="2"/>
  <c r="R350" i="2"/>
  <c r="R351" i="2"/>
  <c r="R352" i="2"/>
  <c r="R353" i="2"/>
  <c r="R354" i="2"/>
  <c r="R355" i="2"/>
  <c r="R356" i="2"/>
  <c r="R357" i="2"/>
  <c r="R358" i="2"/>
  <c r="R359" i="2"/>
  <c r="R360" i="2"/>
  <c r="R361" i="2"/>
  <c r="R362" i="2"/>
  <c r="R363" i="2"/>
  <c r="R364" i="2"/>
  <c r="R365" i="2"/>
  <c r="R366" i="2"/>
  <c r="R367" i="2"/>
  <c r="R368" i="2"/>
  <c r="R369" i="2"/>
  <c r="R370" i="2"/>
  <c r="R371" i="2"/>
  <c r="R372" i="2"/>
  <c r="R373" i="2"/>
  <c r="R374" i="2"/>
  <c r="R375" i="2"/>
  <c r="R376" i="2"/>
  <c r="R377" i="2"/>
  <c r="R378" i="2"/>
  <c r="R379" i="2"/>
  <c r="R380" i="2"/>
  <c r="R381" i="2"/>
  <c r="R382" i="2"/>
  <c r="R383" i="2"/>
  <c r="R384" i="2"/>
  <c r="R385" i="2"/>
  <c r="R386" i="2"/>
  <c r="R387" i="2"/>
  <c r="R388" i="2"/>
  <c r="R389" i="2"/>
  <c r="R390" i="2"/>
  <c r="R391" i="2"/>
  <c r="R392" i="2"/>
  <c r="R393" i="2"/>
  <c r="R394" i="2"/>
  <c r="R395" i="2"/>
  <c r="R396" i="2"/>
  <c r="R397" i="2"/>
  <c r="R398" i="2"/>
  <c r="R399" i="2"/>
  <c r="R400" i="2"/>
  <c r="R401" i="2"/>
  <c r="R402" i="2"/>
  <c r="R403" i="2"/>
  <c r="R404" i="2"/>
  <c r="R405" i="2"/>
  <c r="R406" i="2"/>
  <c r="R407" i="2"/>
  <c r="R408" i="2"/>
  <c r="R409" i="2"/>
  <c r="R410" i="2"/>
  <c r="R411" i="2"/>
  <c r="R412" i="2"/>
  <c r="R413" i="2"/>
  <c r="R414" i="2"/>
  <c r="R415" i="2"/>
  <c r="R416" i="2"/>
  <c r="R417" i="2"/>
  <c r="R418" i="2"/>
  <c r="R419" i="2"/>
  <c r="R420" i="2"/>
  <c r="R421" i="2"/>
  <c r="R422" i="2"/>
  <c r="R423" i="2"/>
  <c r="R424" i="2"/>
  <c r="R425" i="2"/>
  <c r="R426" i="2"/>
  <c r="R427" i="2"/>
  <c r="R428" i="2"/>
  <c r="R429" i="2"/>
  <c r="R430" i="2"/>
  <c r="R431" i="2"/>
  <c r="R432" i="2"/>
  <c r="R433" i="2"/>
  <c r="R434" i="2"/>
  <c r="R435" i="2"/>
  <c r="R436" i="2"/>
  <c r="R437" i="2"/>
  <c r="R438" i="2"/>
  <c r="R439" i="2"/>
  <c r="R440" i="2"/>
  <c r="R441" i="2"/>
  <c r="R442" i="2"/>
  <c r="R443" i="2"/>
  <c r="R444" i="2"/>
  <c r="R445" i="2"/>
  <c r="R446" i="2"/>
  <c r="R447" i="2"/>
  <c r="R448" i="2"/>
  <c r="R449" i="2"/>
  <c r="R450" i="2"/>
  <c r="R451" i="2"/>
  <c r="R452" i="2"/>
  <c r="R453" i="2"/>
  <c r="R454" i="2"/>
  <c r="R455" i="2"/>
  <c r="R456" i="2"/>
  <c r="R457" i="2"/>
  <c r="R458" i="2"/>
  <c r="R459" i="2"/>
  <c r="R460" i="2"/>
  <c r="R461" i="2"/>
  <c r="R462" i="2"/>
  <c r="R463" i="2"/>
  <c r="R464" i="2"/>
  <c r="R465" i="2"/>
  <c r="R466" i="2"/>
  <c r="R467" i="2"/>
  <c r="R468" i="2"/>
  <c r="R469" i="2"/>
  <c r="R470" i="2"/>
  <c r="R471" i="2"/>
  <c r="R472" i="2"/>
  <c r="R473" i="2"/>
  <c r="R474" i="2"/>
  <c r="R475" i="2"/>
  <c r="R476" i="2"/>
  <c r="R477" i="2"/>
  <c r="R478" i="2"/>
  <c r="R479" i="2"/>
  <c r="R480" i="2"/>
  <c r="R481" i="2"/>
  <c r="R482" i="2"/>
  <c r="R483" i="2"/>
  <c r="R484" i="2"/>
  <c r="R485" i="2"/>
  <c r="R486" i="2"/>
  <c r="R487" i="2"/>
  <c r="R488" i="2"/>
  <c r="R489" i="2"/>
  <c r="R490" i="2"/>
  <c r="R491" i="2"/>
  <c r="R492" i="2"/>
  <c r="R493" i="2"/>
  <c r="R494" i="2"/>
  <c r="R495" i="2"/>
  <c r="R496" i="2"/>
  <c r="R497" i="2"/>
  <c r="R498" i="2"/>
  <c r="R499" i="2"/>
  <c r="R500" i="2"/>
  <c r="R501" i="2"/>
  <c r="R502" i="2"/>
  <c r="R503" i="2"/>
  <c r="R504" i="2"/>
  <c r="R505" i="2"/>
  <c r="R506" i="2"/>
  <c r="R507" i="2"/>
  <c r="R508" i="2"/>
  <c r="R509" i="2"/>
  <c r="R510" i="2"/>
  <c r="R511" i="2"/>
  <c r="R512" i="2"/>
  <c r="R513" i="2"/>
  <c r="R514" i="2"/>
  <c r="R515" i="2"/>
  <c r="R516" i="2"/>
  <c r="R517" i="2"/>
  <c r="R518" i="2"/>
  <c r="R519" i="2"/>
  <c r="R520" i="2"/>
  <c r="R521" i="2"/>
  <c r="R522" i="2"/>
  <c r="R523" i="2"/>
  <c r="R524" i="2"/>
  <c r="R525" i="2"/>
  <c r="R526" i="2"/>
  <c r="R527" i="2"/>
  <c r="R528" i="2"/>
  <c r="R529" i="2"/>
  <c r="R530" i="2"/>
  <c r="R531" i="2"/>
  <c r="R532" i="2"/>
  <c r="R533" i="2"/>
  <c r="R534" i="2"/>
  <c r="R535" i="2"/>
  <c r="R536" i="2"/>
  <c r="R537" i="2"/>
  <c r="R538" i="2"/>
  <c r="R539" i="2"/>
  <c r="R540" i="2"/>
  <c r="R541" i="2"/>
  <c r="R542" i="2"/>
  <c r="R543" i="2"/>
  <c r="R544" i="2"/>
  <c r="R545" i="2"/>
  <c r="R546" i="2"/>
  <c r="R547" i="2"/>
  <c r="R548" i="2"/>
  <c r="R549" i="2"/>
  <c r="R550" i="2"/>
  <c r="R551" i="2"/>
  <c r="R552" i="2"/>
  <c r="R553" i="2"/>
  <c r="R554" i="2"/>
  <c r="R555" i="2"/>
  <c r="R556" i="2"/>
  <c r="R557" i="2"/>
  <c r="R558" i="2"/>
  <c r="R559" i="2"/>
  <c r="R560" i="2"/>
  <c r="R561" i="2"/>
  <c r="R562" i="2"/>
  <c r="R563" i="2"/>
  <c r="R564" i="2"/>
  <c r="R565" i="2"/>
  <c r="R566" i="2"/>
  <c r="R567" i="2"/>
  <c r="R568" i="2"/>
  <c r="R569" i="2"/>
  <c r="R570" i="2"/>
  <c r="R571" i="2"/>
  <c r="R572" i="2"/>
  <c r="R573" i="2"/>
  <c r="R574" i="2"/>
  <c r="R575" i="2"/>
  <c r="R576" i="2"/>
  <c r="R577" i="2"/>
  <c r="R578" i="2"/>
  <c r="R579" i="2"/>
  <c r="R580" i="2"/>
  <c r="R581" i="2"/>
  <c r="R582" i="2"/>
  <c r="R583" i="2"/>
  <c r="R584" i="2"/>
  <c r="R585" i="2"/>
  <c r="R586" i="2"/>
  <c r="R587" i="2"/>
  <c r="R588" i="2"/>
  <c r="R589" i="2"/>
  <c r="R590" i="2"/>
  <c r="R591" i="2"/>
  <c r="R592" i="2"/>
  <c r="R593" i="2"/>
  <c r="R594" i="2"/>
  <c r="R595" i="2"/>
  <c r="R596" i="2"/>
  <c r="R597" i="2"/>
  <c r="R598" i="2"/>
  <c r="R599" i="2"/>
  <c r="R600" i="2"/>
  <c r="R601" i="2"/>
  <c r="R602" i="2"/>
  <c r="R603" i="2"/>
  <c r="R604" i="2"/>
  <c r="R605" i="2"/>
  <c r="R606" i="2"/>
  <c r="R607" i="2"/>
  <c r="R608" i="2"/>
  <c r="R609" i="2"/>
  <c r="R610" i="2"/>
  <c r="R611" i="2"/>
  <c r="R612" i="2"/>
  <c r="R613" i="2"/>
  <c r="R614" i="2"/>
  <c r="R615" i="2"/>
  <c r="R616" i="2"/>
  <c r="R617" i="2"/>
  <c r="R618" i="2"/>
  <c r="R619" i="2"/>
  <c r="R620" i="2"/>
  <c r="R621" i="2"/>
  <c r="R622" i="2"/>
  <c r="R623" i="2"/>
  <c r="R624" i="2"/>
  <c r="R625" i="2"/>
  <c r="R626" i="2"/>
  <c r="R627" i="2"/>
  <c r="R628" i="2"/>
  <c r="R629" i="2"/>
  <c r="R630" i="2"/>
  <c r="R631" i="2"/>
  <c r="R632" i="2"/>
  <c r="R633" i="2"/>
  <c r="R634" i="2"/>
  <c r="R635" i="2"/>
  <c r="R636" i="2"/>
  <c r="R637" i="2"/>
  <c r="R638" i="2"/>
  <c r="R639" i="2"/>
  <c r="R640" i="2"/>
  <c r="R641" i="2"/>
  <c r="R642" i="2"/>
  <c r="R643" i="2"/>
  <c r="R644" i="2"/>
  <c r="R645" i="2"/>
  <c r="R646" i="2"/>
  <c r="R647" i="2"/>
  <c r="R648" i="2"/>
  <c r="R649" i="2"/>
  <c r="R650" i="2"/>
  <c r="R651" i="2"/>
  <c r="R652" i="2"/>
  <c r="R653" i="2"/>
  <c r="R654" i="2"/>
  <c r="R655" i="2"/>
  <c r="R656" i="2"/>
  <c r="R657" i="2"/>
  <c r="R658" i="2"/>
  <c r="R659" i="2"/>
  <c r="R660" i="2"/>
  <c r="R661" i="2"/>
  <c r="R662" i="2"/>
  <c r="R663" i="2"/>
  <c r="R664" i="2"/>
  <c r="R665" i="2"/>
  <c r="R666" i="2"/>
  <c r="R667" i="2"/>
  <c r="R668" i="2"/>
  <c r="R669" i="2"/>
  <c r="R670" i="2"/>
  <c r="R671" i="2"/>
  <c r="R672" i="2"/>
  <c r="R673" i="2"/>
  <c r="R674" i="2"/>
  <c r="R675" i="2"/>
  <c r="R676" i="2"/>
  <c r="R677" i="2"/>
  <c r="R678" i="2"/>
  <c r="R679" i="2"/>
  <c r="R680" i="2"/>
  <c r="R681" i="2"/>
  <c r="R682" i="2"/>
  <c r="R683" i="2"/>
  <c r="R684" i="2"/>
  <c r="R685" i="2"/>
  <c r="R686" i="2"/>
  <c r="R687" i="2"/>
  <c r="R688" i="2"/>
  <c r="R689" i="2"/>
  <c r="R690" i="2"/>
  <c r="R691" i="2"/>
  <c r="R692" i="2"/>
  <c r="R693" i="2"/>
  <c r="R694" i="2"/>
  <c r="R695" i="2"/>
  <c r="R696" i="2"/>
  <c r="R697" i="2"/>
  <c r="R698" i="2"/>
  <c r="R699" i="2"/>
  <c r="R700" i="2"/>
  <c r="R701" i="2"/>
  <c r="R702" i="2"/>
  <c r="R703" i="2"/>
  <c r="R704" i="2"/>
  <c r="R705" i="2"/>
  <c r="R706" i="2"/>
  <c r="R707" i="2"/>
  <c r="R708" i="2"/>
  <c r="R709" i="2"/>
  <c r="R710" i="2"/>
  <c r="R711" i="2"/>
  <c r="R712" i="2"/>
  <c r="R713" i="2"/>
  <c r="R714" i="2"/>
  <c r="R715" i="2"/>
  <c r="R716" i="2"/>
  <c r="R717" i="2"/>
  <c r="R718" i="2"/>
  <c r="R719" i="2"/>
  <c r="R720" i="2"/>
  <c r="R721" i="2"/>
  <c r="R722" i="2"/>
  <c r="R723" i="2"/>
  <c r="R724" i="2"/>
  <c r="R725" i="2"/>
  <c r="R726" i="2"/>
  <c r="R727" i="2"/>
  <c r="R728" i="2"/>
  <c r="R729" i="2"/>
  <c r="R730" i="2"/>
  <c r="R731" i="2"/>
  <c r="R732" i="2"/>
  <c r="R733" i="2"/>
  <c r="R734" i="2"/>
  <c r="R735" i="2"/>
  <c r="R736" i="2"/>
  <c r="R737" i="2"/>
  <c r="R738" i="2"/>
  <c r="R739" i="2"/>
  <c r="R740" i="2"/>
  <c r="R741" i="2"/>
  <c r="R742" i="2"/>
  <c r="R743" i="2"/>
  <c r="R744" i="2"/>
  <c r="R745" i="2"/>
  <c r="R746" i="2"/>
  <c r="R747" i="2"/>
  <c r="R748" i="2"/>
  <c r="R749" i="2"/>
  <c r="R750" i="2"/>
  <c r="R751" i="2"/>
  <c r="R752" i="2"/>
  <c r="R753" i="2"/>
  <c r="R754" i="2"/>
  <c r="R755" i="2"/>
  <c r="R756" i="2"/>
  <c r="R757" i="2"/>
  <c r="R758" i="2"/>
  <c r="R759" i="2"/>
  <c r="R760" i="2"/>
  <c r="R761" i="2"/>
  <c r="R762" i="2"/>
  <c r="R763" i="2"/>
  <c r="R764" i="2"/>
  <c r="R765" i="2"/>
  <c r="R766" i="2"/>
  <c r="R767" i="2"/>
  <c r="R768" i="2"/>
  <c r="R769" i="2"/>
  <c r="R770" i="2"/>
  <c r="R771" i="2"/>
  <c r="R772" i="2"/>
  <c r="R773" i="2"/>
  <c r="R774" i="2"/>
  <c r="R775" i="2"/>
  <c r="R776" i="2"/>
  <c r="R777" i="2"/>
  <c r="R778" i="2"/>
  <c r="R779" i="2"/>
  <c r="R780" i="2"/>
  <c r="R781" i="2"/>
  <c r="R782" i="2"/>
  <c r="R783" i="2"/>
  <c r="R784" i="2"/>
  <c r="R785" i="2"/>
  <c r="R786" i="2"/>
  <c r="R787" i="2"/>
  <c r="R788" i="2"/>
  <c r="R789" i="2"/>
  <c r="R790" i="2"/>
  <c r="R791" i="2"/>
  <c r="R792" i="2"/>
  <c r="R793" i="2"/>
  <c r="R794" i="2"/>
  <c r="R795" i="2"/>
  <c r="R796" i="2"/>
  <c r="R797" i="2"/>
  <c r="R798" i="2"/>
  <c r="R799" i="2"/>
  <c r="R800" i="2"/>
  <c r="R801" i="2"/>
  <c r="R802" i="2"/>
  <c r="R803" i="2"/>
  <c r="R804" i="2"/>
  <c r="R805" i="2"/>
  <c r="R806" i="2"/>
  <c r="R807" i="2"/>
  <c r="R808" i="2"/>
  <c r="R809" i="2"/>
  <c r="R810" i="2"/>
  <c r="R811" i="2"/>
  <c r="R812" i="2"/>
  <c r="R813" i="2"/>
  <c r="R814" i="2"/>
  <c r="R815" i="2"/>
  <c r="R816" i="2"/>
  <c r="R817" i="2"/>
  <c r="R818" i="2"/>
  <c r="R819" i="2"/>
  <c r="R820" i="2"/>
  <c r="R821" i="2"/>
  <c r="R822" i="2"/>
  <c r="R823" i="2"/>
  <c r="R824" i="2"/>
  <c r="R825" i="2"/>
  <c r="R826" i="2"/>
  <c r="R827" i="2"/>
  <c r="R828" i="2"/>
  <c r="R829" i="2"/>
  <c r="R830" i="2"/>
  <c r="R831" i="2"/>
  <c r="R832" i="2"/>
  <c r="R833" i="2"/>
  <c r="R834" i="2"/>
  <c r="R835" i="2"/>
  <c r="R836" i="2"/>
  <c r="R837" i="2"/>
  <c r="R838" i="2"/>
  <c r="R839" i="2"/>
  <c r="R840" i="2"/>
  <c r="R841" i="2"/>
  <c r="R842" i="2"/>
  <c r="R843" i="2"/>
  <c r="R844" i="2"/>
  <c r="R845" i="2"/>
  <c r="R846" i="2"/>
  <c r="R847" i="2"/>
  <c r="R848" i="2"/>
  <c r="R849" i="2"/>
  <c r="R850" i="2"/>
  <c r="R851" i="2"/>
  <c r="R852" i="2"/>
  <c r="R853" i="2"/>
  <c r="R854" i="2"/>
  <c r="R855" i="2"/>
  <c r="R856" i="2"/>
  <c r="R857" i="2"/>
  <c r="R858" i="2"/>
  <c r="R859" i="2"/>
  <c r="R860" i="2"/>
  <c r="R861" i="2"/>
  <c r="R862" i="2"/>
  <c r="R863" i="2"/>
  <c r="R864" i="2"/>
  <c r="R865" i="2"/>
  <c r="R866" i="2"/>
  <c r="R867" i="2"/>
  <c r="R868" i="2"/>
  <c r="R869" i="2"/>
  <c r="R870" i="2"/>
  <c r="R871" i="2"/>
  <c r="R872" i="2"/>
  <c r="R873" i="2"/>
  <c r="R874" i="2"/>
  <c r="R875" i="2"/>
  <c r="R876" i="2"/>
  <c r="R877" i="2"/>
  <c r="R878" i="2"/>
  <c r="R879" i="2"/>
  <c r="R880" i="2"/>
  <c r="R881" i="2"/>
  <c r="R882" i="2"/>
  <c r="R883" i="2"/>
  <c r="R884" i="2"/>
  <c r="R885" i="2"/>
  <c r="R886" i="2"/>
  <c r="R887" i="2"/>
  <c r="R888" i="2"/>
  <c r="R889" i="2"/>
  <c r="R890" i="2"/>
  <c r="R891" i="2"/>
  <c r="R892" i="2"/>
  <c r="R893" i="2"/>
  <c r="R894" i="2"/>
  <c r="R895" i="2"/>
  <c r="R896" i="2"/>
  <c r="R897" i="2"/>
  <c r="R898" i="2"/>
  <c r="R899" i="2"/>
  <c r="R900" i="2"/>
  <c r="R901" i="2"/>
  <c r="R902" i="2"/>
  <c r="R903" i="2"/>
  <c r="R904" i="2"/>
  <c r="R905" i="2"/>
  <c r="R906" i="2"/>
  <c r="R907" i="2"/>
  <c r="R908" i="2"/>
  <c r="R909" i="2"/>
  <c r="R910" i="2"/>
  <c r="R911" i="2"/>
  <c r="R912" i="2"/>
  <c r="R913" i="2"/>
  <c r="R914" i="2"/>
  <c r="R915" i="2"/>
  <c r="R916" i="2"/>
  <c r="R917" i="2"/>
  <c r="R918" i="2"/>
  <c r="R919" i="2"/>
  <c r="R920" i="2"/>
  <c r="R921" i="2"/>
  <c r="R922" i="2"/>
  <c r="R923" i="2"/>
  <c r="R924" i="2"/>
  <c r="R925" i="2"/>
  <c r="R926" i="2"/>
  <c r="R927" i="2"/>
  <c r="R928" i="2"/>
  <c r="R929" i="2"/>
  <c r="R930" i="2"/>
  <c r="R931" i="2"/>
  <c r="R932" i="2"/>
  <c r="R933" i="2"/>
  <c r="R934" i="2"/>
  <c r="R935" i="2"/>
  <c r="R936" i="2"/>
  <c r="R937" i="2"/>
  <c r="R938" i="2"/>
  <c r="R939" i="2"/>
  <c r="R940" i="2"/>
  <c r="R941" i="2"/>
  <c r="R942" i="2"/>
  <c r="R943" i="2"/>
  <c r="R944" i="2"/>
  <c r="R945" i="2"/>
  <c r="R946" i="2"/>
  <c r="R947" i="2"/>
  <c r="R948" i="2"/>
  <c r="R949" i="2"/>
  <c r="R950" i="2"/>
  <c r="R951" i="2"/>
  <c r="R952" i="2"/>
  <c r="R953" i="2"/>
  <c r="R954" i="2"/>
  <c r="R955" i="2"/>
  <c r="R956" i="2"/>
  <c r="R957" i="2"/>
  <c r="R958" i="2"/>
  <c r="R959" i="2"/>
  <c r="R960" i="2"/>
  <c r="R961" i="2"/>
  <c r="R962" i="2"/>
  <c r="R963" i="2"/>
  <c r="R964" i="2"/>
  <c r="R965" i="2"/>
  <c r="R966" i="2"/>
  <c r="R967" i="2"/>
  <c r="R968" i="2"/>
  <c r="R969" i="2"/>
  <c r="R970" i="2"/>
  <c r="R971" i="2"/>
  <c r="R972" i="2"/>
  <c r="R973" i="2"/>
  <c r="R974" i="2"/>
  <c r="R975" i="2"/>
  <c r="R976" i="2"/>
  <c r="R977" i="2"/>
  <c r="R978" i="2"/>
  <c r="R979" i="2"/>
  <c r="R980" i="2"/>
  <c r="R981" i="2"/>
  <c r="R982" i="2"/>
  <c r="R983" i="2"/>
  <c r="R984" i="2"/>
  <c r="R985" i="2"/>
  <c r="R986" i="2"/>
  <c r="R987" i="2"/>
  <c r="R988" i="2"/>
  <c r="R989" i="2"/>
  <c r="R990" i="2"/>
  <c r="R991" i="2"/>
  <c r="R992" i="2"/>
  <c r="R2" i="2"/>
  <c r="Q99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502" i="2"/>
  <c r="O503" i="2"/>
  <c r="O504" i="2"/>
  <c r="O505" i="2"/>
  <c r="O506" i="2"/>
  <c r="O507" i="2"/>
  <c r="O508" i="2"/>
  <c r="O509" i="2"/>
  <c r="O510" i="2"/>
  <c r="O511" i="2"/>
  <c r="O512" i="2"/>
  <c r="O513" i="2"/>
  <c r="O514" i="2"/>
  <c r="O515" i="2"/>
  <c r="O516" i="2"/>
  <c r="O517" i="2"/>
  <c r="O518" i="2"/>
  <c r="O519" i="2"/>
  <c r="O520" i="2"/>
  <c r="O521" i="2"/>
  <c r="O522" i="2"/>
  <c r="O523" i="2"/>
  <c r="O524" i="2"/>
  <c r="O525" i="2"/>
  <c r="O526" i="2"/>
  <c r="O527" i="2"/>
  <c r="O528" i="2"/>
  <c r="O529" i="2"/>
  <c r="O530" i="2"/>
  <c r="O531" i="2"/>
  <c r="O532" i="2"/>
  <c r="O533" i="2"/>
  <c r="O534" i="2"/>
  <c r="O535" i="2"/>
  <c r="O536" i="2"/>
  <c r="O537" i="2"/>
  <c r="O538" i="2"/>
  <c r="O539" i="2"/>
  <c r="O540" i="2"/>
  <c r="O541" i="2"/>
  <c r="O542" i="2"/>
  <c r="O543" i="2"/>
  <c r="O544" i="2"/>
  <c r="O545" i="2"/>
  <c r="O546" i="2"/>
  <c r="O547" i="2"/>
  <c r="O548" i="2"/>
  <c r="O549" i="2"/>
  <c r="O550" i="2"/>
  <c r="O551" i="2"/>
  <c r="O552" i="2"/>
  <c r="O553" i="2"/>
  <c r="O554" i="2"/>
  <c r="O555" i="2"/>
  <c r="O556" i="2"/>
  <c r="O557" i="2"/>
  <c r="O558" i="2"/>
  <c r="O559" i="2"/>
  <c r="O560" i="2"/>
  <c r="O561" i="2"/>
  <c r="O562" i="2"/>
  <c r="O563" i="2"/>
  <c r="O564" i="2"/>
  <c r="O565" i="2"/>
  <c r="O566" i="2"/>
  <c r="O567" i="2"/>
  <c r="O568" i="2"/>
  <c r="O569" i="2"/>
  <c r="O570" i="2"/>
  <c r="O571" i="2"/>
  <c r="O572" i="2"/>
  <c r="O573" i="2"/>
  <c r="O574" i="2"/>
  <c r="O575" i="2"/>
  <c r="O576" i="2"/>
  <c r="O577" i="2"/>
  <c r="O578" i="2"/>
  <c r="O579" i="2"/>
  <c r="O580" i="2"/>
  <c r="O581" i="2"/>
  <c r="O582" i="2"/>
  <c r="O583" i="2"/>
  <c r="O584" i="2"/>
  <c r="O585" i="2"/>
  <c r="O586" i="2"/>
  <c r="O587" i="2"/>
  <c r="O588" i="2"/>
  <c r="O589" i="2"/>
  <c r="O590" i="2"/>
  <c r="O591" i="2"/>
  <c r="O592" i="2"/>
  <c r="O593" i="2"/>
  <c r="O594" i="2"/>
  <c r="O595" i="2"/>
  <c r="O596" i="2"/>
  <c r="O597" i="2"/>
  <c r="O598" i="2"/>
  <c r="O599" i="2"/>
  <c r="O600" i="2"/>
  <c r="O601" i="2"/>
  <c r="O602" i="2"/>
  <c r="O603" i="2"/>
  <c r="O604" i="2"/>
  <c r="O605" i="2"/>
  <c r="O606" i="2"/>
  <c r="O607" i="2"/>
  <c r="O608" i="2"/>
  <c r="O609" i="2"/>
  <c r="O610" i="2"/>
  <c r="O611" i="2"/>
  <c r="O612" i="2"/>
  <c r="O613" i="2"/>
  <c r="O614" i="2"/>
  <c r="O615" i="2"/>
  <c r="O616" i="2"/>
  <c r="O617" i="2"/>
  <c r="O618" i="2"/>
  <c r="O619" i="2"/>
  <c r="O620" i="2"/>
  <c r="O621" i="2"/>
  <c r="O622" i="2"/>
  <c r="O623" i="2"/>
  <c r="O624" i="2"/>
  <c r="O625" i="2"/>
  <c r="O626" i="2"/>
  <c r="O627" i="2"/>
  <c r="O628" i="2"/>
  <c r="O629" i="2"/>
  <c r="O630" i="2"/>
  <c r="O631" i="2"/>
  <c r="O632" i="2"/>
  <c r="O633" i="2"/>
  <c r="O634" i="2"/>
  <c r="O635" i="2"/>
  <c r="O636" i="2"/>
  <c r="O637" i="2"/>
  <c r="O638" i="2"/>
  <c r="O639" i="2"/>
  <c r="O640" i="2"/>
  <c r="O641" i="2"/>
  <c r="O642" i="2"/>
  <c r="O643" i="2"/>
  <c r="O644" i="2"/>
  <c r="O645" i="2"/>
  <c r="O646" i="2"/>
  <c r="O647" i="2"/>
  <c r="O648" i="2"/>
  <c r="O649" i="2"/>
  <c r="O650" i="2"/>
  <c r="O651" i="2"/>
  <c r="O652" i="2"/>
  <c r="O653" i="2"/>
  <c r="O654" i="2"/>
  <c r="O655" i="2"/>
  <c r="O656" i="2"/>
  <c r="O657" i="2"/>
  <c r="O658" i="2"/>
  <c r="O659" i="2"/>
  <c r="O660" i="2"/>
  <c r="O661" i="2"/>
  <c r="O662" i="2"/>
  <c r="O663" i="2"/>
  <c r="O664" i="2"/>
  <c r="O665" i="2"/>
  <c r="O666" i="2"/>
  <c r="O667" i="2"/>
  <c r="O668" i="2"/>
  <c r="O669" i="2"/>
  <c r="O670" i="2"/>
  <c r="O671" i="2"/>
  <c r="O672" i="2"/>
  <c r="O673" i="2"/>
  <c r="O674" i="2"/>
  <c r="O675" i="2"/>
  <c r="O676" i="2"/>
  <c r="O677" i="2"/>
  <c r="O678" i="2"/>
  <c r="O679" i="2"/>
  <c r="O680" i="2"/>
  <c r="O681" i="2"/>
  <c r="O682" i="2"/>
  <c r="O683" i="2"/>
  <c r="O684" i="2"/>
  <c r="O685" i="2"/>
  <c r="O686" i="2"/>
  <c r="O687" i="2"/>
  <c r="O688" i="2"/>
  <c r="O689" i="2"/>
  <c r="O690" i="2"/>
  <c r="O691" i="2"/>
  <c r="O692" i="2"/>
  <c r="O693" i="2"/>
  <c r="O694" i="2"/>
  <c r="O695" i="2"/>
  <c r="O696" i="2"/>
  <c r="O697" i="2"/>
  <c r="O698" i="2"/>
  <c r="O699" i="2"/>
  <c r="O700" i="2"/>
  <c r="O701" i="2"/>
  <c r="O702" i="2"/>
  <c r="O703" i="2"/>
  <c r="O704" i="2"/>
  <c r="O705" i="2"/>
  <c r="O706" i="2"/>
  <c r="O707" i="2"/>
  <c r="O708" i="2"/>
  <c r="O709" i="2"/>
  <c r="O710" i="2"/>
  <c r="O711" i="2"/>
  <c r="O712" i="2"/>
  <c r="O713" i="2"/>
  <c r="O714" i="2"/>
  <c r="O715" i="2"/>
  <c r="O716" i="2"/>
  <c r="O717" i="2"/>
  <c r="O718" i="2"/>
  <c r="O719" i="2"/>
  <c r="O720" i="2"/>
  <c r="O721" i="2"/>
  <c r="O722" i="2"/>
  <c r="O723" i="2"/>
  <c r="O724" i="2"/>
  <c r="O725" i="2"/>
  <c r="O726" i="2"/>
  <c r="O727" i="2"/>
  <c r="O728" i="2"/>
  <c r="O729" i="2"/>
  <c r="O730" i="2"/>
  <c r="O731" i="2"/>
  <c r="O732" i="2"/>
  <c r="O733" i="2"/>
  <c r="O734" i="2"/>
  <c r="O735" i="2"/>
  <c r="O736" i="2"/>
  <c r="O737" i="2"/>
  <c r="O738" i="2"/>
  <c r="O739" i="2"/>
  <c r="O740" i="2"/>
  <c r="O741" i="2"/>
  <c r="O742" i="2"/>
  <c r="O743" i="2"/>
  <c r="O744" i="2"/>
  <c r="O745" i="2"/>
  <c r="O746" i="2"/>
  <c r="O747" i="2"/>
  <c r="O748" i="2"/>
  <c r="O749" i="2"/>
  <c r="O750" i="2"/>
  <c r="O751" i="2"/>
  <c r="O752" i="2"/>
  <c r="O753" i="2"/>
  <c r="O754" i="2"/>
  <c r="O755" i="2"/>
  <c r="O756" i="2"/>
  <c r="O757" i="2"/>
  <c r="O758" i="2"/>
  <c r="O759" i="2"/>
  <c r="O760" i="2"/>
  <c r="O761" i="2"/>
  <c r="O762" i="2"/>
  <c r="O763" i="2"/>
  <c r="O764" i="2"/>
  <c r="O765" i="2"/>
  <c r="O766" i="2"/>
  <c r="O767" i="2"/>
  <c r="O768" i="2"/>
  <c r="O769" i="2"/>
  <c r="O770" i="2"/>
  <c r="O771" i="2"/>
  <c r="O772" i="2"/>
  <c r="O773" i="2"/>
  <c r="O774" i="2"/>
  <c r="O775" i="2"/>
  <c r="O776" i="2"/>
  <c r="O777" i="2"/>
  <c r="O778" i="2"/>
  <c r="O779" i="2"/>
  <c r="O780" i="2"/>
  <c r="O781" i="2"/>
  <c r="O782" i="2"/>
  <c r="O783" i="2"/>
  <c r="O784" i="2"/>
  <c r="O785" i="2"/>
  <c r="O786" i="2"/>
  <c r="O787" i="2"/>
  <c r="O788" i="2"/>
  <c r="O789" i="2"/>
  <c r="O790" i="2"/>
  <c r="O791" i="2"/>
  <c r="O792" i="2"/>
  <c r="O793" i="2"/>
  <c r="O794" i="2"/>
  <c r="O795" i="2"/>
  <c r="O796" i="2"/>
  <c r="O797" i="2"/>
  <c r="O798" i="2"/>
  <c r="O799" i="2"/>
  <c r="O800" i="2"/>
  <c r="O801" i="2"/>
  <c r="O802" i="2"/>
  <c r="O803" i="2"/>
  <c r="O804" i="2"/>
  <c r="O805" i="2"/>
  <c r="O806" i="2"/>
  <c r="O807" i="2"/>
  <c r="O808" i="2"/>
  <c r="O809" i="2"/>
  <c r="O810" i="2"/>
  <c r="O811" i="2"/>
  <c r="O812" i="2"/>
  <c r="O813" i="2"/>
  <c r="O814" i="2"/>
  <c r="O815" i="2"/>
  <c r="O816" i="2"/>
  <c r="O817" i="2"/>
  <c r="O818" i="2"/>
  <c r="O819" i="2"/>
  <c r="O820" i="2"/>
  <c r="O821" i="2"/>
  <c r="O822" i="2"/>
  <c r="O823" i="2"/>
  <c r="O824" i="2"/>
  <c r="O825" i="2"/>
  <c r="O826" i="2"/>
  <c r="O827" i="2"/>
  <c r="O828" i="2"/>
  <c r="O829" i="2"/>
  <c r="O830" i="2"/>
  <c r="O831" i="2"/>
  <c r="O832" i="2"/>
  <c r="O833" i="2"/>
  <c r="O834" i="2"/>
  <c r="O835" i="2"/>
  <c r="O836" i="2"/>
  <c r="O837" i="2"/>
  <c r="O838" i="2"/>
  <c r="O839" i="2"/>
  <c r="O840" i="2"/>
  <c r="O841" i="2"/>
  <c r="O842" i="2"/>
  <c r="O843" i="2"/>
  <c r="O844" i="2"/>
  <c r="O845" i="2"/>
  <c r="O846" i="2"/>
  <c r="O847" i="2"/>
  <c r="O848" i="2"/>
  <c r="O849" i="2"/>
  <c r="O850" i="2"/>
  <c r="O851" i="2"/>
  <c r="O852" i="2"/>
  <c r="O853" i="2"/>
  <c r="O854" i="2"/>
  <c r="O855" i="2"/>
  <c r="O856" i="2"/>
  <c r="O857" i="2"/>
  <c r="O858" i="2"/>
  <c r="O859" i="2"/>
  <c r="O860" i="2"/>
  <c r="O861" i="2"/>
  <c r="O862" i="2"/>
  <c r="O863" i="2"/>
  <c r="O864" i="2"/>
  <c r="O865" i="2"/>
  <c r="O866" i="2"/>
  <c r="O867" i="2"/>
  <c r="O868" i="2"/>
  <c r="O869" i="2"/>
  <c r="O870" i="2"/>
  <c r="O871" i="2"/>
  <c r="O872" i="2"/>
  <c r="O873" i="2"/>
  <c r="O874" i="2"/>
  <c r="O875" i="2"/>
  <c r="O876" i="2"/>
  <c r="O877" i="2"/>
  <c r="O878" i="2"/>
  <c r="O879" i="2"/>
  <c r="O880" i="2"/>
  <c r="O881" i="2"/>
  <c r="O882" i="2"/>
  <c r="O883" i="2"/>
  <c r="O884" i="2"/>
  <c r="O885" i="2"/>
  <c r="O886" i="2"/>
  <c r="O887" i="2"/>
  <c r="O888" i="2"/>
  <c r="O889" i="2"/>
  <c r="O890" i="2"/>
  <c r="O891" i="2"/>
  <c r="O892" i="2"/>
  <c r="O893" i="2"/>
  <c r="O894" i="2"/>
  <c r="O895" i="2"/>
  <c r="O896" i="2"/>
  <c r="O897" i="2"/>
  <c r="O898" i="2"/>
  <c r="O899" i="2"/>
  <c r="O900" i="2"/>
  <c r="O901" i="2"/>
  <c r="O902" i="2"/>
  <c r="O903" i="2"/>
  <c r="O904" i="2"/>
  <c r="O905" i="2"/>
  <c r="O906" i="2"/>
  <c r="O907" i="2"/>
  <c r="O908" i="2"/>
  <c r="O909" i="2"/>
  <c r="O910" i="2"/>
  <c r="O911" i="2"/>
  <c r="O912" i="2"/>
  <c r="O913" i="2"/>
  <c r="O914" i="2"/>
  <c r="O915" i="2"/>
  <c r="O916" i="2"/>
  <c r="O917" i="2"/>
  <c r="O918" i="2"/>
  <c r="O919" i="2"/>
  <c r="O920" i="2"/>
  <c r="O921" i="2"/>
  <c r="O922" i="2"/>
  <c r="O923" i="2"/>
  <c r="O924" i="2"/>
  <c r="O925" i="2"/>
  <c r="O926" i="2"/>
  <c r="O927" i="2"/>
  <c r="O928" i="2"/>
  <c r="O929" i="2"/>
  <c r="O930" i="2"/>
  <c r="O931" i="2"/>
  <c r="O932" i="2"/>
  <c r="O933" i="2"/>
  <c r="O934" i="2"/>
  <c r="O935" i="2"/>
  <c r="O936" i="2"/>
  <c r="O937" i="2"/>
  <c r="O938" i="2"/>
  <c r="O939" i="2"/>
  <c r="O940" i="2"/>
  <c r="O941" i="2"/>
  <c r="O942" i="2"/>
  <c r="O943" i="2"/>
  <c r="O944" i="2"/>
  <c r="O945" i="2"/>
  <c r="O946" i="2"/>
  <c r="O947" i="2"/>
  <c r="O948" i="2"/>
  <c r="O949" i="2"/>
  <c r="O950" i="2"/>
  <c r="O951" i="2"/>
  <c r="O952" i="2"/>
  <c r="O953" i="2"/>
  <c r="O954" i="2"/>
  <c r="O955" i="2"/>
  <c r="O956" i="2"/>
  <c r="O957" i="2"/>
  <c r="O958" i="2"/>
  <c r="O959" i="2"/>
  <c r="O960" i="2"/>
  <c r="O961" i="2"/>
  <c r="O962" i="2"/>
  <c r="O963" i="2"/>
  <c r="O964" i="2"/>
  <c r="O965" i="2"/>
  <c r="O966" i="2"/>
  <c r="O967" i="2"/>
  <c r="O968" i="2"/>
  <c r="O969" i="2"/>
  <c r="O970" i="2"/>
  <c r="O971" i="2"/>
  <c r="O972" i="2"/>
  <c r="O973" i="2"/>
  <c r="O974" i="2"/>
  <c r="O975" i="2"/>
  <c r="O976" i="2"/>
  <c r="O977" i="2"/>
  <c r="O978" i="2"/>
  <c r="O979" i="2"/>
  <c r="O980" i="2"/>
  <c r="O981" i="2"/>
  <c r="O982" i="2"/>
  <c r="O983" i="2"/>
  <c r="O984" i="2"/>
  <c r="O985" i="2"/>
  <c r="O986" i="2"/>
  <c r="O987" i="2"/>
  <c r="O988" i="2"/>
  <c r="O989" i="2"/>
  <c r="O990" i="2"/>
  <c r="O991" i="2"/>
  <c r="O992" i="2"/>
  <c r="O2" i="2"/>
  <c r="O2" i="9"/>
  <c r="O3" i="9"/>
  <c r="O4" i="9"/>
  <c r="O5" i="9"/>
  <c r="O6" i="9"/>
  <c r="O7" i="9"/>
  <c r="O8" i="9"/>
  <c r="O9" i="9"/>
  <c r="O10" i="9"/>
  <c r="O11" i="9"/>
  <c r="O12" i="9"/>
  <c r="O13" i="9"/>
  <c r="O14" i="9"/>
  <c r="O15" i="9"/>
  <c r="O16" i="9"/>
  <c r="O17" i="9"/>
  <c r="O18" i="9"/>
  <c r="O19" i="9"/>
  <c r="O20" i="9"/>
  <c r="O21" i="9"/>
  <c r="O22" i="9"/>
  <c r="O23" i="9"/>
  <c r="O24" i="9"/>
  <c r="O25" i="9"/>
  <c r="O26" i="9"/>
  <c r="O27" i="9"/>
  <c r="O28" i="9"/>
  <c r="O29" i="9"/>
  <c r="O30" i="9"/>
  <c r="O31" i="9"/>
  <c r="O32" i="9"/>
  <c r="O33" i="9"/>
  <c r="O34" i="9"/>
  <c r="O35" i="9"/>
  <c r="O36" i="9"/>
  <c r="O37" i="9"/>
  <c r="O38" i="9"/>
  <c r="O39" i="9"/>
  <c r="O40" i="9"/>
  <c r="O41" i="9"/>
  <c r="O42" i="9"/>
  <c r="O43" i="9"/>
  <c r="O44" i="9"/>
  <c r="O45" i="9"/>
  <c r="O46" i="9"/>
  <c r="O47" i="9"/>
  <c r="O48" i="9"/>
  <c r="O49" i="9"/>
  <c r="O50" i="9"/>
  <c r="O51" i="9"/>
  <c r="O52" i="9"/>
  <c r="O53" i="9"/>
  <c r="O54" i="9"/>
  <c r="O55" i="9"/>
  <c r="O56" i="9"/>
  <c r="O57" i="9"/>
  <c r="O58" i="9"/>
  <c r="O59" i="9"/>
  <c r="O60" i="9"/>
  <c r="O61" i="9"/>
  <c r="O62" i="9"/>
  <c r="O63" i="9"/>
  <c r="O64" i="9"/>
  <c r="O65" i="9"/>
  <c r="O66" i="9"/>
  <c r="O67" i="9"/>
  <c r="O68" i="9"/>
  <c r="O69" i="9"/>
  <c r="O70" i="9"/>
  <c r="O71" i="9"/>
  <c r="O72" i="9"/>
  <c r="O73" i="9"/>
  <c r="O74" i="9"/>
  <c r="O75" i="9"/>
  <c r="O76" i="9"/>
  <c r="O77" i="9"/>
  <c r="O78" i="9"/>
  <c r="O79" i="9"/>
  <c r="O80" i="9"/>
  <c r="O81" i="9"/>
  <c r="O82" i="9"/>
  <c r="O83" i="9"/>
  <c r="O84" i="9"/>
  <c r="O85" i="9"/>
  <c r="O86" i="9"/>
  <c r="O87" i="9"/>
  <c r="O88" i="9"/>
  <c r="O89" i="9"/>
  <c r="O90" i="9"/>
  <c r="O91" i="9"/>
  <c r="O92" i="9"/>
  <c r="O93" i="9"/>
  <c r="O94" i="9"/>
  <c r="O95" i="9"/>
  <c r="O96" i="9"/>
  <c r="O97" i="9"/>
  <c r="O98" i="9"/>
  <c r="O99" i="9"/>
  <c r="O100" i="9"/>
  <c r="O101" i="9"/>
  <c r="O102" i="9"/>
  <c r="O103" i="9"/>
  <c r="O104" i="9"/>
  <c r="O105" i="9"/>
  <c r="O106" i="9"/>
  <c r="O107" i="9"/>
  <c r="O108" i="9"/>
  <c r="O109" i="9"/>
  <c r="O110" i="9"/>
  <c r="O111" i="9"/>
  <c r="O112" i="9"/>
  <c r="O113" i="9"/>
  <c r="O114" i="9"/>
  <c r="O115" i="9"/>
  <c r="O116" i="9"/>
  <c r="O117" i="9"/>
  <c r="O118" i="9"/>
  <c r="O119" i="9"/>
  <c r="O120" i="9"/>
  <c r="O121" i="9"/>
  <c r="O122" i="9"/>
  <c r="O123" i="9"/>
  <c r="O124" i="9"/>
  <c r="O125" i="9"/>
  <c r="O126" i="9"/>
  <c r="O127" i="9"/>
  <c r="O128" i="9"/>
  <c r="O129" i="9"/>
  <c r="O130" i="9"/>
  <c r="O131" i="9"/>
  <c r="O132" i="9"/>
  <c r="O133" i="9"/>
  <c r="O134" i="9"/>
  <c r="O135" i="9"/>
  <c r="O136" i="9"/>
  <c r="O137" i="9"/>
  <c r="O138" i="9"/>
  <c r="O139" i="9"/>
  <c r="O140" i="9"/>
  <c r="O141" i="9"/>
  <c r="O142" i="9"/>
  <c r="O143" i="9"/>
  <c r="O144" i="9"/>
  <c r="O145" i="9"/>
  <c r="O146" i="9"/>
  <c r="O147" i="9"/>
  <c r="O148" i="9"/>
  <c r="O149" i="9"/>
  <c r="O150" i="9"/>
  <c r="O151" i="9"/>
  <c r="O152" i="9"/>
  <c r="O153" i="9"/>
  <c r="O154" i="9"/>
  <c r="O155" i="9"/>
  <c r="O156" i="9"/>
  <c r="O157" i="9"/>
  <c r="O158" i="9"/>
  <c r="O159" i="9"/>
  <c r="O160" i="9"/>
  <c r="O161" i="9"/>
  <c r="O162" i="9"/>
  <c r="O163" i="9"/>
  <c r="O164" i="9"/>
  <c r="O165" i="9"/>
  <c r="O166" i="9"/>
  <c r="O167" i="9"/>
  <c r="O168" i="9"/>
  <c r="O169" i="9"/>
  <c r="O170" i="9"/>
  <c r="O171" i="9"/>
  <c r="O172" i="9"/>
  <c r="O173" i="9"/>
  <c r="O174" i="9"/>
  <c r="O175" i="9"/>
  <c r="O176" i="9"/>
  <c r="O177" i="9"/>
  <c r="O178" i="9"/>
  <c r="O179" i="9"/>
  <c r="O180" i="9"/>
  <c r="O181" i="9"/>
  <c r="O182" i="9"/>
  <c r="O183" i="9"/>
  <c r="O184" i="9"/>
  <c r="O185" i="9"/>
  <c r="O186" i="9"/>
  <c r="O187" i="9"/>
  <c r="O188" i="9"/>
  <c r="O189" i="9"/>
  <c r="O190" i="9"/>
  <c r="O191" i="9"/>
  <c r="O192" i="9"/>
  <c r="O193" i="9"/>
  <c r="O194" i="9"/>
  <c r="O195" i="9"/>
  <c r="O196" i="9"/>
  <c r="O197" i="9"/>
  <c r="O198" i="9"/>
  <c r="O199" i="9"/>
  <c r="O200" i="9"/>
  <c r="O201" i="9"/>
  <c r="O202" i="9"/>
  <c r="O203" i="9"/>
  <c r="O204" i="9"/>
  <c r="O205" i="9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Q351" i="2"/>
  <c r="Q352" i="2"/>
  <c r="Q353" i="2"/>
  <c r="Q354" i="2"/>
  <c r="Q355" i="2"/>
  <c r="Q356" i="2"/>
  <c r="Q357" i="2"/>
  <c r="Q358" i="2"/>
  <c r="Q359" i="2"/>
  <c r="Q360" i="2"/>
  <c r="Q361" i="2"/>
  <c r="Q362" i="2"/>
  <c r="Q363" i="2"/>
  <c r="Q364" i="2"/>
  <c r="Q365" i="2"/>
  <c r="Q366" i="2"/>
  <c r="Q367" i="2"/>
  <c r="Q368" i="2"/>
  <c r="Q369" i="2"/>
  <c r="Q370" i="2"/>
  <c r="Q371" i="2"/>
  <c r="Q372" i="2"/>
  <c r="Q373" i="2"/>
  <c r="Q374" i="2"/>
  <c r="Q375" i="2"/>
  <c r="Q376" i="2"/>
  <c r="Q377" i="2"/>
  <c r="Q378" i="2"/>
  <c r="Q379" i="2"/>
  <c r="Q380" i="2"/>
  <c r="Q381" i="2"/>
  <c r="Q382" i="2"/>
  <c r="Q383" i="2"/>
  <c r="Q384" i="2"/>
  <c r="Q385" i="2"/>
  <c r="Q386" i="2"/>
  <c r="Q387" i="2"/>
  <c r="Q388" i="2"/>
  <c r="Q389" i="2"/>
  <c r="Q390" i="2"/>
  <c r="Q391" i="2"/>
  <c r="Q392" i="2"/>
  <c r="Q393" i="2"/>
  <c r="Q394" i="2"/>
  <c r="Q395" i="2"/>
  <c r="Q396" i="2"/>
  <c r="Q397" i="2"/>
  <c r="Q398" i="2"/>
  <c r="Q399" i="2"/>
  <c r="Q400" i="2"/>
  <c r="Q401" i="2"/>
  <c r="Q402" i="2"/>
  <c r="Q403" i="2"/>
  <c r="Q404" i="2"/>
  <c r="Q405" i="2"/>
  <c r="Q406" i="2"/>
  <c r="Q407" i="2"/>
  <c r="Q408" i="2"/>
  <c r="Q409" i="2"/>
  <c r="Q410" i="2"/>
  <c r="Q411" i="2"/>
  <c r="Q412" i="2"/>
  <c r="Q413" i="2"/>
  <c r="Q414" i="2"/>
  <c r="Q415" i="2"/>
  <c r="Q416" i="2"/>
  <c r="Q417" i="2"/>
  <c r="Q418" i="2"/>
  <c r="Q419" i="2"/>
  <c r="Q420" i="2"/>
  <c r="Q421" i="2"/>
  <c r="Q422" i="2"/>
  <c r="Q423" i="2"/>
  <c r="Q424" i="2"/>
  <c r="Q425" i="2"/>
  <c r="Q426" i="2"/>
  <c r="Q427" i="2"/>
  <c r="Q428" i="2"/>
  <c r="Q429" i="2"/>
  <c r="Q430" i="2"/>
  <c r="Q431" i="2"/>
  <c r="Q432" i="2"/>
  <c r="Q433" i="2"/>
  <c r="Q434" i="2"/>
  <c r="Q435" i="2"/>
  <c r="Q436" i="2"/>
  <c r="Q437" i="2"/>
  <c r="Q438" i="2"/>
  <c r="Q439" i="2"/>
  <c r="Q440" i="2"/>
  <c r="Q441" i="2"/>
  <c r="Q442" i="2"/>
  <c r="Q443" i="2"/>
  <c r="Q444" i="2"/>
  <c r="Q445" i="2"/>
  <c r="Q446" i="2"/>
  <c r="Q447" i="2"/>
  <c r="Q448" i="2"/>
  <c r="Q449" i="2"/>
  <c r="Q450" i="2"/>
  <c r="Q451" i="2"/>
  <c r="Q452" i="2"/>
  <c r="Q453" i="2"/>
  <c r="Q454" i="2"/>
  <c r="Q455" i="2"/>
  <c r="Q456" i="2"/>
  <c r="Q457" i="2"/>
  <c r="Q458" i="2"/>
  <c r="Q459" i="2"/>
  <c r="Q460" i="2"/>
  <c r="Q461" i="2"/>
  <c r="Q462" i="2"/>
  <c r="Q463" i="2"/>
  <c r="Q464" i="2"/>
  <c r="Q465" i="2"/>
  <c r="Q466" i="2"/>
  <c r="Q467" i="2"/>
  <c r="Q468" i="2"/>
  <c r="Q469" i="2"/>
  <c r="Q470" i="2"/>
  <c r="Q471" i="2"/>
  <c r="Q472" i="2"/>
  <c r="Q473" i="2"/>
  <c r="Q474" i="2"/>
  <c r="Q475" i="2"/>
  <c r="Q476" i="2"/>
  <c r="Q477" i="2"/>
  <c r="Q478" i="2"/>
  <c r="Q479" i="2"/>
  <c r="Q480" i="2"/>
  <c r="Q481" i="2"/>
  <c r="Q482" i="2"/>
  <c r="Q483" i="2"/>
  <c r="Q484" i="2"/>
  <c r="Q485" i="2"/>
  <c r="Q486" i="2"/>
  <c r="Q487" i="2"/>
  <c r="Q488" i="2"/>
  <c r="Q489" i="2"/>
  <c r="Q490" i="2"/>
  <c r="Q491" i="2"/>
  <c r="Q492" i="2"/>
  <c r="Q493" i="2"/>
  <c r="Q494" i="2"/>
  <c r="Q495" i="2"/>
  <c r="Q496" i="2"/>
  <c r="Q497" i="2"/>
  <c r="Q498" i="2"/>
  <c r="Q499" i="2"/>
  <c r="Q500" i="2"/>
  <c r="Q501" i="2"/>
  <c r="Q502" i="2"/>
  <c r="Q503" i="2"/>
  <c r="Q504" i="2"/>
  <c r="Q505" i="2"/>
  <c r="Q506" i="2"/>
  <c r="Q507" i="2"/>
  <c r="Q508" i="2"/>
  <c r="Q509" i="2"/>
  <c r="Q510" i="2"/>
  <c r="Q511" i="2"/>
  <c r="Q512" i="2"/>
  <c r="Q513" i="2"/>
  <c r="Q514" i="2"/>
  <c r="Q515" i="2"/>
  <c r="Q516" i="2"/>
  <c r="Q517" i="2"/>
  <c r="Q518" i="2"/>
  <c r="Q519" i="2"/>
  <c r="Q520" i="2"/>
  <c r="Q521" i="2"/>
  <c r="Q522" i="2"/>
  <c r="Q523" i="2"/>
  <c r="Q524" i="2"/>
  <c r="Q525" i="2"/>
  <c r="Q526" i="2"/>
  <c r="Q527" i="2"/>
  <c r="Q528" i="2"/>
  <c r="Q529" i="2"/>
  <c r="Q530" i="2"/>
  <c r="Q531" i="2"/>
  <c r="Q532" i="2"/>
  <c r="Q533" i="2"/>
  <c r="Q534" i="2"/>
  <c r="Q535" i="2"/>
  <c r="Q536" i="2"/>
  <c r="Q537" i="2"/>
  <c r="Q538" i="2"/>
  <c r="Q539" i="2"/>
  <c r="Q540" i="2"/>
  <c r="Q541" i="2"/>
  <c r="Q542" i="2"/>
  <c r="Q543" i="2"/>
  <c r="Q544" i="2"/>
  <c r="Q545" i="2"/>
  <c r="Q546" i="2"/>
  <c r="Q547" i="2"/>
  <c r="Q548" i="2"/>
  <c r="Q549" i="2"/>
  <c r="Q550" i="2"/>
  <c r="Q551" i="2"/>
  <c r="Q552" i="2"/>
  <c r="Q553" i="2"/>
  <c r="Q554" i="2"/>
  <c r="Q555" i="2"/>
  <c r="Q556" i="2"/>
  <c r="Q557" i="2"/>
  <c r="Q558" i="2"/>
  <c r="Q559" i="2"/>
  <c r="Q560" i="2"/>
  <c r="Q561" i="2"/>
  <c r="Q562" i="2"/>
  <c r="Q563" i="2"/>
  <c r="Q564" i="2"/>
  <c r="Q565" i="2"/>
  <c r="Q566" i="2"/>
  <c r="Q567" i="2"/>
  <c r="Q568" i="2"/>
  <c r="Q569" i="2"/>
  <c r="Q570" i="2"/>
  <c r="Q571" i="2"/>
  <c r="Q572" i="2"/>
  <c r="Q573" i="2"/>
  <c r="Q574" i="2"/>
  <c r="Q575" i="2"/>
  <c r="Q576" i="2"/>
  <c r="Q577" i="2"/>
  <c r="Q578" i="2"/>
  <c r="Q579" i="2"/>
  <c r="Q580" i="2"/>
  <c r="Q581" i="2"/>
  <c r="Q582" i="2"/>
  <c r="Q583" i="2"/>
  <c r="Q584" i="2"/>
  <c r="Q585" i="2"/>
  <c r="Q586" i="2"/>
  <c r="Q587" i="2"/>
  <c r="Q588" i="2"/>
  <c r="Q589" i="2"/>
  <c r="Q590" i="2"/>
  <c r="Q591" i="2"/>
  <c r="Q592" i="2"/>
  <c r="Q593" i="2"/>
  <c r="Q594" i="2"/>
  <c r="Q595" i="2"/>
  <c r="Q596" i="2"/>
  <c r="Q597" i="2"/>
  <c r="Q598" i="2"/>
  <c r="Q599" i="2"/>
  <c r="Q600" i="2"/>
  <c r="Q601" i="2"/>
  <c r="Q602" i="2"/>
  <c r="Q603" i="2"/>
  <c r="Q604" i="2"/>
  <c r="Q605" i="2"/>
  <c r="Q606" i="2"/>
  <c r="Q607" i="2"/>
  <c r="Q608" i="2"/>
  <c r="Q609" i="2"/>
  <c r="Q610" i="2"/>
  <c r="Q611" i="2"/>
  <c r="Q612" i="2"/>
  <c r="Q613" i="2"/>
  <c r="Q614" i="2"/>
  <c r="Q615" i="2"/>
  <c r="Q616" i="2"/>
  <c r="Q617" i="2"/>
  <c r="Q618" i="2"/>
  <c r="Q619" i="2"/>
  <c r="Q620" i="2"/>
  <c r="Q621" i="2"/>
  <c r="Q622" i="2"/>
  <c r="Q623" i="2"/>
  <c r="Q624" i="2"/>
  <c r="Q625" i="2"/>
  <c r="Q626" i="2"/>
  <c r="Q627" i="2"/>
  <c r="Q628" i="2"/>
  <c r="Q629" i="2"/>
  <c r="Q630" i="2"/>
  <c r="Q631" i="2"/>
  <c r="Q632" i="2"/>
  <c r="Q633" i="2"/>
  <c r="Q634" i="2"/>
  <c r="Q635" i="2"/>
  <c r="Q636" i="2"/>
  <c r="Q637" i="2"/>
  <c r="Q638" i="2"/>
  <c r="Q639" i="2"/>
  <c r="Q640" i="2"/>
  <c r="Q641" i="2"/>
  <c r="Q642" i="2"/>
  <c r="Q643" i="2"/>
  <c r="Q644" i="2"/>
  <c r="Q645" i="2"/>
  <c r="Q646" i="2"/>
  <c r="Q647" i="2"/>
  <c r="Q648" i="2"/>
  <c r="Q649" i="2"/>
  <c r="Q650" i="2"/>
  <c r="Q651" i="2"/>
  <c r="Q652" i="2"/>
  <c r="Q653" i="2"/>
  <c r="Q654" i="2"/>
  <c r="Q655" i="2"/>
  <c r="Q656" i="2"/>
  <c r="Q657" i="2"/>
  <c r="Q658" i="2"/>
  <c r="Q659" i="2"/>
  <c r="Q660" i="2"/>
  <c r="Q661" i="2"/>
  <c r="Q662" i="2"/>
  <c r="Q663" i="2"/>
  <c r="Q664" i="2"/>
  <c r="Q665" i="2"/>
  <c r="Q666" i="2"/>
  <c r="Q667" i="2"/>
  <c r="Q668" i="2"/>
  <c r="Q669" i="2"/>
  <c r="Q670" i="2"/>
  <c r="Q671" i="2"/>
  <c r="Q672" i="2"/>
  <c r="Q673" i="2"/>
  <c r="Q674" i="2"/>
  <c r="Q675" i="2"/>
  <c r="Q676" i="2"/>
  <c r="Q677" i="2"/>
  <c r="Q678" i="2"/>
  <c r="Q679" i="2"/>
  <c r="Q680" i="2"/>
  <c r="Q681" i="2"/>
  <c r="Q682" i="2"/>
  <c r="Q683" i="2"/>
  <c r="Q684" i="2"/>
  <c r="Q685" i="2"/>
  <c r="Q686" i="2"/>
  <c r="Q687" i="2"/>
  <c r="Q688" i="2"/>
  <c r="Q689" i="2"/>
  <c r="Q690" i="2"/>
  <c r="Q691" i="2"/>
  <c r="Q692" i="2"/>
  <c r="Q693" i="2"/>
  <c r="Q694" i="2"/>
  <c r="Q695" i="2"/>
  <c r="Q696" i="2"/>
  <c r="Q697" i="2"/>
  <c r="Q698" i="2"/>
  <c r="Q699" i="2"/>
  <c r="Q700" i="2"/>
  <c r="Q701" i="2"/>
  <c r="Q702" i="2"/>
  <c r="Q703" i="2"/>
  <c r="Q704" i="2"/>
  <c r="Q705" i="2"/>
  <c r="Q706" i="2"/>
  <c r="Q707" i="2"/>
  <c r="Q708" i="2"/>
  <c r="Q709" i="2"/>
  <c r="Q710" i="2"/>
  <c r="Q711" i="2"/>
  <c r="Q712" i="2"/>
  <c r="Q713" i="2"/>
  <c r="Q714" i="2"/>
  <c r="Q715" i="2"/>
  <c r="Q716" i="2"/>
  <c r="Q717" i="2"/>
  <c r="Q718" i="2"/>
  <c r="Q719" i="2"/>
  <c r="Q720" i="2"/>
  <c r="Q721" i="2"/>
  <c r="Q722" i="2"/>
  <c r="Q723" i="2"/>
  <c r="Q724" i="2"/>
  <c r="Q725" i="2"/>
  <c r="Q726" i="2"/>
  <c r="Q727" i="2"/>
  <c r="Q728" i="2"/>
  <c r="Q729" i="2"/>
  <c r="Q730" i="2"/>
  <c r="Q731" i="2"/>
  <c r="Q732" i="2"/>
  <c r="Q733" i="2"/>
  <c r="Q734" i="2"/>
  <c r="Q735" i="2"/>
  <c r="Q736" i="2"/>
  <c r="Q737" i="2"/>
  <c r="Q738" i="2"/>
  <c r="Q739" i="2"/>
  <c r="Q740" i="2"/>
  <c r="Q741" i="2"/>
  <c r="Q742" i="2"/>
  <c r="Q743" i="2"/>
  <c r="Q744" i="2"/>
  <c r="Q745" i="2"/>
  <c r="Q746" i="2"/>
  <c r="Q747" i="2"/>
  <c r="Q748" i="2"/>
  <c r="Q749" i="2"/>
  <c r="Q750" i="2"/>
  <c r="Q751" i="2"/>
  <c r="Q752" i="2"/>
  <c r="Q753" i="2"/>
  <c r="Q754" i="2"/>
  <c r="Q755" i="2"/>
  <c r="Q756" i="2"/>
  <c r="Q757" i="2"/>
  <c r="Q758" i="2"/>
  <c r="Q759" i="2"/>
  <c r="Q760" i="2"/>
  <c r="Q761" i="2"/>
  <c r="Q762" i="2"/>
  <c r="Q763" i="2"/>
  <c r="Q764" i="2"/>
  <c r="Q765" i="2"/>
  <c r="Q766" i="2"/>
  <c r="Q767" i="2"/>
  <c r="Q768" i="2"/>
  <c r="Q769" i="2"/>
  <c r="Q770" i="2"/>
  <c r="Q771" i="2"/>
  <c r="Q772" i="2"/>
  <c r="Q773" i="2"/>
  <c r="Q774" i="2"/>
  <c r="Q775" i="2"/>
  <c r="Q776" i="2"/>
  <c r="Q777" i="2"/>
  <c r="Q778" i="2"/>
  <c r="Q779" i="2"/>
  <c r="Q780" i="2"/>
  <c r="Q781" i="2"/>
  <c r="Q782" i="2"/>
  <c r="Q783" i="2"/>
  <c r="Q784" i="2"/>
  <c r="Q785" i="2"/>
  <c r="Q786" i="2"/>
  <c r="Q787" i="2"/>
  <c r="Q788" i="2"/>
  <c r="Q789" i="2"/>
  <c r="Q790" i="2"/>
  <c r="Q791" i="2"/>
  <c r="Q792" i="2"/>
  <c r="Q793" i="2"/>
  <c r="Q794" i="2"/>
  <c r="Q795" i="2"/>
  <c r="Q796" i="2"/>
  <c r="Q797" i="2"/>
  <c r="Q798" i="2"/>
  <c r="Q799" i="2"/>
  <c r="Q800" i="2"/>
  <c r="Q801" i="2"/>
  <c r="Q802" i="2"/>
  <c r="Q803" i="2"/>
  <c r="Q804" i="2"/>
  <c r="Q805" i="2"/>
  <c r="Q806" i="2"/>
  <c r="Q807" i="2"/>
  <c r="Q808" i="2"/>
  <c r="Q809" i="2"/>
  <c r="Q810" i="2"/>
  <c r="Q811" i="2"/>
  <c r="Q812" i="2"/>
  <c r="Q813" i="2"/>
  <c r="Q814" i="2"/>
  <c r="Q815" i="2"/>
  <c r="Q816" i="2"/>
  <c r="Q817" i="2"/>
  <c r="Q818" i="2"/>
  <c r="Q819" i="2"/>
  <c r="Q820" i="2"/>
  <c r="Q821" i="2"/>
  <c r="Q822" i="2"/>
  <c r="Q823" i="2"/>
  <c r="Q824" i="2"/>
  <c r="Q825" i="2"/>
  <c r="Q826" i="2"/>
  <c r="Q827" i="2"/>
  <c r="Q828" i="2"/>
  <c r="Q829" i="2"/>
  <c r="Q830" i="2"/>
  <c r="Q831" i="2"/>
  <c r="Q832" i="2"/>
  <c r="Q833" i="2"/>
  <c r="Q834" i="2"/>
  <c r="Q835" i="2"/>
  <c r="Q836" i="2"/>
  <c r="Q837" i="2"/>
  <c r="Q838" i="2"/>
  <c r="Q839" i="2"/>
  <c r="Q840" i="2"/>
  <c r="Q841" i="2"/>
  <c r="Q842" i="2"/>
  <c r="Q843" i="2"/>
  <c r="Q844" i="2"/>
  <c r="Q845" i="2"/>
  <c r="Q846" i="2"/>
  <c r="Q847" i="2"/>
  <c r="Q848" i="2"/>
  <c r="Q849" i="2"/>
  <c r="Q850" i="2"/>
  <c r="Q851" i="2"/>
  <c r="Q852" i="2"/>
  <c r="Q853" i="2"/>
  <c r="Q854" i="2"/>
  <c r="Q855" i="2"/>
  <c r="Q856" i="2"/>
  <c r="Q857" i="2"/>
  <c r="Q858" i="2"/>
  <c r="Q859" i="2"/>
  <c r="Q860" i="2"/>
  <c r="Q861" i="2"/>
  <c r="Q862" i="2"/>
  <c r="Q863" i="2"/>
  <c r="Q864" i="2"/>
  <c r="Q865" i="2"/>
  <c r="Q866" i="2"/>
  <c r="Q867" i="2"/>
  <c r="Q868" i="2"/>
  <c r="Q869" i="2"/>
  <c r="Q870" i="2"/>
  <c r="Q871" i="2"/>
  <c r="Q872" i="2"/>
  <c r="Q873" i="2"/>
  <c r="Q874" i="2"/>
  <c r="Q875" i="2"/>
  <c r="Q876" i="2"/>
  <c r="Q877" i="2"/>
  <c r="Q878" i="2"/>
  <c r="Q879" i="2"/>
  <c r="Q880" i="2"/>
  <c r="Q881" i="2"/>
  <c r="Q882" i="2"/>
  <c r="Q883" i="2"/>
  <c r="Q884" i="2"/>
  <c r="Q885" i="2"/>
  <c r="Q886" i="2"/>
  <c r="Q887" i="2"/>
  <c r="Q888" i="2"/>
  <c r="Q889" i="2"/>
  <c r="Q890" i="2"/>
  <c r="Q891" i="2"/>
  <c r="Q892" i="2"/>
  <c r="Q893" i="2"/>
  <c r="Q894" i="2"/>
  <c r="Q895" i="2"/>
  <c r="Q896" i="2"/>
  <c r="Q897" i="2"/>
  <c r="Q898" i="2"/>
  <c r="Q899" i="2"/>
  <c r="Q900" i="2"/>
  <c r="Q901" i="2"/>
  <c r="Q902" i="2"/>
  <c r="Q903" i="2"/>
  <c r="Q904" i="2"/>
  <c r="Q905" i="2"/>
  <c r="Q906" i="2"/>
  <c r="Q907" i="2"/>
  <c r="Q908" i="2"/>
  <c r="Q909" i="2"/>
  <c r="Q910" i="2"/>
  <c r="Q911" i="2"/>
  <c r="Q912" i="2"/>
  <c r="Q913" i="2"/>
  <c r="Q914" i="2"/>
  <c r="Q915" i="2"/>
  <c r="Q916" i="2"/>
  <c r="Q917" i="2"/>
  <c r="Q918" i="2"/>
  <c r="Q919" i="2"/>
  <c r="Q920" i="2"/>
  <c r="Q921" i="2"/>
  <c r="Q922" i="2"/>
  <c r="Q923" i="2"/>
  <c r="Q924" i="2"/>
  <c r="Q925" i="2"/>
  <c r="Q926" i="2"/>
  <c r="Q927" i="2"/>
  <c r="Q928" i="2"/>
  <c r="Q929" i="2"/>
  <c r="Q930" i="2"/>
  <c r="Q931" i="2"/>
  <c r="Q932" i="2"/>
  <c r="Q933" i="2"/>
  <c r="Q934" i="2"/>
  <c r="Q935" i="2"/>
  <c r="Q936" i="2"/>
  <c r="Q937" i="2"/>
  <c r="Q938" i="2"/>
  <c r="Q939" i="2"/>
  <c r="Q940" i="2"/>
  <c r="Q941" i="2"/>
  <c r="Q942" i="2"/>
  <c r="Q943" i="2"/>
  <c r="Q944" i="2"/>
  <c r="Q945" i="2"/>
  <c r="Q946" i="2"/>
  <c r="Q947" i="2"/>
  <c r="Q948" i="2"/>
  <c r="Q949" i="2"/>
  <c r="Q950" i="2"/>
  <c r="Q951" i="2"/>
  <c r="Q952" i="2"/>
  <c r="Q953" i="2"/>
  <c r="Q954" i="2"/>
  <c r="Q955" i="2"/>
  <c r="Q956" i="2"/>
  <c r="Q957" i="2"/>
  <c r="Q958" i="2"/>
  <c r="Q959" i="2"/>
  <c r="Q960" i="2"/>
  <c r="Q961" i="2"/>
  <c r="Q962" i="2"/>
  <c r="Q963" i="2"/>
  <c r="Q964" i="2"/>
  <c r="Q965" i="2"/>
  <c r="Q966" i="2"/>
  <c r="Q967" i="2"/>
  <c r="Q968" i="2"/>
  <c r="Q969" i="2"/>
  <c r="Q970" i="2"/>
  <c r="Q971" i="2"/>
  <c r="Q972" i="2"/>
  <c r="Q973" i="2"/>
  <c r="Q974" i="2"/>
  <c r="Q975" i="2"/>
  <c r="Q976" i="2"/>
  <c r="Q977" i="2"/>
  <c r="Q978" i="2"/>
  <c r="Q979" i="2"/>
  <c r="Q980" i="2"/>
  <c r="Q981" i="2"/>
  <c r="Q982" i="2"/>
  <c r="Q983" i="2"/>
  <c r="Q984" i="2"/>
  <c r="Q985" i="2"/>
  <c r="Q986" i="2"/>
  <c r="Q987" i="2"/>
  <c r="Q988" i="2"/>
  <c r="Q989" i="2"/>
  <c r="Q990" i="2"/>
  <c r="Q991" i="2"/>
  <c r="Q2" i="2"/>
  <c r="Q3" i="10"/>
  <c r="Q4" i="10"/>
  <c r="Q5" i="10"/>
  <c r="Q6" i="10"/>
  <c r="Q7" i="10"/>
  <c r="Q8" i="10"/>
  <c r="Q9" i="10"/>
  <c r="Q10" i="10"/>
  <c r="Q11" i="10"/>
  <c r="Q12" i="10"/>
  <c r="Q13" i="10"/>
  <c r="Q14" i="10"/>
  <c r="Q15" i="10"/>
  <c r="Q16" i="10"/>
  <c r="Q17" i="10"/>
  <c r="Q18" i="10"/>
  <c r="Q19" i="10"/>
  <c r="Q20" i="10"/>
  <c r="Q21" i="10"/>
  <c r="Q22" i="10"/>
  <c r="Q23" i="10"/>
  <c r="Q24" i="10"/>
  <c r="Q25" i="10"/>
  <c r="Q26" i="10"/>
  <c r="Q27" i="10"/>
  <c r="Q28" i="10"/>
  <c r="Q29" i="10"/>
  <c r="Q30" i="10"/>
  <c r="Q31" i="10"/>
  <c r="Q32" i="10"/>
  <c r="Q33" i="10"/>
  <c r="Q34" i="10"/>
  <c r="Q35" i="10"/>
  <c r="Q36" i="10"/>
  <c r="Q37" i="10"/>
  <c r="Q38" i="10"/>
  <c r="Q39" i="10"/>
  <c r="Q40" i="10"/>
  <c r="Q41" i="10"/>
  <c r="Q42" i="10"/>
  <c r="Q43" i="10"/>
  <c r="Q44" i="10"/>
  <c r="Q45" i="10"/>
  <c r="Q46" i="10"/>
  <c r="Q47" i="10"/>
  <c r="Q48" i="10"/>
  <c r="Q49" i="10"/>
  <c r="Q50" i="10"/>
  <c r="Q51" i="10"/>
  <c r="Q52" i="10"/>
  <c r="Q53" i="10"/>
  <c r="Q54" i="10"/>
  <c r="Q55" i="10"/>
  <c r="Q56" i="10"/>
  <c r="Q57" i="10"/>
  <c r="Q58" i="10"/>
  <c r="Q59" i="10"/>
  <c r="Q60" i="10"/>
  <c r="Q61" i="10"/>
  <c r="Q62" i="10"/>
  <c r="Q63" i="10"/>
  <c r="Q64" i="10"/>
  <c r="Q65" i="10"/>
  <c r="Q66" i="10"/>
  <c r="Q67" i="10"/>
  <c r="Q68" i="10"/>
  <c r="Q69" i="10"/>
  <c r="Q70" i="10"/>
  <c r="Q71" i="10"/>
  <c r="Q72" i="10"/>
  <c r="Q73" i="10"/>
  <c r="Q74" i="10"/>
  <c r="Q75" i="10"/>
  <c r="Q76" i="10"/>
  <c r="Q77" i="10"/>
  <c r="Q78" i="10"/>
  <c r="Q79" i="10"/>
  <c r="Q80" i="10"/>
  <c r="Q81" i="10"/>
  <c r="Q82" i="10"/>
  <c r="Q83" i="10"/>
  <c r="Q84" i="10"/>
  <c r="Q85" i="10"/>
  <c r="Q86" i="10"/>
  <c r="Q87" i="10"/>
  <c r="Q88" i="10"/>
  <c r="Q89" i="10"/>
  <c r="Q90" i="10"/>
  <c r="Q91" i="10"/>
  <c r="Q92" i="10"/>
  <c r="Q93" i="10"/>
  <c r="Q94" i="10"/>
  <c r="Q95" i="10"/>
  <c r="Q96" i="10"/>
  <c r="Q97" i="10"/>
  <c r="Q98" i="10"/>
  <c r="Q99" i="10"/>
  <c r="Q100" i="10"/>
  <c r="Q101" i="10"/>
  <c r="Q102" i="10"/>
  <c r="Q103" i="10"/>
  <c r="Q104" i="10"/>
  <c r="Q105" i="10"/>
  <c r="Q106" i="10"/>
  <c r="Q107" i="10"/>
  <c r="Q108" i="10"/>
  <c r="Q109" i="10"/>
  <c r="Q110" i="10"/>
  <c r="Q111" i="10"/>
  <c r="Q112" i="10"/>
  <c r="Q113" i="10"/>
  <c r="Q114" i="10"/>
  <c r="Q115" i="10"/>
  <c r="Q116" i="10"/>
  <c r="Q117" i="10"/>
  <c r="Q118" i="10"/>
  <c r="Q119" i="10"/>
  <c r="Q120" i="10"/>
  <c r="Q121" i="10"/>
  <c r="Q122" i="10"/>
  <c r="Q123" i="10"/>
  <c r="Q124" i="10"/>
  <c r="Q125" i="10"/>
  <c r="Q126" i="10"/>
  <c r="Q127" i="10"/>
  <c r="Q128" i="10"/>
  <c r="Q129" i="10"/>
  <c r="Q130" i="10"/>
  <c r="Q131" i="10"/>
  <c r="Q132" i="10"/>
  <c r="Q133" i="10"/>
  <c r="Q134" i="10"/>
  <c r="Q135" i="10"/>
  <c r="Q136" i="10"/>
  <c r="Q137" i="10"/>
  <c r="Q138" i="10"/>
  <c r="Q139" i="10"/>
  <c r="Q140" i="10"/>
  <c r="Q141" i="10"/>
  <c r="Q142" i="10"/>
  <c r="Q143" i="10"/>
  <c r="Q144" i="10"/>
  <c r="Q145" i="10"/>
  <c r="Q146" i="10"/>
  <c r="Q147" i="10"/>
  <c r="Q148" i="10"/>
  <c r="Q149" i="10"/>
  <c r="Q150" i="10"/>
  <c r="Q151" i="10"/>
  <c r="Q152" i="10"/>
  <c r="Q153" i="10"/>
  <c r="Q154" i="10"/>
  <c r="Q155" i="10"/>
  <c r="Q156" i="10"/>
  <c r="Q157" i="10"/>
  <c r="Q158" i="10"/>
  <c r="Q159" i="10"/>
  <c r="Q160" i="10"/>
  <c r="Q161" i="10"/>
  <c r="Q162" i="10"/>
  <c r="Q163" i="10"/>
  <c r="Q164" i="10"/>
  <c r="Q165" i="10"/>
  <c r="Q166" i="10"/>
  <c r="Q167" i="10"/>
  <c r="Q168" i="10"/>
  <c r="Q169" i="10"/>
  <c r="Q170" i="10"/>
  <c r="Q171" i="10"/>
  <c r="Q172" i="10"/>
  <c r="Q173" i="10"/>
  <c r="Q174" i="10"/>
  <c r="Q175" i="10"/>
  <c r="Q176" i="10"/>
  <c r="Q177" i="10"/>
  <c r="Q178" i="10"/>
  <c r="Q179" i="10"/>
  <c r="Q180" i="10"/>
  <c r="Q181" i="10"/>
  <c r="Q182" i="10"/>
  <c r="Q183" i="10"/>
  <c r="Q184" i="10"/>
  <c r="Q185" i="10"/>
  <c r="Q186" i="10"/>
  <c r="Q187" i="10"/>
  <c r="Q188" i="10"/>
  <c r="Q189" i="10"/>
  <c r="Q190" i="10"/>
  <c r="Q191" i="10"/>
  <c r="Q192" i="10"/>
  <c r="Q193" i="10"/>
  <c r="Q194" i="10"/>
  <c r="Q195" i="10"/>
  <c r="Q196" i="10"/>
  <c r="Q197" i="10"/>
  <c r="Q198" i="10"/>
  <c r="Q199" i="10"/>
  <c r="Q200" i="10"/>
  <c r="Q201" i="10"/>
  <c r="Q202" i="10"/>
  <c r="Q203" i="10"/>
  <c r="Q204" i="10"/>
  <c r="Q205" i="10"/>
  <c r="Q206" i="10"/>
  <c r="Q207" i="10"/>
  <c r="Q208" i="10"/>
  <c r="Q209" i="10"/>
  <c r="Q210" i="10"/>
  <c r="Q211" i="10"/>
  <c r="Q212" i="10"/>
  <c r="Q213" i="10"/>
  <c r="Q214" i="10"/>
  <c r="Q215" i="10"/>
  <c r="Q216" i="10"/>
  <c r="Q217" i="10"/>
  <c r="Q218" i="10"/>
  <c r="Q219" i="10"/>
  <c r="Q220" i="10"/>
  <c r="Q221" i="10"/>
  <c r="Q222" i="10"/>
  <c r="Q223" i="10"/>
  <c r="Q224" i="10"/>
  <c r="Q225" i="10"/>
  <c r="Q226" i="10"/>
  <c r="Q227" i="10"/>
  <c r="Q228" i="10"/>
  <c r="Q229" i="10"/>
  <c r="Q230" i="10"/>
  <c r="Q231" i="10"/>
  <c r="Q232" i="10"/>
  <c r="Q233" i="10"/>
  <c r="Q234" i="10"/>
  <c r="Q235" i="10"/>
  <c r="Q236" i="10"/>
  <c r="Q237" i="10"/>
  <c r="Q238" i="10"/>
  <c r="Q239" i="10"/>
  <c r="Q240" i="10"/>
  <c r="Q241" i="10"/>
  <c r="Q242" i="10"/>
  <c r="Q243" i="10"/>
  <c r="Q244" i="10"/>
  <c r="Q245" i="10"/>
  <c r="Q246" i="10"/>
  <c r="Q247" i="10"/>
  <c r="Q248" i="10"/>
  <c r="Q249" i="10"/>
  <c r="Q250" i="10"/>
  <c r="Q251" i="10"/>
  <c r="Q252" i="10"/>
  <c r="Q253" i="10"/>
  <c r="Q254" i="10"/>
  <c r="Q255" i="10"/>
  <c r="Q256" i="10"/>
  <c r="Q257" i="10"/>
  <c r="Q258" i="10"/>
  <c r="Q259" i="10"/>
  <c r="Q260" i="10"/>
  <c r="Q261" i="10"/>
  <c r="Q262" i="10"/>
  <c r="Q263" i="10"/>
  <c r="Q264" i="10"/>
  <c r="Q265" i="10"/>
  <c r="Q266" i="10"/>
  <c r="Q267" i="10"/>
  <c r="Q268" i="10"/>
  <c r="Q269" i="10"/>
  <c r="Q270" i="10"/>
  <c r="Q271" i="10"/>
  <c r="Q272" i="10"/>
  <c r="Q273" i="10"/>
  <c r="Q274" i="10"/>
  <c r="Q275" i="10"/>
  <c r="Q276" i="10"/>
  <c r="Q277" i="10"/>
  <c r="Q278" i="10"/>
  <c r="Q279" i="10"/>
  <c r="Q280" i="10"/>
  <c r="Q281" i="10"/>
  <c r="Q282" i="10"/>
  <c r="Q283" i="10"/>
  <c r="Q284" i="10"/>
  <c r="Q285" i="10"/>
  <c r="Q286" i="10"/>
  <c r="Q287" i="10"/>
  <c r="Q288" i="10"/>
  <c r="Q289" i="10"/>
  <c r="Q290" i="10"/>
  <c r="Q291" i="10"/>
  <c r="Q292" i="10"/>
  <c r="Q293" i="10"/>
  <c r="Q294" i="10"/>
  <c r="Q295" i="10"/>
  <c r="Q296" i="10"/>
  <c r="Q297" i="10"/>
  <c r="Q298" i="10"/>
  <c r="Q299" i="10"/>
  <c r="Q300" i="10"/>
  <c r="Q301" i="10"/>
  <c r="Q302" i="10"/>
  <c r="Q303" i="10"/>
  <c r="Q304" i="10"/>
  <c r="Q305" i="10"/>
  <c r="Q306" i="10"/>
  <c r="Q307" i="10"/>
  <c r="Q308" i="10"/>
  <c r="Q309" i="10"/>
  <c r="Q310" i="10"/>
  <c r="Q311" i="10"/>
  <c r="Q312" i="10"/>
  <c r="Q313" i="10"/>
  <c r="Q314" i="10"/>
  <c r="Q315" i="10"/>
  <c r="Q316" i="10"/>
  <c r="Q317" i="10"/>
  <c r="Q318" i="10"/>
  <c r="Q319" i="10"/>
  <c r="Q320" i="10"/>
  <c r="Q321" i="10"/>
  <c r="Q322" i="10"/>
  <c r="Q323" i="10"/>
  <c r="Q324" i="10"/>
  <c r="Q325" i="10"/>
  <c r="Q326" i="10"/>
  <c r="Q327" i="10"/>
  <c r="Q328" i="10"/>
  <c r="Q329" i="10"/>
  <c r="Q330" i="10"/>
  <c r="Q331" i="10"/>
  <c r="Q332" i="10"/>
  <c r="Q333" i="10"/>
  <c r="Q334" i="10"/>
  <c r="Q335" i="10"/>
  <c r="Q336" i="10"/>
  <c r="Q337" i="10"/>
  <c r="Q338" i="10"/>
  <c r="Q339" i="10"/>
  <c r="Q340" i="10"/>
  <c r="Q341" i="10"/>
  <c r="Q342" i="10"/>
  <c r="Q343" i="10"/>
  <c r="Q344" i="10"/>
  <c r="Q345" i="10"/>
  <c r="Q346" i="10"/>
  <c r="Q347" i="10"/>
  <c r="Q348" i="10"/>
  <c r="Q349" i="10"/>
  <c r="Q350" i="10"/>
  <c r="Q351" i="10"/>
  <c r="Q352" i="10"/>
  <c r="Q353" i="10"/>
  <c r="Q354" i="10"/>
  <c r="Q355" i="10"/>
  <c r="Q356" i="10"/>
  <c r="Q357" i="10"/>
  <c r="Q358" i="10"/>
  <c r="Q359" i="10"/>
  <c r="Q360" i="10"/>
  <c r="Q361" i="10"/>
  <c r="Q362" i="10"/>
  <c r="Q363" i="10"/>
  <c r="Q364" i="10"/>
  <c r="Q365" i="10"/>
  <c r="Q366" i="10"/>
  <c r="Q367" i="10"/>
  <c r="Q368" i="10"/>
  <c r="Q369" i="10"/>
  <c r="Q370" i="10"/>
  <c r="Q371" i="10"/>
  <c r="Q372" i="10"/>
  <c r="Q373" i="10"/>
  <c r="Q374" i="10"/>
  <c r="Q375" i="10"/>
  <c r="Q376" i="10"/>
  <c r="Q377" i="10"/>
  <c r="Q378" i="10"/>
  <c r="Q379" i="10"/>
  <c r="Q380" i="10"/>
  <c r="Q381" i="10"/>
  <c r="Q382" i="10"/>
  <c r="Q383" i="10"/>
  <c r="Q384" i="10"/>
  <c r="Q385" i="10"/>
  <c r="Q386" i="10"/>
  <c r="Q387" i="10"/>
  <c r="Q388" i="10"/>
  <c r="Q389" i="10"/>
  <c r="Q390" i="10"/>
  <c r="Q391" i="10"/>
  <c r="Q392" i="10"/>
  <c r="Q393" i="10"/>
  <c r="Q394" i="10"/>
  <c r="Q395" i="10"/>
  <c r="Q396" i="10"/>
  <c r="Q397" i="10"/>
  <c r="Q398" i="10"/>
  <c r="Q399" i="10"/>
  <c r="Q400" i="10"/>
  <c r="Q401" i="10"/>
  <c r="Q402" i="10"/>
  <c r="Q403" i="10"/>
  <c r="Q404" i="10"/>
  <c r="Q405" i="10"/>
  <c r="Q406" i="10"/>
  <c r="Q407" i="10"/>
  <c r="Q408" i="10"/>
  <c r="Q409" i="10"/>
  <c r="Q410" i="10"/>
  <c r="Q411" i="10"/>
  <c r="Q412" i="10"/>
  <c r="Q413" i="10"/>
  <c r="Q414" i="10"/>
  <c r="Q415" i="10"/>
  <c r="Q416" i="10"/>
  <c r="Q417" i="10"/>
  <c r="Q418" i="10"/>
  <c r="Q419" i="10"/>
  <c r="Q420" i="10"/>
  <c r="Q421" i="10"/>
  <c r="Q422" i="10"/>
  <c r="Q423" i="10"/>
  <c r="Q424" i="10"/>
  <c r="Q425" i="10"/>
  <c r="Q426" i="10"/>
  <c r="Q427" i="10"/>
  <c r="Q428" i="10"/>
  <c r="Q429" i="10"/>
  <c r="Q430" i="10"/>
  <c r="Q431" i="10"/>
  <c r="Q432" i="10"/>
  <c r="Q433" i="10"/>
  <c r="Q434" i="10"/>
  <c r="Q435" i="10"/>
  <c r="Q436" i="10"/>
  <c r="Q437" i="10"/>
  <c r="Q438" i="10"/>
  <c r="Q439" i="10"/>
  <c r="Q440" i="10"/>
  <c r="Q441" i="10"/>
  <c r="Q442" i="10"/>
  <c r="Q443" i="10"/>
  <c r="Q444" i="10"/>
  <c r="Q445" i="10"/>
  <c r="Q446" i="10"/>
  <c r="Q447" i="10"/>
  <c r="Q448" i="10"/>
  <c r="Q449" i="10"/>
  <c r="Q450" i="10"/>
  <c r="Q451" i="10"/>
  <c r="Q452" i="10"/>
  <c r="Q453" i="10"/>
  <c r="Q454" i="10"/>
  <c r="Q455" i="10"/>
  <c r="Q456" i="10"/>
  <c r="Q457" i="10"/>
  <c r="Q458" i="10"/>
  <c r="Q459" i="10"/>
  <c r="Q460" i="10"/>
  <c r="Q461" i="10"/>
  <c r="Q462" i="10"/>
  <c r="Q463" i="10"/>
  <c r="Q464" i="10"/>
  <c r="Q465" i="10"/>
  <c r="Q466" i="10"/>
  <c r="Q467" i="10"/>
  <c r="Q468" i="10"/>
  <c r="Q469" i="10"/>
  <c r="Q470" i="10"/>
  <c r="Q471" i="10"/>
  <c r="Q472" i="10"/>
  <c r="Q473" i="10"/>
  <c r="Q474" i="10"/>
  <c r="Q475" i="10"/>
  <c r="Q476" i="10"/>
  <c r="Q477" i="10"/>
  <c r="Q478" i="10"/>
  <c r="Q479" i="10"/>
  <c r="Q480" i="10"/>
  <c r="Q481" i="10"/>
  <c r="Q482" i="10"/>
  <c r="Q483" i="10"/>
  <c r="Q484" i="10"/>
  <c r="Q485" i="10"/>
  <c r="Q486" i="10"/>
  <c r="Q487" i="10"/>
  <c r="Q488" i="10"/>
  <c r="Q489" i="10"/>
  <c r="Q490" i="10"/>
  <c r="Q491" i="10"/>
  <c r="Q492" i="10"/>
  <c r="Q493" i="10"/>
  <c r="Q494" i="10"/>
  <c r="Q495" i="10"/>
  <c r="Q496" i="10"/>
  <c r="Q497" i="10"/>
  <c r="Q498" i="10"/>
  <c r="Q499" i="10"/>
  <c r="Q500" i="10"/>
  <c r="Q501" i="10"/>
  <c r="Q502" i="10"/>
  <c r="Q503" i="10"/>
  <c r="Q504" i="10"/>
  <c r="Q505" i="10"/>
  <c r="Q506" i="10"/>
  <c r="Q507" i="10"/>
  <c r="Q508" i="10"/>
  <c r="Q509" i="10"/>
  <c r="Q510" i="10"/>
  <c r="Q511" i="10"/>
  <c r="Q512" i="10"/>
  <c r="Q513" i="10"/>
  <c r="Q514" i="10"/>
  <c r="Q515" i="10"/>
  <c r="Q516" i="10"/>
  <c r="Q517" i="10"/>
  <c r="Q518" i="10"/>
  <c r="Q519" i="10"/>
  <c r="Q520" i="10"/>
  <c r="Q521" i="10"/>
  <c r="Q522" i="10"/>
  <c r="Q523" i="10"/>
  <c r="Q524" i="10"/>
  <c r="Q525" i="10"/>
  <c r="Q526" i="10"/>
  <c r="Q527" i="10"/>
  <c r="Q528" i="10"/>
  <c r="Q529" i="10"/>
  <c r="Q530" i="10"/>
  <c r="Q531" i="10"/>
  <c r="Q532" i="10"/>
  <c r="Q533" i="10"/>
  <c r="Q534" i="10"/>
  <c r="Q535" i="10"/>
  <c r="Q536" i="10"/>
  <c r="Q537" i="10"/>
  <c r="Q538" i="10"/>
  <c r="Q539" i="10"/>
  <c r="Q540" i="10"/>
  <c r="Q541" i="10"/>
  <c r="Q542" i="10"/>
  <c r="Q543" i="10"/>
  <c r="Q544" i="10"/>
  <c r="Q545" i="10"/>
  <c r="Q546" i="10"/>
  <c r="Q547" i="10"/>
  <c r="Q548" i="10"/>
  <c r="Q549" i="10"/>
  <c r="Q550" i="10"/>
  <c r="Q551" i="10"/>
  <c r="Q552" i="10"/>
  <c r="Q553" i="10"/>
  <c r="Q554" i="10"/>
  <c r="Q555" i="10"/>
  <c r="Q556" i="10"/>
  <c r="Q557" i="10"/>
  <c r="Q558" i="10"/>
  <c r="Q559" i="10"/>
  <c r="Q560" i="10"/>
  <c r="Q561" i="10"/>
  <c r="Q562" i="10"/>
  <c r="Q563" i="10"/>
  <c r="Q564" i="10"/>
  <c r="Q565" i="10"/>
  <c r="Q566" i="10"/>
  <c r="Q567" i="10"/>
  <c r="Q568" i="10"/>
  <c r="Q569" i="10"/>
  <c r="Q570" i="10"/>
  <c r="Q571" i="10"/>
  <c r="Q572" i="10"/>
  <c r="Q573" i="10"/>
  <c r="Q574" i="10"/>
  <c r="Q575" i="10"/>
  <c r="Q576" i="10"/>
  <c r="Q577" i="10"/>
  <c r="Q578" i="10"/>
  <c r="Q579" i="10"/>
  <c r="Q580" i="10"/>
  <c r="Q581" i="10"/>
  <c r="Q582" i="10"/>
  <c r="Q583" i="10"/>
  <c r="Q584" i="10"/>
  <c r="Q585" i="10"/>
  <c r="Q586" i="10"/>
  <c r="Q587" i="10"/>
  <c r="Q588" i="10"/>
  <c r="Q589" i="10"/>
  <c r="Q590" i="10"/>
  <c r="Q591" i="10"/>
  <c r="Q592" i="10"/>
  <c r="Q593" i="10"/>
  <c r="Q594" i="10"/>
  <c r="Q595" i="10"/>
  <c r="Q596" i="10"/>
  <c r="Q597" i="10"/>
  <c r="Q598" i="10"/>
  <c r="Q599" i="10"/>
  <c r="Q600" i="10"/>
  <c r="Q601" i="10"/>
  <c r="Q602" i="10"/>
  <c r="Q603" i="10"/>
  <c r="Q604" i="10"/>
  <c r="Q605" i="10"/>
  <c r="Q606" i="10"/>
  <c r="Q607" i="10"/>
  <c r="Q608" i="10"/>
  <c r="Q609" i="10"/>
  <c r="Q610" i="10"/>
  <c r="Q611" i="10"/>
  <c r="Q612" i="10"/>
  <c r="Q613" i="10"/>
  <c r="Q614" i="10"/>
  <c r="Q615" i="10"/>
  <c r="Q616" i="10"/>
  <c r="Q617" i="10"/>
  <c r="Q618" i="10"/>
  <c r="Q619" i="10"/>
  <c r="Q620" i="10"/>
  <c r="Q621" i="10"/>
  <c r="Q622" i="10"/>
  <c r="Q623" i="10"/>
  <c r="Q624" i="10"/>
  <c r="Q625" i="10"/>
  <c r="Q626" i="10"/>
  <c r="Q627" i="10"/>
  <c r="Q628" i="10"/>
  <c r="Q629" i="10"/>
  <c r="Q630" i="10"/>
  <c r="Q631" i="10"/>
  <c r="Q632" i="10"/>
  <c r="Q633" i="10"/>
  <c r="Q634" i="10"/>
  <c r="Q635" i="10"/>
  <c r="Q636" i="10"/>
  <c r="Q637" i="10"/>
  <c r="Q638" i="10"/>
  <c r="Q639" i="10"/>
  <c r="Q640" i="10"/>
  <c r="Q641" i="10"/>
  <c r="Q642" i="10"/>
  <c r="Q643" i="10"/>
  <c r="Q644" i="10"/>
  <c r="Q645" i="10"/>
  <c r="Q646" i="10"/>
  <c r="Q647" i="10"/>
  <c r="Q648" i="10"/>
  <c r="Q649" i="10"/>
  <c r="Q650" i="10"/>
  <c r="Q651" i="10"/>
  <c r="Q652" i="10"/>
  <c r="Q653" i="10"/>
  <c r="Q654" i="10"/>
  <c r="Q655" i="10"/>
  <c r="Q656" i="10"/>
  <c r="Q657" i="10"/>
  <c r="Q658" i="10"/>
  <c r="Q659" i="10"/>
  <c r="Q660" i="10"/>
  <c r="Q661" i="10"/>
  <c r="Q662" i="10"/>
  <c r="Q663" i="10"/>
  <c r="Q664" i="10"/>
  <c r="Q665" i="10"/>
  <c r="Q666" i="10"/>
  <c r="Q667" i="10"/>
  <c r="Q668" i="10"/>
  <c r="Q669" i="10"/>
  <c r="Q670" i="10"/>
  <c r="Q671" i="10"/>
  <c r="Q672" i="10"/>
  <c r="Q673" i="10"/>
  <c r="Q674" i="10"/>
  <c r="Q675" i="10"/>
  <c r="Q676" i="10"/>
  <c r="Q677" i="10"/>
  <c r="Q678" i="10"/>
  <c r="Q679" i="10"/>
  <c r="Q680" i="10"/>
  <c r="Q681" i="10"/>
  <c r="Q682" i="10"/>
  <c r="Q683" i="10"/>
  <c r="Q684" i="10"/>
  <c r="Q685" i="10"/>
  <c r="Q686" i="10"/>
  <c r="Q687" i="10"/>
  <c r="Q688" i="10"/>
  <c r="Q689" i="10"/>
  <c r="Q690" i="10"/>
  <c r="Q691" i="10"/>
  <c r="Q692" i="10"/>
  <c r="Q693" i="10"/>
  <c r="Q694" i="10"/>
  <c r="Q695" i="10"/>
  <c r="Q696" i="10"/>
  <c r="Q697" i="10"/>
  <c r="Q698" i="10"/>
  <c r="Q699" i="10"/>
  <c r="Q700" i="10"/>
  <c r="Q701" i="10"/>
  <c r="Q702" i="10"/>
  <c r="Q703" i="10"/>
  <c r="Q704" i="10"/>
  <c r="Q705" i="10"/>
  <c r="Q706" i="10"/>
  <c r="Q707" i="10"/>
  <c r="Q708" i="10"/>
  <c r="Q709" i="10"/>
  <c r="Q710" i="10"/>
  <c r="Q711" i="10"/>
  <c r="Q712" i="10"/>
  <c r="Q713" i="10"/>
  <c r="Q714" i="10"/>
  <c r="Q715" i="10"/>
  <c r="Q716" i="10"/>
  <c r="Q717" i="10"/>
  <c r="Q718" i="10"/>
  <c r="Q719" i="10"/>
  <c r="Q720" i="10"/>
  <c r="Q721" i="10"/>
  <c r="Q722" i="10"/>
  <c r="Q723" i="10"/>
  <c r="Q724" i="10"/>
  <c r="Q725" i="10"/>
  <c r="Q726" i="10"/>
  <c r="Q727" i="10"/>
  <c r="Q728" i="10"/>
  <c r="Q729" i="10"/>
  <c r="Q730" i="10"/>
  <c r="Q731" i="10"/>
  <c r="Q732" i="10"/>
  <c r="Q733" i="10"/>
  <c r="Q734" i="10"/>
  <c r="Q735" i="10"/>
  <c r="Q736" i="10"/>
  <c r="Q737" i="10"/>
  <c r="Q738" i="10"/>
  <c r="Q739" i="10"/>
  <c r="Q740" i="10"/>
  <c r="Q741" i="10"/>
  <c r="Q742" i="10"/>
  <c r="Q743" i="10"/>
  <c r="Q744" i="10"/>
  <c r="Q745" i="10"/>
  <c r="Q746" i="10"/>
  <c r="Q747" i="10"/>
  <c r="Q748" i="10"/>
  <c r="Q749" i="10"/>
  <c r="Q750" i="10"/>
  <c r="Q751" i="10"/>
  <c r="Q752" i="10"/>
  <c r="Q753" i="10"/>
  <c r="Q754" i="10"/>
  <c r="Q755" i="10"/>
  <c r="Q756" i="10"/>
  <c r="Q757" i="10"/>
  <c r="Q758" i="10"/>
  <c r="Q759" i="10"/>
  <c r="Q760" i="10"/>
  <c r="Q761" i="10"/>
  <c r="Q762" i="10"/>
  <c r="Q763" i="10"/>
  <c r="Q764" i="10"/>
  <c r="Q765" i="10"/>
  <c r="Q766" i="10"/>
  <c r="Q767" i="10"/>
  <c r="Q768" i="10"/>
  <c r="Q769" i="10"/>
  <c r="Q770" i="10"/>
  <c r="Q771" i="10"/>
  <c r="Q772" i="10"/>
  <c r="Q773" i="10"/>
  <c r="Q774" i="10"/>
  <c r="Q775" i="10"/>
  <c r="Q776" i="10"/>
  <c r="Q777" i="10"/>
  <c r="Q778" i="10"/>
  <c r="Q779" i="10"/>
  <c r="Q780" i="10"/>
  <c r="Q781" i="10"/>
  <c r="Q782" i="10"/>
  <c r="Q783" i="10"/>
  <c r="Q784" i="10"/>
  <c r="Q785" i="10"/>
  <c r="Q786" i="10"/>
  <c r="Q787" i="10"/>
  <c r="Q788" i="10"/>
  <c r="Q2" i="10"/>
  <c r="Q3" i="9"/>
  <c r="Q4" i="9"/>
  <c r="Q5" i="9"/>
  <c r="Q6" i="9"/>
  <c r="Q7" i="9"/>
  <c r="Q8" i="9"/>
  <c r="Q9" i="9"/>
  <c r="Q10" i="9"/>
  <c r="Q11" i="9"/>
  <c r="Q12" i="9"/>
  <c r="Q13" i="9"/>
  <c r="Q14" i="9"/>
  <c r="Q15" i="9"/>
  <c r="Q16" i="9"/>
  <c r="Q17" i="9"/>
  <c r="Q18" i="9"/>
  <c r="Q19" i="9"/>
  <c r="Q20" i="9"/>
  <c r="Q21" i="9"/>
  <c r="Q22" i="9"/>
  <c r="Q23" i="9"/>
  <c r="Q24" i="9"/>
  <c r="Q25" i="9"/>
  <c r="Q26" i="9"/>
  <c r="Q27" i="9"/>
  <c r="Q28" i="9"/>
  <c r="Q29" i="9"/>
  <c r="Q30" i="9"/>
  <c r="Q31" i="9"/>
  <c r="Q32" i="9"/>
  <c r="Q33" i="9"/>
  <c r="Q34" i="9"/>
  <c r="Q35" i="9"/>
  <c r="Q36" i="9"/>
  <c r="Q37" i="9"/>
  <c r="Q38" i="9"/>
  <c r="Q39" i="9"/>
  <c r="Q40" i="9"/>
  <c r="Q41" i="9"/>
  <c r="Q42" i="9"/>
  <c r="Q43" i="9"/>
  <c r="Q44" i="9"/>
  <c r="Q45" i="9"/>
  <c r="Q46" i="9"/>
  <c r="Q47" i="9"/>
  <c r="Q48" i="9"/>
  <c r="Q49" i="9"/>
  <c r="Q50" i="9"/>
  <c r="Q51" i="9"/>
  <c r="Q52" i="9"/>
  <c r="Q53" i="9"/>
  <c r="Q54" i="9"/>
  <c r="Q55" i="9"/>
  <c r="Q56" i="9"/>
  <c r="Q57" i="9"/>
  <c r="Q58" i="9"/>
  <c r="Q59" i="9"/>
  <c r="Q60" i="9"/>
  <c r="Q61" i="9"/>
  <c r="Q62" i="9"/>
  <c r="Q63" i="9"/>
  <c r="Q64" i="9"/>
  <c r="Q65" i="9"/>
  <c r="Q66" i="9"/>
  <c r="Q67" i="9"/>
  <c r="Q68" i="9"/>
  <c r="Q69" i="9"/>
  <c r="Q70" i="9"/>
  <c r="Q71" i="9"/>
  <c r="Q72" i="9"/>
  <c r="Q73" i="9"/>
  <c r="Q74" i="9"/>
  <c r="Q75" i="9"/>
  <c r="Q76" i="9"/>
  <c r="Q77" i="9"/>
  <c r="Q78" i="9"/>
  <c r="Q79" i="9"/>
  <c r="Q80" i="9"/>
  <c r="Q81" i="9"/>
  <c r="Q82" i="9"/>
  <c r="Q83" i="9"/>
  <c r="Q84" i="9"/>
  <c r="Q85" i="9"/>
  <c r="Q86" i="9"/>
  <c r="Q87" i="9"/>
  <c r="Q88" i="9"/>
  <c r="Q89" i="9"/>
  <c r="Q90" i="9"/>
  <c r="Q91" i="9"/>
  <c r="Q92" i="9"/>
  <c r="Q93" i="9"/>
  <c r="Q94" i="9"/>
  <c r="Q95" i="9"/>
  <c r="Q96" i="9"/>
  <c r="Q97" i="9"/>
  <c r="Q98" i="9"/>
  <c r="Q99" i="9"/>
  <c r="Q100" i="9"/>
  <c r="Q101" i="9"/>
  <c r="Q102" i="9"/>
  <c r="Q103" i="9"/>
  <c r="Q104" i="9"/>
  <c r="Q105" i="9"/>
  <c r="Q106" i="9"/>
  <c r="Q107" i="9"/>
  <c r="Q108" i="9"/>
  <c r="Q109" i="9"/>
  <c r="Q110" i="9"/>
  <c r="Q111" i="9"/>
  <c r="Q112" i="9"/>
  <c r="Q113" i="9"/>
  <c r="Q114" i="9"/>
  <c r="Q115" i="9"/>
  <c r="Q116" i="9"/>
  <c r="Q117" i="9"/>
  <c r="Q118" i="9"/>
  <c r="Q119" i="9"/>
  <c r="Q120" i="9"/>
  <c r="Q121" i="9"/>
  <c r="Q122" i="9"/>
  <c r="Q123" i="9"/>
  <c r="Q124" i="9"/>
  <c r="Q125" i="9"/>
  <c r="Q126" i="9"/>
  <c r="Q127" i="9"/>
  <c r="Q128" i="9"/>
  <c r="Q129" i="9"/>
  <c r="Q130" i="9"/>
  <c r="Q131" i="9"/>
  <c r="Q132" i="9"/>
  <c r="Q133" i="9"/>
  <c r="Q134" i="9"/>
  <c r="Q135" i="9"/>
  <c r="Q136" i="9"/>
  <c r="Q137" i="9"/>
  <c r="Q138" i="9"/>
  <c r="Q139" i="9"/>
  <c r="Q140" i="9"/>
  <c r="Q141" i="9"/>
  <c r="Q142" i="9"/>
  <c r="Q143" i="9"/>
  <c r="Q144" i="9"/>
  <c r="Q145" i="9"/>
  <c r="Q146" i="9"/>
  <c r="Q147" i="9"/>
  <c r="Q148" i="9"/>
  <c r="Q149" i="9"/>
  <c r="Q150" i="9"/>
  <c r="Q151" i="9"/>
  <c r="Q152" i="9"/>
  <c r="Q153" i="9"/>
  <c r="Q154" i="9"/>
  <c r="Q155" i="9"/>
  <c r="Q156" i="9"/>
  <c r="Q157" i="9"/>
  <c r="Q158" i="9"/>
  <c r="Q159" i="9"/>
  <c r="Q160" i="9"/>
  <c r="Q161" i="9"/>
  <c r="Q162" i="9"/>
  <c r="Q163" i="9"/>
  <c r="Q164" i="9"/>
  <c r="Q165" i="9"/>
  <c r="Q166" i="9"/>
  <c r="Q167" i="9"/>
  <c r="Q168" i="9"/>
  <c r="Q169" i="9"/>
  <c r="Q170" i="9"/>
  <c r="Q171" i="9"/>
  <c r="Q172" i="9"/>
  <c r="Q173" i="9"/>
  <c r="Q174" i="9"/>
  <c r="Q175" i="9"/>
  <c r="Q176" i="9"/>
  <c r="Q177" i="9"/>
  <c r="Q178" i="9"/>
  <c r="Q179" i="9"/>
  <c r="Q180" i="9"/>
  <c r="Q181" i="9"/>
  <c r="Q182" i="9"/>
  <c r="Q183" i="9"/>
  <c r="Q184" i="9"/>
  <c r="Q185" i="9"/>
  <c r="Q186" i="9"/>
  <c r="Q187" i="9"/>
  <c r="Q188" i="9"/>
  <c r="Q189" i="9"/>
  <c r="Q190" i="9"/>
  <c r="Q191" i="9"/>
  <c r="Q192" i="9"/>
  <c r="Q193" i="9"/>
  <c r="Q194" i="9"/>
  <c r="Q195" i="9"/>
  <c r="Q196" i="9"/>
  <c r="Q197" i="9"/>
  <c r="Q198" i="9"/>
  <c r="Q199" i="9"/>
  <c r="Q200" i="9"/>
  <c r="Q201" i="9"/>
  <c r="Q202" i="9"/>
  <c r="Q203" i="9"/>
  <c r="Q204" i="9"/>
  <c r="Q205" i="9"/>
  <c r="Q2" i="9"/>
  <c r="P3" i="10"/>
  <c r="P4" i="10"/>
  <c r="P5" i="10"/>
  <c r="P6" i="10"/>
  <c r="P7" i="10"/>
  <c r="P8" i="10"/>
  <c r="P9" i="10"/>
  <c r="P10" i="10"/>
  <c r="P11" i="10"/>
  <c r="P12" i="10"/>
  <c r="P13" i="10"/>
  <c r="P14" i="10"/>
  <c r="P15" i="10"/>
  <c r="P16" i="10"/>
  <c r="P17" i="10"/>
  <c r="P18" i="10"/>
  <c r="P19" i="10"/>
  <c r="P20" i="10"/>
  <c r="P21" i="10"/>
  <c r="P22" i="10"/>
  <c r="P23" i="10"/>
  <c r="P24" i="10"/>
  <c r="P25" i="10"/>
  <c r="P26" i="10"/>
  <c r="P27" i="10"/>
  <c r="P28" i="10"/>
  <c r="P29" i="10"/>
  <c r="P30" i="10"/>
  <c r="P31" i="10"/>
  <c r="P32" i="10"/>
  <c r="P33" i="10"/>
  <c r="P34" i="10"/>
  <c r="P35" i="10"/>
  <c r="P36" i="10"/>
  <c r="P37" i="10"/>
  <c r="P38" i="10"/>
  <c r="P39" i="10"/>
  <c r="P40" i="10"/>
  <c r="P41" i="10"/>
  <c r="P42" i="10"/>
  <c r="P43" i="10"/>
  <c r="P44" i="10"/>
  <c r="P45" i="10"/>
  <c r="P46" i="10"/>
  <c r="P47" i="10"/>
  <c r="P48" i="10"/>
  <c r="P49" i="10"/>
  <c r="P50" i="10"/>
  <c r="P51" i="10"/>
  <c r="P52" i="10"/>
  <c r="P53" i="10"/>
  <c r="P54" i="10"/>
  <c r="P55" i="10"/>
  <c r="P56" i="10"/>
  <c r="P57" i="10"/>
  <c r="P58" i="10"/>
  <c r="P59" i="10"/>
  <c r="P60" i="10"/>
  <c r="P61" i="10"/>
  <c r="P62" i="10"/>
  <c r="P63" i="10"/>
  <c r="P64" i="10"/>
  <c r="P65" i="10"/>
  <c r="P66" i="10"/>
  <c r="P67" i="10"/>
  <c r="P68" i="10"/>
  <c r="P69" i="10"/>
  <c r="P70" i="10"/>
  <c r="P71" i="10"/>
  <c r="P72" i="10"/>
  <c r="P73" i="10"/>
  <c r="P74" i="10"/>
  <c r="P75" i="10"/>
  <c r="P76" i="10"/>
  <c r="P77" i="10"/>
  <c r="P78" i="10"/>
  <c r="P79" i="10"/>
  <c r="P80" i="10"/>
  <c r="P81" i="10"/>
  <c r="P82" i="10"/>
  <c r="P83" i="10"/>
  <c r="P84" i="10"/>
  <c r="P85" i="10"/>
  <c r="P86" i="10"/>
  <c r="P87" i="10"/>
  <c r="P88" i="10"/>
  <c r="P89" i="10"/>
  <c r="P90" i="10"/>
  <c r="P91" i="10"/>
  <c r="P92" i="10"/>
  <c r="P93" i="10"/>
  <c r="P94" i="10"/>
  <c r="P95" i="10"/>
  <c r="P96" i="10"/>
  <c r="P97" i="10"/>
  <c r="P98" i="10"/>
  <c r="P99" i="10"/>
  <c r="P100" i="10"/>
  <c r="P101" i="10"/>
  <c r="P102" i="10"/>
  <c r="P103" i="10"/>
  <c r="P104" i="10"/>
  <c r="P105" i="10"/>
  <c r="P106" i="10"/>
  <c r="P107" i="10"/>
  <c r="P108" i="10"/>
  <c r="P109" i="10"/>
  <c r="P110" i="10"/>
  <c r="P111" i="10"/>
  <c r="P112" i="10"/>
  <c r="P113" i="10"/>
  <c r="P114" i="10"/>
  <c r="P115" i="10"/>
  <c r="P116" i="10"/>
  <c r="P117" i="10"/>
  <c r="P118" i="10"/>
  <c r="P119" i="10"/>
  <c r="P120" i="10"/>
  <c r="P121" i="10"/>
  <c r="P122" i="10"/>
  <c r="P123" i="10"/>
  <c r="P124" i="10"/>
  <c r="P125" i="10"/>
  <c r="P126" i="10"/>
  <c r="P127" i="10"/>
  <c r="P128" i="10"/>
  <c r="P129" i="10"/>
  <c r="P130" i="10"/>
  <c r="P131" i="10"/>
  <c r="P132" i="10"/>
  <c r="P133" i="10"/>
  <c r="P134" i="10"/>
  <c r="P135" i="10"/>
  <c r="P136" i="10"/>
  <c r="P137" i="10"/>
  <c r="P138" i="10"/>
  <c r="P139" i="10"/>
  <c r="P140" i="10"/>
  <c r="P141" i="10"/>
  <c r="P142" i="10"/>
  <c r="P143" i="10"/>
  <c r="P144" i="10"/>
  <c r="P145" i="10"/>
  <c r="P146" i="10"/>
  <c r="P147" i="10"/>
  <c r="P148" i="10"/>
  <c r="P149" i="10"/>
  <c r="P150" i="10"/>
  <c r="P151" i="10"/>
  <c r="P152" i="10"/>
  <c r="P153" i="10"/>
  <c r="P154" i="10"/>
  <c r="P155" i="10"/>
  <c r="P156" i="10"/>
  <c r="P157" i="10"/>
  <c r="P158" i="10"/>
  <c r="P159" i="10"/>
  <c r="P160" i="10"/>
  <c r="P161" i="10"/>
  <c r="P162" i="10"/>
  <c r="P163" i="10"/>
  <c r="P164" i="10"/>
  <c r="P165" i="10"/>
  <c r="P166" i="10"/>
  <c r="P167" i="10"/>
  <c r="P168" i="10"/>
  <c r="P169" i="10"/>
  <c r="P170" i="10"/>
  <c r="P171" i="10"/>
  <c r="P172" i="10"/>
  <c r="P173" i="10"/>
  <c r="P174" i="10"/>
  <c r="P175" i="10"/>
  <c r="P176" i="10"/>
  <c r="P177" i="10"/>
  <c r="P178" i="10"/>
  <c r="P179" i="10"/>
  <c r="P180" i="10"/>
  <c r="P181" i="10"/>
  <c r="P182" i="10"/>
  <c r="P183" i="10"/>
  <c r="P184" i="10"/>
  <c r="P185" i="10"/>
  <c r="P186" i="10"/>
  <c r="P187" i="10"/>
  <c r="P188" i="10"/>
  <c r="P189" i="10"/>
  <c r="P190" i="10"/>
  <c r="P191" i="10"/>
  <c r="P192" i="10"/>
  <c r="P193" i="10"/>
  <c r="P194" i="10"/>
  <c r="P195" i="10"/>
  <c r="P196" i="10"/>
  <c r="P197" i="10"/>
  <c r="P198" i="10"/>
  <c r="P199" i="10"/>
  <c r="P200" i="10"/>
  <c r="P201" i="10"/>
  <c r="P202" i="10"/>
  <c r="P203" i="10"/>
  <c r="P204" i="10"/>
  <c r="P205" i="10"/>
  <c r="P206" i="10"/>
  <c r="P207" i="10"/>
  <c r="P208" i="10"/>
  <c r="P209" i="10"/>
  <c r="P210" i="10"/>
  <c r="P211" i="10"/>
  <c r="P212" i="10"/>
  <c r="P213" i="10"/>
  <c r="P214" i="10"/>
  <c r="P215" i="10"/>
  <c r="P216" i="10"/>
  <c r="P217" i="10"/>
  <c r="P218" i="10"/>
  <c r="P219" i="10"/>
  <c r="P220" i="10"/>
  <c r="P221" i="10"/>
  <c r="P222" i="10"/>
  <c r="P223" i="10"/>
  <c r="P224" i="10"/>
  <c r="P225" i="10"/>
  <c r="P226" i="10"/>
  <c r="P227" i="10"/>
  <c r="P228" i="10"/>
  <c r="P229" i="10"/>
  <c r="P230" i="10"/>
  <c r="P231" i="10"/>
  <c r="P232" i="10"/>
  <c r="P233" i="10"/>
  <c r="P234" i="10"/>
  <c r="P235" i="10"/>
  <c r="P236" i="10"/>
  <c r="P237" i="10"/>
  <c r="P238" i="10"/>
  <c r="P239" i="10"/>
  <c r="P240" i="10"/>
  <c r="P241" i="10"/>
  <c r="P242" i="10"/>
  <c r="P243" i="10"/>
  <c r="P244" i="10"/>
  <c r="P245" i="10"/>
  <c r="P246" i="10"/>
  <c r="P247" i="10"/>
  <c r="P248" i="10"/>
  <c r="P249" i="10"/>
  <c r="P250" i="10"/>
  <c r="P251" i="10"/>
  <c r="P252" i="10"/>
  <c r="P253" i="10"/>
  <c r="P254" i="10"/>
  <c r="P255" i="10"/>
  <c r="P256" i="10"/>
  <c r="P257" i="10"/>
  <c r="P258" i="10"/>
  <c r="P259" i="10"/>
  <c r="P260" i="10"/>
  <c r="P261" i="10"/>
  <c r="P262" i="10"/>
  <c r="P263" i="10"/>
  <c r="P264" i="10"/>
  <c r="P265" i="10"/>
  <c r="P266" i="10"/>
  <c r="P267" i="10"/>
  <c r="P268" i="10"/>
  <c r="P269" i="10"/>
  <c r="P270" i="10"/>
  <c r="P271" i="10"/>
  <c r="P272" i="10"/>
  <c r="P273" i="10"/>
  <c r="P274" i="10"/>
  <c r="P275" i="10"/>
  <c r="P276" i="10"/>
  <c r="P277" i="10"/>
  <c r="P278" i="10"/>
  <c r="P279" i="10"/>
  <c r="P280" i="10"/>
  <c r="P281" i="10"/>
  <c r="P282" i="10"/>
  <c r="P283" i="10"/>
  <c r="P284" i="10"/>
  <c r="P285" i="10"/>
  <c r="P286" i="10"/>
  <c r="P287" i="10"/>
  <c r="P288" i="10"/>
  <c r="P289" i="10"/>
  <c r="P290" i="10"/>
  <c r="P291" i="10"/>
  <c r="P292" i="10"/>
  <c r="P293" i="10"/>
  <c r="P294" i="10"/>
  <c r="P295" i="10"/>
  <c r="P296" i="10"/>
  <c r="P297" i="10"/>
  <c r="P298" i="10"/>
  <c r="P299" i="10"/>
  <c r="P300" i="10"/>
  <c r="P301" i="10"/>
  <c r="P302" i="10"/>
  <c r="P303" i="10"/>
  <c r="P304" i="10"/>
  <c r="P305" i="10"/>
  <c r="P306" i="10"/>
  <c r="P307" i="10"/>
  <c r="P308" i="10"/>
  <c r="P309" i="10"/>
  <c r="P310" i="10"/>
  <c r="P311" i="10"/>
  <c r="P312" i="10"/>
  <c r="P313" i="10"/>
  <c r="P314" i="10"/>
  <c r="P315" i="10"/>
  <c r="P316" i="10"/>
  <c r="P317" i="10"/>
  <c r="P318" i="10"/>
  <c r="P319" i="10"/>
  <c r="P320" i="10"/>
  <c r="P321" i="10"/>
  <c r="P322" i="10"/>
  <c r="P323" i="10"/>
  <c r="P324" i="10"/>
  <c r="P325" i="10"/>
  <c r="P326" i="10"/>
  <c r="P327" i="10"/>
  <c r="P328" i="10"/>
  <c r="P329" i="10"/>
  <c r="P330" i="10"/>
  <c r="P331" i="10"/>
  <c r="P332" i="10"/>
  <c r="P333" i="10"/>
  <c r="P334" i="10"/>
  <c r="P335" i="10"/>
  <c r="P336" i="10"/>
  <c r="P337" i="10"/>
  <c r="P338" i="10"/>
  <c r="P339" i="10"/>
  <c r="P340" i="10"/>
  <c r="P341" i="10"/>
  <c r="P342" i="10"/>
  <c r="P343" i="10"/>
  <c r="P344" i="10"/>
  <c r="P345" i="10"/>
  <c r="P346" i="10"/>
  <c r="P347" i="10"/>
  <c r="P348" i="10"/>
  <c r="P349" i="10"/>
  <c r="P350" i="10"/>
  <c r="P351" i="10"/>
  <c r="P352" i="10"/>
  <c r="P353" i="10"/>
  <c r="P354" i="10"/>
  <c r="P355" i="10"/>
  <c r="P356" i="10"/>
  <c r="P357" i="10"/>
  <c r="P358" i="10"/>
  <c r="P359" i="10"/>
  <c r="P360" i="10"/>
  <c r="P361" i="10"/>
  <c r="P362" i="10"/>
  <c r="P363" i="10"/>
  <c r="P364" i="10"/>
  <c r="P365" i="10"/>
  <c r="P366" i="10"/>
  <c r="P367" i="10"/>
  <c r="P368" i="10"/>
  <c r="P369" i="10"/>
  <c r="P370" i="10"/>
  <c r="P371" i="10"/>
  <c r="P372" i="10"/>
  <c r="P373" i="10"/>
  <c r="P374" i="10"/>
  <c r="P375" i="10"/>
  <c r="P376" i="10"/>
  <c r="P377" i="10"/>
  <c r="P378" i="10"/>
  <c r="P379" i="10"/>
  <c r="P380" i="10"/>
  <c r="P381" i="10"/>
  <c r="P382" i="10"/>
  <c r="P383" i="10"/>
  <c r="P384" i="10"/>
  <c r="P385" i="10"/>
  <c r="P386" i="10"/>
  <c r="P387" i="10"/>
  <c r="P388" i="10"/>
  <c r="P389" i="10"/>
  <c r="P390" i="10"/>
  <c r="P391" i="10"/>
  <c r="P392" i="10"/>
  <c r="P393" i="10"/>
  <c r="P394" i="10"/>
  <c r="P395" i="10"/>
  <c r="P396" i="10"/>
  <c r="P397" i="10"/>
  <c r="P398" i="10"/>
  <c r="P399" i="10"/>
  <c r="P400" i="10"/>
  <c r="P401" i="10"/>
  <c r="P402" i="10"/>
  <c r="P403" i="10"/>
  <c r="P404" i="10"/>
  <c r="P405" i="10"/>
  <c r="P406" i="10"/>
  <c r="P407" i="10"/>
  <c r="P408" i="10"/>
  <c r="P409" i="10"/>
  <c r="P410" i="10"/>
  <c r="P411" i="10"/>
  <c r="P412" i="10"/>
  <c r="P413" i="10"/>
  <c r="P414" i="10"/>
  <c r="P415" i="10"/>
  <c r="P416" i="10"/>
  <c r="P417" i="10"/>
  <c r="P418" i="10"/>
  <c r="P419" i="10"/>
  <c r="P420" i="10"/>
  <c r="P421" i="10"/>
  <c r="P422" i="10"/>
  <c r="P423" i="10"/>
  <c r="P424" i="10"/>
  <c r="P425" i="10"/>
  <c r="P426" i="10"/>
  <c r="P427" i="10"/>
  <c r="P428" i="10"/>
  <c r="P429" i="10"/>
  <c r="P430" i="10"/>
  <c r="P431" i="10"/>
  <c r="P432" i="10"/>
  <c r="P433" i="10"/>
  <c r="P434" i="10"/>
  <c r="P435" i="10"/>
  <c r="P436" i="10"/>
  <c r="P437" i="10"/>
  <c r="P438" i="10"/>
  <c r="P439" i="10"/>
  <c r="P440" i="10"/>
  <c r="P441" i="10"/>
  <c r="P442" i="10"/>
  <c r="P443" i="10"/>
  <c r="P444" i="10"/>
  <c r="P445" i="10"/>
  <c r="P446" i="10"/>
  <c r="P447" i="10"/>
  <c r="P448" i="10"/>
  <c r="P449" i="10"/>
  <c r="P450" i="10"/>
  <c r="P451" i="10"/>
  <c r="P452" i="10"/>
  <c r="P453" i="10"/>
  <c r="P454" i="10"/>
  <c r="P455" i="10"/>
  <c r="P456" i="10"/>
  <c r="P457" i="10"/>
  <c r="P458" i="10"/>
  <c r="P459" i="10"/>
  <c r="P460" i="10"/>
  <c r="P461" i="10"/>
  <c r="P462" i="10"/>
  <c r="P463" i="10"/>
  <c r="P464" i="10"/>
  <c r="P465" i="10"/>
  <c r="P466" i="10"/>
  <c r="P467" i="10"/>
  <c r="P468" i="10"/>
  <c r="P469" i="10"/>
  <c r="P470" i="10"/>
  <c r="P471" i="10"/>
  <c r="P472" i="10"/>
  <c r="P473" i="10"/>
  <c r="P474" i="10"/>
  <c r="P475" i="10"/>
  <c r="P476" i="10"/>
  <c r="P477" i="10"/>
  <c r="P478" i="10"/>
  <c r="P479" i="10"/>
  <c r="P480" i="10"/>
  <c r="P481" i="10"/>
  <c r="P482" i="10"/>
  <c r="P483" i="10"/>
  <c r="P484" i="10"/>
  <c r="P485" i="10"/>
  <c r="P486" i="10"/>
  <c r="P487" i="10"/>
  <c r="P488" i="10"/>
  <c r="P489" i="10"/>
  <c r="P490" i="10"/>
  <c r="P491" i="10"/>
  <c r="P492" i="10"/>
  <c r="P493" i="10"/>
  <c r="P494" i="10"/>
  <c r="P495" i="10"/>
  <c r="P496" i="10"/>
  <c r="P497" i="10"/>
  <c r="P498" i="10"/>
  <c r="P499" i="10"/>
  <c r="P500" i="10"/>
  <c r="P501" i="10"/>
  <c r="P502" i="10"/>
  <c r="P503" i="10"/>
  <c r="P504" i="10"/>
  <c r="P505" i="10"/>
  <c r="P506" i="10"/>
  <c r="P507" i="10"/>
  <c r="P508" i="10"/>
  <c r="P509" i="10"/>
  <c r="P510" i="10"/>
  <c r="P511" i="10"/>
  <c r="P512" i="10"/>
  <c r="P513" i="10"/>
  <c r="P514" i="10"/>
  <c r="P515" i="10"/>
  <c r="P516" i="10"/>
  <c r="P517" i="10"/>
  <c r="P518" i="10"/>
  <c r="P519" i="10"/>
  <c r="P520" i="10"/>
  <c r="P521" i="10"/>
  <c r="P522" i="10"/>
  <c r="P523" i="10"/>
  <c r="P524" i="10"/>
  <c r="P525" i="10"/>
  <c r="P526" i="10"/>
  <c r="P527" i="10"/>
  <c r="P528" i="10"/>
  <c r="P529" i="10"/>
  <c r="P530" i="10"/>
  <c r="P531" i="10"/>
  <c r="P532" i="10"/>
  <c r="P533" i="10"/>
  <c r="P534" i="10"/>
  <c r="P535" i="10"/>
  <c r="P536" i="10"/>
  <c r="P537" i="10"/>
  <c r="P538" i="10"/>
  <c r="P539" i="10"/>
  <c r="P540" i="10"/>
  <c r="P541" i="10"/>
  <c r="P542" i="10"/>
  <c r="P543" i="10"/>
  <c r="P544" i="10"/>
  <c r="P545" i="10"/>
  <c r="P546" i="10"/>
  <c r="P547" i="10"/>
  <c r="P548" i="10"/>
  <c r="P549" i="10"/>
  <c r="P550" i="10"/>
  <c r="P551" i="10"/>
  <c r="P552" i="10"/>
  <c r="P553" i="10"/>
  <c r="P554" i="10"/>
  <c r="P555" i="10"/>
  <c r="P556" i="10"/>
  <c r="P557" i="10"/>
  <c r="P558" i="10"/>
  <c r="P559" i="10"/>
  <c r="P560" i="10"/>
  <c r="P561" i="10"/>
  <c r="P562" i="10"/>
  <c r="P563" i="10"/>
  <c r="P564" i="10"/>
  <c r="P565" i="10"/>
  <c r="P566" i="10"/>
  <c r="P567" i="10"/>
  <c r="P568" i="10"/>
  <c r="P569" i="10"/>
  <c r="P570" i="10"/>
  <c r="P571" i="10"/>
  <c r="P572" i="10"/>
  <c r="P573" i="10"/>
  <c r="P574" i="10"/>
  <c r="P575" i="10"/>
  <c r="P576" i="10"/>
  <c r="P577" i="10"/>
  <c r="P578" i="10"/>
  <c r="P579" i="10"/>
  <c r="P580" i="10"/>
  <c r="P581" i="10"/>
  <c r="P582" i="10"/>
  <c r="P583" i="10"/>
  <c r="P584" i="10"/>
  <c r="P585" i="10"/>
  <c r="P586" i="10"/>
  <c r="P587" i="10"/>
  <c r="P588" i="10"/>
  <c r="P589" i="10"/>
  <c r="P590" i="10"/>
  <c r="P591" i="10"/>
  <c r="P592" i="10"/>
  <c r="P593" i="10"/>
  <c r="P594" i="10"/>
  <c r="P595" i="10"/>
  <c r="P596" i="10"/>
  <c r="P597" i="10"/>
  <c r="P598" i="10"/>
  <c r="P599" i="10"/>
  <c r="P600" i="10"/>
  <c r="P601" i="10"/>
  <c r="P602" i="10"/>
  <c r="P603" i="10"/>
  <c r="P604" i="10"/>
  <c r="P605" i="10"/>
  <c r="P606" i="10"/>
  <c r="P607" i="10"/>
  <c r="P608" i="10"/>
  <c r="P609" i="10"/>
  <c r="P610" i="10"/>
  <c r="P611" i="10"/>
  <c r="P612" i="10"/>
  <c r="P613" i="10"/>
  <c r="P614" i="10"/>
  <c r="P615" i="10"/>
  <c r="P616" i="10"/>
  <c r="P617" i="10"/>
  <c r="P618" i="10"/>
  <c r="P619" i="10"/>
  <c r="P620" i="10"/>
  <c r="P621" i="10"/>
  <c r="P622" i="10"/>
  <c r="P623" i="10"/>
  <c r="P624" i="10"/>
  <c r="P625" i="10"/>
  <c r="P626" i="10"/>
  <c r="P627" i="10"/>
  <c r="P628" i="10"/>
  <c r="P629" i="10"/>
  <c r="P630" i="10"/>
  <c r="P631" i="10"/>
  <c r="P632" i="10"/>
  <c r="P633" i="10"/>
  <c r="P634" i="10"/>
  <c r="P635" i="10"/>
  <c r="P636" i="10"/>
  <c r="P637" i="10"/>
  <c r="P638" i="10"/>
  <c r="P639" i="10"/>
  <c r="P640" i="10"/>
  <c r="P641" i="10"/>
  <c r="P642" i="10"/>
  <c r="P643" i="10"/>
  <c r="P644" i="10"/>
  <c r="P645" i="10"/>
  <c r="P646" i="10"/>
  <c r="P647" i="10"/>
  <c r="P648" i="10"/>
  <c r="P649" i="10"/>
  <c r="P650" i="10"/>
  <c r="P651" i="10"/>
  <c r="P652" i="10"/>
  <c r="P653" i="10"/>
  <c r="P654" i="10"/>
  <c r="P655" i="10"/>
  <c r="P656" i="10"/>
  <c r="P657" i="10"/>
  <c r="P658" i="10"/>
  <c r="P659" i="10"/>
  <c r="P660" i="10"/>
  <c r="P661" i="10"/>
  <c r="P662" i="10"/>
  <c r="P663" i="10"/>
  <c r="P664" i="10"/>
  <c r="P665" i="10"/>
  <c r="P666" i="10"/>
  <c r="P667" i="10"/>
  <c r="P668" i="10"/>
  <c r="P669" i="10"/>
  <c r="P670" i="10"/>
  <c r="P671" i="10"/>
  <c r="P672" i="10"/>
  <c r="P673" i="10"/>
  <c r="P674" i="10"/>
  <c r="P675" i="10"/>
  <c r="P676" i="10"/>
  <c r="P677" i="10"/>
  <c r="P678" i="10"/>
  <c r="P679" i="10"/>
  <c r="P680" i="10"/>
  <c r="P681" i="10"/>
  <c r="P682" i="10"/>
  <c r="P683" i="10"/>
  <c r="P684" i="10"/>
  <c r="P685" i="10"/>
  <c r="P686" i="10"/>
  <c r="P687" i="10"/>
  <c r="P688" i="10"/>
  <c r="P689" i="10"/>
  <c r="P690" i="10"/>
  <c r="P691" i="10"/>
  <c r="P692" i="10"/>
  <c r="P693" i="10"/>
  <c r="P694" i="10"/>
  <c r="P695" i="10"/>
  <c r="P696" i="10"/>
  <c r="P697" i="10"/>
  <c r="P698" i="10"/>
  <c r="P699" i="10"/>
  <c r="P700" i="10"/>
  <c r="P701" i="10"/>
  <c r="P702" i="10"/>
  <c r="P703" i="10"/>
  <c r="P704" i="10"/>
  <c r="P705" i="10"/>
  <c r="P706" i="10"/>
  <c r="P707" i="10"/>
  <c r="P708" i="10"/>
  <c r="P709" i="10"/>
  <c r="P710" i="10"/>
  <c r="P711" i="10"/>
  <c r="P712" i="10"/>
  <c r="P713" i="10"/>
  <c r="P714" i="10"/>
  <c r="P715" i="10"/>
  <c r="P716" i="10"/>
  <c r="P717" i="10"/>
  <c r="P718" i="10"/>
  <c r="P719" i="10"/>
  <c r="P720" i="10"/>
  <c r="P721" i="10"/>
  <c r="P722" i="10"/>
  <c r="P723" i="10"/>
  <c r="P724" i="10"/>
  <c r="P725" i="10"/>
  <c r="P726" i="10"/>
  <c r="P727" i="10"/>
  <c r="P728" i="10"/>
  <c r="P729" i="10"/>
  <c r="P730" i="10"/>
  <c r="P731" i="10"/>
  <c r="P732" i="10"/>
  <c r="P733" i="10"/>
  <c r="P734" i="10"/>
  <c r="P735" i="10"/>
  <c r="P736" i="10"/>
  <c r="P737" i="10"/>
  <c r="P738" i="10"/>
  <c r="P739" i="10"/>
  <c r="P740" i="10"/>
  <c r="P741" i="10"/>
  <c r="P742" i="10"/>
  <c r="P743" i="10"/>
  <c r="P744" i="10"/>
  <c r="P745" i="10"/>
  <c r="P746" i="10"/>
  <c r="P747" i="10"/>
  <c r="P748" i="10"/>
  <c r="P749" i="10"/>
  <c r="P750" i="10"/>
  <c r="P751" i="10"/>
  <c r="P752" i="10"/>
  <c r="P753" i="10"/>
  <c r="P754" i="10"/>
  <c r="P755" i="10"/>
  <c r="P756" i="10"/>
  <c r="P757" i="10"/>
  <c r="P758" i="10"/>
  <c r="P759" i="10"/>
  <c r="P760" i="10"/>
  <c r="P761" i="10"/>
  <c r="P762" i="10"/>
  <c r="P763" i="10"/>
  <c r="P764" i="10"/>
  <c r="P765" i="10"/>
  <c r="P766" i="10"/>
  <c r="P767" i="10"/>
  <c r="P768" i="10"/>
  <c r="P769" i="10"/>
  <c r="P770" i="10"/>
  <c r="P771" i="10"/>
  <c r="P772" i="10"/>
  <c r="P773" i="10"/>
  <c r="P774" i="10"/>
  <c r="P775" i="10"/>
  <c r="P776" i="10"/>
  <c r="P777" i="10"/>
  <c r="P778" i="10"/>
  <c r="P779" i="10"/>
  <c r="P780" i="10"/>
  <c r="P781" i="10"/>
  <c r="P782" i="10"/>
  <c r="P783" i="10"/>
  <c r="P784" i="10"/>
  <c r="P785" i="10"/>
  <c r="P786" i="10"/>
  <c r="P787" i="10"/>
  <c r="P788" i="10"/>
  <c r="O3" i="10"/>
  <c r="O4" i="10"/>
  <c r="O5" i="10"/>
  <c r="O6" i="10"/>
  <c r="O7" i="10"/>
  <c r="O8" i="10"/>
  <c r="O9" i="10"/>
  <c r="O10" i="10"/>
  <c r="O11" i="10"/>
  <c r="O12" i="10"/>
  <c r="O13" i="10"/>
  <c r="O14" i="10"/>
  <c r="O15" i="10"/>
  <c r="O16" i="10"/>
  <c r="O17" i="10"/>
  <c r="O18" i="10"/>
  <c r="O19" i="10"/>
  <c r="O20" i="10"/>
  <c r="O21" i="10"/>
  <c r="O22" i="10"/>
  <c r="O23" i="10"/>
  <c r="O24" i="10"/>
  <c r="O25" i="10"/>
  <c r="O26" i="10"/>
  <c r="O27" i="10"/>
  <c r="O28" i="10"/>
  <c r="O29" i="10"/>
  <c r="O30" i="10"/>
  <c r="O31" i="10"/>
  <c r="O32" i="10"/>
  <c r="O33" i="10"/>
  <c r="O34" i="10"/>
  <c r="O35" i="10"/>
  <c r="O36" i="10"/>
  <c r="O37" i="10"/>
  <c r="O38" i="10"/>
  <c r="O39" i="10"/>
  <c r="O40" i="10"/>
  <c r="O41" i="10"/>
  <c r="O42" i="10"/>
  <c r="O43" i="10"/>
  <c r="O44" i="10"/>
  <c r="O45" i="10"/>
  <c r="O46" i="10"/>
  <c r="O47" i="10"/>
  <c r="O48" i="10"/>
  <c r="O49" i="10"/>
  <c r="O50" i="10"/>
  <c r="O51" i="10"/>
  <c r="O52" i="10"/>
  <c r="O53" i="10"/>
  <c r="O54" i="10"/>
  <c r="O55" i="10"/>
  <c r="O56" i="10"/>
  <c r="O57" i="10"/>
  <c r="O58" i="10"/>
  <c r="O59" i="10"/>
  <c r="O60" i="10"/>
  <c r="O61" i="10"/>
  <c r="O62" i="10"/>
  <c r="O63" i="10"/>
  <c r="O64" i="10"/>
  <c r="O65" i="10"/>
  <c r="O66" i="10"/>
  <c r="O67" i="10"/>
  <c r="O68" i="10"/>
  <c r="O69" i="10"/>
  <c r="O70" i="10"/>
  <c r="O71" i="10"/>
  <c r="O72" i="10"/>
  <c r="O73" i="10"/>
  <c r="O74" i="10"/>
  <c r="O75" i="10"/>
  <c r="O76" i="10"/>
  <c r="O77" i="10"/>
  <c r="O78" i="10"/>
  <c r="O79" i="10"/>
  <c r="O80" i="10"/>
  <c r="O81" i="10"/>
  <c r="O82" i="10"/>
  <c r="O83" i="10"/>
  <c r="O84" i="10"/>
  <c r="O85" i="10"/>
  <c r="O86" i="10"/>
  <c r="O87" i="10"/>
  <c r="O88" i="10"/>
  <c r="O89" i="10"/>
  <c r="O90" i="10"/>
  <c r="O91" i="10"/>
  <c r="O92" i="10"/>
  <c r="O93" i="10"/>
  <c r="O94" i="10"/>
  <c r="O95" i="10"/>
  <c r="O96" i="10"/>
  <c r="O97" i="10"/>
  <c r="O98" i="10"/>
  <c r="O99" i="10"/>
  <c r="O100" i="10"/>
  <c r="O101" i="10"/>
  <c r="O102" i="10"/>
  <c r="O103" i="10"/>
  <c r="O104" i="10"/>
  <c r="O105" i="10"/>
  <c r="O106" i="10"/>
  <c r="O107" i="10"/>
  <c r="O108" i="10"/>
  <c r="O109" i="10"/>
  <c r="O110" i="10"/>
  <c r="O111" i="10"/>
  <c r="O112" i="10"/>
  <c r="O113" i="10"/>
  <c r="O114" i="10"/>
  <c r="O115" i="10"/>
  <c r="O116" i="10"/>
  <c r="O117" i="10"/>
  <c r="O118" i="10"/>
  <c r="O119" i="10"/>
  <c r="O120" i="10"/>
  <c r="O121" i="10"/>
  <c r="O122" i="10"/>
  <c r="O123" i="10"/>
  <c r="O124" i="10"/>
  <c r="O125" i="10"/>
  <c r="O126" i="10"/>
  <c r="O127" i="10"/>
  <c r="O128" i="10"/>
  <c r="O129" i="10"/>
  <c r="O130" i="10"/>
  <c r="O131" i="10"/>
  <c r="O132" i="10"/>
  <c r="O133" i="10"/>
  <c r="O134" i="10"/>
  <c r="O135" i="10"/>
  <c r="O136" i="10"/>
  <c r="O137" i="10"/>
  <c r="O138" i="10"/>
  <c r="O139" i="10"/>
  <c r="O140" i="10"/>
  <c r="O141" i="10"/>
  <c r="O142" i="10"/>
  <c r="O143" i="10"/>
  <c r="O144" i="10"/>
  <c r="O145" i="10"/>
  <c r="O146" i="10"/>
  <c r="O147" i="10"/>
  <c r="O148" i="10"/>
  <c r="O149" i="10"/>
  <c r="O150" i="10"/>
  <c r="O151" i="10"/>
  <c r="O152" i="10"/>
  <c r="O153" i="10"/>
  <c r="O154" i="10"/>
  <c r="O155" i="10"/>
  <c r="O156" i="10"/>
  <c r="O157" i="10"/>
  <c r="O158" i="10"/>
  <c r="O159" i="10"/>
  <c r="O160" i="10"/>
  <c r="O161" i="10"/>
  <c r="O162" i="10"/>
  <c r="O163" i="10"/>
  <c r="O164" i="10"/>
  <c r="O165" i="10"/>
  <c r="O166" i="10"/>
  <c r="O167" i="10"/>
  <c r="O168" i="10"/>
  <c r="O169" i="10"/>
  <c r="O170" i="10"/>
  <c r="O171" i="10"/>
  <c r="O172" i="10"/>
  <c r="O173" i="10"/>
  <c r="O174" i="10"/>
  <c r="O175" i="10"/>
  <c r="O176" i="10"/>
  <c r="O177" i="10"/>
  <c r="O178" i="10"/>
  <c r="O179" i="10"/>
  <c r="O180" i="10"/>
  <c r="O181" i="10"/>
  <c r="O182" i="10"/>
  <c r="O183" i="10"/>
  <c r="O184" i="10"/>
  <c r="O185" i="10"/>
  <c r="O186" i="10"/>
  <c r="O187" i="10"/>
  <c r="O188" i="10"/>
  <c r="O189" i="10"/>
  <c r="O190" i="10"/>
  <c r="O191" i="10"/>
  <c r="O192" i="10"/>
  <c r="O193" i="10"/>
  <c r="O194" i="10"/>
  <c r="O195" i="10"/>
  <c r="O196" i="10"/>
  <c r="O197" i="10"/>
  <c r="O198" i="10"/>
  <c r="O199" i="10"/>
  <c r="O200" i="10"/>
  <c r="O201" i="10"/>
  <c r="O202" i="10"/>
  <c r="O203" i="10"/>
  <c r="O204" i="10"/>
  <c r="O205" i="10"/>
  <c r="O206" i="10"/>
  <c r="O207" i="10"/>
  <c r="O208" i="10"/>
  <c r="O209" i="10"/>
  <c r="O210" i="10"/>
  <c r="O211" i="10"/>
  <c r="O212" i="10"/>
  <c r="O213" i="10"/>
  <c r="O214" i="10"/>
  <c r="O215" i="10"/>
  <c r="O216" i="10"/>
  <c r="O217" i="10"/>
  <c r="O218" i="10"/>
  <c r="O219" i="10"/>
  <c r="O220" i="10"/>
  <c r="O221" i="10"/>
  <c r="O222" i="10"/>
  <c r="O223" i="10"/>
  <c r="O224" i="10"/>
  <c r="O225" i="10"/>
  <c r="O226" i="10"/>
  <c r="O227" i="10"/>
  <c r="O228" i="10"/>
  <c r="O229" i="10"/>
  <c r="O230" i="10"/>
  <c r="O231" i="10"/>
  <c r="O232" i="10"/>
  <c r="O233" i="10"/>
  <c r="O234" i="10"/>
  <c r="O235" i="10"/>
  <c r="O236" i="10"/>
  <c r="O237" i="10"/>
  <c r="O238" i="10"/>
  <c r="O239" i="10"/>
  <c r="O240" i="10"/>
  <c r="O241" i="10"/>
  <c r="O242" i="10"/>
  <c r="O243" i="10"/>
  <c r="O244" i="10"/>
  <c r="O245" i="10"/>
  <c r="O246" i="10"/>
  <c r="O247" i="10"/>
  <c r="O248" i="10"/>
  <c r="O249" i="10"/>
  <c r="O250" i="10"/>
  <c r="O251" i="10"/>
  <c r="O252" i="10"/>
  <c r="O253" i="10"/>
  <c r="O254" i="10"/>
  <c r="O255" i="10"/>
  <c r="O256" i="10"/>
  <c r="O257" i="10"/>
  <c r="O258" i="10"/>
  <c r="O259" i="10"/>
  <c r="O260" i="10"/>
  <c r="O261" i="10"/>
  <c r="O262" i="10"/>
  <c r="O263" i="10"/>
  <c r="O264" i="10"/>
  <c r="O265" i="10"/>
  <c r="O266" i="10"/>
  <c r="O267" i="10"/>
  <c r="O268" i="10"/>
  <c r="O269" i="10"/>
  <c r="O270" i="10"/>
  <c r="O271" i="10"/>
  <c r="O272" i="10"/>
  <c r="O273" i="10"/>
  <c r="O274" i="10"/>
  <c r="O275" i="10"/>
  <c r="O276" i="10"/>
  <c r="O277" i="10"/>
  <c r="O278" i="10"/>
  <c r="O279" i="10"/>
  <c r="O280" i="10"/>
  <c r="O281" i="10"/>
  <c r="O282" i="10"/>
  <c r="O283" i="10"/>
  <c r="O284" i="10"/>
  <c r="O285" i="10"/>
  <c r="O286" i="10"/>
  <c r="O287" i="10"/>
  <c r="O288" i="10"/>
  <c r="O289" i="10"/>
  <c r="O290" i="10"/>
  <c r="O291" i="10"/>
  <c r="O292" i="10"/>
  <c r="O293" i="10"/>
  <c r="O294" i="10"/>
  <c r="O295" i="10"/>
  <c r="O296" i="10"/>
  <c r="O297" i="10"/>
  <c r="O298" i="10"/>
  <c r="O299" i="10"/>
  <c r="O300" i="10"/>
  <c r="O301" i="10"/>
  <c r="O302" i="10"/>
  <c r="O303" i="10"/>
  <c r="O304" i="10"/>
  <c r="O305" i="10"/>
  <c r="O306" i="10"/>
  <c r="O307" i="10"/>
  <c r="O308" i="10"/>
  <c r="O309" i="10"/>
  <c r="O310" i="10"/>
  <c r="O311" i="10"/>
  <c r="O312" i="10"/>
  <c r="O313" i="10"/>
  <c r="O314" i="10"/>
  <c r="O315" i="10"/>
  <c r="O316" i="10"/>
  <c r="O317" i="10"/>
  <c r="O318" i="10"/>
  <c r="O319" i="10"/>
  <c r="O320" i="10"/>
  <c r="O321" i="10"/>
  <c r="O322" i="10"/>
  <c r="O323" i="10"/>
  <c r="O324" i="10"/>
  <c r="O325" i="10"/>
  <c r="O326" i="10"/>
  <c r="O327" i="10"/>
  <c r="O328" i="10"/>
  <c r="O329" i="10"/>
  <c r="O330" i="10"/>
  <c r="O331" i="10"/>
  <c r="O332" i="10"/>
  <c r="O333" i="10"/>
  <c r="O334" i="10"/>
  <c r="O335" i="10"/>
  <c r="O336" i="10"/>
  <c r="O337" i="10"/>
  <c r="O338" i="10"/>
  <c r="O339" i="10"/>
  <c r="O340" i="10"/>
  <c r="O341" i="10"/>
  <c r="O342" i="10"/>
  <c r="O343" i="10"/>
  <c r="O344" i="10"/>
  <c r="O345" i="10"/>
  <c r="O346" i="10"/>
  <c r="O347" i="10"/>
  <c r="O348" i="10"/>
  <c r="O349" i="10"/>
  <c r="O350" i="10"/>
  <c r="O351" i="10"/>
  <c r="O352" i="10"/>
  <c r="O353" i="10"/>
  <c r="O354" i="10"/>
  <c r="O355" i="10"/>
  <c r="O356" i="10"/>
  <c r="O357" i="10"/>
  <c r="O358" i="10"/>
  <c r="O359" i="10"/>
  <c r="O360" i="10"/>
  <c r="O361" i="10"/>
  <c r="O362" i="10"/>
  <c r="O363" i="10"/>
  <c r="O364" i="10"/>
  <c r="O365" i="10"/>
  <c r="O366" i="10"/>
  <c r="O367" i="10"/>
  <c r="O368" i="10"/>
  <c r="O369" i="10"/>
  <c r="O370" i="10"/>
  <c r="O371" i="10"/>
  <c r="O372" i="10"/>
  <c r="O373" i="10"/>
  <c r="O374" i="10"/>
  <c r="O375" i="10"/>
  <c r="O376" i="10"/>
  <c r="O377" i="10"/>
  <c r="O378" i="10"/>
  <c r="O379" i="10"/>
  <c r="O380" i="10"/>
  <c r="O381" i="10"/>
  <c r="O382" i="10"/>
  <c r="O383" i="10"/>
  <c r="O384" i="10"/>
  <c r="O385" i="10"/>
  <c r="O386" i="10"/>
  <c r="O387" i="10"/>
  <c r="O388" i="10"/>
  <c r="O389" i="10"/>
  <c r="O390" i="10"/>
  <c r="O391" i="10"/>
  <c r="O392" i="10"/>
  <c r="O393" i="10"/>
  <c r="O394" i="10"/>
  <c r="O395" i="10"/>
  <c r="O396" i="10"/>
  <c r="O397" i="10"/>
  <c r="O398" i="10"/>
  <c r="O399" i="10"/>
  <c r="O400" i="10"/>
  <c r="O401" i="10"/>
  <c r="O402" i="10"/>
  <c r="O403" i="10"/>
  <c r="O404" i="10"/>
  <c r="O405" i="10"/>
  <c r="O406" i="10"/>
  <c r="O407" i="10"/>
  <c r="O408" i="10"/>
  <c r="O409" i="10"/>
  <c r="O410" i="10"/>
  <c r="O411" i="10"/>
  <c r="O412" i="10"/>
  <c r="O413" i="10"/>
  <c r="O414" i="10"/>
  <c r="O415" i="10"/>
  <c r="O416" i="10"/>
  <c r="O417" i="10"/>
  <c r="O418" i="10"/>
  <c r="O419" i="10"/>
  <c r="O420" i="10"/>
  <c r="O421" i="10"/>
  <c r="O422" i="10"/>
  <c r="O423" i="10"/>
  <c r="O424" i="10"/>
  <c r="O425" i="10"/>
  <c r="O426" i="10"/>
  <c r="O427" i="10"/>
  <c r="O428" i="10"/>
  <c r="O429" i="10"/>
  <c r="O430" i="10"/>
  <c r="O431" i="10"/>
  <c r="O432" i="10"/>
  <c r="O433" i="10"/>
  <c r="O434" i="10"/>
  <c r="O435" i="10"/>
  <c r="O436" i="10"/>
  <c r="O437" i="10"/>
  <c r="O438" i="10"/>
  <c r="O439" i="10"/>
  <c r="O440" i="10"/>
  <c r="O441" i="10"/>
  <c r="O442" i="10"/>
  <c r="O443" i="10"/>
  <c r="O444" i="10"/>
  <c r="O445" i="10"/>
  <c r="O446" i="10"/>
  <c r="O447" i="10"/>
  <c r="O448" i="10"/>
  <c r="O449" i="10"/>
  <c r="O450" i="10"/>
  <c r="O451" i="10"/>
  <c r="O452" i="10"/>
  <c r="O453" i="10"/>
  <c r="O454" i="10"/>
  <c r="O455" i="10"/>
  <c r="O456" i="10"/>
  <c r="O457" i="10"/>
  <c r="O458" i="10"/>
  <c r="O459" i="10"/>
  <c r="O460" i="10"/>
  <c r="O461" i="10"/>
  <c r="O462" i="10"/>
  <c r="O463" i="10"/>
  <c r="O464" i="10"/>
  <c r="O465" i="10"/>
  <c r="O466" i="10"/>
  <c r="O467" i="10"/>
  <c r="O468" i="10"/>
  <c r="O469" i="10"/>
  <c r="O470" i="10"/>
  <c r="O471" i="10"/>
  <c r="O472" i="10"/>
  <c r="O473" i="10"/>
  <c r="O474" i="10"/>
  <c r="O475" i="10"/>
  <c r="O476" i="10"/>
  <c r="O477" i="10"/>
  <c r="O478" i="10"/>
  <c r="O479" i="10"/>
  <c r="O480" i="10"/>
  <c r="O481" i="10"/>
  <c r="O482" i="10"/>
  <c r="O483" i="10"/>
  <c r="O484" i="10"/>
  <c r="O485" i="10"/>
  <c r="O486" i="10"/>
  <c r="O487" i="10"/>
  <c r="O488" i="10"/>
  <c r="O489" i="10"/>
  <c r="O490" i="10"/>
  <c r="O491" i="10"/>
  <c r="O492" i="10"/>
  <c r="O493" i="10"/>
  <c r="O494" i="10"/>
  <c r="O495" i="10"/>
  <c r="O496" i="10"/>
  <c r="O497" i="10"/>
  <c r="O498" i="10"/>
  <c r="O499" i="10"/>
  <c r="O500" i="10"/>
  <c r="O501" i="10"/>
  <c r="O502" i="10"/>
  <c r="O503" i="10"/>
  <c r="O504" i="10"/>
  <c r="O505" i="10"/>
  <c r="O506" i="10"/>
  <c r="O507" i="10"/>
  <c r="O508" i="10"/>
  <c r="O509" i="10"/>
  <c r="O510" i="10"/>
  <c r="O511" i="10"/>
  <c r="O512" i="10"/>
  <c r="O513" i="10"/>
  <c r="O514" i="10"/>
  <c r="O515" i="10"/>
  <c r="O516" i="10"/>
  <c r="O517" i="10"/>
  <c r="O518" i="10"/>
  <c r="O519" i="10"/>
  <c r="O520" i="10"/>
  <c r="O521" i="10"/>
  <c r="O522" i="10"/>
  <c r="O523" i="10"/>
  <c r="O524" i="10"/>
  <c r="O525" i="10"/>
  <c r="O526" i="10"/>
  <c r="O527" i="10"/>
  <c r="O528" i="10"/>
  <c r="O529" i="10"/>
  <c r="O530" i="10"/>
  <c r="O531" i="10"/>
  <c r="O532" i="10"/>
  <c r="O533" i="10"/>
  <c r="O534" i="10"/>
  <c r="O535" i="10"/>
  <c r="O536" i="10"/>
  <c r="O537" i="10"/>
  <c r="O538" i="10"/>
  <c r="O539" i="10"/>
  <c r="O540" i="10"/>
  <c r="O541" i="10"/>
  <c r="O542" i="10"/>
  <c r="O543" i="10"/>
  <c r="O544" i="10"/>
  <c r="O545" i="10"/>
  <c r="O546" i="10"/>
  <c r="O547" i="10"/>
  <c r="O548" i="10"/>
  <c r="O549" i="10"/>
  <c r="O550" i="10"/>
  <c r="O551" i="10"/>
  <c r="O552" i="10"/>
  <c r="O553" i="10"/>
  <c r="O554" i="10"/>
  <c r="O555" i="10"/>
  <c r="O556" i="10"/>
  <c r="O557" i="10"/>
  <c r="O558" i="10"/>
  <c r="O559" i="10"/>
  <c r="O560" i="10"/>
  <c r="O561" i="10"/>
  <c r="O562" i="10"/>
  <c r="O563" i="10"/>
  <c r="O564" i="10"/>
  <c r="O565" i="10"/>
  <c r="O566" i="10"/>
  <c r="O567" i="10"/>
  <c r="O568" i="10"/>
  <c r="O569" i="10"/>
  <c r="O570" i="10"/>
  <c r="O571" i="10"/>
  <c r="O572" i="10"/>
  <c r="O573" i="10"/>
  <c r="O574" i="10"/>
  <c r="O575" i="10"/>
  <c r="O576" i="10"/>
  <c r="O577" i="10"/>
  <c r="O578" i="10"/>
  <c r="O579" i="10"/>
  <c r="O580" i="10"/>
  <c r="O581" i="10"/>
  <c r="O582" i="10"/>
  <c r="O583" i="10"/>
  <c r="O584" i="10"/>
  <c r="O585" i="10"/>
  <c r="O586" i="10"/>
  <c r="O587" i="10"/>
  <c r="O588" i="10"/>
  <c r="O589" i="10"/>
  <c r="O590" i="10"/>
  <c r="O591" i="10"/>
  <c r="O592" i="10"/>
  <c r="O593" i="10"/>
  <c r="O594" i="10"/>
  <c r="O595" i="10"/>
  <c r="O596" i="10"/>
  <c r="O597" i="10"/>
  <c r="O598" i="10"/>
  <c r="O599" i="10"/>
  <c r="O600" i="10"/>
  <c r="O601" i="10"/>
  <c r="O602" i="10"/>
  <c r="O603" i="10"/>
  <c r="O604" i="10"/>
  <c r="O605" i="10"/>
  <c r="O606" i="10"/>
  <c r="O607" i="10"/>
  <c r="O608" i="10"/>
  <c r="O609" i="10"/>
  <c r="O610" i="10"/>
  <c r="O611" i="10"/>
  <c r="O612" i="10"/>
  <c r="O613" i="10"/>
  <c r="O614" i="10"/>
  <c r="O615" i="10"/>
  <c r="O616" i="10"/>
  <c r="O617" i="10"/>
  <c r="O618" i="10"/>
  <c r="O619" i="10"/>
  <c r="O620" i="10"/>
  <c r="O621" i="10"/>
  <c r="O622" i="10"/>
  <c r="O623" i="10"/>
  <c r="O624" i="10"/>
  <c r="O625" i="10"/>
  <c r="O626" i="10"/>
  <c r="O627" i="10"/>
  <c r="O628" i="10"/>
  <c r="O629" i="10"/>
  <c r="O630" i="10"/>
  <c r="O631" i="10"/>
  <c r="O632" i="10"/>
  <c r="O633" i="10"/>
  <c r="O634" i="10"/>
  <c r="O635" i="10"/>
  <c r="O636" i="10"/>
  <c r="O637" i="10"/>
  <c r="O638" i="10"/>
  <c r="O639" i="10"/>
  <c r="O640" i="10"/>
  <c r="O641" i="10"/>
  <c r="O642" i="10"/>
  <c r="O643" i="10"/>
  <c r="O644" i="10"/>
  <c r="O645" i="10"/>
  <c r="O646" i="10"/>
  <c r="O647" i="10"/>
  <c r="O648" i="10"/>
  <c r="O649" i="10"/>
  <c r="O650" i="10"/>
  <c r="O651" i="10"/>
  <c r="O652" i="10"/>
  <c r="O653" i="10"/>
  <c r="O654" i="10"/>
  <c r="O655" i="10"/>
  <c r="O656" i="10"/>
  <c r="O657" i="10"/>
  <c r="O658" i="10"/>
  <c r="O659" i="10"/>
  <c r="O660" i="10"/>
  <c r="O661" i="10"/>
  <c r="O662" i="10"/>
  <c r="O663" i="10"/>
  <c r="O664" i="10"/>
  <c r="O665" i="10"/>
  <c r="O666" i="10"/>
  <c r="O667" i="10"/>
  <c r="O668" i="10"/>
  <c r="O669" i="10"/>
  <c r="O670" i="10"/>
  <c r="O671" i="10"/>
  <c r="O672" i="10"/>
  <c r="O673" i="10"/>
  <c r="O674" i="10"/>
  <c r="O675" i="10"/>
  <c r="O676" i="10"/>
  <c r="O677" i="10"/>
  <c r="O678" i="10"/>
  <c r="O679" i="10"/>
  <c r="O680" i="10"/>
  <c r="O681" i="10"/>
  <c r="O682" i="10"/>
  <c r="O683" i="10"/>
  <c r="O684" i="10"/>
  <c r="O685" i="10"/>
  <c r="O686" i="10"/>
  <c r="O687" i="10"/>
  <c r="O688" i="10"/>
  <c r="O689" i="10"/>
  <c r="O690" i="10"/>
  <c r="O691" i="10"/>
  <c r="O692" i="10"/>
  <c r="O693" i="10"/>
  <c r="O694" i="10"/>
  <c r="O695" i="10"/>
  <c r="O696" i="10"/>
  <c r="O697" i="10"/>
  <c r="O698" i="10"/>
  <c r="O699" i="10"/>
  <c r="O700" i="10"/>
  <c r="O701" i="10"/>
  <c r="O702" i="10"/>
  <c r="O703" i="10"/>
  <c r="O704" i="10"/>
  <c r="O705" i="10"/>
  <c r="O706" i="10"/>
  <c r="O707" i="10"/>
  <c r="O708" i="10"/>
  <c r="O709" i="10"/>
  <c r="O710" i="10"/>
  <c r="O711" i="10"/>
  <c r="O712" i="10"/>
  <c r="O713" i="10"/>
  <c r="O714" i="10"/>
  <c r="O715" i="10"/>
  <c r="O716" i="10"/>
  <c r="O717" i="10"/>
  <c r="O718" i="10"/>
  <c r="O719" i="10"/>
  <c r="O720" i="10"/>
  <c r="O721" i="10"/>
  <c r="O722" i="10"/>
  <c r="O723" i="10"/>
  <c r="O724" i="10"/>
  <c r="O725" i="10"/>
  <c r="O726" i="10"/>
  <c r="O727" i="10"/>
  <c r="O728" i="10"/>
  <c r="O729" i="10"/>
  <c r="O730" i="10"/>
  <c r="O731" i="10"/>
  <c r="O732" i="10"/>
  <c r="O733" i="10"/>
  <c r="O734" i="10"/>
  <c r="O735" i="10"/>
  <c r="O736" i="10"/>
  <c r="O737" i="10"/>
  <c r="O738" i="10"/>
  <c r="O739" i="10"/>
  <c r="O740" i="10"/>
  <c r="O741" i="10"/>
  <c r="O742" i="10"/>
  <c r="O743" i="10"/>
  <c r="O744" i="10"/>
  <c r="O745" i="10"/>
  <c r="O746" i="10"/>
  <c r="O747" i="10"/>
  <c r="O748" i="10"/>
  <c r="O749" i="10"/>
  <c r="O750" i="10"/>
  <c r="O751" i="10"/>
  <c r="O752" i="10"/>
  <c r="O753" i="10"/>
  <c r="O754" i="10"/>
  <c r="O755" i="10"/>
  <c r="O756" i="10"/>
  <c r="O757" i="10"/>
  <c r="O758" i="10"/>
  <c r="O759" i="10"/>
  <c r="O760" i="10"/>
  <c r="O761" i="10"/>
  <c r="O762" i="10"/>
  <c r="O763" i="10"/>
  <c r="O764" i="10"/>
  <c r="O765" i="10"/>
  <c r="O766" i="10"/>
  <c r="O767" i="10"/>
  <c r="O768" i="10"/>
  <c r="O769" i="10"/>
  <c r="O770" i="10"/>
  <c r="O771" i="10"/>
  <c r="O772" i="10"/>
  <c r="O773" i="10"/>
  <c r="O774" i="10"/>
  <c r="O775" i="10"/>
  <c r="O776" i="10"/>
  <c r="O777" i="10"/>
  <c r="O778" i="10"/>
  <c r="O779" i="10"/>
  <c r="O780" i="10"/>
  <c r="O781" i="10"/>
  <c r="O782" i="10"/>
  <c r="O783" i="10"/>
  <c r="O784" i="10"/>
  <c r="O785" i="10"/>
  <c r="O786" i="10"/>
  <c r="O787" i="10"/>
  <c r="O788" i="10"/>
  <c r="P2" i="10"/>
  <c r="O2" i="10"/>
  <c r="P3" i="9"/>
  <c r="P4" i="9"/>
  <c r="P5" i="9"/>
  <c r="P6" i="9"/>
  <c r="P7" i="9"/>
  <c r="P8" i="9"/>
  <c r="P9" i="9"/>
  <c r="P10" i="9"/>
  <c r="P11" i="9"/>
  <c r="P12" i="9"/>
  <c r="P13" i="9"/>
  <c r="P14" i="9"/>
  <c r="P15" i="9"/>
  <c r="P16" i="9"/>
  <c r="P17" i="9"/>
  <c r="P18" i="9"/>
  <c r="P19" i="9"/>
  <c r="P20" i="9"/>
  <c r="P21" i="9"/>
  <c r="P22" i="9"/>
  <c r="P23" i="9"/>
  <c r="P24" i="9"/>
  <c r="P25" i="9"/>
  <c r="P26" i="9"/>
  <c r="P27" i="9"/>
  <c r="P28" i="9"/>
  <c r="P29" i="9"/>
  <c r="P30" i="9"/>
  <c r="P31" i="9"/>
  <c r="P32" i="9"/>
  <c r="P33" i="9"/>
  <c r="P34" i="9"/>
  <c r="P35" i="9"/>
  <c r="P36" i="9"/>
  <c r="P37" i="9"/>
  <c r="P38" i="9"/>
  <c r="P39" i="9"/>
  <c r="P40" i="9"/>
  <c r="P41" i="9"/>
  <c r="P42" i="9"/>
  <c r="P43" i="9"/>
  <c r="P44" i="9"/>
  <c r="P45" i="9"/>
  <c r="P46" i="9"/>
  <c r="P47" i="9"/>
  <c r="P48" i="9"/>
  <c r="P49" i="9"/>
  <c r="P50" i="9"/>
  <c r="P51" i="9"/>
  <c r="P52" i="9"/>
  <c r="P53" i="9"/>
  <c r="P54" i="9"/>
  <c r="P55" i="9"/>
  <c r="P56" i="9"/>
  <c r="P57" i="9"/>
  <c r="P58" i="9"/>
  <c r="P59" i="9"/>
  <c r="P60" i="9"/>
  <c r="P61" i="9"/>
  <c r="P62" i="9"/>
  <c r="P63" i="9"/>
  <c r="P64" i="9"/>
  <c r="P65" i="9"/>
  <c r="P66" i="9"/>
  <c r="P67" i="9"/>
  <c r="P68" i="9"/>
  <c r="P69" i="9"/>
  <c r="P70" i="9"/>
  <c r="P71" i="9"/>
  <c r="P72" i="9"/>
  <c r="P73" i="9"/>
  <c r="P74" i="9"/>
  <c r="P75" i="9"/>
  <c r="P76" i="9"/>
  <c r="P77" i="9"/>
  <c r="P78" i="9"/>
  <c r="P79" i="9"/>
  <c r="P80" i="9"/>
  <c r="P81" i="9"/>
  <c r="P82" i="9"/>
  <c r="P83" i="9"/>
  <c r="P84" i="9"/>
  <c r="P85" i="9"/>
  <c r="P86" i="9"/>
  <c r="P87" i="9"/>
  <c r="P88" i="9"/>
  <c r="P89" i="9"/>
  <c r="P90" i="9"/>
  <c r="P91" i="9"/>
  <c r="P92" i="9"/>
  <c r="P93" i="9"/>
  <c r="P94" i="9"/>
  <c r="P95" i="9"/>
  <c r="P96" i="9"/>
  <c r="P97" i="9"/>
  <c r="P98" i="9"/>
  <c r="P99" i="9"/>
  <c r="P100" i="9"/>
  <c r="P101" i="9"/>
  <c r="P102" i="9"/>
  <c r="P103" i="9"/>
  <c r="P104" i="9"/>
  <c r="P105" i="9"/>
  <c r="P106" i="9"/>
  <c r="P107" i="9"/>
  <c r="P108" i="9"/>
  <c r="P109" i="9"/>
  <c r="P110" i="9"/>
  <c r="P111" i="9"/>
  <c r="P112" i="9"/>
  <c r="P113" i="9"/>
  <c r="P114" i="9"/>
  <c r="P115" i="9"/>
  <c r="P116" i="9"/>
  <c r="P117" i="9"/>
  <c r="P118" i="9"/>
  <c r="P119" i="9"/>
  <c r="P120" i="9"/>
  <c r="P121" i="9"/>
  <c r="P122" i="9"/>
  <c r="P123" i="9"/>
  <c r="P124" i="9"/>
  <c r="P125" i="9"/>
  <c r="P126" i="9"/>
  <c r="P127" i="9"/>
  <c r="P128" i="9"/>
  <c r="P129" i="9"/>
  <c r="P130" i="9"/>
  <c r="P131" i="9"/>
  <c r="P132" i="9"/>
  <c r="P133" i="9"/>
  <c r="P134" i="9"/>
  <c r="P135" i="9"/>
  <c r="P136" i="9"/>
  <c r="P137" i="9"/>
  <c r="P138" i="9"/>
  <c r="P139" i="9"/>
  <c r="P140" i="9"/>
  <c r="P141" i="9"/>
  <c r="P142" i="9"/>
  <c r="P143" i="9"/>
  <c r="P144" i="9"/>
  <c r="P145" i="9"/>
  <c r="P146" i="9"/>
  <c r="P147" i="9"/>
  <c r="P148" i="9"/>
  <c r="P149" i="9"/>
  <c r="P150" i="9"/>
  <c r="P151" i="9"/>
  <c r="P152" i="9"/>
  <c r="P153" i="9"/>
  <c r="P154" i="9"/>
  <c r="P155" i="9"/>
  <c r="P156" i="9"/>
  <c r="P157" i="9"/>
  <c r="P158" i="9"/>
  <c r="P159" i="9"/>
  <c r="P160" i="9"/>
  <c r="P161" i="9"/>
  <c r="P162" i="9"/>
  <c r="P163" i="9"/>
  <c r="P164" i="9"/>
  <c r="P165" i="9"/>
  <c r="P166" i="9"/>
  <c r="P167" i="9"/>
  <c r="P168" i="9"/>
  <c r="P169" i="9"/>
  <c r="P170" i="9"/>
  <c r="P171" i="9"/>
  <c r="P172" i="9"/>
  <c r="P173" i="9"/>
  <c r="P174" i="9"/>
  <c r="P175" i="9"/>
  <c r="P176" i="9"/>
  <c r="P177" i="9"/>
  <c r="P178" i="9"/>
  <c r="P179" i="9"/>
  <c r="P180" i="9"/>
  <c r="P181" i="9"/>
  <c r="P182" i="9"/>
  <c r="P183" i="9"/>
  <c r="P184" i="9"/>
  <c r="P185" i="9"/>
  <c r="P186" i="9"/>
  <c r="P187" i="9"/>
  <c r="P188" i="9"/>
  <c r="P189" i="9"/>
  <c r="P190" i="9"/>
  <c r="P191" i="9"/>
  <c r="P192" i="9"/>
  <c r="P193" i="9"/>
  <c r="P194" i="9"/>
  <c r="P195" i="9"/>
  <c r="P196" i="9"/>
  <c r="P197" i="9"/>
  <c r="P198" i="9"/>
  <c r="P199" i="9"/>
  <c r="P200" i="9"/>
  <c r="P201" i="9"/>
  <c r="P202" i="9"/>
  <c r="P203" i="9"/>
  <c r="P204" i="9"/>
  <c r="P205" i="9"/>
  <c r="P2" i="9"/>
  <c r="C31" i="5" l="1"/>
  <c r="D34" i="5"/>
  <c r="B31" i="5"/>
  <c r="C34" i="5"/>
  <c r="B34" i="5"/>
  <c r="B37" i="5"/>
  <c r="C37" i="5"/>
  <c r="K37" i="5"/>
  <c r="I37" i="5"/>
  <c r="G37" i="5"/>
  <c r="H37" i="5"/>
  <c r="E37" i="5"/>
  <c r="J37" i="5"/>
  <c r="L37" i="5"/>
  <c r="F37" i="5"/>
  <c r="D37" i="5" l="1"/>
</calcChain>
</file>

<file path=xl/sharedStrings.xml><?xml version="1.0" encoding="utf-8"?>
<sst xmlns="http://schemas.openxmlformats.org/spreadsheetml/2006/main" count="9214" uniqueCount="869">
  <si>
    <t>Row_Number</t>
  </si>
  <si>
    <t>Customer_ID</t>
  </si>
  <si>
    <t>Last_Name</t>
  </si>
  <si>
    <t>Credit Score</t>
  </si>
  <si>
    <t>Country</t>
  </si>
  <si>
    <t>Gender</t>
  </si>
  <si>
    <t>Age</t>
  </si>
  <si>
    <t>Tenure</t>
  </si>
  <si>
    <t>Balance</t>
  </si>
  <si>
    <t>NumOfProducts</t>
  </si>
  <si>
    <t>HasCrCard?</t>
  </si>
  <si>
    <t>IsActiveMember</t>
  </si>
  <si>
    <t>Estimated Salary</t>
  </si>
  <si>
    <t>ExitedFromBank?</t>
  </si>
  <si>
    <t>Hargrave</t>
  </si>
  <si>
    <t>France</t>
  </si>
  <si>
    <t>Female</t>
  </si>
  <si>
    <t>Hill</t>
  </si>
  <si>
    <t>Spain</t>
  </si>
  <si>
    <t>Onio</t>
  </si>
  <si>
    <t>Boni</t>
  </si>
  <si>
    <t>Mitchell</t>
  </si>
  <si>
    <t>Chu</t>
  </si>
  <si>
    <t>Male</t>
  </si>
  <si>
    <t>Bartlett</t>
  </si>
  <si>
    <t>Obinna</t>
  </si>
  <si>
    <t>Germany</t>
  </si>
  <si>
    <t>He</t>
  </si>
  <si>
    <t>H?</t>
  </si>
  <si>
    <t>Bearce</t>
  </si>
  <si>
    <t>Andrews</t>
  </si>
  <si>
    <t>Kay</t>
  </si>
  <si>
    <t>Chin</t>
  </si>
  <si>
    <t>Scott</t>
  </si>
  <si>
    <t>Goforth</t>
  </si>
  <si>
    <t>Romeo</t>
  </si>
  <si>
    <t>Henderson</t>
  </si>
  <si>
    <t>Muldrow</t>
  </si>
  <si>
    <t>Hao</t>
  </si>
  <si>
    <t>McDonald</t>
  </si>
  <si>
    <t>Dellucci</t>
  </si>
  <si>
    <t>Gerasimov</t>
  </si>
  <si>
    <t>Mosman</t>
  </si>
  <si>
    <t>Yen</t>
  </si>
  <si>
    <t>Maclean</t>
  </si>
  <si>
    <t>Young</t>
  </si>
  <si>
    <t>Nebechi</t>
  </si>
  <si>
    <t>McWilliams</t>
  </si>
  <si>
    <t>Lucciano</t>
  </si>
  <si>
    <t>Azikiwe</t>
  </si>
  <si>
    <t>Odinakachukwu</t>
  </si>
  <si>
    <t>Sanderson</t>
  </si>
  <si>
    <t>Maggard</t>
  </si>
  <si>
    <t>Clements</t>
  </si>
  <si>
    <t>Lombardo</t>
  </si>
  <si>
    <t>Watson</t>
  </si>
  <si>
    <t>Lorenzo</t>
  </si>
  <si>
    <t>Armstrong</t>
  </si>
  <si>
    <t>Cameron</t>
  </si>
  <si>
    <t>Hsiao</t>
  </si>
  <si>
    <t>Clarke</t>
  </si>
  <si>
    <t>Osborne</t>
  </si>
  <si>
    <t>Lavine</t>
  </si>
  <si>
    <t>Bianchi</t>
  </si>
  <si>
    <t>Tyler</t>
  </si>
  <si>
    <t>Martin</t>
  </si>
  <si>
    <t>Okagbue</t>
  </si>
  <si>
    <t>Yin</t>
  </si>
  <si>
    <t>Buccho</t>
  </si>
  <si>
    <t>Chidiebele</t>
  </si>
  <si>
    <t>Trevisani</t>
  </si>
  <si>
    <t>O'Brien</t>
  </si>
  <si>
    <t>Parkhill</t>
  </si>
  <si>
    <t>Yoo</t>
  </si>
  <si>
    <t>Phillipps</t>
  </si>
  <si>
    <t>Tsao</t>
  </si>
  <si>
    <t>Endrizzi</t>
  </si>
  <si>
    <t>T'ien</t>
  </si>
  <si>
    <t>Velazquez</t>
  </si>
  <si>
    <t>Hunter</t>
  </si>
  <si>
    <t>Clark</t>
  </si>
  <si>
    <t>Jeffrey</t>
  </si>
  <si>
    <t>Pirozzi</t>
  </si>
  <si>
    <t>Jackson</t>
  </si>
  <si>
    <t>Hammond</t>
  </si>
  <si>
    <t>Brownless</t>
  </si>
  <si>
    <t>Chibugo</t>
  </si>
  <si>
    <t>Glauert</t>
  </si>
  <si>
    <t>Pisano</t>
  </si>
  <si>
    <t>Konovalova</t>
  </si>
  <si>
    <t>McKee</t>
  </si>
  <si>
    <t>Palermo</t>
  </si>
  <si>
    <t>Ballard</t>
  </si>
  <si>
    <t>Wallace</t>
  </si>
  <si>
    <t>Cavenagh</t>
  </si>
  <si>
    <t>Hu</t>
  </si>
  <si>
    <t>Read</t>
  </si>
  <si>
    <t>Bushell</t>
  </si>
  <si>
    <t>Postle</t>
  </si>
  <si>
    <t>Buley</t>
  </si>
  <si>
    <t>Leonard</t>
  </si>
  <si>
    <t>Mills</t>
  </si>
  <si>
    <t>Onyeorulu</t>
  </si>
  <si>
    <t>Beit</t>
  </si>
  <si>
    <t>Ndukaku</t>
  </si>
  <si>
    <t>Gant</t>
  </si>
  <si>
    <t>Rowley</t>
  </si>
  <si>
    <t>Sharpe</t>
  </si>
  <si>
    <t>Heap</t>
  </si>
  <si>
    <t>Ritchie</t>
  </si>
  <si>
    <t>Cole</t>
  </si>
  <si>
    <t>Capon</t>
  </si>
  <si>
    <t>Fiorentini</t>
  </si>
  <si>
    <t>Graham</t>
  </si>
  <si>
    <t>Yuille</t>
  </si>
  <si>
    <t>Allard</t>
  </si>
  <si>
    <t>Fanucci</t>
  </si>
  <si>
    <t>Fu</t>
  </si>
  <si>
    <t>Hung</t>
  </si>
  <si>
    <t>Bradley</t>
  </si>
  <si>
    <t>Dunbabin</t>
  </si>
  <si>
    <t>Mauldon</t>
  </si>
  <si>
    <t>Stiger</t>
  </si>
  <si>
    <t>Parsons</t>
  </si>
  <si>
    <t>Walkom</t>
  </si>
  <si>
    <t>T'ang</t>
  </si>
  <si>
    <t>Eremenko</t>
  </si>
  <si>
    <t>Rowntree</t>
  </si>
  <si>
    <t>Thorpe</t>
  </si>
  <si>
    <t>Chiemela</t>
  </si>
  <si>
    <t>Ko</t>
  </si>
  <si>
    <t>Welch</t>
  </si>
  <si>
    <t>Duncan</t>
  </si>
  <si>
    <t>Chidozie</t>
  </si>
  <si>
    <t>Wu</t>
  </si>
  <si>
    <t>Culbreth</t>
  </si>
  <si>
    <t>Kennedy</t>
  </si>
  <si>
    <t>Calabresi</t>
  </si>
  <si>
    <t>Zetticci</t>
  </si>
  <si>
    <t>Fuller</t>
  </si>
  <si>
    <t>MacDonald</t>
  </si>
  <si>
    <t>Piccio</t>
  </si>
  <si>
    <t>Fernie</t>
  </si>
  <si>
    <t>Kaodilinakachukwu</t>
  </si>
  <si>
    <t>Cocci</t>
  </si>
  <si>
    <t>Alekseeva</t>
  </si>
  <si>
    <t>Chinweike</t>
  </si>
  <si>
    <t>Arthur</t>
  </si>
  <si>
    <t>Li</t>
  </si>
  <si>
    <t>Ma</t>
  </si>
  <si>
    <t>Chia</t>
  </si>
  <si>
    <t>Vasin</t>
  </si>
  <si>
    <t>Groves</t>
  </si>
  <si>
    <t>Tien</t>
  </si>
  <si>
    <t>Forwood</t>
  </si>
  <si>
    <t>Greeves</t>
  </si>
  <si>
    <t>Taylor</t>
  </si>
  <si>
    <t>Madukwe</t>
  </si>
  <si>
    <t>Bennelong</t>
  </si>
  <si>
    <t>Olisanugo</t>
  </si>
  <si>
    <t>Chukwufumnanya</t>
  </si>
  <si>
    <t>Harris</t>
  </si>
  <si>
    <t>Morgan</t>
  </si>
  <si>
    <t>Alexeeva</t>
  </si>
  <si>
    <t>Metcalfe</t>
  </si>
  <si>
    <t>Humphries</t>
  </si>
  <si>
    <t>Milne</t>
  </si>
  <si>
    <t>Chou</t>
  </si>
  <si>
    <t>Clayton</t>
  </si>
  <si>
    <t>Chigolum</t>
  </si>
  <si>
    <t>Wilkinson</t>
  </si>
  <si>
    <t>Wei</t>
  </si>
  <si>
    <t>Treacy</t>
  </si>
  <si>
    <t>Taverner</t>
  </si>
  <si>
    <t>Sherman</t>
  </si>
  <si>
    <t>Taubman</t>
  </si>
  <si>
    <t>Robinson</t>
  </si>
  <si>
    <t>Pinto</t>
  </si>
  <si>
    <t>Wood</t>
  </si>
  <si>
    <t>Hawkins</t>
  </si>
  <si>
    <t>Sun</t>
  </si>
  <si>
    <t>Yost</t>
  </si>
  <si>
    <t>Ting</t>
  </si>
  <si>
    <t>Rowe</t>
  </si>
  <si>
    <t>Ho</t>
  </si>
  <si>
    <t>Okechukwu</t>
  </si>
  <si>
    <t>Campbell</t>
  </si>
  <si>
    <t>Ashbolt</t>
  </si>
  <si>
    <t>Rozier</t>
  </si>
  <si>
    <t>Hsia</t>
  </si>
  <si>
    <t>Ogbonnaya</t>
  </si>
  <si>
    <t>Chang</t>
  </si>
  <si>
    <t>T'ao</t>
  </si>
  <si>
    <t>Ford</t>
  </si>
  <si>
    <t>Marshall</t>
  </si>
  <si>
    <t>Tsai</t>
  </si>
  <si>
    <t>Onwumelu</t>
  </si>
  <si>
    <t>Golovanov</t>
  </si>
  <si>
    <t>Potts</t>
  </si>
  <si>
    <t>Crawford</t>
  </si>
  <si>
    <t>Aleshire</t>
  </si>
  <si>
    <t>Moran</t>
  </si>
  <si>
    <t>Samsonova</t>
  </si>
  <si>
    <t>Jenkins</t>
  </si>
  <si>
    <t>Volkov</t>
  </si>
  <si>
    <t>Chiemezie</t>
  </si>
  <si>
    <t>Jude</t>
  </si>
  <si>
    <t>Onuora</t>
  </si>
  <si>
    <t>Ginikanwa</t>
  </si>
  <si>
    <t>Ku</t>
  </si>
  <si>
    <t>Collins</t>
  </si>
  <si>
    <t>Hackett</t>
  </si>
  <si>
    <t>Dike</t>
  </si>
  <si>
    <t>Tan</t>
  </si>
  <si>
    <t>Glassman</t>
  </si>
  <si>
    <t>Miller</t>
  </si>
  <si>
    <t>Kornilova</t>
  </si>
  <si>
    <t>Marchesi</t>
  </si>
  <si>
    <t>Millar</t>
  </si>
  <si>
    <t>Shih</t>
  </si>
  <si>
    <t>Hay</t>
  </si>
  <si>
    <t>Yang</t>
  </si>
  <si>
    <t>McIntyre</t>
  </si>
  <si>
    <t>Stevenson</t>
  </si>
  <si>
    <t>Poole</t>
  </si>
  <si>
    <t>Bagley</t>
  </si>
  <si>
    <t>Ch'ien</t>
  </si>
  <si>
    <t>Cattaneo</t>
  </si>
  <si>
    <t>O'Sullivan</t>
  </si>
  <si>
    <t>Lucas</t>
  </si>
  <si>
    <t>Ringrose</t>
  </si>
  <si>
    <t>Freeman</t>
  </si>
  <si>
    <t>Sergeyev</t>
  </si>
  <si>
    <t>Fiore</t>
  </si>
  <si>
    <t>Smith</t>
  </si>
  <si>
    <t>Dumetochukwu</t>
  </si>
  <si>
    <t>Pacheco</t>
  </si>
  <si>
    <t>Synnot</t>
  </si>
  <si>
    <t>Johnston</t>
  </si>
  <si>
    <t>Stevens</t>
  </si>
  <si>
    <t>Grant</t>
  </si>
  <si>
    <t>Barnes</t>
  </si>
  <si>
    <t>McIntosh</t>
  </si>
  <si>
    <t>Madison</t>
  </si>
  <si>
    <t>Ifesinachi</t>
  </si>
  <si>
    <t>Glazkov</t>
  </si>
  <si>
    <t>Dimauro</t>
  </si>
  <si>
    <t>Wieck</t>
  </si>
  <si>
    <t>Liao</t>
  </si>
  <si>
    <t>Hughes</t>
  </si>
  <si>
    <t>Morrison</t>
  </si>
  <si>
    <t>Matveyeva</t>
  </si>
  <si>
    <t>Cheatham</t>
  </si>
  <si>
    <t>Yao</t>
  </si>
  <si>
    <t>Kirkland</t>
  </si>
  <si>
    <t>Rose</t>
  </si>
  <si>
    <t>Jess</t>
  </si>
  <si>
    <t>Ifeajuna</t>
  </si>
  <si>
    <t>Morton</t>
  </si>
  <si>
    <t>Rossi</t>
  </si>
  <si>
    <t>Reppert</t>
  </si>
  <si>
    <t>Kang</t>
  </si>
  <si>
    <t>Ch'iu</t>
  </si>
  <si>
    <t>Wallis</t>
  </si>
  <si>
    <t>Fielding</t>
  </si>
  <si>
    <t>Dulhunty</t>
  </si>
  <si>
    <t>Bevington</t>
  </si>
  <si>
    <t>Boyle</t>
  </si>
  <si>
    <t>Newton</t>
  </si>
  <si>
    <t>Bowman</t>
  </si>
  <si>
    <t>Dubinina</t>
  </si>
  <si>
    <t>Toscani</t>
  </si>
  <si>
    <t>Chiazagomekpere</t>
  </si>
  <si>
    <t>Allen</t>
  </si>
  <si>
    <t>K'ung</t>
  </si>
  <si>
    <t>Wilsmore</t>
  </si>
  <si>
    <t>Hargreaves</t>
  </si>
  <si>
    <t>Huang</t>
  </si>
  <si>
    <t>Wallwork</t>
  </si>
  <si>
    <t>Davidson</t>
  </si>
  <si>
    <t>O'Donnell</t>
  </si>
  <si>
    <t>Nnachetam</t>
  </si>
  <si>
    <t>Ahmed</t>
  </si>
  <si>
    <t>Booth</t>
  </si>
  <si>
    <t>Chuang</t>
  </si>
  <si>
    <t>Shao</t>
  </si>
  <si>
    <t>Johnson</t>
  </si>
  <si>
    <t>French</t>
  </si>
  <si>
    <t>Efremov</t>
  </si>
  <si>
    <t>Hartley</t>
  </si>
  <si>
    <t>Calabrese</t>
  </si>
  <si>
    <t>Chiu</t>
  </si>
  <si>
    <t>Brennan</t>
  </si>
  <si>
    <t>Onwuatuegwu</t>
  </si>
  <si>
    <t>Hewitt</t>
  </si>
  <si>
    <t>Balashov</t>
  </si>
  <si>
    <t>Doyle</t>
  </si>
  <si>
    <t>Pokrovskii</t>
  </si>
  <si>
    <t>Russo</t>
  </si>
  <si>
    <t>Skinner</t>
  </si>
  <si>
    <t>Robertson</t>
  </si>
  <si>
    <t>Atkinson</t>
  </si>
  <si>
    <t>McEncroe</t>
  </si>
  <si>
    <t>Pearson</t>
  </si>
  <si>
    <t>Gordon</t>
  </si>
  <si>
    <t>Ts'ai</t>
  </si>
  <si>
    <t>Lung</t>
  </si>
  <si>
    <t>Yuan</t>
  </si>
  <si>
    <t>Pardey</t>
  </si>
  <si>
    <t>Tai</t>
  </si>
  <si>
    <t>Mazzanti</t>
  </si>
  <si>
    <t>L?</t>
  </si>
  <si>
    <t>Beach</t>
  </si>
  <si>
    <t>Hsieh</t>
  </si>
  <si>
    <t>Faulkner</t>
  </si>
  <si>
    <t>Knowles</t>
  </si>
  <si>
    <t>Day</t>
  </si>
  <si>
    <t>Hsueh</t>
  </si>
  <si>
    <t>Nwabugwu</t>
  </si>
  <si>
    <t>Kerr</t>
  </si>
  <si>
    <t>Marrero</t>
  </si>
  <si>
    <t>White</t>
  </si>
  <si>
    <t>Brown</t>
  </si>
  <si>
    <t>Russell</t>
  </si>
  <si>
    <t>Seleznyov</t>
  </si>
  <si>
    <t>Yusupova</t>
  </si>
  <si>
    <t>Foley</t>
  </si>
  <si>
    <t>Ikedinachukwu</t>
  </si>
  <si>
    <t>Power</t>
  </si>
  <si>
    <t>Amos</t>
  </si>
  <si>
    <t>Reed</t>
  </si>
  <si>
    <t>Simmons</t>
  </si>
  <si>
    <t>Ricci</t>
  </si>
  <si>
    <t>West</t>
  </si>
  <si>
    <t>Chen</t>
  </si>
  <si>
    <t>Madukaego</t>
  </si>
  <si>
    <t>Ibrahimova</t>
  </si>
  <si>
    <t>Nolan</t>
  </si>
  <si>
    <t>Blair</t>
  </si>
  <si>
    <t>Monaldo</t>
  </si>
  <si>
    <t>Sutherland</t>
  </si>
  <si>
    <t>Briggs</t>
  </si>
  <si>
    <t>Gregory</t>
  </si>
  <si>
    <t>Angelo</t>
  </si>
  <si>
    <t>Gardiner</t>
  </si>
  <si>
    <t>Distefano</t>
  </si>
  <si>
    <t>Farrell</t>
  </si>
  <si>
    <t>Milano</t>
  </si>
  <si>
    <t>Boyd</t>
  </si>
  <si>
    <t>Onyemaechi</t>
  </si>
  <si>
    <t>Black</t>
  </si>
  <si>
    <t>Oliver</t>
  </si>
  <si>
    <t>Greco</t>
  </si>
  <si>
    <t>Whitehead</t>
  </si>
  <si>
    <t>Ikemefuna</t>
  </si>
  <si>
    <t>Onyeoruru</t>
  </si>
  <si>
    <t>Cunningham</t>
  </si>
  <si>
    <t>Demidov</t>
  </si>
  <si>
    <t>Celis</t>
  </si>
  <si>
    <t>Cheng</t>
  </si>
  <si>
    <t>Knight</t>
  </si>
  <si>
    <t>Morin</t>
  </si>
  <si>
    <t>Outhwaite</t>
  </si>
  <si>
    <t>Tung</t>
  </si>
  <si>
    <t>Pai</t>
  </si>
  <si>
    <t>Carpenter</t>
  </si>
  <si>
    <t>Fennell</t>
  </si>
  <si>
    <t>Fontaine</t>
  </si>
  <si>
    <t>Pratt</t>
  </si>
  <si>
    <t>Franklin</t>
  </si>
  <si>
    <t>McKenzie</t>
  </si>
  <si>
    <t>Pino</t>
  </si>
  <si>
    <t>Fisk</t>
  </si>
  <si>
    <t>Chiang</t>
  </si>
  <si>
    <t>Moseley</t>
  </si>
  <si>
    <t>Hsiung</t>
  </si>
  <si>
    <t>Heath</t>
  </si>
  <si>
    <t>De Salis</t>
  </si>
  <si>
    <t>Richardson</t>
  </si>
  <si>
    <t>Fitch</t>
  </si>
  <si>
    <t>Estes</t>
  </si>
  <si>
    <t>Lattimore</t>
  </si>
  <si>
    <t>Chung</t>
  </si>
  <si>
    <t>Utz</t>
  </si>
  <si>
    <t>Nwachinemelu</t>
  </si>
  <si>
    <t>Kuznetsova</t>
  </si>
  <si>
    <t>Pisani</t>
  </si>
  <si>
    <t>Manna</t>
  </si>
  <si>
    <t>Collier</t>
  </si>
  <si>
    <t>Carr</t>
  </si>
  <si>
    <t>Hs?</t>
  </si>
  <si>
    <t>Findlay</t>
  </si>
  <si>
    <t>Chukwuemeka</t>
  </si>
  <si>
    <t>Genovese</t>
  </si>
  <si>
    <t>Swift</t>
  </si>
  <si>
    <t>Ugoji</t>
  </si>
  <si>
    <t>Parkinson</t>
  </si>
  <si>
    <t>Ross</t>
  </si>
  <si>
    <t>Oleary</t>
  </si>
  <si>
    <t>Turnbull</t>
  </si>
  <si>
    <t>Uspensky</t>
  </si>
  <si>
    <t>Cook</t>
  </si>
  <si>
    <t>Newbold</t>
  </si>
  <si>
    <t>Uchechukwu</t>
  </si>
  <si>
    <t>Ch'en</t>
  </si>
  <si>
    <t>Hilton</t>
  </si>
  <si>
    <t>Sal</t>
  </si>
  <si>
    <t>Eluemuno</t>
  </si>
  <si>
    <t>Titus</t>
  </si>
  <si>
    <t>Lettiere</t>
  </si>
  <si>
    <t>Templeman</t>
  </si>
  <si>
    <t>Chibuzo</t>
  </si>
  <si>
    <t>Evans</t>
  </si>
  <si>
    <t>Enyinnaya</t>
  </si>
  <si>
    <t>Brookes</t>
  </si>
  <si>
    <t>Padovano</t>
  </si>
  <si>
    <t>Hare</t>
  </si>
  <si>
    <t>Muir</t>
  </si>
  <si>
    <t>Elewechi</t>
  </si>
  <si>
    <t>Ankudinov</t>
  </si>
  <si>
    <t>Nwokike</t>
  </si>
  <si>
    <t>Atkins</t>
  </si>
  <si>
    <t>Burns</t>
  </si>
  <si>
    <t>Obiuto</t>
  </si>
  <si>
    <t>George</t>
  </si>
  <si>
    <t>Lewis</t>
  </si>
  <si>
    <t>Dalrymple</t>
  </si>
  <si>
    <t>Carslaw</t>
  </si>
  <si>
    <t>Kirby</t>
  </si>
  <si>
    <t>Houghton</t>
  </si>
  <si>
    <t>Westerberg</t>
  </si>
  <si>
    <t>Hale</t>
  </si>
  <si>
    <t>Kryukova</t>
  </si>
  <si>
    <t>Sopuluchukwu</t>
  </si>
  <si>
    <t>Barry</t>
  </si>
  <si>
    <t>Selezneva</t>
  </si>
  <si>
    <t>Chizuoke</t>
  </si>
  <si>
    <t>Lueck</t>
  </si>
  <si>
    <t>Udinese</t>
  </si>
  <si>
    <t>Udobata</t>
  </si>
  <si>
    <t>Outlaw</t>
  </si>
  <si>
    <t>Lo</t>
  </si>
  <si>
    <t>King</t>
  </si>
  <si>
    <t>Forbes</t>
  </si>
  <si>
    <t>Macleod</t>
  </si>
  <si>
    <t>Gibbs</t>
  </si>
  <si>
    <t>Isayev</t>
  </si>
  <si>
    <t>Belstead</t>
  </si>
  <si>
    <t>Vassiliev</t>
  </si>
  <si>
    <t>Schneider</t>
  </si>
  <si>
    <t>Knipe</t>
  </si>
  <si>
    <t>Macartney</t>
  </si>
  <si>
    <t>Watts</t>
  </si>
  <si>
    <t>Humphreys</t>
  </si>
  <si>
    <t>Chesnokova</t>
  </si>
  <si>
    <t>Kung</t>
  </si>
  <si>
    <t>Lu</t>
  </si>
  <si>
    <t>Nkemakolam</t>
  </si>
  <si>
    <t>Walton</t>
  </si>
  <si>
    <t>Baldwin</t>
  </si>
  <si>
    <t>Mai</t>
  </si>
  <si>
    <t>Ferreira</t>
  </si>
  <si>
    <t>Ukaegbunam</t>
  </si>
  <si>
    <t>De Luca</t>
  </si>
  <si>
    <t>Davide</t>
  </si>
  <si>
    <t>Kodilinyechukwu</t>
  </si>
  <si>
    <t>Little</t>
  </si>
  <si>
    <t>Paterson</t>
  </si>
  <si>
    <t>Han</t>
  </si>
  <si>
    <t>Ijendu</t>
  </si>
  <si>
    <t>Reichard</t>
  </si>
  <si>
    <t>Price</t>
  </si>
  <si>
    <t>Bruce</t>
  </si>
  <si>
    <t>Sumrall</t>
  </si>
  <si>
    <t>Lazarev</t>
  </si>
  <si>
    <t>Wentworth-Shields</t>
  </si>
  <si>
    <t>Mackenzie</t>
  </si>
  <si>
    <t>Pendergrass</t>
  </si>
  <si>
    <t>Billson</t>
  </si>
  <si>
    <t>Teng</t>
  </si>
  <si>
    <t>Moretti</t>
  </si>
  <si>
    <t>Jordan</t>
  </si>
  <si>
    <t>Ts'ao</t>
  </si>
  <si>
    <t>Ch'ang</t>
  </si>
  <si>
    <t>Obialo</t>
  </si>
  <si>
    <t>Gray</t>
  </si>
  <si>
    <t>Lin</t>
  </si>
  <si>
    <t>Hopkins</t>
  </si>
  <si>
    <t>Dobson</t>
  </si>
  <si>
    <t>McKay</t>
  </si>
  <si>
    <t>Revell</t>
  </si>
  <si>
    <t>Rickards</t>
  </si>
  <si>
    <t>Begum</t>
  </si>
  <si>
    <t>Onyinyechukwuka</t>
  </si>
  <si>
    <t>Zuyev</t>
  </si>
  <si>
    <t>Nwankwo</t>
  </si>
  <si>
    <t>Okwuadigbo</t>
  </si>
  <si>
    <t>Chan</t>
  </si>
  <si>
    <t>Buchi</t>
  </si>
  <si>
    <t>Lombardi</t>
  </si>
  <si>
    <t>Uchenna</t>
  </si>
  <si>
    <t>Coffman</t>
  </si>
  <si>
    <t>Alexandrova</t>
  </si>
  <si>
    <t>Fallaci</t>
  </si>
  <si>
    <t>Hudson</t>
  </si>
  <si>
    <t>Stout</t>
  </si>
  <si>
    <t>Burke</t>
  </si>
  <si>
    <t>Chadwick</t>
  </si>
  <si>
    <t>Lawrence</t>
  </si>
  <si>
    <t>Bellucci</t>
  </si>
  <si>
    <t>Harper</t>
  </si>
  <si>
    <t>Moss</t>
  </si>
  <si>
    <t>Avdeyeva</t>
  </si>
  <si>
    <t>Lynton</t>
  </si>
  <si>
    <t>Gether</t>
  </si>
  <si>
    <t>Larionova</t>
  </si>
  <si>
    <t>Loggia</t>
  </si>
  <si>
    <t>Steinhoff</t>
  </si>
  <si>
    <t>Guerra</t>
  </si>
  <si>
    <t>Craig</t>
  </si>
  <si>
    <t>Lazareva</t>
  </si>
  <si>
    <t>Alderete</t>
  </si>
  <si>
    <t>Rahman</t>
  </si>
  <si>
    <t>McMillan</t>
  </si>
  <si>
    <t>Pickering</t>
  </si>
  <si>
    <t>Mirams</t>
  </si>
  <si>
    <t>Douglas</t>
  </si>
  <si>
    <t>Jideofor</t>
  </si>
  <si>
    <t>Bell</t>
  </si>
  <si>
    <t>Mairinger</t>
  </si>
  <si>
    <t>Pagnotto</t>
  </si>
  <si>
    <t>Feng</t>
  </si>
  <si>
    <t>Donaldson</t>
  </si>
  <si>
    <t>Chambers</t>
  </si>
  <si>
    <t>Marcelo</t>
  </si>
  <si>
    <t>Ejimofor</t>
  </si>
  <si>
    <t>Dale</t>
  </si>
  <si>
    <t>Pokrovsky</t>
  </si>
  <si>
    <t>Stonebraker</t>
  </si>
  <si>
    <t>Liang</t>
  </si>
  <si>
    <t>Anderson</t>
  </si>
  <si>
    <t>Christian</t>
  </si>
  <si>
    <t>Mao</t>
  </si>
  <si>
    <t>Sagese</t>
  </si>
  <si>
    <t>Fleming</t>
  </si>
  <si>
    <t>Grubb</t>
  </si>
  <si>
    <t>Napolitani</t>
  </si>
  <si>
    <t>Anenechi</t>
  </si>
  <si>
    <t>Chandler</t>
  </si>
  <si>
    <t>Howells</t>
  </si>
  <si>
    <t>Akeroyd</t>
  </si>
  <si>
    <t>Uwaezuoke</t>
  </si>
  <si>
    <t>Loyau</t>
  </si>
  <si>
    <t>Small</t>
  </si>
  <si>
    <t>Bledsoe</t>
  </si>
  <si>
    <t>Kao</t>
  </si>
  <si>
    <t>Wickens</t>
  </si>
  <si>
    <t>Wertheim</t>
  </si>
  <si>
    <t>Jarvis</t>
  </si>
  <si>
    <t>P'an</t>
  </si>
  <si>
    <t>Repina</t>
  </si>
  <si>
    <t>Pugliesi</t>
  </si>
  <si>
    <t>Blakey</t>
  </si>
  <si>
    <t>Nucci</t>
  </si>
  <si>
    <t>Higinbotham</t>
  </si>
  <si>
    <t>Achebe</t>
  </si>
  <si>
    <t>Dobie</t>
  </si>
  <si>
    <t>Maccallum</t>
  </si>
  <si>
    <t>Watkins</t>
  </si>
  <si>
    <t>Mitchel</t>
  </si>
  <si>
    <t>Ferdinand</t>
  </si>
  <si>
    <t>Otitodilinna</t>
  </si>
  <si>
    <t>Mamelu</t>
  </si>
  <si>
    <t>Beneventi</t>
  </si>
  <si>
    <t>Perrodin</t>
  </si>
  <si>
    <t>Chinagorom</t>
  </si>
  <si>
    <t>Napolitano</t>
  </si>
  <si>
    <t>Edgar</t>
  </si>
  <si>
    <t>Walker</t>
  </si>
  <si>
    <t>Steele</t>
  </si>
  <si>
    <t>Elkins</t>
  </si>
  <si>
    <t>Toscano</t>
  </si>
  <si>
    <t>Savage</t>
  </si>
  <si>
    <t>Mordvinova</t>
  </si>
  <si>
    <t>Kent</t>
  </si>
  <si>
    <t>Cooper</t>
  </si>
  <si>
    <t>Mazzi</t>
  </si>
  <si>
    <t>Fisher</t>
  </si>
  <si>
    <t>Summers</t>
  </si>
  <si>
    <t>Brady</t>
  </si>
  <si>
    <t>Nicholls</t>
  </si>
  <si>
    <t>Golubov</t>
  </si>
  <si>
    <t>Oldham</t>
  </si>
  <si>
    <t>Kambinachi</t>
  </si>
  <si>
    <t>Chinwemma</t>
  </si>
  <si>
    <t>Olsen</t>
  </si>
  <si>
    <t>Jen</t>
  </si>
  <si>
    <t>Preston</t>
  </si>
  <si>
    <t>Ozioma</t>
  </si>
  <si>
    <t>Cody</t>
  </si>
  <si>
    <t>Ponomarev</t>
  </si>
  <si>
    <t>Milani</t>
  </si>
  <si>
    <t>Tang</t>
  </si>
  <si>
    <t>Romani</t>
  </si>
  <si>
    <t>Davis</t>
  </si>
  <si>
    <t>Onyemauchechukwu</t>
  </si>
  <si>
    <t>Gell</t>
  </si>
  <si>
    <t>Chiwetelu</t>
  </si>
  <si>
    <t>Kirillova</t>
  </si>
  <si>
    <t>Shaw</t>
  </si>
  <si>
    <t>Okwudilichukwu</t>
  </si>
  <si>
    <t>Onuoha</t>
  </si>
  <si>
    <t>Muecke</t>
  </si>
  <si>
    <t>Azubuike</t>
  </si>
  <si>
    <t>Nnonso</t>
  </si>
  <si>
    <t>Ashley</t>
  </si>
  <si>
    <t>Ts'ui</t>
  </si>
  <si>
    <t>Kenenna</t>
  </si>
  <si>
    <t>Beluchi</t>
  </si>
  <si>
    <t>Williamson</t>
  </si>
  <si>
    <t>Bobrov</t>
  </si>
  <si>
    <t>Pitts</t>
  </si>
  <si>
    <t>Standish</t>
  </si>
  <si>
    <t>Cartwright</t>
  </si>
  <si>
    <t>Johnstone</t>
  </si>
  <si>
    <t>Nikitina</t>
  </si>
  <si>
    <t>McElroy</t>
  </si>
  <si>
    <t>Shen</t>
  </si>
  <si>
    <t>Archer</t>
  </si>
  <si>
    <t>Otutodilinna</t>
  </si>
  <si>
    <t>Denisov</t>
  </si>
  <si>
    <t>Owens</t>
  </si>
  <si>
    <t>P'eng</t>
  </si>
  <si>
    <t>Verco</t>
  </si>
  <si>
    <t>Bergamaschi</t>
  </si>
  <si>
    <t>Outtrim</t>
  </si>
  <si>
    <t>Hou</t>
  </si>
  <si>
    <t>Galkin</t>
  </si>
  <si>
    <t>Echezonachukwu</t>
  </si>
  <si>
    <t>Munro</t>
  </si>
  <si>
    <t>Ball</t>
  </si>
  <si>
    <t>Virgo</t>
  </si>
  <si>
    <t>Tao</t>
  </si>
  <si>
    <t>Perez</t>
  </si>
  <si>
    <t>Fraser</t>
  </si>
  <si>
    <t>Alley</t>
  </si>
  <si>
    <t>Hooper</t>
  </si>
  <si>
    <t>Rice</t>
  </si>
  <si>
    <t>Cox</t>
  </si>
  <si>
    <t>Ikenna</t>
  </si>
  <si>
    <t>Alexander</t>
  </si>
  <si>
    <t>Piazza</t>
  </si>
  <si>
    <t>Ni</t>
  </si>
  <si>
    <t>Harker</t>
  </si>
  <si>
    <t>Chiabuotu</t>
  </si>
  <si>
    <t>Kuo</t>
  </si>
  <si>
    <t>Gallagher</t>
  </si>
  <si>
    <t>Zhirov</t>
  </si>
  <si>
    <t>Lloyd</t>
  </si>
  <si>
    <t>Palmer</t>
  </si>
  <si>
    <t>Ch'eng</t>
  </si>
  <si>
    <t>Avent</t>
  </si>
  <si>
    <t>Trentini</t>
  </si>
  <si>
    <t>Koehler</t>
  </si>
  <si>
    <t>Okoli</t>
  </si>
  <si>
    <t>Nwokezuike</t>
  </si>
  <si>
    <t>Artemiev</t>
  </si>
  <si>
    <t>Esposito</t>
  </si>
  <si>
    <t>Abbie</t>
  </si>
  <si>
    <t>Averyanov</t>
  </si>
  <si>
    <t>Unaipon</t>
  </si>
  <si>
    <t>Clamp</t>
  </si>
  <si>
    <t>Lim</t>
  </si>
  <si>
    <t>Wan</t>
  </si>
  <si>
    <t>Pettit</t>
  </si>
  <si>
    <t>Baresi</t>
  </si>
  <si>
    <t>Newbery</t>
  </si>
  <si>
    <t>Iheanacho</t>
  </si>
  <si>
    <t>Landry</t>
  </si>
  <si>
    <t>McGregor</t>
  </si>
  <si>
    <t>Pirogov</t>
  </si>
  <si>
    <t>Oguejiofor</t>
  </si>
  <si>
    <t>Ugochukwu</t>
  </si>
  <si>
    <t>Rohu</t>
  </si>
  <si>
    <t>Cary</t>
  </si>
  <si>
    <t>O'Loghlen</t>
  </si>
  <si>
    <t>Quinn</t>
  </si>
  <si>
    <t>Page</t>
  </si>
  <si>
    <t>Stanley</t>
  </si>
  <si>
    <t>Bednall</t>
  </si>
  <si>
    <t>She</t>
  </si>
  <si>
    <t>May</t>
  </si>
  <si>
    <t>Seabrook</t>
  </si>
  <si>
    <t>Herrera</t>
  </si>
  <si>
    <t>Kincaid</t>
  </si>
  <si>
    <t>Sleeman</t>
  </si>
  <si>
    <t>Artemieva</t>
  </si>
  <si>
    <t>Barwell</t>
  </si>
  <si>
    <t>Wright</t>
  </si>
  <si>
    <t>Moore</t>
  </si>
  <si>
    <t>Sung</t>
  </si>
  <si>
    <t>Mello</t>
  </si>
  <si>
    <t>Mistry</t>
  </si>
  <si>
    <t>Chukwukadibia</t>
  </si>
  <si>
    <t>Zikoranachidimma</t>
  </si>
  <si>
    <t>Oluchukwu</t>
  </si>
  <si>
    <t>Rivera</t>
  </si>
  <si>
    <t>Niu</t>
  </si>
  <si>
    <t>Bennett</t>
  </si>
  <si>
    <t>Wollstonecraft</t>
  </si>
  <si>
    <t>Thomsen</t>
  </si>
  <si>
    <t>Chinwendu</t>
  </si>
  <si>
    <t>James</t>
  </si>
  <si>
    <t>Lamb</t>
  </si>
  <si>
    <t>Olejuru</t>
  </si>
  <si>
    <t>Chiawuotu</t>
  </si>
  <si>
    <t>Yeates</t>
  </si>
  <si>
    <t>Thurgood</t>
  </si>
  <si>
    <t>Knupp</t>
  </si>
  <si>
    <t>Baryshnikov</t>
  </si>
  <si>
    <t>Shephard</t>
  </si>
  <si>
    <t>Avdeeva</t>
  </si>
  <si>
    <t>Hsu</t>
  </si>
  <si>
    <t>Buchanan</t>
  </si>
  <si>
    <t>Yeh</t>
  </si>
  <si>
    <t>Palazzi</t>
  </si>
  <si>
    <t>Y?an</t>
  </si>
  <si>
    <t>Schofield</t>
  </si>
  <si>
    <t>Wall</t>
  </si>
  <si>
    <t>Blackburn</t>
  </si>
  <si>
    <t>Wickham</t>
  </si>
  <si>
    <t>Bird</t>
  </si>
  <si>
    <t>Brizendine</t>
  </si>
  <si>
    <t>Ch'in</t>
  </si>
  <si>
    <t>Yusupov</t>
  </si>
  <si>
    <t>Jibunoh</t>
  </si>
  <si>
    <t>Wilder</t>
  </si>
  <si>
    <t>Nepean</t>
  </si>
  <si>
    <t>McNess</t>
  </si>
  <si>
    <t>Coles</t>
  </si>
  <si>
    <t>Benson</t>
  </si>
  <si>
    <t>Gilbert</t>
  </si>
  <si>
    <t>Wilhelm</t>
  </si>
  <si>
    <t>Sinclair</t>
  </si>
  <si>
    <t>Buckner</t>
  </si>
  <si>
    <t>Padovesi</t>
  </si>
  <si>
    <t>Palerma</t>
  </si>
  <si>
    <t>Pan</t>
  </si>
  <si>
    <t>Kenniff</t>
  </si>
  <si>
    <t>Spencer</t>
  </si>
  <si>
    <t>Lees</t>
  </si>
  <si>
    <t>David</t>
  </si>
  <si>
    <t>Hsing</t>
  </si>
  <si>
    <t>NULL</t>
  </si>
  <si>
    <t>FR</t>
  </si>
  <si>
    <t>ES</t>
  </si>
  <si>
    <t>M</t>
  </si>
  <si>
    <t>F</t>
  </si>
  <si>
    <t>DE</t>
  </si>
  <si>
    <t>Data Cleaning</t>
  </si>
  <si>
    <t>Missing values</t>
  </si>
  <si>
    <t>Inconsistency or Errors</t>
  </si>
  <si>
    <t xml:space="preserve">Handling and fixing </t>
  </si>
  <si>
    <t>Column</t>
  </si>
  <si>
    <t>1 missing</t>
  </si>
  <si>
    <t>3 missing</t>
  </si>
  <si>
    <t>11 entries has unrealistic age of 2</t>
  </si>
  <si>
    <t>Inconsistency: found a mix of full names and ISO country codes</t>
  </si>
  <si>
    <t>Inconsistency: found a mix of full names andsingle letters.</t>
  </si>
  <si>
    <t>Replaced missing value with most frequent last name (mode)</t>
  </si>
  <si>
    <t>Replaced missing values with the median score to minimize the impact of outliers</t>
  </si>
  <si>
    <t>Replaced missing values with the median salary</t>
  </si>
  <si>
    <t>Replaced missing values with the median age.
Replaced unrealistic age entries (2 years) with the median age of the dataset</t>
  </si>
  <si>
    <t>Standardized all entries to full country names</t>
  </si>
  <si>
    <t>Repalced missing value with most frequent gender (mode)
Standardized all entries to full words</t>
  </si>
  <si>
    <t>Column Labels</t>
  </si>
  <si>
    <t>Grand Total</t>
  </si>
  <si>
    <t>Average of Age</t>
  </si>
  <si>
    <t>Average of Credit Score</t>
  </si>
  <si>
    <t>Average of Balance</t>
  </si>
  <si>
    <t>Average of NumOfProducts</t>
  </si>
  <si>
    <t>Average of Estimated Salary</t>
  </si>
  <si>
    <t>Average of IsActiveMember</t>
  </si>
  <si>
    <t>Average of HasCrCard?</t>
  </si>
  <si>
    <t>Exited From Bank</t>
  </si>
  <si>
    <t>No</t>
  </si>
  <si>
    <t>Yes</t>
  </si>
  <si>
    <t>Activity seems to be an high risk factor. Inactivity is a strong factor in leaving.</t>
  </si>
  <si>
    <t>Has Credit card seems to be a low risk factor. No significant difference between those who left and stayed.</t>
  </si>
  <si>
    <t>Credit score seems to be a moderate risk factor. There's a slightly lower credit score in those who left.</t>
  </si>
  <si>
    <t>NumOfProducts seems to be a moderate risk factor.  Clients with fewer products are more likely to leave.</t>
  </si>
  <si>
    <t>Estimated Salary seems to be a low risk factor. No significant difference between those who left and stayed.</t>
  </si>
  <si>
    <t>Exited from bank</t>
  </si>
  <si>
    <t>Count of Customer_ID</t>
  </si>
  <si>
    <t>Left per Gender</t>
  </si>
  <si>
    <t>Left per country</t>
  </si>
  <si>
    <t xml:space="preserve">Germany </t>
  </si>
  <si>
    <t>Left per Tenure</t>
  </si>
  <si>
    <t>Gender seemst to be a moderate risk factor. Female clients are more likely to leave.</t>
  </si>
  <si>
    <t>Country seems to be a risk factor. Germany has the highest, Spain a moderate and France a low exit rate.</t>
  </si>
  <si>
    <t>Tenure seems to be a low risk factor. Exit rate is constant across all values.</t>
  </si>
  <si>
    <t>Median</t>
  </si>
  <si>
    <t>Standard Deviation</t>
  </si>
  <si>
    <t>Mean</t>
  </si>
  <si>
    <t>Standard Error</t>
  </si>
  <si>
    <t>Mode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</si>
  <si>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</si>
  <si>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</si>
  <si>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</si>
  <si>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</si>
  <si>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</si>
  <si>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</si>
  <si>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</si>
  <si>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</si>
  <si>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Stayed Bank</t>
  </si>
  <si>
    <t>Exited Bank</t>
  </si>
  <si>
    <t>Descriptive statistics</t>
  </si>
  <si>
    <t>INSIGHTS</t>
  </si>
  <si>
    <t>Count of Age</t>
  </si>
  <si>
    <t>Count of Balance</t>
  </si>
  <si>
    <t>Row Labels</t>
  </si>
  <si>
    <t>Count of NumOfProducts</t>
  </si>
  <si>
    <t>Salary</t>
  </si>
  <si>
    <t>Count of Country</t>
  </si>
  <si>
    <t>Count of HasCrCard?</t>
  </si>
  <si>
    <t>Count of IsActiveMember</t>
  </si>
  <si>
    <t>Credit Score quality</t>
  </si>
  <si>
    <t>Credit score ranges</t>
  </si>
  <si>
    <r>
      <t>Poor:</t>
    </r>
    <r>
      <rPr>
        <sz val="11"/>
        <color theme="1"/>
        <rFont val="Calibri"/>
        <family val="2"/>
        <scheme val="minor"/>
      </rPr>
      <t xml:space="preserve"> Less than </t>
    </r>
    <r>
      <rPr>
        <b/>
        <sz val="11"/>
        <color theme="1"/>
        <rFont val="Calibri"/>
        <family val="2"/>
        <scheme val="minor"/>
      </rPr>
      <t>580</t>
    </r>
  </si>
  <si>
    <r>
      <t>Average: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580–669</t>
    </r>
  </si>
  <si>
    <r>
      <t>Good: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670 and above</t>
    </r>
  </si>
  <si>
    <t>Age Group ranges</t>
  </si>
  <si>
    <t>Age Group</t>
  </si>
  <si>
    <r>
      <t>Young Adult: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18–35</t>
    </r>
  </si>
  <si>
    <r>
      <t>Adult: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31–50</t>
    </r>
  </si>
  <si>
    <r>
      <t>Senior: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51 and above</t>
    </r>
  </si>
  <si>
    <t>Salary Classe</t>
  </si>
  <si>
    <r>
      <t>Low Salary:</t>
    </r>
    <r>
      <rPr>
        <sz val="11"/>
        <color theme="1"/>
        <rFont val="Calibri"/>
        <family val="2"/>
        <scheme val="minor"/>
      </rPr>
      <t xml:space="preserve"> Less than </t>
    </r>
    <r>
      <rPr>
        <b/>
        <sz val="11"/>
        <color theme="1"/>
        <rFont val="Calibri"/>
        <family val="2"/>
        <scheme val="minor"/>
      </rPr>
      <t>30,000</t>
    </r>
  </si>
  <si>
    <r>
      <t>Medium Salary: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30,000–70,000</t>
    </r>
  </si>
  <si>
    <r>
      <t>High Salary:</t>
    </r>
    <r>
      <rPr>
        <sz val="11"/>
        <color theme="1"/>
        <rFont val="Calibri"/>
        <family val="2"/>
        <scheme val="minor"/>
      </rPr>
      <t xml:space="preserve"> More than </t>
    </r>
    <r>
      <rPr>
        <b/>
        <sz val="11"/>
        <color theme="1"/>
        <rFont val="Calibri"/>
        <family val="2"/>
        <scheme val="minor"/>
      </rPr>
      <t>70,000</t>
    </r>
  </si>
  <si>
    <t>Salary class</t>
  </si>
  <si>
    <t>Credit score quality</t>
  </si>
  <si>
    <t>Count of Credit Score</t>
  </si>
  <si>
    <t>Average</t>
  </si>
  <si>
    <t>Poor</t>
  </si>
  <si>
    <t>Good</t>
  </si>
  <si>
    <t>Exited From bank</t>
  </si>
  <si>
    <t>Adult</t>
  </si>
  <si>
    <t>Senior</t>
  </si>
  <si>
    <t>Young Adult</t>
  </si>
  <si>
    <t>Count of Tenure</t>
  </si>
  <si>
    <t>Balance Class</t>
  </si>
  <si>
    <r>
      <t>Low Balance:</t>
    </r>
    <r>
      <rPr>
        <sz val="11"/>
        <color theme="1"/>
        <rFont val="Calibri"/>
        <family val="2"/>
        <scheme val="minor"/>
      </rPr>
      <t xml:space="preserve"> Less than </t>
    </r>
    <r>
      <rPr>
        <b/>
        <sz val="11"/>
        <color theme="1"/>
        <rFont val="Calibri"/>
        <family val="2"/>
        <scheme val="minor"/>
      </rPr>
      <t>50,000</t>
    </r>
  </si>
  <si>
    <r>
      <t>Medium Balance: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50,000–100,000</t>
    </r>
  </si>
  <si>
    <r>
      <t>High Balance:</t>
    </r>
    <r>
      <rPr>
        <sz val="11"/>
        <color theme="1"/>
        <rFont val="Calibri"/>
        <family val="2"/>
        <scheme val="minor"/>
      </rPr>
      <t xml:space="preserve"> More than </t>
    </r>
    <r>
      <rPr>
        <b/>
        <sz val="11"/>
        <color theme="1"/>
        <rFont val="Calibri"/>
        <family val="2"/>
        <scheme val="minor"/>
      </rPr>
      <t>100,000</t>
    </r>
  </si>
  <si>
    <t>High Balance</t>
  </si>
  <si>
    <t>Low Balance</t>
  </si>
  <si>
    <t>Medium Balance</t>
  </si>
  <si>
    <t>Number of products</t>
  </si>
  <si>
    <t>Has credit card</t>
  </si>
  <si>
    <t>Is ACTIVE</t>
  </si>
  <si>
    <t>Count of Estimated Salary</t>
  </si>
  <si>
    <t>High Salary</t>
  </si>
  <si>
    <t>Low Salary</t>
  </si>
  <si>
    <t>Medium Salary</t>
  </si>
  <si>
    <t>Balance seems to be an high risk factor. Clients with higher balances are more likely to leave. It might though be that the people already exited has a lower balance</t>
  </si>
  <si>
    <t>Most Contributing Factor to Exiting</t>
  </si>
  <si>
    <t>Inactivity -&gt; Age -&gt; Gender -&gt; Credit score</t>
  </si>
  <si>
    <t>Age seems to be an high risk factor. Clients  50 and younger are more likely to leave.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</si>
</sst>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_);[Red]\(&quot;$&quot;#,##0.00\)"/>
    <numFmt numFmtId="165" formatCode="&quot;$&quot;#,##0.00"/>
  </numFmts>
  <fonts count="1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2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13">
    <xf numFmtId="0" fontId="0" fillId="0" borderId="0" xfId="0"/>
    <xf numFmtId="1" fontId="0" fillId="0" borderId="0" xfId="0" applyNumberFormat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1" fontId="0" fillId="3" borderId="1" xfId="0" applyNumberFormat="1" applyFill="1" applyBorder="1" applyAlignment="1">
      <alignment horizontal="center" vertical="center" wrapText="1"/>
    </xf>
    <xf numFmtId="164" fontId="0" fillId="3" borderId="1" xfId="0" applyNumberFormat="1" applyFill="1" applyBorder="1" applyAlignment="1">
      <alignment horizontal="center" vertical="center" wrapText="1"/>
    </xf>
    <xf numFmtId="165" fontId="0" fillId="3" borderId="1" xfId="0" applyNumberForma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top"/>
    </xf>
    <xf numFmtId="0" fontId="5" fillId="4" borderId="0" xfId="0" applyFont="1" applyFill="1"/>
    <xf numFmtId="0" fontId="6" fillId="5" borderId="5" xfId="0" applyFont="1" applyFill="1" applyBorder="1" applyAlignment="1">
      <alignment horizontal="center" vertical="center"/>
    </xf>
    <xf numFmtId="0" fontId="6" fillId="5" borderId="6" xfId="0" applyFont="1" applyFill="1" applyBorder="1" applyAlignment="1">
      <alignment horizontal="center" vertical="center"/>
    </xf>
    <xf numFmtId="0" fontId="6" fillId="5" borderId="7" xfId="0" applyFont="1" applyFill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4" fillId="6" borderId="0" xfId="0" applyFont="1" applyFill="1" applyAlignment="1">
      <alignment horizontal="center"/>
    </xf>
    <xf numFmtId="0" fontId="0" fillId="0" borderId="1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4" fillId="6" borderId="11" xfId="0" applyFont="1" applyFill="1" applyBorder="1" applyAlignment="1">
      <alignment horizontal="center" vertical="center"/>
    </xf>
    <xf numFmtId="0" fontId="0" fillId="0" borderId="12" xfId="0" applyBorder="1" applyAlignment="1">
      <alignment horizontal="left" vertical="center" wrapText="1"/>
    </xf>
    <xf numFmtId="1" fontId="4" fillId="6" borderId="13" xfId="0" applyNumberFormat="1" applyFont="1" applyFill="1" applyBorder="1" applyAlignment="1">
      <alignment horizontal="center" vertical="center"/>
    </xf>
    <xf numFmtId="0" fontId="0" fillId="0" borderId="14" xfId="0" applyBorder="1" applyAlignment="1">
      <alignment horizontal="left" vertical="center" wrapText="1"/>
    </xf>
    <xf numFmtId="0" fontId="4" fillId="6" borderId="13" xfId="0" applyFont="1" applyFill="1" applyBorder="1" applyAlignment="1">
      <alignment horizontal="center" vertical="center"/>
    </xf>
    <xf numFmtId="164" fontId="4" fillId="6" borderId="13" xfId="0" applyNumberFormat="1" applyFont="1" applyFill="1" applyBorder="1" applyAlignment="1">
      <alignment horizontal="center" vertical="center"/>
    </xf>
    <xf numFmtId="1" fontId="4" fillId="6" borderId="15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left" vertical="center" wrapText="1"/>
    </xf>
    <xf numFmtId="0" fontId="0" fillId="0" borderId="17" xfId="0" applyBorder="1" applyAlignment="1">
      <alignment horizontal="left" vertical="center" wrapText="1"/>
    </xf>
    <xf numFmtId="0" fontId="3" fillId="7" borderId="18" xfId="0" applyFont="1" applyFill="1" applyBorder="1"/>
    <xf numFmtId="0" fontId="3" fillId="7" borderId="19" xfId="0" applyFont="1" applyFill="1" applyBorder="1"/>
    <xf numFmtId="0" fontId="3" fillId="7" borderId="20" xfId="0" applyFont="1" applyFill="1" applyBorder="1"/>
    <xf numFmtId="0" fontId="0" fillId="0" borderId="15" xfId="0" applyBorder="1"/>
    <xf numFmtId="9" fontId="0" fillId="0" borderId="16" xfId="1" applyFont="1" applyBorder="1"/>
    <xf numFmtId="9" fontId="0" fillId="0" borderId="17" xfId="1" applyFont="1" applyBorder="1"/>
    <xf numFmtId="0" fontId="8" fillId="0" borderId="21" xfId="0" applyFont="1" applyBorder="1"/>
    <xf numFmtId="0" fontId="0" fillId="0" borderId="22" xfId="0" applyBorder="1"/>
    <xf numFmtId="0" fontId="0" fillId="0" borderId="23" xfId="0" applyBorder="1"/>
    <xf numFmtId="0" fontId="0" fillId="0" borderId="0" xfId="0" pivotButton="1"/>
    <xf numFmtId="0" fontId="8" fillId="6" borderId="21" xfId="0" applyFont="1" applyFill="1" applyBorder="1" applyAlignment="1">
      <alignment horizontal="left"/>
    </xf>
    <xf numFmtId="2" fontId="0" fillId="0" borderId="24" xfId="0" applyNumberFormat="1" applyBorder="1"/>
    <xf numFmtId="2" fontId="0" fillId="0" borderId="26" xfId="0" applyNumberFormat="1" applyBorder="1"/>
    <xf numFmtId="2" fontId="0" fillId="0" borderId="27" xfId="0" applyNumberFormat="1" applyBorder="1"/>
    <xf numFmtId="1" fontId="4" fillId="4" borderId="1" xfId="0" applyNumberFormat="1" applyFont="1" applyFill="1" applyBorder="1" applyAlignment="1">
      <alignment horizontal="center" vertical="top"/>
    </xf>
    <xf numFmtId="1" fontId="5" fillId="0" borderId="0" xfId="0" applyNumberFormat="1" applyFont="1"/>
    <xf numFmtId="0" fontId="5" fillId="0" borderId="0" xfId="0" applyFont="1"/>
    <xf numFmtId="0" fontId="0" fillId="0" borderId="1" xfId="0" applyBorder="1"/>
    <xf numFmtId="0" fontId="9" fillId="8" borderId="10" xfId="0" applyFont="1" applyFill="1" applyBorder="1" applyAlignment="1">
      <alignment horizontal="center"/>
    </xf>
    <xf numFmtId="0" fontId="0" fillId="8" borderId="11" xfId="0" applyFill="1" applyBorder="1"/>
    <xf numFmtId="0" fontId="9" fillId="8" borderId="12" xfId="0" applyFont="1" applyFill="1" applyBorder="1" applyAlignment="1">
      <alignment horizontal="center"/>
    </xf>
    <xf numFmtId="0" fontId="0" fillId="8" borderId="13" xfId="0" applyFill="1" applyBorder="1"/>
    <xf numFmtId="0" fontId="0" fillId="0" borderId="14" xfId="0" applyBorder="1"/>
    <xf numFmtId="0" fontId="0" fillId="8" borderId="15" xfId="0" applyFill="1" applyBorder="1"/>
    <xf numFmtId="0" fontId="0" fillId="0" borderId="16" xfId="0" applyBorder="1"/>
    <xf numFmtId="0" fontId="0" fillId="0" borderId="17" xfId="0" applyBorder="1"/>
    <xf numFmtId="0" fontId="0" fillId="8" borderId="19" xfId="0" applyFill="1" applyBorder="1"/>
    <xf numFmtId="0" fontId="0" fillId="0" borderId="0" xfId="0" applyAlignment="1">
      <alignment horizontal="left"/>
    </xf>
    <xf numFmtId="0" fontId="0" fillId="0" borderId="24" xfId="0" applyBorder="1"/>
    <xf numFmtId="0" fontId="0" fillId="0" borderId="26" xfId="0" applyBorder="1"/>
    <xf numFmtId="0" fontId="0" fillId="0" borderId="27" xfId="0" applyBorder="1"/>
    <xf numFmtId="0" fontId="0" fillId="0" borderId="21" xfId="0" applyBorder="1"/>
    <xf numFmtId="0" fontId="0" fillId="0" borderId="8" xfId="0" applyBorder="1"/>
    <xf numFmtId="0" fontId="0" fillId="0" borderId="25" xfId="0" applyBorder="1"/>
    <xf numFmtId="0" fontId="0" fillId="0" borderId="28" xfId="0" pivotButton="1" applyBorder="1"/>
    <xf numFmtId="0" fontId="0" fillId="0" borderId="2" xfId="0" applyBorder="1"/>
    <xf numFmtId="0" fontId="0" fillId="0" borderId="4" xfId="0" applyBorder="1"/>
    <xf numFmtId="0" fontId="0" fillId="0" borderId="29" xfId="0" applyBorder="1" applyAlignment="1">
      <alignment horizontal="left"/>
    </xf>
    <xf numFmtId="0" fontId="0" fillId="0" borderId="30" xfId="0" applyBorder="1" applyAlignment="1">
      <alignment horizontal="left"/>
    </xf>
    <xf numFmtId="0" fontId="0" fillId="0" borderId="28" xfId="0" applyBorder="1" applyAlignment="1">
      <alignment horizontal="left"/>
    </xf>
    <xf numFmtId="0" fontId="0" fillId="0" borderId="28" xfId="0" applyBorder="1"/>
    <xf numFmtId="2" fontId="0" fillId="0" borderId="0" xfId="0" applyNumberFormat="1"/>
    <xf numFmtId="2" fontId="0" fillId="0" borderId="21" xfId="0" applyNumberFormat="1" applyBorder="1"/>
    <xf numFmtId="2" fontId="0" fillId="0" borderId="22" xfId="0" applyNumberFormat="1" applyBorder="1"/>
    <xf numFmtId="2" fontId="0" fillId="0" borderId="23" xfId="0" applyNumberFormat="1" applyBorder="1"/>
    <xf numFmtId="2" fontId="0" fillId="0" borderId="8" xfId="0" applyNumberFormat="1" applyBorder="1"/>
    <xf numFmtId="2" fontId="0" fillId="0" borderId="25" xfId="0" applyNumberFormat="1" applyBorder="1"/>
    <xf numFmtId="0" fontId="0" fillId="0" borderId="3" xfId="0" applyBorder="1"/>
    <xf numFmtId="0" fontId="3" fillId="0" borderId="0" xfId="0" applyFont="1"/>
    <xf numFmtId="0" fontId="4" fillId="4" borderId="0" xfId="0" applyFont="1" applyFill="1"/>
    <xf numFmtId="0" fontId="3" fillId="0" borderId="0" xfId="0" applyFont="1" applyAlignment="1">
      <alignment horizontal="left"/>
    </xf>
    <xf numFmtId="10" fontId="0" fillId="0" borderId="0" xfId="0" applyNumberFormat="1"/>
    <xf numFmtId="0" fontId="0" fillId="7" borderId="0" xfId="0" applyFill="1"/>
    <xf numFmtId="0" fontId="3" fillId="7" borderId="0" xfId="0" applyFont="1" applyFill="1"/>
    <xf numFmtId="9" fontId="0" fillId="0" borderId="0" xfId="1" applyFont="1"/>
    <xf numFmtId="0" fontId="0" fillId="0" borderId="35" xfId="0" applyBorder="1"/>
    <xf numFmtId="0" fontId="3" fillId="4" borderId="34" xfId="0" applyFont="1" applyFill="1" applyBorder="1"/>
    <xf numFmtId="0" fontId="7" fillId="5" borderId="2" xfId="0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10" fillId="8" borderId="5" xfId="0" applyFont="1" applyFill="1" applyBorder="1" applyAlignment="1">
      <alignment horizontal="center"/>
    </xf>
    <xf numFmtId="0" fontId="10" fillId="8" borderId="6" xfId="0" applyFont="1" applyFill="1" applyBorder="1" applyAlignment="1">
      <alignment horizontal="center"/>
    </xf>
    <xf numFmtId="0" fontId="10" fillId="8" borderId="7" xfId="0" applyFont="1" applyFill="1" applyBorder="1" applyAlignment="1">
      <alignment horizontal="center"/>
    </xf>
    <xf numFmtId="0" fontId="10" fillId="8" borderId="2" xfId="0" applyFont="1" applyFill="1" applyBorder="1" applyAlignment="1">
      <alignment horizontal="center"/>
    </xf>
    <xf numFmtId="0" fontId="10" fillId="8" borderId="3" xfId="0" applyFont="1" applyFill="1" applyBorder="1" applyAlignment="1">
      <alignment horizontal="center"/>
    </xf>
    <xf numFmtId="0" fontId="10" fillId="8" borderId="4" xfId="0" applyFont="1" applyFill="1" applyBorder="1" applyAlignment="1">
      <alignment horizontal="center"/>
    </xf>
    <xf numFmtId="0" fontId="7" fillId="8" borderId="21" xfId="0" applyFont="1" applyFill="1" applyBorder="1" applyAlignment="1">
      <alignment horizontal="center" vertical="center"/>
    </xf>
    <xf numFmtId="0" fontId="7" fillId="8" borderId="22" xfId="0" applyFont="1" applyFill="1" applyBorder="1" applyAlignment="1">
      <alignment horizontal="center" vertical="center"/>
    </xf>
    <xf numFmtId="0" fontId="7" fillId="8" borderId="23" xfId="0" applyFont="1" applyFill="1" applyBorder="1" applyAlignment="1">
      <alignment horizontal="center" vertical="center"/>
    </xf>
    <xf numFmtId="0" fontId="7" fillId="8" borderId="25" xfId="0" applyFont="1" applyFill="1" applyBorder="1" applyAlignment="1">
      <alignment horizontal="center" vertical="center"/>
    </xf>
    <xf numFmtId="0" fontId="7" fillId="8" borderId="26" xfId="0" applyFont="1" applyFill="1" applyBorder="1" applyAlignment="1">
      <alignment horizontal="center" vertical="center"/>
    </xf>
    <xf numFmtId="0" fontId="7" fillId="8" borderId="27" xfId="0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11" fillId="4" borderId="20" xfId="0" applyFont="1" applyFill="1" applyBorder="1" applyAlignment="1">
      <alignment horizontal="center" vertical="center"/>
    </xf>
    <xf numFmtId="0" fontId="0" fillId="0" borderId="31" xfId="0" applyBorder="1" applyAlignment="1">
      <alignment horizontal="left" vertical="center"/>
    </xf>
    <xf numFmtId="0" fontId="0" fillId="0" borderId="32" xfId="0" applyBorder="1" applyAlignment="1">
      <alignment horizontal="left" vertical="center"/>
    </xf>
    <xf numFmtId="0" fontId="0" fillId="0" borderId="33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0" fillId="0" borderId="17" xfId="0" applyBorder="1" applyAlignment="1">
      <alignment horizontal="left" vertical="center"/>
    </xf>
  </cellXfs>
  <cellStyles count="2">
    <cellStyle name="Normal" xfId="0" builtinId="0"/>
    <cellStyle name="Percent" xfId="1" builtinId="5"/>
  </cellStyles>
  <dxfs count="39"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4" formatCode="0.00%"/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7</xdr:row>
      <xdr:rowOff>66676</xdr:rowOff>
    </xdr:from>
    <xdr:to>
      <xdr:col>10</xdr:col>
      <xdr:colOff>333375</xdr:colOff>
      <xdr:row>9</xdr:row>
      <xdr:rowOff>180976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CF143AF8-BA36-EEE5-D7A9-F0E071ECE34D}"/>
            </a:ext>
          </a:extLst>
        </xdr:cNvPr>
        <xdr:cNvSpPr/>
      </xdr:nvSpPr>
      <xdr:spPr>
        <a:xfrm>
          <a:off x="5143500" y="1400176"/>
          <a:ext cx="1285875" cy="495300"/>
        </a:xfrm>
        <a:prstGeom prst="roundRect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Active</a:t>
          </a:r>
          <a:r>
            <a:rPr lang="en-US" sz="1100" baseline="0">
              <a:solidFill>
                <a:sysClr val="windowText" lastClr="000000"/>
              </a:solidFill>
            </a:rPr>
            <a:t> Member?</a:t>
          </a:r>
          <a:endParaRPr lang="en-DE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13</xdr:col>
      <xdr:colOff>304800</xdr:colOff>
      <xdr:row>13</xdr:row>
      <xdr:rowOff>28575</xdr:rowOff>
    </xdr:from>
    <xdr:to>
      <xdr:col>15</xdr:col>
      <xdr:colOff>66675</xdr:colOff>
      <xdr:row>16</xdr:row>
      <xdr:rowOff>38100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7E80357B-3617-610B-7F02-BC4D40A6FBD4}"/>
            </a:ext>
          </a:extLst>
        </xdr:cNvPr>
        <xdr:cNvSpPr/>
      </xdr:nvSpPr>
      <xdr:spPr>
        <a:xfrm>
          <a:off x="8229600" y="2505075"/>
          <a:ext cx="981075" cy="581025"/>
        </a:xfrm>
        <a:prstGeom prst="roundRect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Aged 50 or younger?</a:t>
          </a:r>
          <a:endParaRPr lang="en-DE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276225</xdr:colOff>
      <xdr:row>13</xdr:row>
      <xdr:rowOff>57150</xdr:rowOff>
    </xdr:from>
    <xdr:to>
      <xdr:col>6</xdr:col>
      <xdr:colOff>38100</xdr:colOff>
      <xdr:row>16</xdr:row>
      <xdr:rowOff>66675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30182360-5162-4374-A3BB-3C283E96393A}"/>
            </a:ext>
          </a:extLst>
        </xdr:cNvPr>
        <xdr:cNvSpPr/>
      </xdr:nvSpPr>
      <xdr:spPr>
        <a:xfrm>
          <a:off x="2714625" y="2533650"/>
          <a:ext cx="981075" cy="581025"/>
        </a:xfrm>
        <a:prstGeom prst="roundRect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Aged 50 or younger?</a:t>
          </a:r>
        </a:p>
      </xdr:txBody>
    </xdr:sp>
    <xdr:clientData/>
  </xdr:twoCellAnchor>
  <xdr:twoCellAnchor>
    <xdr:from>
      <xdr:col>5</xdr:col>
      <xdr:colOff>157163</xdr:colOff>
      <xdr:row>9</xdr:row>
      <xdr:rowOff>180976</xdr:rowOff>
    </xdr:from>
    <xdr:to>
      <xdr:col>9</xdr:col>
      <xdr:colOff>300038</xdr:colOff>
      <xdr:row>13</xdr:row>
      <xdr:rowOff>57150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7A98C2B1-E400-051E-DD90-2168861963D3}"/>
            </a:ext>
          </a:extLst>
        </xdr:cNvPr>
        <xdr:cNvCxnSpPr>
          <a:stCxn id="2" idx="2"/>
          <a:endCxn id="7" idx="0"/>
        </xdr:cNvCxnSpPr>
      </xdr:nvCxnSpPr>
      <xdr:spPr>
        <a:xfrm flipH="1">
          <a:off x="3205163" y="1895476"/>
          <a:ext cx="2581275" cy="63817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300038</xdr:colOff>
      <xdr:row>9</xdr:row>
      <xdr:rowOff>180976</xdr:rowOff>
    </xdr:from>
    <xdr:to>
      <xdr:col>14</xdr:col>
      <xdr:colOff>185738</xdr:colOff>
      <xdr:row>13</xdr:row>
      <xdr:rowOff>28575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6AB1DD4A-318A-BE38-9540-54CCCD65A85D}"/>
            </a:ext>
          </a:extLst>
        </xdr:cNvPr>
        <xdr:cNvCxnSpPr>
          <a:stCxn id="2" idx="2"/>
          <a:endCxn id="5" idx="0"/>
        </xdr:cNvCxnSpPr>
      </xdr:nvCxnSpPr>
      <xdr:spPr>
        <a:xfrm>
          <a:off x="5786438" y="1895476"/>
          <a:ext cx="2933700" cy="60959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404813</xdr:colOff>
      <xdr:row>16</xdr:row>
      <xdr:rowOff>66675</xdr:rowOff>
    </xdr:from>
    <xdr:to>
      <xdr:col>5</xdr:col>
      <xdr:colOff>157163</xdr:colOff>
      <xdr:row>21</xdr:row>
      <xdr:rowOff>19050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801DF919-8AC9-0BB1-E251-E812F6024C16}"/>
            </a:ext>
          </a:extLst>
        </xdr:cNvPr>
        <xdr:cNvCxnSpPr>
          <a:cxnSpLocks/>
          <a:stCxn id="7" idx="2"/>
          <a:endCxn id="25" idx="0"/>
        </xdr:cNvCxnSpPr>
      </xdr:nvCxnSpPr>
      <xdr:spPr>
        <a:xfrm flipH="1">
          <a:off x="1624013" y="3114675"/>
          <a:ext cx="1581150" cy="9048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157163</xdr:colOff>
      <xdr:row>16</xdr:row>
      <xdr:rowOff>66675</xdr:rowOff>
    </xdr:from>
    <xdr:to>
      <xdr:col>7</xdr:col>
      <xdr:colOff>166688</xdr:colOff>
      <xdr:row>21</xdr:row>
      <xdr:rowOff>9525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25DCF96F-DE14-060C-16C4-E2B440DDF24A}"/>
            </a:ext>
          </a:extLst>
        </xdr:cNvPr>
        <xdr:cNvCxnSpPr>
          <a:cxnSpLocks/>
          <a:stCxn id="7" idx="2"/>
          <a:endCxn id="23" idx="0"/>
        </xdr:cNvCxnSpPr>
      </xdr:nvCxnSpPr>
      <xdr:spPr>
        <a:xfrm>
          <a:off x="3205163" y="3114675"/>
          <a:ext cx="1228725" cy="8953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419100</xdr:colOff>
      <xdr:row>21</xdr:row>
      <xdr:rowOff>9526</xdr:rowOff>
    </xdr:from>
    <xdr:to>
      <xdr:col>17</xdr:col>
      <xdr:colOff>9525</xdr:colOff>
      <xdr:row>23</xdr:row>
      <xdr:rowOff>123826</xdr:rowOff>
    </xdr:to>
    <xdr:sp macro="" textlink="">
      <xdr:nvSpPr>
        <xdr:cNvPr id="28" name="Rectangle: Rounded Corners 27">
          <a:extLst>
            <a:ext uri="{FF2B5EF4-FFF2-40B4-BE49-F238E27FC236}">
              <a16:creationId xmlns:a16="http://schemas.microsoft.com/office/drawing/2014/main" id="{66C49D17-0858-49A5-9A2F-14FA8898E9E9}"/>
            </a:ext>
          </a:extLst>
        </xdr:cNvPr>
        <xdr:cNvSpPr/>
      </xdr:nvSpPr>
      <xdr:spPr>
        <a:xfrm>
          <a:off x="9563100" y="4010026"/>
          <a:ext cx="809625" cy="495300"/>
        </a:xfrm>
        <a:prstGeom prst="roundRect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is female?</a:t>
          </a:r>
          <a:endParaRPr lang="en-DE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11</xdr:col>
      <xdr:colOff>585788</xdr:colOff>
      <xdr:row>16</xdr:row>
      <xdr:rowOff>38100</xdr:rowOff>
    </xdr:from>
    <xdr:to>
      <xdr:col>14</xdr:col>
      <xdr:colOff>185738</xdr:colOff>
      <xdr:row>21</xdr:row>
      <xdr:rowOff>66675</xdr:rowOff>
    </xdr:to>
    <xdr:cxnSp macro="">
      <xdr:nvCxnSpPr>
        <xdr:cNvPr id="30" name="Straight Arrow Connector 29">
          <a:extLst>
            <a:ext uri="{FF2B5EF4-FFF2-40B4-BE49-F238E27FC236}">
              <a16:creationId xmlns:a16="http://schemas.microsoft.com/office/drawing/2014/main" id="{5AA6F5A9-2532-6B1C-CDF2-03B3DDEDB782}"/>
            </a:ext>
          </a:extLst>
        </xdr:cNvPr>
        <xdr:cNvCxnSpPr>
          <a:cxnSpLocks/>
          <a:stCxn id="5" idx="2"/>
          <a:endCxn id="21" idx="0"/>
        </xdr:cNvCxnSpPr>
      </xdr:nvCxnSpPr>
      <xdr:spPr>
        <a:xfrm flipH="1">
          <a:off x="7291388" y="3086100"/>
          <a:ext cx="1428750" cy="9810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185738</xdr:colOff>
      <xdr:row>16</xdr:row>
      <xdr:rowOff>38100</xdr:rowOff>
    </xdr:from>
    <xdr:to>
      <xdr:col>16</xdr:col>
      <xdr:colOff>214313</xdr:colOff>
      <xdr:row>21</xdr:row>
      <xdr:rowOff>9526</xdr:rowOff>
    </xdr:to>
    <xdr:cxnSp macro="">
      <xdr:nvCxnSpPr>
        <xdr:cNvPr id="32" name="Straight Arrow Connector 31">
          <a:extLst>
            <a:ext uri="{FF2B5EF4-FFF2-40B4-BE49-F238E27FC236}">
              <a16:creationId xmlns:a16="http://schemas.microsoft.com/office/drawing/2014/main" id="{3DE4EDD6-2247-5A8B-4079-8E7B1BF75437}"/>
            </a:ext>
          </a:extLst>
        </xdr:cNvPr>
        <xdr:cNvCxnSpPr>
          <a:stCxn id="5" idx="2"/>
          <a:endCxn id="28" idx="0"/>
        </xdr:cNvCxnSpPr>
      </xdr:nvCxnSpPr>
      <xdr:spPr>
        <a:xfrm>
          <a:off x="8720138" y="3086100"/>
          <a:ext cx="1247775" cy="92392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447675</xdr:colOff>
      <xdr:row>31</xdr:row>
      <xdr:rowOff>19050</xdr:rowOff>
    </xdr:from>
    <xdr:to>
      <xdr:col>18</xdr:col>
      <xdr:colOff>409575</xdr:colOff>
      <xdr:row>33</xdr:row>
      <xdr:rowOff>171450</xdr:rowOff>
    </xdr:to>
    <xdr:sp macro="" textlink="">
      <xdr:nvSpPr>
        <xdr:cNvPr id="40" name="Rectangle: Rounded Corners 39">
          <a:extLst>
            <a:ext uri="{FF2B5EF4-FFF2-40B4-BE49-F238E27FC236}">
              <a16:creationId xmlns:a16="http://schemas.microsoft.com/office/drawing/2014/main" id="{721B0F17-1BF8-40EC-BFC6-0F73ADA85532}"/>
            </a:ext>
          </a:extLst>
        </xdr:cNvPr>
        <xdr:cNvSpPr/>
      </xdr:nvSpPr>
      <xdr:spPr>
        <a:xfrm>
          <a:off x="10201275" y="5924550"/>
          <a:ext cx="1181100" cy="533400"/>
        </a:xfrm>
        <a:prstGeom prst="roundRect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ysClr val="windowText" lastClr="000000"/>
              </a:solidFill>
            </a:rPr>
            <a:t>I</a:t>
          </a:r>
          <a:r>
            <a:rPr 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s credit</a:t>
          </a:r>
          <a:r>
            <a:rPr 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score under average?</a:t>
          </a:r>
          <a:endParaRPr lang="en-DE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1</xdr:col>
      <xdr:colOff>428625</xdr:colOff>
      <xdr:row>23</xdr:row>
      <xdr:rowOff>133350</xdr:rowOff>
    </xdr:from>
    <xdr:to>
      <xdr:col>2</xdr:col>
      <xdr:colOff>404813</xdr:colOff>
      <xdr:row>31</xdr:row>
      <xdr:rowOff>9525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A408C6AA-5339-773C-EB96-DBCD002C126E}"/>
            </a:ext>
          </a:extLst>
        </xdr:cNvPr>
        <xdr:cNvCxnSpPr>
          <a:cxnSpLocks/>
          <a:stCxn id="25" idx="2"/>
          <a:endCxn id="47" idx="0"/>
        </xdr:cNvCxnSpPr>
      </xdr:nvCxnSpPr>
      <xdr:spPr>
        <a:xfrm flipH="1">
          <a:off x="1038225" y="4514850"/>
          <a:ext cx="585788" cy="14001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404813</xdr:colOff>
      <xdr:row>23</xdr:row>
      <xdr:rowOff>133350</xdr:rowOff>
    </xdr:from>
    <xdr:to>
      <xdr:col>3</xdr:col>
      <xdr:colOff>590550</xdr:colOff>
      <xdr:row>31</xdr:row>
      <xdr:rowOff>0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819F238B-CEE4-7660-AD7A-AE5B4400E05F}"/>
            </a:ext>
          </a:extLst>
        </xdr:cNvPr>
        <xdr:cNvCxnSpPr>
          <a:cxnSpLocks/>
          <a:stCxn id="25" idx="2"/>
          <a:endCxn id="46" idx="0"/>
        </xdr:cNvCxnSpPr>
      </xdr:nvCxnSpPr>
      <xdr:spPr>
        <a:xfrm>
          <a:off x="1624013" y="4514850"/>
          <a:ext cx="795337" cy="13906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95250</xdr:colOff>
      <xdr:row>23</xdr:row>
      <xdr:rowOff>123825</xdr:rowOff>
    </xdr:from>
    <xdr:to>
      <xdr:col>7</xdr:col>
      <xdr:colOff>166688</xdr:colOff>
      <xdr:row>30</xdr:row>
      <xdr:rowOff>180975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E7E89584-1308-85B4-5DD4-F64BD7AFAF99}"/>
            </a:ext>
          </a:extLst>
        </xdr:cNvPr>
        <xdr:cNvCxnSpPr>
          <a:cxnSpLocks/>
          <a:stCxn id="23" idx="2"/>
          <a:endCxn id="45" idx="0"/>
        </xdr:cNvCxnSpPr>
      </xdr:nvCxnSpPr>
      <xdr:spPr>
        <a:xfrm flipH="1">
          <a:off x="3752850" y="4505325"/>
          <a:ext cx="681038" cy="13906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166688</xdr:colOff>
      <xdr:row>23</xdr:row>
      <xdr:rowOff>123825</xdr:rowOff>
    </xdr:from>
    <xdr:to>
      <xdr:col>8</xdr:col>
      <xdr:colOff>200025</xdr:colOff>
      <xdr:row>30</xdr:row>
      <xdr:rowOff>180975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17175388-4202-FCE3-D41E-88EAC7F28E0C}"/>
            </a:ext>
          </a:extLst>
        </xdr:cNvPr>
        <xdr:cNvCxnSpPr>
          <a:cxnSpLocks/>
          <a:stCxn id="23" idx="2"/>
          <a:endCxn id="44" idx="0"/>
        </xdr:cNvCxnSpPr>
      </xdr:nvCxnSpPr>
      <xdr:spPr>
        <a:xfrm>
          <a:off x="4433888" y="4505325"/>
          <a:ext cx="642937" cy="13906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495300</xdr:colOff>
      <xdr:row>23</xdr:row>
      <xdr:rowOff>180975</xdr:rowOff>
    </xdr:from>
    <xdr:to>
      <xdr:col>11</xdr:col>
      <xdr:colOff>585788</xdr:colOff>
      <xdr:row>31</xdr:row>
      <xdr:rowOff>0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E0F4C420-9A05-2F31-C8FA-A93044D5137D}"/>
            </a:ext>
          </a:extLst>
        </xdr:cNvPr>
        <xdr:cNvCxnSpPr>
          <a:cxnSpLocks/>
          <a:stCxn id="21" idx="2"/>
          <a:endCxn id="43" idx="0"/>
        </xdr:cNvCxnSpPr>
      </xdr:nvCxnSpPr>
      <xdr:spPr>
        <a:xfrm flipH="1">
          <a:off x="6591300" y="4562475"/>
          <a:ext cx="700088" cy="13430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585788</xdr:colOff>
      <xdr:row>23</xdr:row>
      <xdr:rowOff>180975</xdr:rowOff>
    </xdr:from>
    <xdr:to>
      <xdr:col>13</xdr:col>
      <xdr:colOff>47625</xdr:colOff>
      <xdr:row>31</xdr:row>
      <xdr:rowOff>0</xdr:rowOff>
    </xdr:to>
    <xdr:cxnSp macro="">
      <xdr:nvCxnSpPr>
        <xdr:cNvPr id="26" name="Straight Arrow Connector 25">
          <a:extLst>
            <a:ext uri="{FF2B5EF4-FFF2-40B4-BE49-F238E27FC236}">
              <a16:creationId xmlns:a16="http://schemas.microsoft.com/office/drawing/2014/main" id="{50E20CC1-572B-5441-1F1C-1331F983BB43}"/>
            </a:ext>
          </a:extLst>
        </xdr:cNvPr>
        <xdr:cNvCxnSpPr>
          <a:cxnSpLocks/>
          <a:stCxn id="21" idx="2"/>
          <a:endCxn id="41" idx="0"/>
        </xdr:cNvCxnSpPr>
      </xdr:nvCxnSpPr>
      <xdr:spPr>
        <a:xfrm>
          <a:off x="7291388" y="4562475"/>
          <a:ext cx="681037" cy="13430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304800</xdr:colOff>
      <xdr:row>23</xdr:row>
      <xdr:rowOff>123826</xdr:rowOff>
    </xdr:from>
    <xdr:to>
      <xdr:col>16</xdr:col>
      <xdr:colOff>214313</xdr:colOff>
      <xdr:row>31</xdr:row>
      <xdr:rowOff>9525</xdr:rowOff>
    </xdr:to>
    <xdr:cxnSp macro="">
      <xdr:nvCxnSpPr>
        <xdr:cNvPr id="31" name="Straight Arrow Connector 30">
          <a:extLst>
            <a:ext uri="{FF2B5EF4-FFF2-40B4-BE49-F238E27FC236}">
              <a16:creationId xmlns:a16="http://schemas.microsoft.com/office/drawing/2014/main" id="{54BB3EA9-178C-3CEA-9DA8-D0066928D296}"/>
            </a:ext>
          </a:extLst>
        </xdr:cNvPr>
        <xdr:cNvCxnSpPr>
          <a:cxnSpLocks/>
          <a:stCxn id="28" idx="2"/>
          <a:endCxn id="29" idx="0"/>
        </xdr:cNvCxnSpPr>
      </xdr:nvCxnSpPr>
      <xdr:spPr>
        <a:xfrm flipH="1">
          <a:off x="9448800" y="4505326"/>
          <a:ext cx="519113" cy="140969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214313</xdr:colOff>
      <xdr:row>23</xdr:row>
      <xdr:rowOff>123826</xdr:rowOff>
    </xdr:from>
    <xdr:to>
      <xdr:col>17</xdr:col>
      <xdr:colOff>428625</xdr:colOff>
      <xdr:row>31</xdr:row>
      <xdr:rowOff>19050</xdr:rowOff>
    </xdr:to>
    <xdr:cxnSp macro="">
      <xdr:nvCxnSpPr>
        <xdr:cNvPr id="42" name="Straight Arrow Connector 41">
          <a:extLst>
            <a:ext uri="{FF2B5EF4-FFF2-40B4-BE49-F238E27FC236}">
              <a16:creationId xmlns:a16="http://schemas.microsoft.com/office/drawing/2014/main" id="{7C36488B-9B68-4BC4-F3E6-DD74169D9E4A}"/>
            </a:ext>
          </a:extLst>
        </xdr:cNvPr>
        <xdr:cNvCxnSpPr>
          <a:stCxn id="28" idx="2"/>
          <a:endCxn id="40" idx="0"/>
        </xdr:cNvCxnSpPr>
      </xdr:nvCxnSpPr>
      <xdr:spPr>
        <a:xfrm>
          <a:off x="9967913" y="4505326"/>
          <a:ext cx="823912" cy="141922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266699</xdr:colOff>
      <xdr:row>11</xdr:row>
      <xdr:rowOff>0</xdr:rowOff>
    </xdr:from>
    <xdr:to>
      <xdr:col>12</xdr:col>
      <xdr:colOff>209550</xdr:colOff>
      <xdr:row>12</xdr:row>
      <xdr:rowOff>95250</xdr:rowOff>
    </xdr:to>
    <xdr:sp macro="" textlink="">
      <xdr:nvSpPr>
        <xdr:cNvPr id="133" name="Flowchart: Connector 132">
          <a:extLst>
            <a:ext uri="{FF2B5EF4-FFF2-40B4-BE49-F238E27FC236}">
              <a16:creationId xmlns:a16="http://schemas.microsoft.com/office/drawing/2014/main" id="{02C051A5-E597-4073-92BA-16AD797E3518}"/>
            </a:ext>
          </a:extLst>
        </xdr:cNvPr>
        <xdr:cNvSpPr/>
      </xdr:nvSpPr>
      <xdr:spPr>
        <a:xfrm>
          <a:off x="6972299" y="2095500"/>
          <a:ext cx="552451" cy="285750"/>
        </a:xfrm>
        <a:prstGeom prst="flowChartConnector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yes</a:t>
          </a:r>
          <a:endParaRPr lang="en-DE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19050</xdr:colOff>
      <xdr:row>11</xdr:row>
      <xdr:rowOff>19050</xdr:rowOff>
    </xdr:from>
    <xdr:to>
      <xdr:col>7</xdr:col>
      <xdr:colOff>571501</xdr:colOff>
      <xdr:row>12</xdr:row>
      <xdr:rowOff>114300</xdr:rowOff>
    </xdr:to>
    <xdr:sp macro="" textlink="">
      <xdr:nvSpPr>
        <xdr:cNvPr id="135" name="Flowchart: Connector 134">
          <a:extLst>
            <a:ext uri="{FF2B5EF4-FFF2-40B4-BE49-F238E27FC236}">
              <a16:creationId xmlns:a16="http://schemas.microsoft.com/office/drawing/2014/main" id="{DA7855AF-D195-409F-BC18-3F980647D757}"/>
            </a:ext>
          </a:extLst>
        </xdr:cNvPr>
        <xdr:cNvSpPr/>
      </xdr:nvSpPr>
      <xdr:spPr>
        <a:xfrm>
          <a:off x="4286250" y="2114550"/>
          <a:ext cx="552451" cy="285750"/>
        </a:xfrm>
        <a:prstGeom prst="flowChartConnector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no</a:t>
          </a:r>
          <a:endParaRPr lang="en-DE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12</xdr:col>
      <xdr:colOff>85725</xdr:colOff>
      <xdr:row>27</xdr:row>
      <xdr:rowOff>104775</xdr:rowOff>
    </xdr:from>
    <xdr:to>
      <xdr:col>13</xdr:col>
      <xdr:colOff>28576</xdr:colOff>
      <xdr:row>29</xdr:row>
      <xdr:rowOff>9525</xdr:rowOff>
    </xdr:to>
    <xdr:sp macro="" textlink="">
      <xdr:nvSpPr>
        <xdr:cNvPr id="136" name="Flowchart: Connector 135">
          <a:extLst>
            <a:ext uri="{FF2B5EF4-FFF2-40B4-BE49-F238E27FC236}">
              <a16:creationId xmlns:a16="http://schemas.microsoft.com/office/drawing/2014/main" id="{0DC73606-22BA-4FCD-B96C-B9F407C5E690}"/>
            </a:ext>
          </a:extLst>
        </xdr:cNvPr>
        <xdr:cNvSpPr/>
      </xdr:nvSpPr>
      <xdr:spPr>
        <a:xfrm>
          <a:off x="7400925" y="5248275"/>
          <a:ext cx="552451" cy="285750"/>
        </a:xfrm>
        <a:prstGeom prst="flowChartConnector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yes</a:t>
          </a:r>
          <a:endParaRPr lang="en-DE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16</xdr:col>
      <xdr:colOff>476250</xdr:colOff>
      <xdr:row>27</xdr:row>
      <xdr:rowOff>85725</xdr:rowOff>
    </xdr:from>
    <xdr:to>
      <xdr:col>17</xdr:col>
      <xdr:colOff>419101</xdr:colOff>
      <xdr:row>28</xdr:row>
      <xdr:rowOff>180975</xdr:rowOff>
    </xdr:to>
    <xdr:sp macro="" textlink="">
      <xdr:nvSpPr>
        <xdr:cNvPr id="137" name="Flowchart: Connector 136">
          <a:extLst>
            <a:ext uri="{FF2B5EF4-FFF2-40B4-BE49-F238E27FC236}">
              <a16:creationId xmlns:a16="http://schemas.microsoft.com/office/drawing/2014/main" id="{ED755CC8-6D0E-4B27-907A-5F55574F5B13}"/>
            </a:ext>
          </a:extLst>
        </xdr:cNvPr>
        <xdr:cNvSpPr/>
      </xdr:nvSpPr>
      <xdr:spPr>
        <a:xfrm>
          <a:off x="10229850" y="5229225"/>
          <a:ext cx="552451" cy="285750"/>
        </a:xfrm>
        <a:prstGeom prst="flowChartConnector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yes</a:t>
          </a:r>
          <a:endParaRPr lang="en-DE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14</xdr:col>
      <xdr:colOff>571500</xdr:colOff>
      <xdr:row>17</xdr:row>
      <xdr:rowOff>152400</xdr:rowOff>
    </xdr:from>
    <xdr:to>
      <xdr:col>15</xdr:col>
      <xdr:colOff>514351</xdr:colOff>
      <xdr:row>19</xdr:row>
      <xdr:rowOff>57150</xdr:rowOff>
    </xdr:to>
    <xdr:sp macro="" textlink="">
      <xdr:nvSpPr>
        <xdr:cNvPr id="138" name="Flowchart: Connector 137">
          <a:extLst>
            <a:ext uri="{FF2B5EF4-FFF2-40B4-BE49-F238E27FC236}">
              <a16:creationId xmlns:a16="http://schemas.microsoft.com/office/drawing/2014/main" id="{9AACF175-4A1F-4CE3-A35F-905F234C4927}"/>
            </a:ext>
          </a:extLst>
        </xdr:cNvPr>
        <xdr:cNvSpPr/>
      </xdr:nvSpPr>
      <xdr:spPr>
        <a:xfrm>
          <a:off x="9105900" y="3390900"/>
          <a:ext cx="552451" cy="285750"/>
        </a:xfrm>
        <a:prstGeom prst="flowChartConnector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yes</a:t>
          </a:r>
          <a:endParaRPr lang="en-DE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600075</xdr:colOff>
      <xdr:row>27</xdr:row>
      <xdr:rowOff>76200</xdr:rowOff>
    </xdr:from>
    <xdr:to>
      <xdr:col>3</xdr:col>
      <xdr:colOff>542926</xdr:colOff>
      <xdr:row>28</xdr:row>
      <xdr:rowOff>171450</xdr:rowOff>
    </xdr:to>
    <xdr:sp macro="" textlink="">
      <xdr:nvSpPr>
        <xdr:cNvPr id="139" name="Flowchart: Connector 138">
          <a:extLst>
            <a:ext uri="{FF2B5EF4-FFF2-40B4-BE49-F238E27FC236}">
              <a16:creationId xmlns:a16="http://schemas.microsoft.com/office/drawing/2014/main" id="{ADB47F17-13D1-44B4-9552-D241E713AEEE}"/>
            </a:ext>
          </a:extLst>
        </xdr:cNvPr>
        <xdr:cNvSpPr/>
      </xdr:nvSpPr>
      <xdr:spPr>
        <a:xfrm>
          <a:off x="1819275" y="5219700"/>
          <a:ext cx="552451" cy="285750"/>
        </a:xfrm>
        <a:prstGeom prst="flowChartConnector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yes</a:t>
          </a:r>
          <a:endParaRPr lang="en-DE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590550</xdr:colOff>
      <xdr:row>18</xdr:row>
      <xdr:rowOff>57150</xdr:rowOff>
    </xdr:from>
    <xdr:to>
      <xdr:col>6</xdr:col>
      <xdr:colOff>533401</xdr:colOff>
      <xdr:row>19</xdr:row>
      <xdr:rowOff>152400</xdr:rowOff>
    </xdr:to>
    <xdr:sp macro="" textlink="">
      <xdr:nvSpPr>
        <xdr:cNvPr id="140" name="Flowchart: Connector 139">
          <a:extLst>
            <a:ext uri="{FF2B5EF4-FFF2-40B4-BE49-F238E27FC236}">
              <a16:creationId xmlns:a16="http://schemas.microsoft.com/office/drawing/2014/main" id="{104A154A-FB4E-43C3-927A-24C2F018AA83}"/>
            </a:ext>
          </a:extLst>
        </xdr:cNvPr>
        <xdr:cNvSpPr/>
      </xdr:nvSpPr>
      <xdr:spPr>
        <a:xfrm>
          <a:off x="3638550" y="3486150"/>
          <a:ext cx="552451" cy="285750"/>
        </a:xfrm>
        <a:prstGeom prst="flowChartConnector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yes</a:t>
          </a:r>
          <a:endParaRPr lang="en-DE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190500</xdr:colOff>
      <xdr:row>27</xdr:row>
      <xdr:rowOff>47625</xdr:rowOff>
    </xdr:from>
    <xdr:to>
      <xdr:col>8</xdr:col>
      <xdr:colOff>133351</xdr:colOff>
      <xdr:row>28</xdr:row>
      <xdr:rowOff>142875</xdr:rowOff>
    </xdr:to>
    <xdr:sp macro="" textlink="">
      <xdr:nvSpPr>
        <xdr:cNvPr id="141" name="Flowchart: Connector 140">
          <a:extLst>
            <a:ext uri="{FF2B5EF4-FFF2-40B4-BE49-F238E27FC236}">
              <a16:creationId xmlns:a16="http://schemas.microsoft.com/office/drawing/2014/main" id="{C55564A7-3D73-4B41-83F8-C1FE8864C314}"/>
            </a:ext>
          </a:extLst>
        </xdr:cNvPr>
        <xdr:cNvSpPr/>
      </xdr:nvSpPr>
      <xdr:spPr>
        <a:xfrm>
          <a:off x="4457700" y="5191125"/>
          <a:ext cx="552451" cy="285750"/>
        </a:xfrm>
        <a:prstGeom prst="flowChartConnector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yes</a:t>
          </a:r>
          <a:endParaRPr lang="en-DE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12</xdr:col>
      <xdr:colOff>371475</xdr:colOff>
      <xdr:row>17</xdr:row>
      <xdr:rowOff>161925</xdr:rowOff>
    </xdr:from>
    <xdr:to>
      <xdr:col>13</xdr:col>
      <xdr:colOff>314326</xdr:colOff>
      <xdr:row>19</xdr:row>
      <xdr:rowOff>66675</xdr:rowOff>
    </xdr:to>
    <xdr:sp macro="" textlink="">
      <xdr:nvSpPr>
        <xdr:cNvPr id="143" name="Flowchart: Connector 142">
          <a:extLst>
            <a:ext uri="{FF2B5EF4-FFF2-40B4-BE49-F238E27FC236}">
              <a16:creationId xmlns:a16="http://schemas.microsoft.com/office/drawing/2014/main" id="{4F6D9A9A-6BFC-49F1-87F9-DB1B85534D6D}"/>
            </a:ext>
          </a:extLst>
        </xdr:cNvPr>
        <xdr:cNvSpPr/>
      </xdr:nvSpPr>
      <xdr:spPr>
        <a:xfrm>
          <a:off x="7686675" y="3400425"/>
          <a:ext cx="552451" cy="285750"/>
        </a:xfrm>
        <a:prstGeom prst="flowChartConnector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no</a:t>
          </a:r>
          <a:endParaRPr lang="en-DE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10</xdr:col>
      <xdr:colOff>542925</xdr:colOff>
      <xdr:row>27</xdr:row>
      <xdr:rowOff>104775</xdr:rowOff>
    </xdr:from>
    <xdr:to>
      <xdr:col>11</xdr:col>
      <xdr:colOff>485776</xdr:colOff>
      <xdr:row>29</xdr:row>
      <xdr:rowOff>9525</xdr:rowOff>
    </xdr:to>
    <xdr:sp macro="" textlink="">
      <xdr:nvSpPr>
        <xdr:cNvPr id="144" name="Flowchart: Connector 143">
          <a:extLst>
            <a:ext uri="{FF2B5EF4-FFF2-40B4-BE49-F238E27FC236}">
              <a16:creationId xmlns:a16="http://schemas.microsoft.com/office/drawing/2014/main" id="{3853E2AD-7C42-49F6-BEE3-84364E215427}"/>
            </a:ext>
          </a:extLst>
        </xdr:cNvPr>
        <xdr:cNvSpPr/>
      </xdr:nvSpPr>
      <xdr:spPr>
        <a:xfrm>
          <a:off x="6638925" y="5248275"/>
          <a:ext cx="552451" cy="285750"/>
        </a:xfrm>
        <a:prstGeom prst="flowChartConnector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no</a:t>
          </a:r>
          <a:endParaRPr lang="en-DE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600075</xdr:colOff>
      <xdr:row>27</xdr:row>
      <xdr:rowOff>47625</xdr:rowOff>
    </xdr:from>
    <xdr:to>
      <xdr:col>6</xdr:col>
      <xdr:colOff>542926</xdr:colOff>
      <xdr:row>28</xdr:row>
      <xdr:rowOff>142875</xdr:rowOff>
    </xdr:to>
    <xdr:sp macro="" textlink="">
      <xdr:nvSpPr>
        <xdr:cNvPr id="145" name="Flowchart: Connector 144">
          <a:extLst>
            <a:ext uri="{FF2B5EF4-FFF2-40B4-BE49-F238E27FC236}">
              <a16:creationId xmlns:a16="http://schemas.microsoft.com/office/drawing/2014/main" id="{5D8FB1DB-3657-4747-A80A-3192D4F7D0F5}"/>
            </a:ext>
          </a:extLst>
        </xdr:cNvPr>
        <xdr:cNvSpPr/>
      </xdr:nvSpPr>
      <xdr:spPr>
        <a:xfrm>
          <a:off x="3648075" y="5191125"/>
          <a:ext cx="552451" cy="285750"/>
        </a:xfrm>
        <a:prstGeom prst="flowChartConnector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no</a:t>
          </a:r>
          <a:endParaRPr lang="en-DE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266700</xdr:colOff>
      <xdr:row>18</xdr:row>
      <xdr:rowOff>66675</xdr:rowOff>
    </xdr:from>
    <xdr:to>
      <xdr:col>4</xdr:col>
      <xdr:colOff>209551</xdr:colOff>
      <xdr:row>19</xdr:row>
      <xdr:rowOff>161925</xdr:rowOff>
    </xdr:to>
    <xdr:sp macro="" textlink="">
      <xdr:nvSpPr>
        <xdr:cNvPr id="146" name="Flowchart: Connector 145">
          <a:extLst>
            <a:ext uri="{FF2B5EF4-FFF2-40B4-BE49-F238E27FC236}">
              <a16:creationId xmlns:a16="http://schemas.microsoft.com/office/drawing/2014/main" id="{71ED5A4F-3594-4F9B-9C8B-B3A41A0FA953}"/>
            </a:ext>
          </a:extLst>
        </xdr:cNvPr>
        <xdr:cNvSpPr/>
      </xdr:nvSpPr>
      <xdr:spPr>
        <a:xfrm>
          <a:off x="2095500" y="3495675"/>
          <a:ext cx="552451" cy="285750"/>
        </a:xfrm>
        <a:prstGeom prst="flowChartConnector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no</a:t>
          </a:r>
          <a:endParaRPr lang="en-DE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476250</xdr:colOff>
      <xdr:row>27</xdr:row>
      <xdr:rowOff>104775</xdr:rowOff>
    </xdr:from>
    <xdr:to>
      <xdr:col>2</xdr:col>
      <xdr:colOff>419101</xdr:colOff>
      <xdr:row>29</xdr:row>
      <xdr:rowOff>9525</xdr:rowOff>
    </xdr:to>
    <xdr:sp macro="" textlink="">
      <xdr:nvSpPr>
        <xdr:cNvPr id="147" name="Flowchart: Connector 146">
          <a:extLst>
            <a:ext uri="{FF2B5EF4-FFF2-40B4-BE49-F238E27FC236}">
              <a16:creationId xmlns:a16="http://schemas.microsoft.com/office/drawing/2014/main" id="{F9DEC5B3-7D28-49AE-B10B-A943EE8714CF}"/>
            </a:ext>
          </a:extLst>
        </xdr:cNvPr>
        <xdr:cNvSpPr/>
      </xdr:nvSpPr>
      <xdr:spPr>
        <a:xfrm>
          <a:off x="1085850" y="5248275"/>
          <a:ext cx="552451" cy="285750"/>
        </a:xfrm>
        <a:prstGeom prst="flowChartConnector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no</a:t>
          </a:r>
          <a:endParaRPr lang="en-DE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200025</xdr:colOff>
      <xdr:row>34</xdr:row>
      <xdr:rowOff>171450</xdr:rowOff>
    </xdr:from>
    <xdr:to>
      <xdr:col>19</xdr:col>
      <xdr:colOff>123825</xdr:colOff>
      <xdr:row>35</xdr:row>
      <xdr:rowOff>0</xdr:rowOff>
    </xdr:to>
    <xdr:cxnSp macro="">
      <xdr:nvCxnSpPr>
        <xdr:cNvPr id="149" name="Straight Arrow Connector 148">
          <a:extLst>
            <a:ext uri="{FF2B5EF4-FFF2-40B4-BE49-F238E27FC236}">
              <a16:creationId xmlns:a16="http://schemas.microsoft.com/office/drawing/2014/main" id="{FA63A7B4-FBF3-1138-181F-8464A6A6928C}"/>
            </a:ext>
          </a:extLst>
        </xdr:cNvPr>
        <xdr:cNvCxnSpPr/>
      </xdr:nvCxnSpPr>
      <xdr:spPr>
        <a:xfrm flipV="1">
          <a:off x="200025" y="6648450"/>
          <a:ext cx="11506200" cy="19050"/>
        </a:xfrm>
        <a:prstGeom prst="straightConnector1">
          <a:avLst/>
        </a:prstGeom>
        <a:ln w="101600">
          <a:solidFill>
            <a:schemeClr val="accent1"/>
          </a:solidFill>
          <a:headEnd type="triangle"/>
          <a:tailEnd type="triangle"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209550</xdr:colOff>
      <xdr:row>27</xdr:row>
      <xdr:rowOff>95250</xdr:rowOff>
    </xdr:from>
    <xdr:to>
      <xdr:col>16</xdr:col>
      <xdr:colOff>152401</xdr:colOff>
      <xdr:row>29</xdr:row>
      <xdr:rowOff>0</xdr:rowOff>
    </xdr:to>
    <xdr:sp macro="" textlink="">
      <xdr:nvSpPr>
        <xdr:cNvPr id="150" name="Flowchart: Connector 149">
          <a:extLst>
            <a:ext uri="{FF2B5EF4-FFF2-40B4-BE49-F238E27FC236}">
              <a16:creationId xmlns:a16="http://schemas.microsoft.com/office/drawing/2014/main" id="{67B67A64-4717-4EDE-AF51-B9C26088572B}"/>
            </a:ext>
          </a:extLst>
        </xdr:cNvPr>
        <xdr:cNvSpPr/>
      </xdr:nvSpPr>
      <xdr:spPr>
        <a:xfrm>
          <a:off x="9353550" y="5238750"/>
          <a:ext cx="552451" cy="285750"/>
        </a:xfrm>
        <a:prstGeom prst="flowChartConnector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no</a:t>
          </a:r>
          <a:endParaRPr lang="en-DE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76200</xdr:colOff>
      <xdr:row>34</xdr:row>
      <xdr:rowOff>57150</xdr:rowOff>
    </xdr:from>
    <xdr:to>
      <xdr:col>9</xdr:col>
      <xdr:colOff>581025</xdr:colOff>
      <xdr:row>35</xdr:row>
      <xdr:rowOff>123825</xdr:rowOff>
    </xdr:to>
    <xdr:sp macro="" textlink="">
      <xdr:nvSpPr>
        <xdr:cNvPr id="158" name="Rectangle: Rounded Corners 157">
          <a:extLst>
            <a:ext uri="{FF2B5EF4-FFF2-40B4-BE49-F238E27FC236}">
              <a16:creationId xmlns:a16="http://schemas.microsoft.com/office/drawing/2014/main" id="{F778C219-EC01-CB86-F672-ADE39C50644C}"/>
            </a:ext>
          </a:extLst>
        </xdr:cNvPr>
        <xdr:cNvSpPr/>
      </xdr:nvSpPr>
      <xdr:spPr>
        <a:xfrm>
          <a:off x="5562600" y="6534150"/>
          <a:ext cx="504825" cy="257175"/>
        </a:xfrm>
        <a:prstGeom prst="roundRect">
          <a:avLst/>
        </a:prstGeom>
        <a:solidFill>
          <a:schemeClr val="accent2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Risk</a:t>
          </a:r>
          <a:endParaRPr lang="en-DE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9525</xdr:colOff>
      <xdr:row>34</xdr:row>
      <xdr:rowOff>66675</xdr:rowOff>
    </xdr:from>
    <xdr:to>
      <xdr:col>1</xdr:col>
      <xdr:colOff>514350</xdr:colOff>
      <xdr:row>35</xdr:row>
      <xdr:rowOff>133350</xdr:rowOff>
    </xdr:to>
    <xdr:sp macro="" textlink="">
      <xdr:nvSpPr>
        <xdr:cNvPr id="159" name="Rectangle: Rounded Corners 158">
          <a:extLst>
            <a:ext uri="{FF2B5EF4-FFF2-40B4-BE49-F238E27FC236}">
              <a16:creationId xmlns:a16="http://schemas.microsoft.com/office/drawing/2014/main" id="{0DD6AAA1-7DA8-4487-8041-7161D019DCD5}"/>
            </a:ext>
          </a:extLst>
        </xdr:cNvPr>
        <xdr:cNvSpPr/>
      </xdr:nvSpPr>
      <xdr:spPr>
        <a:xfrm>
          <a:off x="619125" y="6543675"/>
          <a:ext cx="504825" cy="257175"/>
        </a:xfrm>
        <a:prstGeom prst="roundRect">
          <a:avLst/>
        </a:prstGeom>
        <a:solidFill>
          <a:schemeClr val="accent2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Low</a:t>
          </a:r>
          <a:endParaRPr lang="en-DE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17</xdr:col>
      <xdr:colOff>485775</xdr:colOff>
      <xdr:row>34</xdr:row>
      <xdr:rowOff>38100</xdr:rowOff>
    </xdr:from>
    <xdr:to>
      <xdr:col>18</xdr:col>
      <xdr:colOff>381000</xdr:colOff>
      <xdr:row>35</xdr:row>
      <xdr:rowOff>104775</xdr:rowOff>
    </xdr:to>
    <xdr:sp macro="" textlink="">
      <xdr:nvSpPr>
        <xdr:cNvPr id="160" name="Rectangle: Rounded Corners 159">
          <a:extLst>
            <a:ext uri="{FF2B5EF4-FFF2-40B4-BE49-F238E27FC236}">
              <a16:creationId xmlns:a16="http://schemas.microsoft.com/office/drawing/2014/main" id="{48728999-C5A9-4504-BD7B-87C78B912354}"/>
            </a:ext>
          </a:extLst>
        </xdr:cNvPr>
        <xdr:cNvSpPr/>
      </xdr:nvSpPr>
      <xdr:spPr>
        <a:xfrm>
          <a:off x="10848975" y="6515100"/>
          <a:ext cx="504825" cy="257175"/>
        </a:xfrm>
        <a:prstGeom prst="roundRect">
          <a:avLst/>
        </a:prstGeom>
        <a:solidFill>
          <a:schemeClr val="accent2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High</a:t>
          </a:r>
          <a:endParaRPr lang="en-DE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11</xdr:col>
      <xdr:colOff>180975</xdr:colOff>
      <xdr:row>21</xdr:row>
      <xdr:rowOff>66675</xdr:rowOff>
    </xdr:from>
    <xdr:to>
      <xdr:col>12</xdr:col>
      <xdr:colOff>381000</xdr:colOff>
      <xdr:row>23</xdr:row>
      <xdr:rowOff>180975</xdr:rowOff>
    </xdr:to>
    <xdr:sp macro="" textlink="">
      <xdr:nvSpPr>
        <xdr:cNvPr id="21" name="Rectangle: Rounded Corners 20">
          <a:extLst>
            <a:ext uri="{FF2B5EF4-FFF2-40B4-BE49-F238E27FC236}">
              <a16:creationId xmlns:a16="http://schemas.microsoft.com/office/drawing/2014/main" id="{D5619413-F077-442D-A745-7BC33D5D7E4A}"/>
            </a:ext>
          </a:extLst>
        </xdr:cNvPr>
        <xdr:cNvSpPr/>
      </xdr:nvSpPr>
      <xdr:spPr>
        <a:xfrm>
          <a:off x="6886575" y="4067175"/>
          <a:ext cx="809625" cy="495300"/>
        </a:xfrm>
        <a:prstGeom prst="roundRect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is female?</a:t>
          </a:r>
          <a:endParaRPr lang="en-DE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371475</xdr:colOff>
      <xdr:row>21</xdr:row>
      <xdr:rowOff>9525</xdr:rowOff>
    </xdr:from>
    <xdr:to>
      <xdr:col>7</xdr:col>
      <xdr:colOff>571500</xdr:colOff>
      <xdr:row>23</xdr:row>
      <xdr:rowOff>123825</xdr:rowOff>
    </xdr:to>
    <xdr:sp macro="" textlink="">
      <xdr:nvSpPr>
        <xdr:cNvPr id="23" name="Rectangle: Rounded Corners 22">
          <a:extLst>
            <a:ext uri="{FF2B5EF4-FFF2-40B4-BE49-F238E27FC236}">
              <a16:creationId xmlns:a16="http://schemas.microsoft.com/office/drawing/2014/main" id="{0B048292-37A5-4AA4-B859-74047B29C285}"/>
            </a:ext>
          </a:extLst>
        </xdr:cNvPr>
        <xdr:cNvSpPr/>
      </xdr:nvSpPr>
      <xdr:spPr>
        <a:xfrm>
          <a:off x="4029075" y="4010025"/>
          <a:ext cx="809625" cy="495300"/>
        </a:xfrm>
        <a:prstGeom prst="roundRect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is female?</a:t>
          </a:r>
          <a:endParaRPr lang="en-DE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0</xdr:colOff>
      <xdr:row>21</xdr:row>
      <xdr:rowOff>19050</xdr:rowOff>
    </xdr:from>
    <xdr:to>
      <xdr:col>3</xdr:col>
      <xdr:colOff>200025</xdr:colOff>
      <xdr:row>23</xdr:row>
      <xdr:rowOff>133350</xdr:rowOff>
    </xdr:to>
    <xdr:sp macro="" textlink="">
      <xdr:nvSpPr>
        <xdr:cNvPr id="25" name="Rectangle: Rounded Corners 24">
          <a:extLst>
            <a:ext uri="{FF2B5EF4-FFF2-40B4-BE49-F238E27FC236}">
              <a16:creationId xmlns:a16="http://schemas.microsoft.com/office/drawing/2014/main" id="{A8B38B74-12CB-4BCC-8DBC-477BF3CF462B}"/>
            </a:ext>
          </a:extLst>
        </xdr:cNvPr>
        <xdr:cNvSpPr/>
      </xdr:nvSpPr>
      <xdr:spPr>
        <a:xfrm>
          <a:off x="1219200" y="4019550"/>
          <a:ext cx="809625" cy="495300"/>
        </a:xfrm>
        <a:prstGeom prst="roundRect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is female?</a:t>
          </a:r>
          <a:endParaRPr lang="en-DE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14</xdr:col>
      <xdr:colOff>323850</xdr:colOff>
      <xdr:row>31</xdr:row>
      <xdr:rowOff>9525</xdr:rowOff>
    </xdr:from>
    <xdr:to>
      <xdr:col>16</xdr:col>
      <xdr:colOff>285750</xdr:colOff>
      <xdr:row>33</xdr:row>
      <xdr:rowOff>161925</xdr:rowOff>
    </xdr:to>
    <xdr:sp macro="" textlink="">
      <xdr:nvSpPr>
        <xdr:cNvPr id="29" name="Rectangle: Rounded Corners 28">
          <a:extLst>
            <a:ext uri="{FF2B5EF4-FFF2-40B4-BE49-F238E27FC236}">
              <a16:creationId xmlns:a16="http://schemas.microsoft.com/office/drawing/2014/main" id="{0C1C4B0D-EAB9-4141-BFDB-BD7A2A5CA7A5}"/>
            </a:ext>
          </a:extLst>
        </xdr:cNvPr>
        <xdr:cNvSpPr/>
      </xdr:nvSpPr>
      <xdr:spPr>
        <a:xfrm>
          <a:off x="8858250" y="5915025"/>
          <a:ext cx="1181100" cy="533400"/>
        </a:xfrm>
        <a:prstGeom prst="roundRect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ysClr val="windowText" lastClr="000000"/>
              </a:solidFill>
            </a:rPr>
            <a:t>I</a:t>
          </a:r>
          <a:r>
            <a:rPr 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s credit</a:t>
          </a:r>
          <a:r>
            <a:rPr 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score under average?</a:t>
          </a:r>
          <a:endParaRPr lang="en-DE">
            <a:solidFill>
              <a:sysClr val="windowText" lastClr="000000"/>
            </a:solidFill>
            <a:effectLst/>
          </a:endParaRPr>
        </a:p>
        <a:p>
          <a:pPr algn="ctr"/>
          <a:endParaRPr lang="en-US" sz="1100">
            <a:solidFill>
              <a:sysClr val="windowText" lastClr="000000"/>
            </a:solidFill>
          </a:endParaRPr>
        </a:p>
        <a:p>
          <a:pPr algn="ctr"/>
          <a:endParaRPr lang="en-DE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12</xdr:col>
      <xdr:colOff>66675</xdr:colOff>
      <xdr:row>31</xdr:row>
      <xdr:rowOff>0</xdr:rowOff>
    </xdr:from>
    <xdr:to>
      <xdr:col>14</xdr:col>
      <xdr:colOff>28575</xdr:colOff>
      <xdr:row>33</xdr:row>
      <xdr:rowOff>152400</xdr:rowOff>
    </xdr:to>
    <xdr:sp macro="" textlink="">
      <xdr:nvSpPr>
        <xdr:cNvPr id="41" name="Rectangle: Rounded Corners 40">
          <a:extLst>
            <a:ext uri="{FF2B5EF4-FFF2-40B4-BE49-F238E27FC236}">
              <a16:creationId xmlns:a16="http://schemas.microsoft.com/office/drawing/2014/main" id="{FB43B869-A609-4E16-BED7-A9B705276A91}"/>
            </a:ext>
          </a:extLst>
        </xdr:cNvPr>
        <xdr:cNvSpPr/>
      </xdr:nvSpPr>
      <xdr:spPr>
        <a:xfrm>
          <a:off x="7381875" y="5905500"/>
          <a:ext cx="1181100" cy="533400"/>
        </a:xfrm>
        <a:prstGeom prst="roundRect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ysClr val="windowText" lastClr="000000"/>
              </a:solidFill>
            </a:rPr>
            <a:t>I</a:t>
          </a:r>
          <a:r>
            <a:rPr 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s credit</a:t>
          </a:r>
          <a:r>
            <a:rPr 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score under average?</a:t>
          </a:r>
          <a:endParaRPr lang="en-DE">
            <a:solidFill>
              <a:sysClr val="windowText" lastClr="000000"/>
            </a:solidFill>
            <a:effectLst/>
          </a:endParaRPr>
        </a:p>
        <a:p>
          <a:pPr algn="ctr"/>
          <a:endParaRPr lang="en-US" sz="1100">
            <a:solidFill>
              <a:sysClr val="windowText" lastClr="000000"/>
            </a:solidFill>
          </a:endParaRPr>
        </a:p>
        <a:p>
          <a:pPr algn="ctr"/>
          <a:endParaRPr lang="en-DE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514350</xdr:colOff>
      <xdr:row>31</xdr:row>
      <xdr:rowOff>0</xdr:rowOff>
    </xdr:from>
    <xdr:to>
      <xdr:col>11</xdr:col>
      <xdr:colOff>476250</xdr:colOff>
      <xdr:row>33</xdr:row>
      <xdr:rowOff>152400</xdr:rowOff>
    </xdr:to>
    <xdr:sp macro="" textlink="">
      <xdr:nvSpPr>
        <xdr:cNvPr id="43" name="Rectangle: Rounded Corners 42">
          <a:extLst>
            <a:ext uri="{FF2B5EF4-FFF2-40B4-BE49-F238E27FC236}">
              <a16:creationId xmlns:a16="http://schemas.microsoft.com/office/drawing/2014/main" id="{3138E6A5-322C-458E-8CB5-D3AE1082DE86}"/>
            </a:ext>
          </a:extLst>
        </xdr:cNvPr>
        <xdr:cNvSpPr/>
      </xdr:nvSpPr>
      <xdr:spPr>
        <a:xfrm>
          <a:off x="6000750" y="5905500"/>
          <a:ext cx="1181100" cy="533400"/>
        </a:xfrm>
        <a:prstGeom prst="roundRect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ysClr val="windowText" lastClr="000000"/>
              </a:solidFill>
            </a:rPr>
            <a:t>I</a:t>
          </a:r>
          <a:r>
            <a:rPr 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s credit</a:t>
          </a:r>
          <a:r>
            <a:rPr 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score under average?</a:t>
          </a:r>
          <a:endParaRPr lang="en-DE">
            <a:solidFill>
              <a:sysClr val="windowText" lastClr="000000"/>
            </a:solidFill>
            <a:effectLst/>
          </a:endParaRPr>
        </a:p>
        <a:p>
          <a:pPr algn="ctr"/>
          <a:endParaRPr lang="en-US" sz="1100">
            <a:solidFill>
              <a:sysClr val="windowText" lastClr="000000"/>
            </a:solidFill>
          </a:endParaRPr>
        </a:p>
        <a:p>
          <a:pPr algn="ctr"/>
          <a:endParaRPr lang="en-DE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219075</xdr:colOff>
      <xdr:row>30</xdr:row>
      <xdr:rowOff>180975</xdr:rowOff>
    </xdr:from>
    <xdr:to>
      <xdr:col>9</xdr:col>
      <xdr:colOff>180975</xdr:colOff>
      <xdr:row>33</xdr:row>
      <xdr:rowOff>142875</xdr:rowOff>
    </xdr:to>
    <xdr:sp macro="" textlink="">
      <xdr:nvSpPr>
        <xdr:cNvPr id="44" name="Rectangle: Rounded Corners 43">
          <a:extLst>
            <a:ext uri="{FF2B5EF4-FFF2-40B4-BE49-F238E27FC236}">
              <a16:creationId xmlns:a16="http://schemas.microsoft.com/office/drawing/2014/main" id="{087C6076-0A44-4038-A644-94344A40A22D}"/>
            </a:ext>
          </a:extLst>
        </xdr:cNvPr>
        <xdr:cNvSpPr/>
      </xdr:nvSpPr>
      <xdr:spPr>
        <a:xfrm>
          <a:off x="4486275" y="5895975"/>
          <a:ext cx="1181100" cy="533400"/>
        </a:xfrm>
        <a:prstGeom prst="roundRect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ysClr val="windowText" lastClr="000000"/>
              </a:solidFill>
            </a:rPr>
            <a:t>I</a:t>
          </a:r>
          <a:r>
            <a:rPr 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s credit</a:t>
          </a:r>
          <a:r>
            <a:rPr 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score under average?</a:t>
          </a:r>
          <a:endParaRPr lang="en-DE">
            <a:solidFill>
              <a:sysClr val="windowText" lastClr="000000"/>
            </a:solidFill>
            <a:effectLst/>
          </a:endParaRPr>
        </a:p>
        <a:p>
          <a:pPr algn="ctr"/>
          <a:endParaRPr lang="en-US" sz="1100">
            <a:solidFill>
              <a:sysClr val="windowText" lastClr="000000"/>
            </a:solidFill>
          </a:endParaRPr>
        </a:p>
        <a:p>
          <a:pPr algn="ctr"/>
          <a:endParaRPr lang="en-DE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114300</xdr:colOff>
      <xdr:row>30</xdr:row>
      <xdr:rowOff>180975</xdr:rowOff>
    </xdr:from>
    <xdr:to>
      <xdr:col>7</xdr:col>
      <xdr:colOff>76200</xdr:colOff>
      <xdr:row>33</xdr:row>
      <xdr:rowOff>142875</xdr:rowOff>
    </xdr:to>
    <xdr:sp macro="" textlink="">
      <xdr:nvSpPr>
        <xdr:cNvPr id="45" name="Rectangle: Rounded Corners 44">
          <a:extLst>
            <a:ext uri="{FF2B5EF4-FFF2-40B4-BE49-F238E27FC236}">
              <a16:creationId xmlns:a16="http://schemas.microsoft.com/office/drawing/2014/main" id="{3F609626-AACE-4038-8F37-7C3C6C0CC8FE}"/>
            </a:ext>
          </a:extLst>
        </xdr:cNvPr>
        <xdr:cNvSpPr/>
      </xdr:nvSpPr>
      <xdr:spPr>
        <a:xfrm>
          <a:off x="3162300" y="5895975"/>
          <a:ext cx="1181100" cy="533400"/>
        </a:xfrm>
        <a:prstGeom prst="roundRect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ysClr val="windowText" lastClr="000000"/>
              </a:solidFill>
            </a:rPr>
            <a:t>I</a:t>
          </a:r>
          <a:r>
            <a:rPr 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s credit</a:t>
          </a:r>
          <a:r>
            <a:rPr 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score under average?</a:t>
          </a:r>
          <a:endParaRPr lang="en-DE">
            <a:solidFill>
              <a:sysClr val="windowText" lastClr="000000"/>
            </a:solidFill>
            <a:effectLst/>
          </a:endParaRPr>
        </a:p>
        <a:p>
          <a:pPr algn="ctr"/>
          <a:endParaRPr lang="en-US" sz="1100">
            <a:solidFill>
              <a:sysClr val="windowText" lastClr="000000"/>
            </a:solidFill>
          </a:endParaRPr>
        </a:p>
        <a:p>
          <a:pPr algn="ctr"/>
          <a:endParaRPr lang="en-DE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0</xdr:colOff>
      <xdr:row>31</xdr:row>
      <xdr:rowOff>0</xdr:rowOff>
    </xdr:from>
    <xdr:to>
      <xdr:col>4</xdr:col>
      <xdr:colOff>571500</xdr:colOff>
      <xdr:row>33</xdr:row>
      <xdr:rowOff>152400</xdr:rowOff>
    </xdr:to>
    <xdr:sp macro="" textlink="">
      <xdr:nvSpPr>
        <xdr:cNvPr id="46" name="Rectangle: Rounded Corners 45">
          <a:extLst>
            <a:ext uri="{FF2B5EF4-FFF2-40B4-BE49-F238E27FC236}">
              <a16:creationId xmlns:a16="http://schemas.microsoft.com/office/drawing/2014/main" id="{8AA136D0-4209-4ECB-9BC9-7082C2F3DC01}"/>
            </a:ext>
          </a:extLst>
        </xdr:cNvPr>
        <xdr:cNvSpPr/>
      </xdr:nvSpPr>
      <xdr:spPr>
        <a:xfrm>
          <a:off x="1828800" y="5905500"/>
          <a:ext cx="1181100" cy="533400"/>
        </a:xfrm>
        <a:prstGeom prst="roundRect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ysClr val="windowText" lastClr="000000"/>
              </a:solidFill>
            </a:rPr>
            <a:t>I</a:t>
          </a:r>
          <a:r>
            <a:rPr 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s credit</a:t>
          </a:r>
          <a:r>
            <a:rPr 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score under average?</a:t>
          </a:r>
          <a:endParaRPr lang="en-DE">
            <a:solidFill>
              <a:sysClr val="windowText" lastClr="000000"/>
            </a:solidFill>
            <a:effectLst/>
          </a:endParaRPr>
        </a:p>
        <a:p>
          <a:pPr algn="ctr"/>
          <a:endParaRPr lang="en-US" sz="1100">
            <a:solidFill>
              <a:sysClr val="windowText" lastClr="000000"/>
            </a:solidFill>
          </a:endParaRPr>
        </a:p>
        <a:p>
          <a:pPr algn="ctr"/>
          <a:endParaRPr lang="en-DE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447675</xdr:colOff>
      <xdr:row>31</xdr:row>
      <xdr:rowOff>9525</xdr:rowOff>
    </xdr:from>
    <xdr:to>
      <xdr:col>2</xdr:col>
      <xdr:colOff>409575</xdr:colOff>
      <xdr:row>33</xdr:row>
      <xdr:rowOff>161925</xdr:rowOff>
    </xdr:to>
    <xdr:sp macro="" textlink="">
      <xdr:nvSpPr>
        <xdr:cNvPr id="47" name="Rectangle: Rounded Corners 46">
          <a:extLst>
            <a:ext uri="{FF2B5EF4-FFF2-40B4-BE49-F238E27FC236}">
              <a16:creationId xmlns:a16="http://schemas.microsoft.com/office/drawing/2014/main" id="{21CA12D2-351F-41AA-A439-735A8FC98D08}"/>
            </a:ext>
          </a:extLst>
        </xdr:cNvPr>
        <xdr:cNvSpPr/>
      </xdr:nvSpPr>
      <xdr:spPr>
        <a:xfrm>
          <a:off x="447675" y="5915025"/>
          <a:ext cx="1181100" cy="533400"/>
        </a:xfrm>
        <a:prstGeom prst="roundRect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Is credit</a:t>
          </a:r>
          <a:r>
            <a:rPr 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score under average?</a:t>
          </a:r>
          <a:endParaRPr lang="en-DE">
            <a:solidFill>
              <a:sysClr val="windowText" lastClr="000000"/>
            </a:solidFill>
            <a:effectLst/>
          </a:endParaRPr>
        </a:p>
        <a:p>
          <a:pPr algn="ctr"/>
          <a:endParaRPr lang="en-US" sz="1100">
            <a:solidFill>
              <a:sysClr val="windowText" lastClr="000000"/>
            </a:solidFill>
          </a:endParaRPr>
        </a:p>
        <a:p>
          <a:pPr algn="ctr"/>
          <a:endParaRPr lang="en-DE" sz="1100">
            <a:solidFill>
              <a:sysClr val="windowText" lastClr="000000"/>
            </a:solidFill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muro Ray" refreshedDate="45720.629534837964" createdVersion="8" refreshedVersion="8" minRefreshableVersion="3" recordCount="991" xr:uid="{E5C427D8-05FD-4F04-9AD7-CD0D7ECB9AD1}">
  <cacheSource type="worksheet">
    <worksheetSource ref="A1:N992" sheet="Dataset-CLEAN"/>
  </cacheSource>
  <cacheFields count="14">
    <cacheField name="Row_Number" numFmtId="0">
      <sharedItems containsSemiMixedTypes="0" containsString="0" containsNumber="1" containsInteger="1" minValue="1" maxValue="991"/>
    </cacheField>
    <cacheField name="Customer_ID" numFmtId="0">
      <sharedItems containsSemiMixedTypes="0" containsString="0" containsNumber="1" containsInteger="1" minValue="15566091" maxValue="15815364"/>
    </cacheField>
    <cacheField name="Last_Name" numFmtId="0">
      <sharedItems/>
    </cacheField>
    <cacheField name="Credit Score" numFmtId="0">
      <sharedItems containsSemiMixedTypes="0" containsString="0" containsNumber="1" minValue="376" maxValue="850"/>
    </cacheField>
    <cacheField name="Country" numFmtId="0">
      <sharedItems count="3">
        <s v="France"/>
        <s v="Spain"/>
        <s v="Germany"/>
      </sharedItems>
    </cacheField>
    <cacheField name="Gender" numFmtId="0">
      <sharedItems count="2">
        <s v="Female"/>
        <s v="Male"/>
      </sharedItems>
    </cacheField>
    <cacheField name="Age" numFmtId="0">
      <sharedItems containsSemiMixedTypes="0" containsString="0" containsNumber="1" containsInteger="1" minValue="18" maxValue="82"/>
    </cacheField>
    <cacheField name="Tenure" numFmtId="0">
      <sharedItems containsSemiMixedTypes="0" containsString="0" containsNumber="1" containsInteger="1" minValue="0" maxValue="10" count="11">
        <n v="2"/>
        <n v="1"/>
        <n v="8"/>
        <n v="7"/>
        <n v="4"/>
        <n v="6"/>
        <n v="3"/>
        <n v="10"/>
        <n v="5"/>
        <n v="9"/>
        <n v="0"/>
      </sharedItems>
    </cacheField>
    <cacheField name="Balance" numFmtId="0">
      <sharedItems containsSemiMixedTypes="0" containsString="0" containsNumber="1" minValue="0" maxValue="213146.2"/>
    </cacheField>
    <cacheField name="NumOfProducts" numFmtId="0">
      <sharedItems containsSemiMixedTypes="0" containsString="0" containsNumber="1" containsInteger="1" minValue="1" maxValue="4"/>
    </cacheField>
    <cacheField name="HasCrCard?" numFmtId="0">
      <sharedItems containsSemiMixedTypes="0" containsString="0" containsNumber="1" containsInteger="1" minValue="0" maxValue="1"/>
    </cacheField>
    <cacheField name="IsActiveMember" numFmtId="0">
      <sharedItems containsSemiMixedTypes="0" containsString="0" containsNumber="1" containsInteger="1" minValue="0" maxValue="1"/>
    </cacheField>
    <cacheField name="Estimated Salary" numFmtId="0">
      <sharedItems containsSemiMixedTypes="0" containsString="0" containsNumber="1" minValue="371.05" maxValue="199725.39"/>
    </cacheField>
    <cacheField name="ExitedFromBank?" numFmtId="0">
      <sharedItems containsSemiMixedTypes="0" containsString="0" containsNumber="1" containsInteger="1" minValue="0" maxValue="1" count="2">
        <n v="1"/>
        <n v="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muro Ray" refreshedDate="45720.69729178241" createdVersion="8" refreshedVersion="8" minRefreshableVersion="3" recordCount="991" xr:uid="{ADFC55E4-A1A4-4949-BACA-FA09DCDC67A1}">
  <cacheSource type="worksheet">
    <worksheetSource ref="A1:R992" sheet="Dataset-CLEAN"/>
  </cacheSource>
  <cacheFields count="18">
    <cacheField name="Row_Number" numFmtId="0">
      <sharedItems containsSemiMixedTypes="0" containsString="0" containsNumber="1" containsInteger="1" minValue="1" maxValue="991"/>
    </cacheField>
    <cacheField name="Customer_ID" numFmtId="0">
      <sharedItems containsSemiMixedTypes="0" containsString="0" containsNumber="1" containsInteger="1" minValue="15566091" maxValue="15815364"/>
    </cacheField>
    <cacheField name="Last_Name" numFmtId="0">
      <sharedItems/>
    </cacheField>
    <cacheField name="Country" numFmtId="0">
      <sharedItems/>
    </cacheField>
    <cacheField name="Gender" numFmtId="0">
      <sharedItems/>
    </cacheField>
    <cacheField name="Credit Score" numFmtId="0">
      <sharedItems containsSemiMixedTypes="0" containsString="0" containsNumber="1" minValue="376" maxValue="850"/>
    </cacheField>
    <cacheField name="Age" numFmtId="0">
      <sharedItems containsSemiMixedTypes="0" containsString="0" containsNumber="1" containsInteger="1" minValue="18" maxValue="82"/>
    </cacheField>
    <cacheField name="Tenure" numFmtId="0">
      <sharedItems containsSemiMixedTypes="0" containsString="0" containsNumber="1" containsInteger="1" minValue="0" maxValue="10" count="11">
        <n v="2"/>
        <n v="1"/>
        <n v="8"/>
        <n v="7"/>
        <n v="4"/>
        <n v="6"/>
        <n v="3"/>
        <n v="10"/>
        <n v="5"/>
        <n v="9"/>
        <n v="0"/>
      </sharedItems>
    </cacheField>
    <cacheField name="Balance" numFmtId="0">
      <sharedItems containsSemiMixedTypes="0" containsString="0" containsNumber="1" minValue="0" maxValue="213146.2"/>
    </cacheField>
    <cacheField name="NumOfProducts" numFmtId="0">
      <sharedItems containsSemiMixedTypes="0" containsString="0" containsNumber="1" containsInteger="1" minValue="1" maxValue="4" count="4">
        <n v="1"/>
        <n v="3"/>
        <n v="2"/>
        <n v="4"/>
      </sharedItems>
    </cacheField>
    <cacheField name="HasCrCard?" numFmtId="0">
      <sharedItems containsSemiMixedTypes="0" containsString="0" containsNumber="1" containsInteger="1" minValue="0" maxValue="1" count="2">
        <n v="1"/>
        <n v="0"/>
      </sharedItems>
    </cacheField>
    <cacheField name="IsActiveMember" numFmtId="0">
      <sharedItems containsSemiMixedTypes="0" containsString="0" containsNumber="1" containsInteger="1" minValue="0" maxValue="1" count="2">
        <n v="1"/>
        <n v="0"/>
      </sharedItems>
    </cacheField>
    <cacheField name="Estimated Salary" numFmtId="0">
      <sharedItems containsSemiMixedTypes="0" containsString="0" containsNumber="1" minValue="371.05" maxValue="199725.39"/>
    </cacheField>
    <cacheField name="ExitedFromBank?" numFmtId="0">
      <sharedItems containsSemiMixedTypes="0" containsString="0" containsNumber="1" containsInteger="1" minValue="0" maxValue="1" count="2">
        <n v="1"/>
        <n v="0"/>
      </sharedItems>
    </cacheField>
    <cacheField name="Credit score quality" numFmtId="0">
      <sharedItems/>
    </cacheField>
    <cacheField name="Age Group" numFmtId="0">
      <sharedItems/>
    </cacheField>
    <cacheField name="Salary class" numFmtId="0">
      <sharedItems count="3">
        <s v="High Salary"/>
        <s v="Low Salary"/>
        <s v="Medium Salary"/>
      </sharedItems>
    </cacheField>
    <cacheField name="Balance Class" numFmtId="0">
      <sharedItems count="3">
        <s v="Low Balance"/>
        <s v="Medium Balance"/>
        <s v="High Balanc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muro Ray" refreshedDate="45720.724574074076" createdVersion="8" refreshedVersion="8" minRefreshableVersion="3" recordCount="991" xr:uid="{DE859236-D810-4AD4-8E7E-541F1A7763FD}">
  <cacheSource type="worksheet">
    <worksheetSource ref="A1:Q992" sheet="Dataset-CLEAN"/>
  </cacheSource>
  <cacheFields count="17">
    <cacheField name="Row_Number" numFmtId="0">
      <sharedItems containsSemiMixedTypes="0" containsString="0" containsNumber="1" containsInteger="1" minValue="1" maxValue="991"/>
    </cacheField>
    <cacheField name="Customer_ID" numFmtId="0">
      <sharedItems containsSemiMixedTypes="0" containsString="0" containsNumber="1" containsInteger="1" minValue="15566091" maxValue="15815364"/>
    </cacheField>
    <cacheField name="Last_Name" numFmtId="0">
      <sharedItems/>
    </cacheField>
    <cacheField name="Country" numFmtId="0">
      <sharedItems count="3">
        <s v="France"/>
        <s v="Spain"/>
        <s v="Germany"/>
      </sharedItems>
    </cacheField>
    <cacheField name="Gender" numFmtId="0">
      <sharedItems/>
    </cacheField>
    <cacheField name="Credit Score" numFmtId="0">
      <sharedItems containsSemiMixedTypes="0" containsString="0" containsNumber="1" minValue="376" maxValue="850"/>
    </cacheField>
    <cacheField name="Age" numFmtId="0">
      <sharedItems containsSemiMixedTypes="0" containsString="0" containsNumber="1" containsInteger="1" minValue="18" maxValue="82"/>
    </cacheField>
    <cacheField name="Tenure" numFmtId="0">
      <sharedItems containsSemiMixedTypes="0" containsString="0" containsNumber="1" containsInteger="1" minValue="0" maxValue="10"/>
    </cacheField>
    <cacheField name="Balance" numFmtId="0">
      <sharedItems containsSemiMixedTypes="0" containsString="0" containsNumber="1" minValue="0" maxValue="213146.2"/>
    </cacheField>
    <cacheField name="NumOfProducts" numFmtId="0">
      <sharedItems containsSemiMixedTypes="0" containsString="0" containsNumber="1" containsInteger="1" minValue="1" maxValue="4"/>
    </cacheField>
    <cacheField name="HasCrCard?" numFmtId="0">
      <sharedItems containsSemiMixedTypes="0" containsString="0" containsNumber="1" containsInteger="1" minValue="0" maxValue="1"/>
    </cacheField>
    <cacheField name="IsActiveMember" numFmtId="0">
      <sharedItems containsSemiMixedTypes="0" containsString="0" containsNumber="1" containsInteger="1" minValue="0" maxValue="1"/>
    </cacheField>
    <cacheField name="Estimated Salary" numFmtId="0">
      <sharedItems containsSemiMixedTypes="0" containsString="0" containsNumber="1" minValue="371.05" maxValue="199725.39"/>
    </cacheField>
    <cacheField name="ExitedFromBank?" numFmtId="0">
      <sharedItems containsSemiMixedTypes="0" containsString="0" containsNumber="1" containsInteger="1" minValue="0" maxValue="1" count="2">
        <n v="1"/>
        <n v="0"/>
      </sharedItems>
    </cacheField>
    <cacheField name="Credit score quality" numFmtId="0">
      <sharedItems containsBlank="1" count="4">
        <s v="Average"/>
        <s v="Poor"/>
        <s v="Good"/>
        <m u="1"/>
      </sharedItems>
    </cacheField>
    <cacheField name="Age Group" numFmtId="0">
      <sharedItems count="3">
        <s v="Adult"/>
        <s v="Young Adult"/>
        <s v="Senior"/>
      </sharedItems>
    </cacheField>
    <cacheField name="Salary clas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1">
  <r>
    <n v="1"/>
    <n v="15634602"/>
    <s v="Hargrave"/>
    <n v="619"/>
    <x v="0"/>
    <x v="0"/>
    <n v="42"/>
    <x v="0"/>
    <n v="0"/>
    <n v="1"/>
    <n v="1"/>
    <n v="1"/>
    <n v="101348.88"/>
    <x v="0"/>
  </r>
  <r>
    <n v="2"/>
    <n v="15647311"/>
    <s v="Hill"/>
    <n v="608"/>
    <x v="1"/>
    <x v="0"/>
    <n v="41"/>
    <x v="1"/>
    <n v="83807.86"/>
    <n v="1"/>
    <n v="0"/>
    <n v="1"/>
    <n v="112542.58"/>
    <x v="1"/>
  </r>
  <r>
    <n v="3"/>
    <n v="15619304"/>
    <s v="Onio"/>
    <n v="502"/>
    <x v="0"/>
    <x v="0"/>
    <n v="42"/>
    <x v="2"/>
    <n v="159660.79999999999"/>
    <n v="3"/>
    <n v="1"/>
    <n v="0"/>
    <n v="113931.57"/>
    <x v="0"/>
  </r>
  <r>
    <n v="4"/>
    <n v="15701354"/>
    <s v="Boni"/>
    <n v="699"/>
    <x v="0"/>
    <x v="0"/>
    <n v="39"/>
    <x v="1"/>
    <n v="0"/>
    <n v="2"/>
    <n v="0"/>
    <n v="0"/>
    <n v="93826.63"/>
    <x v="1"/>
  </r>
  <r>
    <n v="5"/>
    <n v="15737888"/>
    <s v="Mitchell"/>
    <n v="850"/>
    <x v="1"/>
    <x v="0"/>
    <n v="43"/>
    <x v="0"/>
    <n v="125510.82"/>
    <n v="1"/>
    <n v="1"/>
    <n v="1"/>
    <n v="79084.100000000006"/>
    <x v="1"/>
  </r>
  <r>
    <n v="6"/>
    <n v="15574012"/>
    <s v="Chu"/>
    <n v="645"/>
    <x v="1"/>
    <x v="1"/>
    <n v="44"/>
    <x v="2"/>
    <n v="113755.78"/>
    <n v="2"/>
    <n v="1"/>
    <n v="0"/>
    <n v="149756.71"/>
    <x v="0"/>
  </r>
  <r>
    <n v="7"/>
    <n v="15592531"/>
    <s v="Bartlett"/>
    <n v="822"/>
    <x v="0"/>
    <x v="1"/>
    <n v="50"/>
    <x v="3"/>
    <n v="0"/>
    <n v="2"/>
    <n v="1"/>
    <n v="1"/>
    <n v="10062.799999999999"/>
    <x v="1"/>
  </r>
  <r>
    <n v="8"/>
    <n v="15656148"/>
    <s v="Obinna"/>
    <n v="376"/>
    <x v="2"/>
    <x v="0"/>
    <n v="29"/>
    <x v="4"/>
    <n v="115046.74"/>
    <n v="4"/>
    <n v="1"/>
    <n v="0"/>
    <n v="119346.88"/>
    <x v="0"/>
  </r>
  <r>
    <n v="9"/>
    <n v="15792365"/>
    <s v="He"/>
    <n v="501"/>
    <x v="0"/>
    <x v="1"/>
    <n v="44"/>
    <x v="4"/>
    <n v="142051.07"/>
    <n v="2"/>
    <n v="0"/>
    <n v="1"/>
    <n v="74940.5"/>
    <x v="1"/>
  </r>
  <r>
    <n v="10"/>
    <n v="15592389"/>
    <s v="H?"/>
    <n v="684"/>
    <x v="0"/>
    <x v="1"/>
    <n v="27"/>
    <x v="0"/>
    <n v="134603.88"/>
    <n v="1"/>
    <n v="1"/>
    <n v="1"/>
    <n v="71725.73"/>
    <x v="1"/>
  </r>
  <r>
    <n v="11"/>
    <n v="15767821"/>
    <s v="Bearce"/>
    <n v="528"/>
    <x v="0"/>
    <x v="1"/>
    <n v="31"/>
    <x v="5"/>
    <n v="102016.72"/>
    <n v="2"/>
    <n v="0"/>
    <n v="0"/>
    <n v="80181.119999999995"/>
    <x v="1"/>
  </r>
  <r>
    <n v="12"/>
    <n v="15737173"/>
    <s v="Andrews"/>
    <n v="497"/>
    <x v="1"/>
    <x v="1"/>
    <n v="24"/>
    <x v="6"/>
    <n v="0"/>
    <n v="2"/>
    <n v="1"/>
    <n v="0"/>
    <n v="76390.009999999995"/>
    <x v="1"/>
  </r>
  <r>
    <n v="13"/>
    <n v="15632264"/>
    <s v="Kay"/>
    <n v="476"/>
    <x v="0"/>
    <x v="0"/>
    <n v="34"/>
    <x v="7"/>
    <n v="0"/>
    <n v="2"/>
    <n v="1"/>
    <n v="0"/>
    <n v="26260.98"/>
    <x v="1"/>
  </r>
  <r>
    <n v="14"/>
    <n v="15691483"/>
    <s v="Chin"/>
    <n v="549"/>
    <x v="0"/>
    <x v="0"/>
    <n v="25"/>
    <x v="8"/>
    <n v="0"/>
    <n v="2"/>
    <n v="0"/>
    <n v="0"/>
    <n v="190857.79"/>
    <x v="1"/>
  </r>
  <r>
    <n v="15"/>
    <n v="15600882"/>
    <s v="Scott"/>
    <n v="635"/>
    <x v="1"/>
    <x v="0"/>
    <n v="35"/>
    <x v="3"/>
    <n v="0"/>
    <n v="2"/>
    <n v="1"/>
    <n v="1"/>
    <n v="65951.649999999994"/>
    <x v="1"/>
  </r>
  <r>
    <n v="16"/>
    <n v="15643966"/>
    <s v="Goforth"/>
    <n v="616"/>
    <x v="2"/>
    <x v="1"/>
    <n v="45"/>
    <x v="6"/>
    <n v="143129.41"/>
    <n v="2"/>
    <n v="0"/>
    <n v="1"/>
    <n v="64327.26"/>
    <x v="1"/>
  </r>
  <r>
    <n v="17"/>
    <n v="15737452"/>
    <s v="Romeo"/>
    <n v="653"/>
    <x v="2"/>
    <x v="1"/>
    <n v="58"/>
    <x v="1"/>
    <n v="132602.88"/>
    <n v="1"/>
    <n v="1"/>
    <n v="0"/>
    <n v="5097.67"/>
    <x v="0"/>
  </r>
  <r>
    <n v="18"/>
    <n v="15788218"/>
    <s v="Henderson"/>
    <n v="549"/>
    <x v="1"/>
    <x v="0"/>
    <n v="24"/>
    <x v="9"/>
    <n v="0"/>
    <n v="2"/>
    <n v="1"/>
    <n v="1"/>
    <n v="14406.41"/>
    <x v="1"/>
  </r>
  <r>
    <n v="19"/>
    <n v="15661507"/>
    <s v="Muldrow"/>
    <n v="587"/>
    <x v="1"/>
    <x v="1"/>
    <n v="45"/>
    <x v="5"/>
    <n v="0"/>
    <n v="1"/>
    <n v="0"/>
    <n v="0"/>
    <n v="158684.81"/>
    <x v="1"/>
  </r>
  <r>
    <n v="20"/>
    <n v="15568982"/>
    <s v="Hao"/>
    <n v="726"/>
    <x v="0"/>
    <x v="0"/>
    <n v="24"/>
    <x v="5"/>
    <n v="0"/>
    <n v="2"/>
    <n v="1"/>
    <n v="1"/>
    <n v="54724.03"/>
    <x v="1"/>
  </r>
  <r>
    <n v="21"/>
    <n v="15577657"/>
    <s v="McDonald"/>
    <n v="732"/>
    <x v="0"/>
    <x v="1"/>
    <n v="41"/>
    <x v="2"/>
    <n v="0"/>
    <n v="2"/>
    <n v="1"/>
    <n v="1"/>
    <n v="170886.17"/>
    <x v="1"/>
  </r>
  <r>
    <n v="22"/>
    <n v="15597945"/>
    <s v="Dellucci"/>
    <n v="636"/>
    <x v="1"/>
    <x v="0"/>
    <n v="32"/>
    <x v="2"/>
    <n v="0"/>
    <n v="2"/>
    <n v="1"/>
    <n v="0"/>
    <n v="98368.24"/>
    <x v="1"/>
  </r>
  <r>
    <n v="23"/>
    <n v="15699309"/>
    <s v="Gerasimov"/>
    <n v="510"/>
    <x v="1"/>
    <x v="0"/>
    <n v="37"/>
    <x v="4"/>
    <n v="0"/>
    <n v="1"/>
    <n v="1"/>
    <n v="0"/>
    <n v="118913.53"/>
    <x v="0"/>
  </r>
  <r>
    <n v="24"/>
    <n v="15725737"/>
    <s v="Mosman"/>
    <n v="669"/>
    <x v="0"/>
    <x v="1"/>
    <n v="46"/>
    <x v="6"/>
    <n v="0"/>
    <n v="2"/>
    <n v="0"/>
    <n v="1"/>
    <n v="8487.75"/>
    <x v="1"/>
  </r>
  <r>
    <n v="25"/>
    <n v="15625047"/>
    <s v="Yen"/>
    <n v="846"/>
    <x v="0"/>
    <x v="0"/>
    <n v="38"/>
    <x v="8"/>
    <n v="0"/>
    <n v="1"/>
    <n v="1"/>
    <n v="1"/>
    <n v="187616.16"/>
    <x v="1"/>
  </r>
  <r>
    <n v="26"/>
    <n v="15738191"/>
    <s v="Maclean"/>
    <n v="577"/>
    <x v="0"/>
    <x v="1"/>
    <n v="25"/>
    <x v="6"/>
    <n v="0"/>
    <n v="2"/>
    <n v="0"/>
    <n v="1"/>
    <n v="124508.29"/>
    <x v="1"/>
  </r>
  <r>
    <n v="27"/>
    <n v="15736816"/>
    <s v="Young"/>
    <n v="756"/>
    <x v="2"/>
    <x v="1"/>
    <n v="36"/>
    <x v="0"/>
    <n v="136815.64000000001"/>
    <n v="1"/>
    <n v="1"/>
    <n v="1"/>
    <n v="170041.95"/>
    <x v="1"/>
  </r>
  <r>
    <n v="28"/>
    <n v="15700772"/>
    <s v="Nebechi"/>
    <n v="571"/>
    <x v="0"/>
    <x v="1"/>
    <n v="44"/>
    <x v="9"/>
    <n v="0"/>
    <n v="2"/>
    <n v="0"/>
    <n v="0"/>
    <n v="38433.35"/>
    <x v="1"/>
  </r>
  <r>
    <n v="29"/>
    <n v="15728693"/>
    <s v="McWilliams"/>
    <n v="574"/>
    <x v="2"/>
    <x v="0"/>
    <n v="43"/>
    <x v="6"/>
    <n v="141349.43"/>
    <n v="1"/>
    <n v="1"/>
    <n v="1"/>
    <n v="100187.43"/>
    <x v="1"/>
  </r>
  <r>
    <n v="30"/>
    <n v="15656300"/>
    <s v="Lucciano"/>
    <n v="411"/>
    <x v="0"/>
    <x v="1"/>
    <n v="29"/>
    <x v="10"/>
    <n v="59697.17"/>
    <n v="2"/>
    <n v="1"/>
    <n v="1"/>
    <n v="53483.21"/>
    <x v="1"/>
  </r>
  <r>
    <n v="31"/>
    <n v="15589475"/>
    <s v="Azikiwe"/>
    <n v="591"/>
    <x v="1"/>
    <x v="0"/>
    <n v="39"/>
    <x v="6"/>
    <n v="0"/>
    <n v="3"/>
    <n v="1"/>
    <n v="0"/>
    <n v="140469.38"/>
    <x v="0"/>
  </r>
  <r>
    <n v="32"/>
    <n v="15706552"/>
    <s v="Odinakachukwu"/>
    <n v="533"/>
    <x v="0"/>
    <x v="1"/>
    <n v="36"/>
    <x v="3"/>
    <n v="85311.7"/>
    <n v="1"/>
    <n v="0"/>
    <n v="1"/>
    <n v="156731.91"/>
    <x v="1"/>
  </r>
  <r>
    <n v="33"/>
    <n v="15750181"/>
    <s v="Sanderson"/>
    <n v="553"/>
    <x v="2"/>
    <x v="1"/>
    <n v="41"/>
    <x v="9"/>
    <n v="110112.54"/>
    <n v="2"/>
    <n v="0"/>
    <n v="0"/>
    <n v="81898.81"/>
    <x v="1"/>
  </r>
  <r>
    <n v="34"/>
    <n v="15659428"/>
    <s v="Maggard"/>
    <n v="520"/>
    <x v="1"/>
    <x v="0"/>
    <n v="42"/>
    <x v="5"/>
    <n v="0"/>
    <n v="2"/>
    <n v="1"/>
    <n v="1"/>
    <n v="34410.550000000003"/>
    <x v="1"/>
  </r>
  <r>
    <n v="35"/>
    <n v="15732963"/>
    <s v="Clements"/>
    <n v="722"/>
    <x v="1"/>
    <x v="0"/>
    <n v="29"/>
    <x v="9"/>
    <n v="0"/>
    <n v="2"/>
    <n v="1"/>
    <n v="1"/>
    <n v="142033.07"/>
    <x v="1"/>
  </r>
  <r>
    <n v="36"/>
    <n v="15794171"/>
    <s v="Lombardo"/>
    <n v="475"/>
    <x v="0"/>
    <x v="0"/>
    <n v="45"/>
    <x v="10"/>
    <n v="134264.04"/>
    <n v="1"/>
    <n v="1"/>
    <n v="0"/>
    <n v="27822.99"/>
    <x v="0"/>
  </r>
  <r>
    <n v="37"/>
    <n v="15788448"/>
    <s v="Watson"/>
    <n v="490"/>
    <x v="1"/>
    <x v="1"/>
    <n v="31"/>
    <x v="6"/>
    <n v="145260.23000000001"/>
    <n v="1"/>
    <n v="0"/>
    <n v="1"/>
    <n v="114066.77"/>
    <x v="1"/>
  </r>
  <r>
    <n v="38"/>
    <n v="15729599"/>
    <s v="Lorenzo"/>
    <n v="804"/>
    <x v="1"/>
    <x v="1"/>
    <n v="33"/>
    <x v="3"/>
    <n v="76548.600000000006"/>
    <n v="1"/>
    <n v="0"/>
    <n v="1"/>
    <n v="98453.45"/>
    <x v="1"/>
  </r>
  <r>
    <n v="39"/>
    <n v="15717426"/>
    <s v="Armstrong"/>
    <n v="850"/>
    <x v="0"/>
    <x v="1"/>
    <n v="36"/>
    <x v="3"/>
    <n v="0"/>
    <n v="1"/>
    <n v="1"/>
    <n v="1"/>
    <n v="40812.9"/>
    <x v="1"/>
  </r>
  <r>
    <n v="40"/>
    <n v="15585768"/>
    <s v="Cameron"/>
    <n v="582"/>
    <x v="2"/>
    <x v="1"/>
    <n v="41"/>
    <x v="5"/>
    <n v="70349.48"/>
    <n v="2"/>
    <n v="0"/>
    <n v="1"/>
    <n v="178074.04"/>
    <x v="1"/>
  </r>
  <r>
    <n v="41"/>
    <n v="15619360"/>
    <s v="Hsiao"/>
    <n v="472"/>
    <x v="1"/>
    <x v="1"/>
    <n v="40"/>
    <x v="4"/>
    <n v="0"/>
    <n v="1"/>
    <n v="1"/>
    <n v="0"/>
    <n v="70154.22"/>
    <x v="1"/>
  </r>
  <r>
    <n v="42"/>
    <n v="15738148"/>
    <s v="Clarke"/>
    <n v="465"/>
    <x v="0"/>
    <x v="0"/>
    <n v="51"/>
    <x v="2"/>
    <n v="122522.32"/>
    <n v="1"/>
    <n v="0"/>
    <n v="0"/>
    <n v="181297.65"/>
    <x v="0"/>
  </r>
  <r>
    <n v="43"/>
    <n v="15687946"/>
    <s v="Osborne"/>
    <n v="556"/>
    <x v="0"/>
    <x v="0"/>
    <n v="61"/>
    <x v="0"/>
    <n v="117419.35"/>
    <n v="1"/>
    <n v="1"/>
    <n v="1"/>
    <n v="94153.83"/>
    <x v="1"/>
  </r>
  <r>
    <n v="44"/>
    <n v="15755196"/>
    <s v="Lavine"/>
    <n v="834"/>
    <x v="0"/>
    <x v="0"/>
    <n v="49"/>
    <x v="0"/>
    <n v="131394.56"/>
    <n v="1"/>
    <n v="0"/>
    <n v="0"/>
    <n v="194365.76"/>
    <x v="0"/>
  </r>
  <r>
    <n v="45"/>
    <n v="15684171"/>
    <s v="Bianchi"/>
    <n v="660"/>
    <x v="1"/>
    <x v="0"/>
    <n v="61"/>
    <x v="8"/>
    <n v="155931.10999999999"/>
    <n v="1"/>
    <n v="1"/>
    <n v="1"/>
    <n v="158338.39000000001"/>
    <x v="1"/>
  </r>
  <r>
    <n v="46"/>
    <n v="15754849"/>
    <s v="Tyler"/>
    <n v="776"/>
    <x v="2"/>
    <x v="0"/>
    <n v="32"/>
    <x v="4"/>
    <n v="109421.13"/>
    <n v="2"/>
    <n v="1"/>
    <n v="1"/>
    <n v="126517.46"/>
    <x v="1"/>
  </r>
  <r>
    <n v="47"/>
    <n v="15602280"/>
    <s v="Martin"/>
    <n v="829"/>
    <x v="2"/>
    <x v="0"/>
    <n v="27"/>
    <x v="9"/>
    <n v="112045.67"/>
    <n v="1"/>
    <n v="1"/>
    <n v="1"/>
    <n v="119708.21"/>
    <x v="0"/>
  </r>
  <r>
    <n v="48"/>
    <n v="15771573"/>
    <s v="Okagbue"/>
    <n v="637"/>
    <x v="2"/>
    <x v="0"/>
    <n v="39"/>
    <x v="9"/>
    <n v="137843.79999999999"/>
    <n v="1"/>
    <n v="1"/>
    <n v="1"/>
    <n v="117622.8"/>
    <x v="0"/>
  </r>
  <r>
    <n v="49"/>
    <n v="15766205"/>
    <s v="Yin"/>
    <n v="550"/>
    <x v="2"/>
    <x v="1"/>
    <n v="38"/>
    <x v="0"/>
    <n v="103391.38"/>
    <n v="1"/>
    <n v="0"/>
    <n v="1"/>
    <n v="90878.13"/>
    <x v="1"/>
  </r>
  <r>
    <n v="50"/>
    <n v="15771873"/>
    <s v="Buccho"/>
    <n v="776"/>
    <x v="2"/>
    <x v="0"/>
    <n v="37"/>
    <x v="0"/>
    <n v="103769.22"/>
    <n v="2"/>
    <n v="1"/>
    <n v="0"/>
    <n v="194099.12"/>
    <x v="1"/>
  </r>
  <r>
    <n v="51"/>
    <n v="15616550"/>
    <s v="Chidiebele"/>
    <n v="698"/>
    <x v="2"/>
    <x v="1"/>
    <n v="44"/>
    <x v="7"/>
    <n v="116363.37"/>
    <n v="2"/>
    <n v="1"/>
    <n v="0"/>
    <n v="198059.16"/>
    <x v="1"/>
  </r>
  <r>
    <n v="52"/>
    <n v="15768193"/>
    <s v="Trevisani"/>
    <n v="585"/>
    <x v="2"/>
    <x v="1"/>
    <n v="36"/>
    <x v="8"/>
    <n v="146050.97"/>
    <n v="2"/>
    <n v="0"/>
    <n v="0"/>
    <n v="86424.57"/>
    <x v="1"/>
  </r>
  <r>
    <n v="53"/>
    <n v="15683553"/>
    <s v="O'Brien"/>
    <n v="788"/>
    <x v="0"/>
    <x v="0"/>
    <n v="33"/>
    <x v="8"/>
    <n v="0"/>
    <n v="2"/>
    <n v="0"/>
    <n v="0"/>
    <n v="116978.19"/>
    <x v="1"/>
  </r>
  <r>
    <n v="54"/>
    <n v="15702298"/>
    <s v="Parkhill"/>
    <n v="655"/>
    <x v="2"/>
    <x v="1"/>
    <n v="41"/>
    <x v="2"/>
    <n v="125561.97"/>
    <n v="1"/>
    <n v="0"/>
    <n v="0"/>
    <n v="164040.94"/>
    <x v="0"/>
  </r>
  <r>
    <n v="55"/>
    <n v="15569590"/>
    <s v="Yoo"/>
    <n v="601"/>
    <x v="2"/>
    <x v="1"/>
    <n v="42"/>
    <x v="1"/>
    <n v="98495.72"/>
    <n v="1"/>
    <n v="1"/>
    <n v="0"/>
    <n v="40014.76"/>
    <x v="0"/>
  </r>
  <r>
    <n v="56"/>
    <n v="15760861"/>
    <s v="Phillipps"/>
    <n v="619"/>
    <x v="0"/>
    <x v="1"/>
    <n v="43"/>
    <x v="1"/>
    <n v="125211.92"/>
    <n v="1"/>
    <n v="1"/>
    <n v="1"/>
    <n v="113410.49"/>
    <x v="1"/>
  </r>
  <r>
    <n v="57"/>
    <n v="15630053"/>
    <s v="Tsao"/>
    <n v="656"/>
    <x v="0"/>
    <x v="1"/>
    <n v="45"/>
    <x v="8"/>
    <n v="127864.4"/>
    <n v="1"/>
    <n v="1"/>
    <n v="0"/>
    <n v="87107.57"/>
    <x v="1"/>
  </r>
  <r>
    <n v="58"/>
    <n v="15647091"/>
    <s v="Endrizzi"/>
    <n v="725"/>
    <x v="2"/>
    <x v="1"/>
    <n v="19"/>
    <x v="10"/>
    <n v="75888.2"/>
    <n v="1"/>
    <n v="0"/>
    <n v="0"/>
    <n v="45613.75"/>
    <x v="1"/>
  </r>
  <r>
    <n v="59"/>
    <n v="15623944"/>
    <s v="T'ien"/>
    <n v="511"/>
    <x v="1"/>
    <x v="0"/>
    <n v="66"/>
    <x v="4"/>
    <n v="0"/>
    <n v="1"/>
    <n v="1"/>
    <n v="0"/>
    <n v="1643.11"/>
    <x v="0"/>
  </r>
  <r>
    <n v="60"/>
    <n v="15804771"/>
    <s v="Velazquez"/>
    <n v="614"/>
    <x v="0"/>
    <x v="1"/>
    <n v="51"/>
    <x v="4"/>
    <n v="40685.919999999998"/>
    <n v="1"/>
    <n v="1"/>
    <n v="1"/>
    <n v="46775.28"/>
    <x v="1"/>
  </r>
  <r>
    <n v="61"/>
    <n v="15651280"/>
    <s v="Hunter"/>
    <n v="742"/>
    <x v="2"/>
    <x v="1"/>
    <n v="35"/>
    <x v="8"/>
    <n v="136857"/>
    <n v="1"/>
    <n v="0"/>
    <n v="0"/>
    <n v="84509.57"/>
    <x v="1"/>
  </r>
  <r>
    <n v="62"/>
    <n v="15773469"/>
    <s v="Clark"/>
    <n v="687"/>
    <x v="2"/>
    <x v="0"/>
    <n v="27"/>
    <x v="9"/>
    <n v="152328.88"/>
    <n v="2"/>
    <n v="0"/>
    <n v="0"/>
    <n v="126494.82"/>
    <x v="1"/>
  </r>
  <r>
    <n v="63"/>
    <n v="15702014"/>
    <s v="Jeffrey"/>
    <n v="555"/>
    <x v="1"/>
    <x v="1"/>
    <n v="33"/>
    <x v="1"/>
    <n v="56084.69"/>
    <n v="2"/>
    <n v="0"/>
    <n v="0"/>
    <n v="178798.13"/>
    <x v="1"/>
  </r>
  <r>
    <n v="64"/>
    <n v="15751208"/>
    <s v="Pirozzi"/>
    <n v="684"/>
    <x v="1"/>
    <x v="1"/>
    <n v="56"/>
    <x v="2"/>
    <n v="78707.16"/>
    <n v="1"/>
    <n v="1"/>
    <n v="1"/>
    <n v="99398.36"/>
    <x v="1"/>
  </r>
  <r>
    <n v="65"/>
    <n v="15592461"/>
    <s v="Jackson"/>
    <n v="603"/>
    <x v="2"/>
    <x v="1"/>
    <n v="26"/>
    <x v="4"/>
    <n v="109166.37"/>
    <n v="1"/>
    <n v="1"/>
    <n v="1"/>
    <n v="92840.67"/>
    <x v="1"/>
  </r>
  <r>
    <n v="66"/>
    <n v="15789484"/>
    <s v="Hammond"/>
    <n v="751"/>
    <x v="2"/>
    <x v="0"/>
    <n v="36"/>
    <x v="5"/>
    <n v="169831.46"/>
    <n v="2"/>
    <n v="1"/>
    <n v="1"/>
    <n v="27758.36"/>
    <x v="1"/>
  </r>
  <r>
    <n v="67"/>
    <n v="15696061"/>
    <s v="Brownless"/>
    <n v="581"/>
    <x v="2"/>
    <x v="0"/>
    <n v="34"/>
    <x v="1"/>
    <n v="101633.04"/>
    <n v="1"/>
    <n v="1"/>
    <n v="0"/>
    <n v="110431.51"/>
    <x v="1"/>
  </r>
  <r>
    <n v="68"/>
    <n v="15641582"/>
    <s v="Chibugo"/>
    <n v="735"/>
    <x v="2"/>
    <x v="1"/>
    <n v="43"/>
    <x v="7"/>
    <n v="123180.01"/>
    <n v="2"/>
    <n v="1"/>
    <n v="1"/>
    <n v="196673.28"/>
    <x v="1"/>
  </r>
  <r>
    <n v="69"/>
    <n v="15638424"/>
    <s v="Glauert"/>
    <n v="661"/>
    <x v="2"/>
    <x v="0"/>
    <n v="35"/>
    <x v="8"/>
    <n v="150725.53"/>
    <n v="2"/>
    <n v="0"/>
    <n v="1"/>
    <n v="113656.85"/>
    <x v="1"/>
  </r>
  <r>
    <n v="70"/>
    <n v="15755648"/>
    <s v="Pisano"/>
    <n v="675"/>
    <x v="0"/>
    <x v="0"/>
    <n v="21"/>
    <x v="2"/>
    <n v="98373.26"/>
    <n v="1"/>
    <n v="1"/>
    <n v="0"/>
    <n v="18203"/>
    <x v="1"/>
  </r>
  <r>
    <n v="71"/>
    <n v="15703793"/>
    <s v="Konovalova"/>
    <n v="738"/>
    <x v="2"/>
    <x v="1"/>
    <n v="58"/>
    <x v="0"/>
    <n v="133745.44"/>
    <n v="4"/>
    <n v="1"/>
    <n v="0"/>
    <n v="28373.86"/>
    <x v="0"/>
  </r>
  <r>
    <n v="72"/>
    <n v="15620344"/>
    <s v="McKee"/>
    <n v="813"/>
    <x v="0"/>
    <x v="1"/>
    <n v="29"/>
    <x v="5"/>
    <n v="0"/>
    <n v="1"/>
    <n v="1"/>
    <n v="0"/>
    <n v="33953.870000000003"/>
    <x v="1"/>
  </r>
  <r>
    <n v="73"/>
    <n v="15812518"/>
    <s v="Palermo"/>
    <n v="657"/>
    <x v="1"/>
    <x v="0"/>
    <n v="37"/>
    <x v="10"/>
    <n v="163607.18"/>
    <n v="1"/>
    <n v="0"/>
    <n v="1"/>
    <n v="44203.55"/>
    <x v="1"/>
  </r>
  <r>
    <n v="74"/>
    <n v="15779052"/>
    <s v="Ballard"/>
    <n v="604"/>
    <x v="2"/>
    <x v="0"/>
    <n v="25"/>
    <x v="8"/>
    <n v="157780.84"/>
    <n v="2"/>
    <n v="1"/>
    <n v="1"/>
    <n v="58426.81"/>
    <x v="1"/>
  </r>
  <r>
    <n v="75"/>
    <n v="15770811"/>
    <s v="Wallace"/>
    <n v="519"/>
    <x v="0"/>
    <x v="1"/>
    <n v="36"/>
    <x v="9"/>
    <n v="0"/>
    <n v="2"/>
    <n v="0"/>
    <n v="1"/>
    <n v="145562.4"/>
    <x v="1"/>
  </r>
  <r>
    <n v="76"/>
    <n v="15780961"/>
    <s v="Cavenagh"/>
    <n v="735"/>
    <x v="0"/>
    <x v="0"/>
    <n v="21"/>
    <x v="1"/>
    <n v="178718.19"/>
    <n v="2"/>
    <n v="1"/>
    <n v="0"/>
    <n v="22388"/>
    <x v="1"/>
  </r>
  <r>
    <n v="77"/>
    <n v="15614049"/>
    <s v="Hu"/>
    <n v="664"/>
    <x v="0"/>
    <x v="1"/>
    <n v="55"/>
    <x v="2"/>
    <n v="0"/>
    <n v="2"/>
    <n v="1"/>
    <n v="1"/>
    <n v="139161.64000000001"/>
    <x v="1"/>
  </r>
  <r>
    <n v="78"/>
    <n v="15662085"/>
    <s v="Read"/>
    <n v="678"/>
    <x v="0"/>
    <x v="0"/>
    <n v="32"/>
    <x v="9"/>
    <n v="0"/>
    <n v="1"/>
    <n v="1"/>
    <n v="1"/>
    <n v="148210.64000000001"/>
    <x v="1"/>
  </r>
  <r>
    <n v="79"/>
    <n v="15575185"/>
    <s v="Bushell"/>
    <n v="757"/>
    <x v="1"/>
    <x v="1"/>
    <n v="33"/>
    <x v="8"/>
    <n v="77253.22"/>
    <n v="1"/>
    <n v="0"/>
    <n v="1"/>
    <n v="194239.63"/>
    <x v="1"/>
  </r>
  <r>
    <n v="80"/>
    <n v="15803136"/>
    <s v="Postle"/>
    <n v="416"/>
    <x v="2"/>
    <x v="0"/>
    <n v="41"/>
    <x v="7"/>
    <n v="122189.66"/>
    <n v="2"/>
    <n v="1"/>
    <n v="0"/>
    <n v="98301.61"/>
    <x v="1"/>
  </r>
  <r>
    <n v="81"/>
    <n v="15706021"/>
    <s v="Buley"/>
    <n v="665"/>
    <x v="0"/>
    <x v="0"/>
    <n v="34"/>
    <x v="1"/>
    <n v="96645.54"/>
    <n v="2"/>
    <n v="0"/>
    <n v="0"/>
    <n v="171413.66"/>
    <x v="1"/>
  </r>
  <r>
    <n v="82"/>
    <n v="15663706"/>
    <s v="Leonard"/>
    <n v="777"/>
    <x v="0"/>
    <x v="0"/>
    <n v="32"/>
    <x v="0"/>
    <n v="0"/>
    <n v="1"/>
    <n v="1"/>
    <n v="0"/>
    <n v="136458.19"/>
    <x v="0"/>
  </r>
  <r>
    <n v="83"/>
    <n v="15641732"/>
    <s v="Mills"/>
    <n v="543"/>
    <x v="0"/>
    <x v="0"/>
    <n v="36"/>
    <x v="6"/>
    <n v="0"/>
    <n v="2"/>
    <n v="0"/>
    <n v="0"/>
    <n v="26019.59"/>
    <x v="1"/>
  </r>
  <r>
    <n v="84"/>
    <n v="15701164"/>
    <s v="Onyeorulu"/>
    <n v="506"/>
    <x v="0"/>
    <x v="0"/>
    <n v="34"/>
    <x v="4"/>
    <n v="90307.62"/>
    <n v="1"/>
    <n v="1"/>
    <n v="1"/>
    <n v="159235.29"/>
    <x v="1"/>
  </r>
  <r>
    <n v="85"/>
    <n v="15738751"/>
    <s v="Beit"/>
    <n v="493"/>
    <x v="0"/>
    <x v="0"/>
    <n v="46"/>
    <x v="4"/>
    <n v="0"/>
    <n v="2"/>
    <n v="1"/>
    <n v="0"/>
    <n v="1907.66"/>
    <x v="1"/>
  </r>
  <r>
    <n v="86"/>
    <n v="15805254"/>
    <s v="Ndukaku"/>
    <n v="652"/>
    <x v="1"/>
    <x v="0"/>
    <n v="75"/>
    <x v="7"/>
    <n v="0"/>
    <n v="2"/>
    <n v="1"/>
    <n v="1"/>
    <n v="114675.75"/>
    <x v="1"/>
  </r>
  <r>
    <n v="87"/>
    <n v="15762418"/>
    <s v="Gant"/>
    <n v="750"/>
    <x v="1"/>
    <x v="1"/>
    <n v="22"/>
    <x v="6"/>
    <n v="121681.82"/>
    <n v="1"/>
    <n v="1"/>
    <n v="0"/>
    <n v="128643.35"/>
    <x v="0"/>
  </r>
  <r>
    <n v="88"/>
    <n v="15625759"/>
    <s v="Rowley"/>
    <n v="729"/>
    <x v="0"/>
    <x v="1"/>
    <n v="30"/>
    <x v="9"/>
    <n v="0"/>
    <n v="2"/>
    <n v="1"/>
    <n v="0"/>
    <n v="151869.35"/>
    <x v="1"/>
  </r>
  <r>
    <n v="89"/>
    <n v="15622897"/>
    <s v="Sharpe"/>
    <n v="646"/>
    <x v="0"/>
    <x v="0"/>
    <n v="46"/>
    <x v="4"/>
    <n v="0"/>
    <n v="3"/>
    <n v="1"/>
    <n v="0"/>
    <n v="93251.42"/>
    <x v="0"/>
  </r>
  <r>
    <n v="90"/>
    <n v="15767954"/>
    <s v="Osborne"/>
    <n v="635"/>
    <x v="2"/>
    <x v="0"/>
    <n v="28"/>
    <x v="6"/>
    <n v="81623.67"/>
    <n v="2"/>
    <n v="1"/>
    <n v="1"/>
    <n v="156791.35999999999"/>
    <x v="1"/>
  </r>
  <r>
    <n v="91"/>
    <n v="15757535"/>
    <s v="Heap"/>
    <n v="647"/>
    <x v="1"/>
    <x v="0"/>
    <n v="44"/>
    <x v="8"/>
    <n v="0"/>
    <n v="3"/>
    <n v="1"/>
    <n v="1"/>
    <n v="174205.22"/>
    <x v="0"/>
  </r>
  <r>
    <n v="92"/>
    <n v="15731511"/>
    <s v="Ritchie"/>
    <n v="808"/>
    <x v="0"/>
    <x v="1"/>
    <n v="45"/>
    <x v="3"/>
    <n v="118626.55"/>
    <n v="2"/>
    <n v="1"/>
    <n v="0"/>
    <n v="147132.46"/>
    <x v="1"/>
  </r>
  <r>
    <n v="93"/>
    <n v="15809248"/>
    <s v="Cole"/>
    <n v="524"/>
    <x v="0"/>
    <x v="0"/>
    <n v="36"/>
    <x v="7"/>
    <n v="0"/>
    <n v="2"/>
    <n v="1"/>
    <n v="0"/>
    <n v="109614.57"/>
    <x v="1"/>
  </r>
  <r>
    <n v="94"/>
    <n v="15640635"/>
    <s v="Capon"/>
    <n v="769"/>
    <x v="0"/>
    <x v="1"/>
    <n v="29"/>
    <x v="2"/>
    <n v="0"/>
    <n v="2"/>
    <n v="1"/>
    <n v="1"/>
    <n v="172290.61"/>
    <x v="1"/>
  </r>
  <r>
    <n v="95"/>
    <n v="15676966"/>
    <s v="Capon"/>
    <n v="730"/>
    <x v="1"/>
    <x v="1"/>
    <n v="42"/>
    <x v="4"/>
    <n v="0"/>
    <n v="2"/>
    <n v="0"/>
    <n v="1"/>
    <n v="85982.47"/>
    <x v="1"/>
  </r>
  <r>
    <n v="96"/>
    <n v="15699461"/>
    <s v="Fiorentini"/>
    <n v="515"/>
    <x v="1"/>
    <x v="1"/>
    <n v="35"/>
    <x v="7"/>
    <n v="176273.95"/>
    <n v="1"/>
    <n v="0"/>
    <n v="1"/>
    <n v="121277.78"/>
    <x v="1"/>
  </r>
  <r>
    <n v="97"/>
    <n v="15738721"/>
    <s v="Graham"/>
    <n v="773"/>
    <x v="1"/>
    <x v="1"/>
    <n v="41"/>
    <x v="9"/>
    <n v="102827.44"/>
    <n v="1"/>
    <n v="0"/>
    <n v="1"/>
    <n v="64595.25"/>
    <x v="1"/>
  </r>
  <r>
    <n v="98"/>
    <n v="15693683"/>
    <s v="Yuille"/>
    <n v="814"/>
    <x v="2"/>
    <x v="1"/>
    <n v="29"/>
    <x v="2"/>
    <n v="97086.399999999994"/>
    <n v="2"/>
    <n v="1"/>
    <n v="1"/>
    <n v="197276.13"/>
    <x v="1"/>
  </r>
  <r>
    <n v="99"/>
    <n v="15604348"/>
    <s v="Allard"/>
    <n v="710"/>
    <x v="1"/>
    <x v="1"/>
    <n v="22"/>
    <x v="2"/>
    <n v="0"/>
    <n v="2"/>
    <n v="0"/>
    <n v="0"/>
    <n v="99645.04"/>
    <x v="1"/>
  </r>
  <r>
    <n v="100"/>
    <n v="15633059"/>
    <s v="Fanucci"/>
    <n v="413"/>
    <x v="0"/>
    <x v="1"/>
    <n v="34"/>
    <x v="9"/>
    <n v="0"/>
    <n v="2"/>
    <n v="0"/>
    <n v="0"/>
    <n v="6534.18"/>
    <x v="1"/>
  </r>
  <r>
    <n v="101"/>
    <n v="15808582"/>
    <s v="Fu"/>
    <n v="665"/>
    <x v="0"/>
    <x v="0"/>
    <n v="40"/>
    <x v="5"/>
    <n v="0"/>
    <n v="1"/>
    <n v="1"/>
    <n v="1"/>
    <n v="161848.03"/>
    <x v="1"/>
  </r>
  <r>
    <n v="102"/>
    <n v="15743192"/>
    <s v="Hung"/>
    <n v="623"/>
    <x v="0"/>
    <x v="0"/>
    <n v="44"/>
    <x v="5"/>
    <n v="0"/>
    <n v="2"/>
    <n v="0"/>
    <n v="0"/>
    <n v="167162.43"/>
    <x v="1"/>
  </r>
  <r>
    <n v="103"/>
    <n v="15580146"/>
    <s v="Hung"/>
    <n v="738"/>
    <x v="0"/>
    <x v="1"/>
    <n v="31"/>
    <x v="9"/>
    <n v="82674.149999999994"/>
    <n v="1"/>
    <n v="1"/>
    <n v="0"/>
    <n v="41970.720000000001"/>
    <x v="1"/>
  </r>
  <r>
    <n v="104"/>
    <n v="15776605"/>
    <s v="Bradley"/>
    <n v="528"/>
    <x v="1"/>
    <x v="1"/>
    <n v="36"/>
    <x v="3"/>
    <n v="0"/>
    <n v="2"/>
    <n v="1"/>
    <n v="0"/>
    <n v="60536.56"/>
    <x v="1"/>
  </r>
  <r>
    <n v="105"/>
    <n v="15804919"/>
    <s v="Dunbabin"/>
    <n v="670"/>
    <x v="1"/>
    <x v="0"/>
    <n v="65"/>
    <x v="1"/>
    <n v="0"/>
    <n v="1"/>
    <n v="1"/>
    <n v="1"/>
    <n v="177655.67999999999"/>
    <x v="0"/>
  </r>
  <r>
    <n v="106"/>
    <n v="15613854"/>
    <s v="Mauldon"/>
    <n v="622"/>
    <x v="1"/>
    <x v="0"/>
    <n v="46"/>
    <x v="4"/>
    <n v="107073.27"/>
    <n v="2"/>
    <n v="1"/>
    <n v="1"/>
    <n v="30984.59"/>
    <x v="0"/>
  </r>
  <r>
    <n v="107"/>
    <n v="15599195"/>
    <s v="Stiger"/>
    <n v="582"/>
    <x v="2"/>
    <x v="1"/>
    <n v="32"/>
    <x v="1"/>
    <n v="88938.62"/>
    <n v="1"/>
    <n v="1"/>
    <n v="1"/>
    <n v="10054.530000000001"/>
    <x v="1"/>
  </r>
  <r>
    <n v="108"/>
    <n v="15812878"/>
    <s v="Parsons"/>
    <n v="785"/>
    <x v="2"/>
    <x v="0"/>
    <n v="36"/>
    <x v="0"/>
    <n v="99806.85"/>
    <n v="1"/>
    <n v="0"/>
    <n v="1"/>
    <n v="36976.519999999997"/>
    <x v="1"/>
  </r>
  <r>
    <n v="109"/>
    <n v="15602312"/>
    <s v="Walkom"/>
    <n v="605"/>
    <x v="1"/>
    <x v="1"/>
    <n v="33"/>
    <x v="8"/>
    <n v="150092.79999999999"/>
    <n v="1"/>
    <n v="0"/>
    <n v="0"/>
    <n v="71862.789999999994"/>
    <x v="1"/>
  </r>
  <r>
    <n v="110"/>
    <n v="15744689"/>
    <s v="T'ang"/>
    <n v="479"/>
    <x v="2"/>
    <x v="1"/>
    <n v="35"/>
    <x v="9"/>
    <n v="92833.89"/>
    <n v="1"/>
    <n v="1"/>
    <n v="0"/>
    <n v="99449.86"/>
    <x v="0"/>
  </r>
  <r>
    <n v="111"/>
    <n v="15803526"/>
    <s v="Eremenko"/>
    <n v="685"/>
    <x v="2"/>
    <x v="1"/>
    <n v="30"/>
    <x v="6"/>
    <n v="90536.81"/>
    <n v="1"/>
    <n v="0"/>
    <n v="1"/>
    <n v="63082.879999999997"/>
    <x v="1"/>
  </r>
  <r>
    <n v="112"/>
    <n v="15665790"/>
    <s v="Rowntree"/>
    <n v="538"/>
    <x v="2"/>
    <x v="1"/>
    <n v="39"/>
    <x v="3"/>
    <n v="108055.1"/>
    <n v="2"/>
    <n v="1"/>
    <n v="0"/>
    <n v="27231.26"/>
    <x v="1"/>
  </r>
  <r>
    <n v="113"/>
    <n v="15715951"/>
    <s v="Thorpe"/>
    <n v="562"/>
    <x v="0"/>
    <x v="1"/>
    <n v="42"/>
    <x v="0"/>
    <n v="100238.35"/>
    <n v="1"/>
    <n v="0"/>
    <n v="0"/>
    <n v="86797.41"/>
    <x v="1"/>
  </r>
  <r>
    <n v="114"/>
    <n v="15591100"/>
    <s v="Chiemela"/>
    <n v="675"/>
    <x v="1"/>
    <x v="1"/>
    <n v="36"/>
    <x v="9"/>
    <n v="106190.55"/>
    <n v="1"/>
    <n v="0"/>
    <n v="1"/>
    <n v="22994.32"/>
    <x v="1"/>
  </r>
  <r>
    <n v="115"/>
    <n v="15609618"/>
    <s v="Fanucci"/>
    <n v="721"/>
    <x v="2"/>
    <x v="1"/>
    <n v="28"/>
    <x v="9"/>
    <n v="154475.54"/>
    <n v="2"/>
    <n v="0"/>
    <n v="1"/>
    <n v="101300.94"/>
    <x v="0"/>
  </r>
  <r>
    <n v="116"/>
    <n v="15675522"/>
    <s v="Ko"/>
    <n v="628"/>
    <x v="2"/>
    <x v="0"/>
    <n v="30"/>
    <x v="9"/>
    <n v="132351.29"/>
    <n v="2"/>
    <n v="1"/>
    <n v="1"/>
    <n v="74169.13"/>
    <x v="1"/>
  </r>
  <r>
    <n v="117"/>
    <n v="15705512"/>
    <s v="Welch"/>
    <n v="668"/>
    <x v="2"/>
    <x v="0"/>
    <n v="37"/>
    <x v="5"/>
    <n v="167864.4"/>
    <n v="1"/>
    <n v="1"/>
    <n v="0"/>
    <n v="115638.29"/>
    <x v="1"/>
  </r>
  <r>
    <n v="118"/>
    <n v="15698028"/>
    <s v="Duncan"/>
    <n v="506"/>
    <x v="0"/>
    <x v="0"/>
    <n v="41"/>
    <x v="1"/>
    <n v="0"/>
    <n v="2"/>
    <n v="1"/>
    <n v="0"/>
    <n v="31766.3"/>
    <x v="1"/>
  </r>
  <r>
    <n v="119"/>
    <n v="15661670"/>
    <s v="Chidozie"/>
    <n v="524"/>
    <x v="2"/>
    <x v="0"/>
    <n v="31"/>
    <x v="2"/>
    <n v="107818.63"/>
    <n v="1"/>
    <n v="1"/>
    <n v="0"/>
    <n v="199725.39"/>
    <x v="0"/>
  </r>
  <r>
    <n v="120"/>
    <n v="15600781"/>
    <s v="Wu"/>
    <n v="699"/>
    <x v="2"/>
    <x v="1"/>
    <n v="34"/>
    <x v="4"/>
    <n v="185173.81"/>
    <n v="2"/>
    <n v="1"/>
    <n v="0"/>
    <n v="120834.48"/>
    <x v="1"/>
  </r>
  <r>
    <n v="121"/>
    <n v="15682472"/>
    <s v="Culbreth"/>
    <n v="828"/>
    <x v="0"/>
    <x v="1"/>
    <n v="34"/>
    <x v="2"/>
    <n v="129433.34"/>
    <n v="2"/>
    <n v="0"/>
    <n v="0"/>
    <n v="38131.769999999997"/>
    <x v="1"/>
  </r>
  <r>
    <n v="122"/>
    <n v="15580203"/>
    <s v="Kennedy"/>
    <n v="674"/>
    <x v="1"/>
    <x v="1"/>
    <n v="39"/>
    <x v="5"/>
    <n v="120193.42"/>
    <n v="1"/>
    <n v="0"/>
    <n v="0"/>
    <n v="100130.95"/>
    <x v="1"/>
  </r>
  <r>
    <n v="123"/>
    <n v="15690673"/>
    <s v="Cameron"/>
    <n v="656"/>
    <x v="0"/>
    <x v="0"/>
    <n v="39"/>
    <x v="5"/>
    <n v="0"/>
    <n v="2"/>
    <n v="1"/>
    <n v="0"/>
    <n v="141069.88"/>
    <x v="1"/>
  </r>
  <r>
    <n v="124"/>
    <n v="15760085"/>
    <s v="Calabresi"/>
    <n v="684"/>
    <x v="2"/>
    <x v="0"/>
    <n v="48"/>
    <x v="7"/>
    <n v="126384.42"/>
    <n v="1"/>
    <n v="1"/>
    <n v="1"/>
    <n v="198129.36"/>
    <x v="1"/>
  </r>
  <r>
    <n v="125"/>
    <n v="15779659"/>
    <s v="Zetticci"/>
    <n v="625"/>
    <x v="0"/>
    <x v="0"/>
    <n v="28"/>
    <x v="6"/>
    <n v="0"/>
    <n v="1"/>
    <n v="0"/>
    <n v="0"/>
    <n v="183646.41"/>
    <x v="1"/>
  </r>
  <r>
    <n v="126"/>
    <n v="15627360"/>
    <s v="Fuller"/>
    <n v="432"/>
    <x v="0"/>
    <x v="1"/>
    <n v="42"/>
    <x v="9"/>
    <n v="152603.45000000001"/>
    <n v="1"/>
    <n v="1"/>
    <n v="0"/>
    <n v="110265.24"/>
    <x v="0"/>
  </r>
  <r>
    <n v="127"/>
    <n v="15671137"/>
    <s v="MacDonald"/>
    <n v="549"/>
    <x v="0"/>
    <x v="0"/>
    <n v="52"/>
    <x v="1"/>
    <n v="0"/>
    <n v="1"/>
    <n v="0"/>
    <n v="1"/>
    <n v="8636.0499999999993"/>
    <x v="0"/>
  </r>
  <r>
    <n v="128"/>
    <n v="15782688"/>
    <s v="Piccio"/>
    <n v="625"/>
    <x v="2"/>
    <x v="1"/>
    <n v="56"/>
    <x v="10"/>
    <n v="148507.24"/>
    <n v="1"/>
    <n v="1"/>
    <n v="0"/>
    <n v="46824.08"/>
    <x v="0"/>
  </r>
  <r>
    <n v="129"/>
    <n v="15575492"/>
    <s v="Kennedy"/>
    <n v="828"/>
    <x v="0"/>
    <x v="0"/>
    <n v="41"/>
    <x v="3"/>
    <n v="0"/>
    <n v="2"/>
    <n v="1"/>
    <n v="0"/>
    <n v="171378.77"/>
    <x v="1"/>
  </r>
  <r>
    <n v="130"/>
    <n v="15591607"/>
    <s v="Fernie"/>
    <n v="770"/>
    <x v="0"/>
    <x v="1"/>
    <n v="24"/>
    <x v="9"/>
    <n v="101827.07"/>
    <n v="1"/>
    <n v="1"/>
    <n v="0"/>
    <n v="167256.35"/>
    <x v="1"/>
  </r>
  <r>
    <n v="131"/>
    <n v="15740404"/>
    <s v="He"/>
    <n v="758"/>
    <x v="0"/>
    <x v="0"/>
    <n v="34"/>
    <x v="6"/>
    <n v="0"/>
    <n v="2"/>
    <n v="1"/>
    <n v="1"/>
    <n v="124226.16"/>
    <x v="1"/>
  </r>
  <r>
    <n v="132"/>
    <n v="15718369"/>
    <s v="Kaodilinakachukwu"/>
    <n v="795"/>
    <x v="2"/>
    <x v="0"/>
    <n v="33"/>
    <x v="9"/>
    <n v="130862.43"/>
    <n v="1"/>
    <n v="1"/>
    <n v="1"/>
    <n v="114935.21"/>
    <x v="1"/>
  </r>
  <r>
    <n v="133"/>
    <n v="15677871"/>
    <s v="Cocci"/>
    <n v="687"/>
    <x v="0"/>
    <x v="1"/>
    <n v="38"/>
    <x v="9"/>
    <n v="122570.87"/>
    <n v="1"/>
    <n v="1"/>
    <n v="1"/>
    <n v="35608.879999999997"/>
    <x v="1"/>
  </r>
  <r>
    <n v="134"/>
    <n v="15642004"/>
    <s v="Alekseeva"/>
    <n v="686"/>
    <x v="0"/>
    <x v="1"/>
    <n v="25"/>
    <x v="1"/>
    <n v="0"/>
    <n v="2"/>
    <n v="0"/>
    <n v="1"/>
    <n v="16459.37"/>
    <x v="1"/>
  </r>
  <r>
    <n v="135"/>
    <n v="15712543"/>
    <s v="Chinweike"/>
    <n v="789"/>
    <x v="2"/>
    <x v="1"/>
    <n v="39"/>
    <x v="3"/>
    <n v="124828.46"/>
    <n v="2"/>
    <n v="1"/>
    <n v="1"/>
    <n v="124411.08"/>
    <x v="1"/>
  </r>
  <r>
    <n v="136"/>
    <n v="15584518"/>
    <s v="Arthur"/>
    <n v="589"/>
    <x v="2"/>
    <x v="0"/>
    <n v="50"/>
    <x v="8"/>
    <n v="144895.04999999999"/>
    <n v="2"/>
    <n v="1"/>
    <n v="1"/>
    <n v="34941.230000000003"/>
    <x v="1"/>
  </r>
  <r>
    <n v="137"/>
    <n v="15802381"/>
    <s v="Li"/>
    <n v="461"/>
    <x v="2"/>
    <x v="0"/>
    <n v="34"/>
    <x v="8"/>
    <n v="63663.93"/>
    <n v="1"/>
    <n v="0"/>
    <n v="1"/>
    <n v="167784.28"/>
    <x v="1"/>
  </r>
  <r>
    <n v="138"/>
    <n v="15610156"/>
    <s v="Ma"/>
    <n v="637"/>
    <x v="0"/>
    <x v="1"/>
    <n v="40"/>
    <x v="0"/>
    <n v="133463.1"/>
    <n v="1"/>
    <n v="0"/>
    <n v="1"/>
    <n v="93165.34"/>
    <x v="1"/>
  </r>
  <r>
    <n v="139"/>
    <n v="15594408"/>
    <s v="Chia"/>
    <n v="584"/>
    <x v="1"/>
    <x v="0"/>
    <n v="48"/>
    <x v="0"/>
    <n v="213146.2"/>
    <n v="1"/>
    <n v="1"/>
    <n v="0"/>
    <n v="75161.25"/>
    <x v="0"/>
  </r>
  <r>
    <n v="140"/>
    <n v="15640905"/>
    <s v="Vasin"/>
    <n v="579"/>
    <x v="1"/>
    <x v="0"/>
    <n v="35"/>
    <x v="1"/>
    <n v="129490.36"/>
    <n v="2"/>
    <n v="0"/>
    <n v="1"/>
    <n v="8590.83"/>
    <x v="0"/>
  </r>
  <r>
    <n v="141"/>
    <n v="15698932"/>
    <s v="Groves"/>
    <n v="756"/>
    <x v="2"/>
    <x v="1"/>
    <n v="44"/>
    <x v="7"/>
    <n v="137452.09"/>
    <n v="1"/>
    <n v="1"/>
    <n v="0"/>
    <n v="189543.9"/>
    <x v="1"/>
  </r>
  <r>
    <n v="142"/>
    <n v="15724944"/>
    <s v="Tien"/>
    <n v="663"/>
    <x v="0"/>
    <x v="1"/>
    <n v="34"/>
    <x v="3"/>
    <n v="0"/>
    <n v="2"/>
    <n v="1"/>
    <n v="1"/>
    <n v="180427.24"/>
    <x v="1"/>
  </r>
  <r>
    <n v="143"/>
    <n v="15628145"/>
    <s v="Forwood"/>
    <n v="682"/>
    <x v="0"/>
    <x v="0"/>
    <n v="43"/>
    <x v="8"/>
    <n v="125851.93"/>
    <n v="1"/>
    <n v="1"/>
    <n v="1"/>
    <n v="193318.33"/>
    <x v="1"/>
  </r>
  <r>
    <n v="144"/>
    <n v="15713483"/>
    <s v="Greeves"/>
    <n v="793"/>
    <x v="1"/>
    <x v="1"/>
    <n v="52"/>
    <x v="0"/>
    <n v="0"/>
    <n v="1"/>
    <n v="1"/>
    <n v="0"/>
    <n v="159123.82"/>
    <x v="0"/>
  </r>
  <r>
    <n v="145"/>
    <n v="15612350"/>
    <s v="Taylor"/>
    <n v="691"/>
    <x v="0"/>
    <x v="0"/>
    <n v="31"/>
    <x v="8"/>
    <n v="40915.550000000003"/>
    <n v="1"/>
    <n v="1"/>
    <n v="0"/>
    <n v="126213.84"/>
    <x v="0"/>
  </r>
  <r>
    <n v="146"/>
    <n v="15800703"/>
    <s v="Madukwe"/>
    <n v="485"/>
    <x v="1"/>
    <x v="0"/>
    <n v="21"/>
    <x v="8"/>
    <n v="113157.22"/>
    <n v="1"/>
    <n v="1"/>
    <n v="1"/>
    <n v="54141.5"/>
    <x v="1"/>
  </r>
  <r>
    <n v="147"/>
    <n v="15705707"/>
    <s v="Bennelong"/>
    <n v="635"/>
    <x v="1"/>
    <x v="0"/>
    <n v="29"/>
    <x v="2"/>
    <n v="138296.94"/>
    <n v="2"/>
    <n v="1"/>
    <n v="0"/>
    <n v="141075.51"/>
    <x v="1"/>
  </r>
  <r>
    <n v="148"/>
    <n v="15754105"/>
    <s v="Olisanugo"/>
    <n v="650"/>
    <x v="0"/>
    <x v="1"/>
    <n v="37"/>
    <x v="8"/>
    <n v="106967.18"/>
    <n v="1"/>
    <n v="0"/>
    <n v="0"/>
    <n v="24495.03"/>
    <x v="1"/>
  </r>
  <r>
    <n v="149"/>
    <n v="15703264"/>
    <s v="Chukwufumnanya"/>
    <n v="735"/>
    <x v="0"/>
    <x v="1"/>
    <n v="44"/>
    <x v="9"/>
    <n v="120681.63"/>
    <n v="1"/>
    <n v="1"/>
    <n v="0"/>
    <n v="74836.34"/>
    <x v="1"/>
  </r>
  <r>
    <n v="150"/>
    <n v="15794413"/>
    <s v="Harris"/>
    <n v="416"/>
    <x v="0"/>
    <x v="1"/>
    <n v="32"/>
    <x v="10"/>
    <n v="0"/>
    <n v="2"/>
    <n v="0"/>
    <n v="1"/>
    <n v="878.87"/>
    <x v="1"/>
  </r>
  <r>
    <n v="151"/>
    <n v="15650237"/>
    <s v="Morgan"/>
    <n v="754"/>
    <x v="1"/>
    <x v="0"/>
    <n v="32"/>
    <x v="3"/>
    <n v="0"/>
    <n v="2"/>
    <n v="1"/>
    <n v="0"/>
    <n v="89520.75"/>
    <x v="1"/>
  </r>
  <r>
    <n v="152"/>
    <n v="15759618"/>
    <s v="Alexeeva"/>
    <n v="535"/>
    <x v="0"/>
    <x v="0"/>
    <n v="48"/>
    <x v="9"/>
    <n v="0"/>
    <n v="1"/>
    <n v="1"/>
    <n v="0"/>
    <n v="149892.79"/>
    <x v="0"/>
  </r>
  <r>
    <n v="153"/>
    <n v="15811589"/>
    <s v="Metcalfe"/>
    <n v="716"/>
    <x v="1"/>
    <x v="1"/>
    <n v="42"/>
    <x v="2"/>
    <n v="0"/>
    <n v="2"/>
    <n v="1"/>
    <n v="0"/>
    <n v="180800.42"/>
    <x v="1"/>
  </r>
  <r>
    <n v="154"/>
    <n v="15689044"/>
    <s v="Humphries"/>
    <n v="539"/>
    <x v="0"/>
    <x v="1"/>
    <n v="37"/>
    <x v="0"/>
    <n v="127609.59"/>
    <n v="1"/>
    <n v="1"/>
    <n v="0"/>
    <n v="98646.22"/>
    <x v="1"/>
  </r>
  <r>
    <n v="155"/>
    <n v="15709368"/>
    <s v="Milne"/>
    <n v="614"/>
    <x v="0"/>
    <x v="0"/>
    <n v="43"/>
    <x v="5"/>
    <n v="0"/>
    <n v="2"/>
    <n v="1"/>
    <n v="1"/>
    <n v="109041.53"/>
    <x v="1"/>
  </r>
  <r>
    <n v="156"/>
    <n v="15679145"/>
    <s v="Chou"/>
    <n v="706"/>
    <x v="1"/>
    <x v="1"/>
    <n v="57"/>
    <x v="3"/>
    <n v="0"/>
    <n v="1"/>
    <n v="1"/>
    <n v="0"/>
    <n v="17941.16"/>
    <x v="0"/>
  </r>
  <r>
    <n v="157"/>
    <n v="15655007"/>
    <s v="Li"/>
    <n v="758"/>
    <x v="0"/>
    <x v="0"/>
    <n v="33"/>
    <x v="3"/>
    <n v="0"/>
    <n v="2"/>
    <n v="0"/>
    <n v="0"/>
    <n v="82996.47"/>
    <x v="1"/>
  </r>
  <r>
    <n v="158"/>
    <n v="15623595"/>
    <s v="Clayton"/>
    <n v="586"/>
    <x v="1"/>
    <x v="0"/>
    <n v="28"/>
    <x v="0"/>
    <n v="0"/>
    <n v="2"/>
    <n v="1"/>
    <n v="1"/>
    <n v="92067.35"/>
    <x v="1"/>
  </r>
  <r>
    <n v="159"/>
    <n v="15589975"/>
    <s v="Maclean"/>
    <n v="646"/>
    <x v="0"/>
    <x v="0"/>
    <n v="73"/>
    <x v="5"/>
    <n v="97259.25"/>
    <n v="1"/>
    <n v="0"/>
    <n v="1"/>
    <n v="104719.66"/>
    <x v="1"/>
  </r>
  <r>
    <n v="160"/>
    <n v="15804017"/>
    <s v="Chigolum"/>
    <n v="631"/>
    <x v="2"/>
    <x v="0"/>
    <n v="33"/>
    <x v="4"/>
    <n v="123246.7"/>
    <n v="1"/>
    <n v="0"/>
    <n v="0"/>
    <n v="112687.57"/>
    <x v="1"/>
  </r>
  <r>
    <n v="161"/>
    <n v="15692132"/>
    <s v="Wilkinson"/>
    <n v="717"/>
    <x v="1"/>
    <x v="0"/>
    <n v="22"/>
    <x v="5"/>
    <n v="101060.25"/>
    <n v="1"/>
    <n v="0"/>
    <n v="1"/>
    <n v="84699.56"/>
    <x v="1"/>
  </r>
  <r>
    <n v="162"/>
    <n v="15641122"/>
    <s v="Wei"/>
    <n v="684"/>
    <x v="0"/>
    <x v="1"/>
    <n v="30"/>
    <x v="0"/>
    <n v="0"/>
    <n v="2"/>
    <n v="1"/>
    <n v="0"/>
    <n v="83473.820000000007"/>
    <x v="1"/>
  </r>
  <r>
    <n v="163"/>
    <n v="15630910"/>
    <s v="Treacy"/>
    <n v="800"/>
    <x v="0"/>
    <x v="0"/>
    <n v="49"/>
    <x v="3"/>
    <n v="108007.36"/>
    <n v="1"/>
    <n v="0"/>
    <n v="0"/>
    <n v="47125.11"/>
    <x v="1"/>
  </r>
  <r>
    <n v="164"/>
    <n v="15680772"/>
    <s v="Hu"/>
    <n v="721"/>
    <x v="1"/>
    <x v="0"/>
    <n v="36"/>
    <x v="0"/>
    <n v="0"/>
    <n v="2"/>
    <n v="1"/>
    <n v="1"/>
    <n v="106977.8"/>
    <x v="1"/>
  </r>
  <r>
    <n v="165"/>
    <n v="15658929"/>
    <s v="Taverner"/>
    <n v="683"/>
    <x v="1"/>
    <x v="1"/>
    <n v="29"/>
    <x v="10"/>
    <n v="133702.89000000001"/>
    <n v="1"/>
    <n v="1"/>
    <n v="0"/>
    <n v="55582.54"/>
    <x v="0"/>
  </r>
  <r>
    <n v="166"/>
    <n v="15585388"/>
    <s v="Sherman"/>
    <n v="660"/>
    <x v="2"/>
    <x v="1"/>
    <n v="31"/>
    <x v="9"/>
    <n v="125189.75"/>
    <n v="2"/>
    <n v="1"/>
    <n v="1"/>
    <n v="139874.43"/>
    <x v="1"/>
  </r>
  <r>
    <n v="167"/>
    <n v="15724623"/>
    <s v="Taubman"/>
    <n v="704"/>
    <x v="2"/>
    <x v="0"/>
    <n v="24"/>
    <x v="3"/>
    <n v="113034.22"/>
    <n v="1"/>
    <n v="1"/>
    <n v="0"/>
    <n v="162503.48000000001"/>
    <x v="0"/>
  </r>
  <r>
    <n v="168"/>
    <n v="15588537"/>
    <s v="Robinson"/>
    <n v="615"/>
    <x v="1"/>
    <x v="0"/>
    <n v="41"/>
    <x v="9"/>
    <n v="109013.23"/>
    <n v="1"/>
    <n v="1"/>
    <n v="0"/>
    <n v="196499.96"/>
    <x v="1"/>
  </r>
  <r>
    <n v="169"/>
    <n v="15574692"/>
    <s v="Pinto"/>
    <n v="667"/>
    <x v="1"/>
    <x v="0"/>
    <n v="39"/>
    <x v="0"/>
    <n v="0"/>
    <n v="2"/>
    <n v="1"/>
    <n v="0"/>
    <n v="40721.24"/>
    <x v="0"/>
  </r>
  <r>
    <n v="170"/>
    <n v="15611325"/>
    <s v="Wood"/>
    <n v="682"/>
    <x v="2"/>
    <x v="1"/>
    <n v="24"/>
    <x v="9"/>
    <n v="57929.81"/>
    <n v="2"/>
    <n v="0"/>
    <n v="0"/>
    <n v="53134.3"/>
    <x v="1"/>
  </r>
  <r>
    <n v="171"/>
    <n v="15587562"/>
    <s v="Hawkins"/>
    <n v="484"/>
    <x v="0"/>
    <x v="0"/>
    <n v="29"/>
    <x v="4"/>
    <n v="130114.39"/>
    <n v="1"/>
    <n v="1"/>
    <n v="0"/>
    <n v="164017.89000000001"/>
    <x v="1"/>
  </r>
  <r>
    <n v="172"/>
    <n v="15613172"/>
    <s v="Sun"/>
    <n v="628"/>
    <x v="2"/>
    <x v="1"/>
    <n v="27"/>
    <x v="8"/>
    <n v="95826.49"/>
    <n v="2"/>
    <n v="1"/>
    <n v="0"/>
    <n v="155996.96"/>
    <x v="1"/>
  </r>
  <r>
    <n v="173"/>
    <n v="15651022"/>
    <s v="Yost"/>
    <n v="480"/>
    <x v="2"/>
    <x v="1"/>
    <n v="44"/>
    <x v="7"/>
    <n v="129608.57"/>
    <n v="1"/>
    <n v="1"/>
    <n v="0"/>
    <n v="5472.7"/>
    <x v="0"/>
  </r>
  <r>
    <n v="174"/>
    <n v="15586310"/>
    <s v="Ting"/>
    <n v="578"/>
    <x v="0"/>
    <x v="1"/>
    <n v="30"/>
    <x v="4"/>
    <n v="169462.09"/>
    <n v="1"/>
    <n v="1"/>
    <n v="0"/>
    <n v="112187.11"/>
    <x v="1"/>
  </r>
  <r>
    <n v="175"/>
    <n v="15625524"/>
    <s v="Rowe"/>
    <n v="512"/>
    <x v="0"/>
    <x v="1"/>
    <n v="40"/>
    <x v="8"/>
    <n v="0"/>
    <n v="2"/>
    <n v="1"/>
    <n v="1"/>
    <n v="146457.82999999999"/>
    <x v="1"/>
  </r>
  <r>
    <n v="176"/>
    <n v="15755209"/>
    <s v="Fu"/>
    <n v="484"/>
    <x v="1"/>
    <x v="0"/>
    <n v="35"/>
    <x v="3"/>
    <n v="133868.21"/>
    <n v="1"/>
    <n v="1"/>
    <n v="1"/>
    <n v="27286.1"/>
    <x v="1"/>
  </r>
  <r>
    <n v="177"/>
    <n v="15645248"/>
    <s v="Ho"/>
    <n v="510"/>
    <x v="0"/>
    <x v="0"/>
    <n v="30"/>
    <x v="10"/>
    <n v="0"/>
    <n v="2"/>
    <n v="1"/>
    <n v="1"/>
    <n v="130553.47"/>
    <x v="1"/>
  </r>
  <r>
    <n v="178"/>
    <n v="15790355"/>
    <s v="Okechukwu"/>
    <n v="606"/>
    <x v="2"/>
    <x v="1"/>
    <n v="36"/>
    <x v="8"/>
    <n v="190479.48"/>
    <n v="2"/>
    <n v="0"/>
    <n v="0"/>
    <n v="179351.89"/>
    <x v="1"/>
  </r>
  <r>
    <n v="179"/>
    <n v="15762615"/>
    <s v="Campbell"/>
    <n v="597"/>
    <x v="1"/>
    <x v="0"/>
    <n v="40"/>
    <x v="2"/>
    <n v="101993.12"/>
    <n v="1"/>
    <n v="0"/>
    <n v="1"/>
    <n v="94774.12"/>
    <x v="1"/>
  </r>
  <r>
    <n v="180"/>
    <n v="15625426"/>
    <s v="Ashbolt"/>
    <n v="754"/>
    <x v="2"/>
    <x v="0"/>
    <n v="55"/>
    <x v="6"/>
    <n v="161608.81"/>
    <n v="1"/>
    <n v="1"/>
    <n v="0"/>
    <n v="8080.85"/>
    <x v="0"/>
  </r>
  <r>
    <n v="181"/>
    <n v="15716334"/>
    <s v="Rozier"/>
    <n v="850"/>
    <x v="1"/>
    <x v="0"/>
    <n v="45"/>
    <x v="0"/>
    <n v="122311.21"/>
    <n v="1"/>
    <n v="1"/>
    <n v="1"/>
    <n v="19482.5"/>
    <x v="1"/>
  </r>
  <r>
    <n v="182"/>
    <n v="15789669"/>
    <s v="Hsia"/>
    <n v="510"/>
    <x v="0"/>
    <x v="1"/>
    <n v="65"/>
    <x v="0"/>
    <n v="0"/>
    <n v="2"/>
    <n v="1"/>
    <n v="1"/>
    <n v="48071.61"/>
    <x v="1"/>
  </r>
  <r>
    <n v="183"/>
    <n v="15621075"/>
    <s v="Ogbonnaya"/>
    <n v="778"/>
    <x v="2"/>
    <x v="0"/>
    <n v="45"/>
    <x v="1"/>
    <n v="162150.42000000001"/>
    <n v="2"/>
    <n v="1"/>
    <n v="0"/>
    <n v="174531.27"/>
    <x v="1"/>
  </r>
  <r>
    <n v="184"/>
    <n v="15810845"/>
    <s v="T'ang"/>
    <n v="636"/>
    <x v="0"/>
    <x v="1"/>
    <n v="42"/>
    <x v="0"/>
    <n v="0"/>
    <n v="2"/>
    <n v="1"/>
    <n v="1"/>
    <n v="55470.78"/>
    <x v="1"/>
  </r>
  <r>
    <n v="185"/>
    <n v="15719377"/>
    <s v="Cocci"/>
    <n v="804"/>
    <x v="0"/>
    <x v="0"/>
    <n v="50"/>
    <x v="4"/>
    <n v="0"/>
    <n v="1"/>
    <n v="1"/>
    <n v="1"/>
    <n v="8546.8700000000008"/>
    <x v="0"/>
  </r>
  <r>
    <n v="186"/>
    <n v="15654506"/>
    <s v="Chang"/>
    <n v="514"/>
    <x v="0"/>
    <x v="1"/>
    <n v="32"/>
    <x v="2"/>
    <n v="0"/>
    <n v="2"/>
    <n v="1"/>
    <n v="0"/>
    <n v="95857.18"/>
    <x v="1"/>
  </r>
  <r>
    <n v="187"/>
    <n v="15771977"/>
    <s v="T'ao"/>
    <n v="730"/>
    <x v="0"/>
    <x v="0"/>
    <n v="39"/>
    <x v="1"/>
    <n v="99010.67"/>
    <n v="1"/>
    <n v="1"/>
    <n v="0"/>
    <n v="194945.8"/>
    <x v="1"/>
  </r>
  <r>
    <n v="188"/>
    <n v="15708710"/>
    <s v="Ford"/>
    <n v="525"/>
    <x v="1"/>
    <x v="0"/>
    <n v="37"/>
    <x v="10"/>
    <n v="0"/>
    <n v="1"/>
    <n v="0"/>
    <n v="1"/>
    <n v="131521.72"/>
    <x v="1"/>
  </r>
  <r>
    <n v="189"/>
    <n v="15726676"/>
    <s v="Marshall"/>
    <n v="616"/>
    <x v="1"/>
    <x v="1"/>
    <n v="30"/>
    <x v="8"/>
    <n v="0"/>
    <n v="2"/>
    <n v="0"/>
    <n v="1"/>
    <n v="196108.51"/>
    <x v="1"/>
  </r>
  <r>
    <n v="190"/>
    <n v="15587421"/>
    <s v="Tsai"/>
    <n v="687"/>
    <x v="2"/>
    <x v="0"/>
    <n v="34"/>
    <x v="3"/>
    <n v="111388.18"/>
    <n v="2"/>
    <n v="1"/>
    <n v="0"/>
    <n v="148564.76"/>
    <x v="1"/>
  </r>
  <r>
    <n v="191"/>
    <n v="15726931"/>
    <s v="Onwumelu"/>
    <n v="715"/>
    <x v="0"/>
    <x v="0"/>
    <n v="41"/>
    <x v="2"/>
    <n v="56214.85"/>
    <n v="2"/>
    <n v="0"/>
    <n v="0"/>
    <n v="92982.61"/>
    <x v="0"/>
  </r>
  <r>
    <n v="192"/>
    <n v="15771086"/>
    <s v="Graham"/>
    <n v="512"/>
    <x v="0"/>
    <x v="0"/>
    <n v="36"/>
    <x v="6"/>
    <n v="84327.77"/>
    <n v="2"/>
    <n v="1"/>
    <n v="0"/>
    <n v="17675.36"/>
    <x v="1"/>
  </r>
  <r>
    <n v="193"/>
    <n v="15756850"/>
    <s v="Golovanov"/>
    <n v="479"/>
    <x v="0"/>
    <x v="1"/>
    <n v="40"/>
    <x v="1"/>
    <n v="0"/>
    <n v="2"/>
    <n v="0"/>
    <n v="0"/>
    <n v="114996.43"/>
    <x v="1"/>
  </r>
  <r>
    <n v="194"/>
    <n v="15702741"/>
    <s v="Potts"/>
    <n v="601"/>
    <x v="0"/>
    <x v="1"/>
    <n v="32"/>
    <x v="2"/>
    <n v="93012.89"/>
    <n v="1"/>
    <n v="1"/>
    <n v="0"/>
    <n v="86957.42"/>
    <x v="1"/>
  </r>
  <r>
    <n v="195"/>
    <n v="15679200"/>
    <s v="Crawford"/>
    <n v="580"/>
    <x v="1"/>
    <x v="1"/>
    <n v="29"/>
    <x v="9"/>
    <n v="61710.44"/>
    <n v="2"/>
    <n v="1"/>
    <n v="0"/>
    <n v="128077.8"/>
    <x v="1"/>
  </r>
  <r>
    <n v="196"/>
    <n v="15594815"/>
    <s v="Aleshire"/>
    <n v="807"/>
    <x v="0"/>
    <x v="1"/>
    <n v="35"/>
    <x v="6"/>
    <n v="174790.15"/>
    <n v="1"/>
    <n v="1"/>
    <n v="1"/>
    <n v="600.36"/>
    <x v="1"/>
  </r>
  <r>
    <n v="197"/>
    <n v="15635905"/>
    <s v="Moran"/>
    <n v="616"/>
    <x v="1"/>
    <x v="0"/>
    <n v="32"/>
    <x v="5"/>
    <n v="0"/>
    <n v="2"/>
    <n v="1"/>
    <n v="1"/>
    <n v="43001.46"/>
    <x v="1"/>
  </r>
  <r>
    <n v="198"/>
    <n v="15777892"/>
    <s v="Samsonova"/>
    <n v="721"/>
    <x v="2"/>
    <x v="1"/>
    <n v="37"/>
    <x v="6"/>
    <n v="107720.64"/>
    <n v="1"/>
    <n v="1"/>
    <n v="1"/>
    <n v="158591.12"/>
    <x v="1"/>
  </r>
  <r>
    <n v="199"/>
    <n v="15656176"/>
    <s v="Jenkins"/>
    <n v="501"/>
    <x v="0"/>
    <x v="1"/>
    <n v="57"/>
    <x v="7"/>
    <n v="0"/>
    <n v="2"/>
    <n v="1"/>
    <n v="1"/>
    <n v="47847.19"/>
    <x v="1"/>
  </r>
  <r>
    <n v="200"/>
    <n v="15811127"/>
    <s v="Volkov"/>
    <n v="521"/>
    <x v="0"/>
    <x v="1"/>
    <n v="35"/>
    <x v="5"/>
    <n v="96423.84"/>
    <n v="1"/>
    <n v="1"/>
    <n v="0"/>
    <n v="10488.44"/>
    <x v="1"/>
  </r>
  <r>
    <n v="201"/>
    <n v="15604482"/>
    <s v="Chiemezie"/>
    <n v="850"/>
    <x v="1"/>
    <x v="1"/>
    <n v="30"/>
    <x v="0"/>
    <n v="141040.01"/>
    <n v="1"/>
    <n v="1"/>
    <n v="1"/>
    <n v="5978.2"/>
    <x v="1"/>
  </r>
  <r>
    <n v="202"/>
    <n v="15622911"/>
    <s v="Jude"/>
    <n v="759"/>
    <x v="0"/>
    <x v="1"/>
    <n v="42"/>
    <x v="4"/>
    <n v="105420.18"/>
    <n v="1"/>
    <n v="0"/>
    <n v="1"/>
    <n v="121409.06"/>
    <x v="1"/>
  </r>
  <r>
    <n v="203"/>
    <n v="15600974"/>
    <s v="He"/>
    <n v="516"/>
    <x v="1"/>
    <x v="1"/>
    <n v="50"/>
    <x v="8"/>
    <n v="0"/>
    <n v="1"/>
    <n v="0"/>
    <n v="1"/>
    <n v="146145.93"/>
    <x v="0"/>
  </r>
  <r>
    <n v="204"/>
    <n v="15727868"/>
    <s v="Onuora"/>
    <n v="711"/>
    <x v="0"/>
    <x v="0"/>
    <n v="38"/>
    <x v="0"/>
    <n v="129022.06"/>
    <n v="2"/>
    <n v="1"/>
    <n v="1"/>
    <n v="14374.86"/>
    <x v="0"/>
  </r>
  <r>
    <n v="205"/>
    <n v="15627801"/>
    <s v="Ginikanwa"/>
    <n v="653.5"/>
    <x v="1"/>
    <x v="1"/>
    <n v="33"/>
    <x v="6"/>
    <n v="176666.62"/>
    <n v="1"/>
    <n v="1"/>
    <n v="0"/>
    <n v="94670.77"/>
    <x v="1"/>
  </r>
  <r>
    <n v="206"/>
    <n v="15773039"/>
    <s v="Ku"/>
    <n v="550"/>
    <x v="0"/>
    <x v="1"/>
    <n v="37"/>
    <x v="6"/>
    <n v="0"/>
    <n v="1"/>
    <n v="1"/>
    <n v="1"/>
    <n v="179670.31"/>
    <x v="1"/>
  </r>
  <r>
    <n v="207"/>
    <n v="15755262"/>
    <s v="McDonald"/>
    <n v="608"/>
    <x v="1"/>
    <x v="0"/>
    <n v="41"/>
    <x v="6"/>
    <n v="89763.839999999997"/>
    <n v="1"/>
    <n v="0"/>
    <n v="0"/>
    <n v="199304.74"/>
    <x v="0"/>
  </r>
  <r>
    <n v="208"/>
    <n v="15679531"/>
    <s v="Collins"/>
    <n v="618"/>
    <x v="0"/>
    <x v="1"/>
    <n v="34"/>
    <x v="8"/>
    <n v="134954.53"/>
    <n v="1"/>
    <n v="1"/>
    <n v="1"/>
    <n v="151954.39000000001"/>
    <x v="1"/>
  </r>
  <r>
    <n v="209"/>
    <n v="15684181"/>
    <s v="Hackett"/>
    <n v="643"/>
    <x v="0"/>
    <x v="1"/>
    <n v="45"/>
    <x v="8"/>
    <n v="0"/>
    <n v="1"/>
    <n v="1"/>
    <n v="0"/>
    <n v="142513.5"/>
    <x v="0"/>
  </r>
  <r>
    <n v="210"/>
    <n v="15612087"/>
    <s v="Dike"/>
    <n v="671"/>
    <x v="0"/>
    <x v="1"/>
    <n v="45"/>
    <x v="0"/>
    <n v="106376.85"/>
    <n v="1"/>
    <n v="0"/>
    <n v="1"/>
    <n v="158264.62"/>
    <x v="1"/>
  </r>
  <r>
    <n v="211"/>
    <n v="15752047"/>
    <s v="He"/>
    <n v="689"/>
    <x v="2"/>
    <x v="1"/>
    <n v="33"/>
    <x v="0"/>
    <n v="161814.64000000001"/>
    <n v="2"/>
    <n v="1"/>
    <n v="0"/>
    <n v="169381.9"/>
    <x v="1"/>
  </r>
  <r>
    <n v="212"/>
    <n v="15624592"/>
    <s v="Tan"/>
    <n v="603"/>
    <x v="0"/>
    <x v="1"/>
    <n v="31"/>
    <x v="2"/>
    <n v="0"/>
    <n v="2"/>
    <n v="1"/>
    <n v="1"/>
    <n v="169915.02"/>
    <x v="1"/>
  </r>
  <r>
    <n v="213"/>
    <n v="15573152"/>
    <s v="Glassman"/>
    <n v="620"/>
    <x v="0"/>
    <x v="0"/>
    <n v="41"/>
    <x v="9"/>
    <n v="0"/>
    <n v="2"/>
    <n v="0"/>
    <n v="0"/>
    <n v="88852.47"/>
    <x v="1"/>
  </r>
  <r>
    <n v="214"/>
    <n v="15594917"/>
    <s v="Miller"/>
    <n v="676"/>
    <x v="0"/>
    <x v="0"/>
    <n v="34"/>
    <x v="1"/>
    <n v="63095.01"/>
    <n v="1"/>
    <n v="1"/>
    <n v="1"/>
    <n v="40645.81"/>
    <x v="1"/>
  </r>
  <r>
    <n v="215"/>
    <n v="15785542"/>
    <s v="Kornilova"/>
    <n v="653.5"/>
    <x v="2"/>
    <x v="1"/>
    <n v="26"/>
    <x v="4"/>
    <n v="118287.01"/>
    <n v="2"/>
    <n v="0"/>
    <n v="0"/>
    <n v="98368.24"/>
    <x v="1"/>
  </r>
  <r>
    <n v="216"/>
    <n v="15723488"/>
    <s v="Watson"/>
    <n v="668"/>
    <x v="2"/>
    <x v="1"/>
    <n v="47"/>
    <x v="3"/>
    <n v="106854.21"/>
    <n v="1"/>
    <n v="0"/>
    <n v="1"/>
    <n v="157959.01999999999"/>
    <x v="0"/>
  </r>
  <r>
    <n v="217"/>
    <n v="15680920"/>
    <s v="Marchesi"/>
    <n v="695"/>
    <x v="0"/>
    <x v="1"/>
    <n v="46"/>
    <x v="3"/>
    <n v="49512.55"/>
    <n v="1"/>
    <n v="1"/>
    <n v="0"/>
    <n v="133007.34"/>
    <x v="1"/>
  </r>
  <r>
    <n v="218"/>
    <n v="15786308"/>
    <s v="Millar"/>
    <n v="730"/>
    <x v="1"/>
    <x v="0"/>
    <n v="33"/>
    <x v="9"/>
    <n v="0"/>
    <n v="2"/>
    <n v="0"/>
    <n v="0"/>
    <n v="176576.62"/>
    <x v="1"/>
  </r>
  <r>
    <n v="219"/>
    <n v="15659366"/>
    <s v="Shih"/>
    <n v="807"/>
    <x v="0"/>
    <x v="1"/>
    <n v="43"/>
    <x v="1"/>
    <n v="105799.32"/>
    <n v="2"/>
    <n v="1"/>
    <n v="0"/>
    <n v="34888.04"/>
    <x v="0"/>
  </r>
  <r>
    <n v="220"/>
    <n v="15774854"/>
    <s v="Fuller"/>
    <n v="592"/>
    <x v="0"/>
    <x v="1"/>
    <n v="54"/>
    <x v="2"/>
    <n v="0"/>
    <n v="1"/>
    <n v="1"/>
    <n v="1"/>
    <n v="28737.71"/>
    <x v="0"/>
  </r>
  <r>
    <n v="221"/>
    <n v="15725311"/>
    <s v="Hay"/>
    <n v="726"/>
    <x v="0"/>
    <x v="0"/>
    <n v="31"/>
    <x v="9"/>
    <n v="114722.05"/>
    <n v="2"/>
    <n v="1"/>
    <n v="1"/>
    <n v="98178.57"/>
    <x v="1"/>
  </r>
  <r>
    <n v="222"/>
    <n v="15787155"/>
    <s v="Yang"/>
    <n v="514"/>
    <x v="1"/>
    <x v="1"/>
    <n v="30"/>
    <x v="3"/>
    <n v="0"/>
    <n v="1"/>
    <n v="0"/>
    <n v="1"/>
    <n v="125010.24000000001"/>
    <x v="1"/>
  </r>
  <r>
    <n v="223"/>
    <n v="15727829"/>
    <s v="McIntyre"/>
    <n v="567"/>
    <x v="0"/>
    <x v="1"/>
    <n v="42"/>
    <x v="0"/>
    <n v="0"/>
    <n v="2"/>
    <n v="1"/>
    <n v="1"/>
    <n v="167984.61"/>
    <x v="1"/>
  </r>
  <r>
    <n v="224"/>
    <n v="15733247"/>
    <s v="Stevenson"/>
    <n v="850"/>
    <x v="0"/>
    <x v="1"/>
    <n v="33"/>
    <x v="7"/>
    <n v="0"/>
    <n v="1"/>
    <n v="1"/>
    <n v="0"/>
    <n v="4861.72"/>
    <x v="0"/>
  </r>
  <r>
    <n v="225"/>
    <n v="15568748"/>
    <s v="Poole"/>
    <n v="671"/>
    <x v="2"/>
    <x v="1"/>
    <n v="45"/>
    <x v="5"/>
    <n v="99564.22"/>
    <n v="1"/>
    <n v="1"/>
    <n v="1"/>
    <n v="108872.45"/>
    <x v="0"/>
  </r>
  <r>
    <n v="226"/>
    <n v="15699029"/>
    <s v="Bagley"/>
    <n v="670"/>
    <x v="0"/>
    <x v="1"/>
    <n v="37"/>
    <x v="4"/>
    <n v="170557.91"/>
    <n v="2"/>
    <n v="1"/>
    <n v="0"/>
    <n v="198252.88"/>
    <x v="1"/>
  </r>
  <r>
    <n v="227"/>
    <n v="15774393"/>
    <s v="Ch'ien"/>
    <n v="694"/>
    <x v="0"/>
    <x v="0"/>
    <n v="30"/>
    <x v="9"/>
    <n v="0"/>
    <n v="2"/>
    <n v="1"/>
    <n v="1"/>
    <n v="26960.31"/>
    <x v="1"/>
  </r>
  <r>
    <n v="228"/>
    <n v="15676895"/>
    <s v="Cattaneo"/>
    <n v="547"/>
    <x v="2"/>
    <x v="0"/>
    <n v="39"/>
    <x v="5"/>
    <n v="74596.149999999994"/>
    <n v="3"/>
    <n v="1"/>
    <n v="1"/>
    <n v="85746.52"/>
    <x v="0"/>
  </r>
  <r>
    <n v="229"/>
    <n v="15637753"/>
    <s v="O'Sullivan"/>
    <n v="751"/>
    <x v="2"/>
    <x v="1"/>
    <n v="50"/>
    <x v="0"/>
    <n v="96888.39"/>
    <n v="1"/>
    <n v="1"/>
    <n v="0"/>
    <n v="77206.25"/>
    <x v="0"/>
  </r>
  <r>
    <n v="230"/>
    <n v="15605461"/>
    <s v="Lucas"/>
    <n v="594"/>
    <x v="2"/>
    <x v="0"/>
    <n v="29"/>
    <x v="6"/>
    <n v="130830.22"/>
    <n v="1"/>
    <n v="1"/>
    <n v="0"/>
    <n v="61048.53"/>
    <x v="1"/>
  </r>
  <r>
    <n v="231"/>
    <n v="15808473"/>
    <s v="Ringrose"/>
    <n v="673"/>
    <x v="0"/>
    <x v="1"/>
    <n v="72"/>
    <x v="1"/>
    <n v="0"/>
    <n v="2"/>
    <n v="0"/>
    <n v="1"/>
    <n v="111981.19"/>
    <x v="1"/>
  </r>
  <r>
    <n v="232"/>
    <n v="15627000"/>
    <s v="Freeman"/>
    <n v="610"/>
    <x v="0"/>
    <x v="1"/>
    <n v="40"/>
    <x v="10"/>
    <n v="0"/>
    <n v="2"/>
    <n v="1"/>
    <n v="0"/>
    <n v="62232.6"/>
    <x v="1"/>
  </r>
  <r>
    <n v="233"/>
    <n v="15787174"/>
    <s v="Sergeyev"/>
    <n v="512"/>
    <x v="0"/>
    <x v="0"/>
    <n v="37"/>
    <x v="1"/>
    <n v="0"/>
    <n v="2"/>
    <n v="0"/>
    <n v="1"/>
    <n v="156105.03"/>
    <x v="1"/>
  </r>
  <r>
    <n v="234"/>
    <n v="15723886"/>
    <s v="Fiore"/>
    <n v="767"/>
    <x v="2"/>
    <x v="1"/>
    <n v="20"/>
    <x v="6"/>
    <n v="119714.25"/>
    <n v="2"/>
    <n v="0"/>
    <n v="1"/>
    <n v="150135.38"/>
    <x v="1"/>
  </r>
  <r>
    <n v="235"/>
    <n v="15704769"/>
    <s v="Smith"/>
    <n v="585"/>
    <x v="0"/>
    <x v="0"/>
    <n v="67"/>
    <x v="8"/>
    <n v="113978.97"/>
    <n v="2"/>
    <n v="0"/>
    <n v="1"/>
    <n v="93146.11"/>
    <x v="1"/>
  </r>
  <r>
    <n v="236"/>
    <n v="15772896"/>
    <s v="Dumetochukwu"/>
    <n v="763"/>
    <x v="2"/>
    <x v="1"/>
    <n v="42"/>
    <x v="5"/>
    <n v="100160.75"/>
    <n v="1"/>
    <n v="1"/>
    <n v="0"/>
    <n v="33462.94"/>
    <x v="0"/>
  </r>
  <r>
    <n v="237"/>
    <n v="15711540"/>
    <s v="Pacheco"/>
    <n v="712"/>
    <x v="0"/>
    <x v="0"/>
    <n v="29"/>
    <x v="0"/>
    <n v="0"/>
    <n v="1"/>
    <n v="1"/>
    <n v="1"/>
    <n v="144375"/>
    <x v="1"/>
  </r>
  <r>
    <n v="238"/>
    <n v="15764866"/>
    <s v="Synnot"/>
    <n v="539"/>
    <x v="2"/>
    <x v="0"/>
    <n v="43"/>
    <x v="6"/>
    <n v="116220.5"/>
    <n v="3"/>
    <n v="1"/>
    <n v="0"/>
    <n v="55803.96"/>
    <x v="0"/>
  </r>
  <r>
    <n v="239"/>
    <n v="15794056"/>
    <s v="Johnston"/>
    <n v="668"/>
    <x v="0"/>
    <x v="0"/>
    <n v="46"/>
    <x v="0"/>
    <n v="0"/>
    <n v="3"/>
    <n v="1"/>
    <n v="0"/>
    <n v="89048.46"/>
    <x v="0"/>
  </r>
  <r>
    <n v="240"/>
    <n v="15795149"/>
    <s v="Stevens"/>
    <n v="703"/>
    <x v="0"/>
    <x v="1"/>
    <n v="28"/>
    <x v="0"/>
    <n v="81173.83"/>
    <n v="2"/>
    <n v="0"/>
    <n v="1"/>
    <n v="162812.16"/>
    <x v="1"/>
  </r>
  <r>
    <n v="241"/>
    <n v="15812009"/>
    <s v="Grant"/>
    <n v="662"/>
    <x v="1"/>
    <x v="1"/>
    <n v="38"/>
    <x v="4"/>
    <n v="0"/>
    <n v="2"/>
    <n v="1"/>
    <n v="0"/>
    <n v="136259.65"/>
    <x v="1"/>
  </r>
  <r>
    <n v="242"/>
    <n v="15651001"/>
    <s v="Tsao"/>
    <n v="725"/>
    <x v="2"/>
    <x v="0"/>
    <n v="39"/>
    <x v="8"/>
    <n v="116803.8"/>
    <n v="1"/>
    <n v="1"/>
    <n v="0"/>
    <n v="124052.97"/>
    <x v="1"/>
  </r>
  <r>
    <n v="243"/>
    <n v="15813844"/>
    <s v="Barnes"/>
    <n v="703"/>
    <x v="0"/>
    <x v="1"/>
    <n v="37"/>
    <x v="2"/>
    <n v="105961.68"/>
    <n v="2"/>
    <n v="0"/>
    <n v="1"/>
    <n v="74158.8"/>
    <x v="1"/>
  </r>
  <r>
    <n v="244"/>
    <n v="15596175"/>
    <s v="McIntosh"/>
    <n v="659"/>
    <x v="2"/>
    <x v="1"/>
    <n v="67"/>
    <x v="5"/>
    <n v="117411.6"/>
    <n v="1"/>
    <n v="1"/>
    <n v="1"/>
    <n v="45071.09"/>
    <x v="0"/>
  </r>
  <r>
    <n v="245"/>
    <n v="15576269"/>
    <s v="Madison"/>
    <n v="523"/>
    <x v="1"/>
    <x v="1"/>
    <n v="34"/>
    <x v="3"/>
    <n v="0"/>
    <n v="2"/>
    <n v="1"/>
    <n v="0"/>
    <n v="62030.06"/>
    <x v="1"/>
  </r>
  <r>
    <n v="246"/>
    <n v="15797219"/>
    <s v="Ifesinachi"/>
    <n v="635"/>
    <x v="0"/>
    <x v="0"/>
    <n v="40"/>
    <x v="7"/>
    <n v="123497.58"/>
    <n v="1"/>
    <n v="1"/>
    <n v="0"/>
    <n v="131953.23000000001"/>
    <x v="0"/>
  </r>
  <r>
    <n v="247"/>
    <n v="15685500"/>
    <s v="Glazkov"/>
    <n v="772"/>
    <x v="2"/>
    <x v="1"/>
    <n v="26"/>
    <x v="3"/>
    <n v="152400.51"/>
    <n v="2"/>
    <n v="1"/>
    <n v="0"/>
    <n v="79414"/>
    <x v="1"/>
  </r>
  <r>
    <n v="248"/>
    <n v="15599792"/>
    <s v="Dimauro"/>
    <n v="545"/>
    <x v="0"/>
    <x v="0"/>
    <n v="26"/>
    <x v="1"/>
    <n v="0"/>
    <n v="2"/>
    <n v="1"/>
    <n v="1"/>
    <n v="199638.56"/>
    <x v="1"/>
  </r>
  <r>
    <n v="249"/>
    <n v="15657566"/>
    <s v="Wieck"/>
    <n v="634"/>
    <x v="2"/>
    <x v="1"/>
    <n v="24"/>
    <x v="2"/>
    <n v="103097.85"/>
    <n v="1"/>
    <n v="1"/>
    <n v="1"/>
    <n v="157577.29"/>
    <x v="1"/>
  </r>
  <r>
    <n v="250"/>
    <n v="15772423"/>
    <s v="Liao"/>
    <n v="739"/>
    <x v="2"/>
    <x v="1"/>
    <n v="54"/>
    <x v="2"/>
    <n v="126418.14"/>
    <n v="1"/>
    <n v="1"/>
    <n v="0"/>
    <n v="134420.75"/>
    <x v="0"/>
  </r>
  <r>
    <n v="251"/>
    <n v="15628112"/>
    <s v="Hughes"/>
    <n v="771"/>
    <x v="2"/>
    <x v="0"/>
    <n v="36"/>
    <x v="8"/>
    <n v="77846.899999999994"/>
    <n v="1"/>
    <n v="0"/>
    <n v="0"/>
    <n v="99805.99"/>
    <x v="1"/>
  </r>
  <r>
    <n v="252"/>
    <n v="15753754"/>
    <s v="Morrison"/>
    <n v="587"/>
    <x v="1"/>
    <x v="0"/>
    <n v="34"/>
    <x v="1"/>
    <n v="0"/>
    <n v="2"/>
    <n v="1"/>
    <n v="1"/>
    <n v="97932.68"/>
    <x v="1"/>
  </r>
  <r>
    <n v="253"/>
    <n v="15793726"/>
    <s v="Matveyeva"/>
    <n v="681"/>
    <x v="0"/>
    <x v="0"/>
    <n v="79"/>
    <x v="10"/>
    <n v="0"/>
    <n v="2"/>
    <n v="0"/>
    <n v="1"/>
    <n v="170968.99"/>
    <x v="1"/>
  </r>
  <r>
    <n v="254"/>
    <n v="15694717"/>
    <s v="Ku"/>
    <n v="544"/>
    <x v="2"/>
    <x v="1"/>
    <n v="37"/>
    <x v="0"/>
    <n v="79731.91"/>
    <n v="1"/>
    <n v="1"/>
    <n v="1"/>
    <n v="57558.95"/>
    <x v="1"/>
  </r>
  <r>
    <n v="255"/>
    <n v="15665834"/>
    <s v="Cheatham"/>
    <n v="696"/>
    <x v="1"/>
    <x v="1"/>
    <n v="28"/>
    <x v="2"/>
    <n v="0"/>
    <n v="1"/>
    <n v="0"/>
    <n v="0"/>
    <n v="176713.47"/>
    <x v="1"/>
  </r>
  <r>
    <n v="256"/>
    <n v="15765297"/>
    <s v="Yao"/>
    <n v="766"/>
    <x v="1"/>
    <x v="1"/>
    <n v="41"/>
    <x v="10"/>
    <n v="0"/>
    <n v="2"/>
    <n v="0"/>
    <n v="1"/>
    <n v="34283.230000000003"/>
    <x v="1"/>
  </r>
  <r>
    <n v="257"/>
    <n v="15636684"/>
    <s v="Kirkland"/>
    <n v="727"/>
    <x v="0"/>
    <x v="1"/>
    <n v="34"/>
    <x v="7"/>
    <n v="0"/>
    <n v="2"/>
    <n v="1"/>
    <n v="1"/>
    <n v="198637.34"/>
    <x v="1"/>
  </r>
  <r>
    <n v="258"/>
    <n v="15592979"/>
    <s v="Rose"/>
    <n v="671"/>
    <x v="2"/>
    <x v="0"/>
    <n v="34"/>
    <x v="5"/>
    <n v="37266.67"/>
    <n v="2"/>
    <n v="0"/>
    <n v="0"/>
    <n v="156917.12"/>
    <x v="1"/>
  </r>
  <r>
    <n v="259"/>
    <n v="15750803"/>
    <s v="Jess"/>
    <n v="693"/>
    <x v="0"/>
    <x v="0"/>
    <n v="30"/>
    <x v="5"/>
    <n v="127992.25"/>
    <n v="1"/>
    <n v="1"/>
    <n v="1"/>
    <n v="50457.2"/>
    <x v="1"/>
  </r>
  <r>
    <n v="260"/>
    <n v="15607178"/>
    <s v="Welch"/>
    <n v="850"/>
    <x v="2"/>
    <x v="1"/>
    <n v="38"/>
    <x v="6"/>
    <n v="54901.01"/>
    <n v="1"/>
    <n v="1"/>
    <n v="1"/>
    <n v="140075.54999999999"/>
    <x v="1"/>
  </r>
  <r>
    <n v="261"/>
    <n v="15713853"/>
    <s v="Ifeajuna"/>
    <n v="732"/>
    <x v="2"/>
    <x v="1"/>
    <n v="42"/>
    <x v="9"/>
    <n v="108748.08"/>
    <n v="2"/>
    <n v="1"/>
    <n v="1"/>
    <n v="65323.11"/>
    <x v="1"/>
  </r>
  <r>
    <n v="262"/>
    <n v="15673481"/>
    <s v="Morton"/>
    <n v="726"/>
    <x v="1"/>
    <x v="0"/>
    <n v="48"/>
    <x v="5"/>
    <n v="99906.19"/>
    <n v="1"/>
    <n v="1"/>
    <n v="0"/>
    <n v="64323.24"/>
    <x v="1"/>
  </r>
  <r>
    <n v="263"/>
    <n v="15686776"/>
    <s v="Rossi"/>
    <n v="557"/>
    <x v="0"/>
    <x v="0"/>
    <n v="32"/>
    <x v="5"/>
    <n v="184686.41"/>
    <n v="2"/>
    <n v="1"/>
    <n v="0"/>
    <n v="14956.44"/>
    <x v="1"/>
  </r>
  <r>
    <n v="264"/>
    <n v="15673693"/>
    <s v="Reppert"/>
    <n v="682"/>
    <x v="0"/>
    <x v="0"/>
    <n v="26"/>
    <x v="10"/>
    <n v="110654.02"/>
    <n v="1"/>
    <n v="0"/>
    <n v="1"/>
    <n v="111879.21"/>
    <x v="1"/>
  </r>
  <r>
    <n v="265"/>
    <n v="15700696"/>
    <s v="Kang"/>
    <n v="738"/>
    <x v="1"/>
    <x v="1"/>
    <n v="31"/>
    <x v="9"/>
    <n v="79019.8"/>
    <n v="1"/>
    <n v="1"/>
    <n v="1"/>
    <n v="18606.23"/>
    <x v="1"/>
  </r>
  <r>
    <n v="266"/>
    <n v="15813163"/>
    <s v="Ch'iu"/>
    <n v="531"/>
    <x v="1"/>
    <x v="0"/>
    <n v="36"/>
    <x v="9"/>
    <n v="99240.51"/>
    <n v="1"/>
    <n v="1"/>
    <n v="0"/>
    <n v="123137.01"/>
    <x v="1"/>
  </r>
  <r>
    <n v="267"/>
    <n v="15653857"/>
    <s v="Wallis"/>
    <n v="498"/>
    <x v="0"/>
    <x v="1"/>
    <n v="34"/>
    <x v="0"/>
    <n v="0"/>
    <n v="2"/>
    <n v="1"/>
    <n v="1"/>
    <n v="148528.24"/>
    <x v="1"/>
  </r>
  <r>
    <n v="268"/>
    <n v="15777076"/>
    <s v="Clark"/>
    <n v="651"/>
    <x v="0"/>
    <x v="1"/>
    <n v="36"/>
    <x v="3"/>
    <n v="0"/>
    <n v="2"/>
    <n v="1"/>
    <n v="0"/>
    <n v="13898.31"/>
    <x v="1"/>
  </r>
  <r>
    <n v="269"/>
    <n v="15717398"/>
    <s v="Fielding"/>
    <n v="549"/>
    <x v="1"/>
    <x v="0"/>
    <n v="39"/>
    <x v="3"/>
    <n v="0"/>
    <n v="1"/>
    <n v="0"/>
    <n v="0"/>
    <n v="81259.25"/>
    <x v="0"/>
  </r>
  <r>
    <n v="270"/>
    <n v="15799217"/>
    <s v="Zetticci"/>
    <n v="791"/>
    <x v="2"/>
    <x v="0"/>
    <n v="35"/>
    <x v="3"/>
    <n v="52436.2"/>
    <n v="1"/>
    <n v="1"/>
    <n v="0"/>
    <n v="161051.75"/>
    <x v="1"/>
  </r>
  <r>
    <n v="271"/>
    <n v="15787071"/>
    <s v="Dulhunty"/>
    <n v="650"/>
    <x v="1"/>
    <x v="1"/>
    <n v="41"/>
    <x v="9"/>
    <n v="0"/>
    <n v="2"/>
    <n v="0"/>
    <n v="1"/>
    <n v="191599.67"/>
    <x v="1"/>
  </r>
  <r>
    <n v="272"/>
    <n v="15619955"/>
    <s v="Bevington"/>
    <n v="733"/>
    <x v="2"/>
    <x v="1"/>
    <n v="34"/>
    <x v="6"/>
    <n v="100337.96"/>
    <n v="3"/>
    <n v="1"/>
    <n v="0"/>
    <n v="48559.19"/>
    <x v="0"/>
  </r>
  <r>
    <n v="273"/>
    <n v="15796505"/>
    <s v="Boyle"/>
    <n v="811"/>
    <x v="2"/>
    <x v="0"/>
    <n v="34"/>
    <x v="1"/>
    <n v="149297.19"/>
    <n v="2"/>
    <n v="1"/>
    <n v="1"/>
    <n v="186339.74"/>
    <x v="1"/>
  </r>
  <r>
    <n v="274"/>
    <n v="15725166"/>
    <s v="Newton"/>
    <n v="707"/>
    <x v="0"/>
    <x v="1"/>
    <n v="30"/>
    <x v="2"/>
    <n v="0"/>
    <n v="2"/>
    <n v="1"/>
    <n v="0"/>
    <n v="33159.370000000003"/>
    <x v="1"/>
  </r>
  <r>
    <n v="275"/>
    <n v="15800116"/>
    <s v="Bowman"/>
    <n v="712"/>
    <x v="2"/>
    <x v="1"/>
    <n v="28"/>
    <x v="4"/>
    <n v="145605.44"/>
    <n v="1"/>
    <n v="0"/>
    <n v="1"/>
    <n v="93883.53"/>
    <x v="1"/>
  </r>
  <r>
    <n v="276"/>
    <n v="15758685"/>
    <s v="Dubinina"/>
    <n v="706"/>
    <x v="1"/>
    <x v="0"/>
    <n v="37"/>
    <x v="3"/>
    <n v="0"/>
    <n v="2"/>
    <n v="1"/>
    <n v="1"/>
    <n v="110899.3"/>
    <x v="1"/>
  </r>
  <r>
    <n v="277"/>
    <n v="15694456"/>
    <s v="Toscani"/>
    <n v="756"/>
    <x v="0"/>
    <x v="1"/>
    <n v="62"/>
    <x v="6"/>
    <n v="0"/>
    <n v="1"/>
    <n v="1"/>
    <n v="1"/>
    <n v="11199.04"/>
    <x v="0"/>
  </r>
  <r>
    <n v="278"/>
    <n v="15767339"/>
    <s v="Chiazagomekpere"/>
    <n v="777"/>
    <x v="0"/>
    <x v="0"/>
    <n v="53"/>
    <x v="7"/>
    <n v="0"/>
    <n v="2"/>
    <n v="1"/>
    <n v="0"/>
    <n v="189992.97"/>
    <x v="1"/>
  </r>
  <r>
    <n v="279"/>
    <n v="15683562"/>
    <s v="Allen"/>
    <n v="646"/>
    <x v="0"/>
    <x v="1"/>
    <n v="35"/>
    <x v="5"/>
    <n v="84026.86"/>
    <n v="1"/>
    <n v="0"/>
    <n v="1"/>
    <n v="164255.69"/>
    <x v="1"/>
  </r>
  <r>
    <n v="280"/>
    <n v="15782210"/>
    <s v="K'ung"/>
    <n v="714"/>
    <x v="0"/>
    <x v="1"/>
    <n v="46"/>
    <x v="1"/>
    <n v="0"/>
    <n v="1"/>
    <n v="1"/>
    <n v="0"/>
    <n v="152167.79"/>
    <x v="0"/>
  </r>
  <r>
    <n v="281"/>
    <n v="15668893"/>
    <s v="Wilsmore"/>
    <n v="782"/>
    <x v="0"/>
    <x v="1"/>
    <n v="39"/>
    <x v="2"/>
    <n v="0"/>
    <n v="2"/>
    <n v="1"/>
    <n v="1"/>
    <n v="33949.67"/>
    <x v="1"/>
  </r>
  <r>
    <n v="282"/>
    <n v="15669169"/>
    <s v="Hargreaves"/>
    <n v="775"/>
    <x v="1"/>
    <x v="1"/>
    <n v="29"/>
    <x v="7"/>
    <n v="0"/>
    <n v="2"/>
    <n v="1"/>
    <n v="1"/>
    <n v="68143.929999999993"/>
    <x v="1"/>
  </r>
  <r>
    <n v="283"/>
    <n v="15643024"/>
    <s v="Huang"/>
    <n v="479"/>
    <x v="2"/>
    <x v="1"/>
    <n v="35"/>
    <x v="4"/>
    <n v="138718.92000000001"/>
    <n v="1"/>
    <n v="1"/>
    <n v="1"/>
    <n v="47251.79"/>
    <x v="0"/>
  </r>
  <r>
    <n v="284"/>
    <n v="15699389"/>
    <s v="Ch'ien"/>
    <n v="807"/>
    <x v="0"/>
    <x v="1"/>
    <n v="42"/>
    <x v="3"/>
    <n v="118274.71"/>
    <n v="1"/>
    <n v="1"/>
    <n v="1"/>
    <n v="25885.72"/>
    <x v="1"/>
  </r>
  <r>
    <n v="285"/>
    <n v="15708608"/>
    <s v="Wallwork"/>
    <n v="799"/>
    <x v="0"/>
    <x v="0"/>
    <n v="22"/>
    <x v="2"/>
    <n v="174185.98"/>
    <n v="2"/>
    <n v="0"/>
    <n v="1"/>
    <n v="192633.85"/>
    <x v="1"/>
  </r>
  <r>
    <n v="286"/>
    <n v="15626144"/>
    <s v="Chu"/>
    <n v="675"/>
    <x v="0"/>
    <x v="1"/>
    <n v="40"/>
    <x v="3"/>
    <n v="113208.86"/>
    <n v="2"/>
    <n v="1"/>
    <n v="0"/>
    <n v="34577.360000000001"/>
    <x v="1"/>
  </r>
  <r>
    <n v="287"/>
    <n v="15573112"/>
    <s v="Kang"/>
    <n v="602"/>
    <x v="1"/>
    <x v="1"/>
    <n v="29"/>
    <x v="8"/>
    <n v="103907.28"/>
    <n v="1"/>
    <n v="1"/>
    <n v="0"/>
    <n v="161229.84"/>
    <x v="1"/>
  </r>
  <r>
    <n v="288"/>
    <n v="15790678"/>
    <s v="Davidson"/>
    <n v="475"/>
    <x v="0"/>
    <x v="0"/>
    <n v="32"/>
    <x v="2"/>
    <n v="119023.28"/>
    <n v="1"/>
    <n v="1"/>
    <n v="0"/>
    <n v="100816.29"/>
    <x v="1"/>
  </r>
  <r>
    <n v="289"/>
    <n v="15727556"/>
    <s v="O'Donnell"/>
    <n v="744"/>
    <x v="1"/>
    <x v="0"/>
    <n v="26"/>
    <x v="8"/>
    <n v="166297.89000000001"/>
    <n v="1"/>
    <n v="1"/>
    <n v="1"/>
    <n v="181694.44"/>
    <x v="1"/>
  </r>
  <r>
    <n v="290"/>
    <n v="15697307"/>
    <s v="Nnachetam"/>
    <n v="588"/>
    <x v="1"/>
    <x v="1"/>
    <n v="34"/>
    <x v="7"/>
    <n v="0"/>
    <n v="2"/>
    <n v="1"/>
    <n v="0"/>
    <n v="79078.91"/>
    <x v="1"/>
  </r>
  <r>
    <n v="291"/>
    <n v="15652266"/>
    <s v="Chidiebele"/>
    <n v="703"/>
    <x v="2"/>
    <x v="1"/>
    <n v="42"/>
    <x v="9"/>
    <n v="63227"/>
    <n v="1"/>
    <n v="0"/>
    <n v="1"/>
    <n v="137316.32"/>
    <x v="1"/>
  </r>
  <r>
    <n v="292"/>
    <n v="15607098"/>
    <s v="Ahmed"/>
    <n v="747"/>
    <x v="1"/>
    <x v="0"/>
    <n v="41"/>
    <x v="8"/>
    <n v="94521.17"/>
    <n v="2"/>
    <n v="1"/>
    <n v="0"/>
    <n v="194926.86"/>
    <x v="1"/>
  </r>
  <r>
    <n v="293"/>
    <n v="15655774"/>
    <s v="Booth"/>
    <n v="583"/>
    <x v="0"/>
    <x v="1"/>
    <n v="27"/>
    <x v="3"/>
    <n v="0"/>
    <n v="2"/>
    <n v="1"/>
    <n v="0"/>
    <n v="51285.49"/>
    <x v="1"/>
  </r>
  <r>
    <n v="294"/>
    <n v="15590241"/>
    <s v="Chuang"/>
    <n v="750"/>
    <x v="1"/>
    <x v="0"/>
    <n v="34"/>
    <x v="9"/>
    <n v="112822.26"/>
    <n v="1"/>
    <n v="0"/>
    <n v="0"/>
    <n v="150401.53"/>
    <x v="0"/>
  </r>
  <r>
    <n v="295"/>
    <n v="15785819"/>
    <s v="Shao"/>
    <n v="681"/>
    <x v="0"/>
    <x v="1"/>
    <n v="38"/>
    <x v="6"/>
    <n v="0"/>
    <n v="2"/>
    <n v="1"/>
    <n v="1"/>
    <n v="112491.96"/>
    <x v="1"/>
  </r>
  <r>
    <n v="296"/>
    <n v="15723654"/>
    <s v="Tsao"/>
    <n v="773"/>
    <x v="0"/>
    <x v="1"/>
    <n v="25"/>
    <x v="0"/>
    <n v="135903.32999999999"/>
    <n v="1"/>
    <n v="1"/>
    <n v="0"/>
    <n v="73656.38"/>
    <x v="1"/>
  </r>
  <r>
    <n v="297"/>
    <n v="15774510"/>
    <s v="Tien"/>
    <n v="714"/>
    <x v="0"/>
    <x v="0"/>
    <n v="31"/>
    <x v="4"/>
    <n v="125169.26"/>
    <n v="1"/>
    <n v="1"/>
    <n v="1"/>
    <n v="106636.89"/>
    <x v="1"/>
  </r>
  <r>
    <n v="298"/>
    <n v="15684173"/>
    <s v="Chang"/>
    <n v="687"/>
    <x v="1"/>
    <x v="0"/>
    <n v="44"/>
    <x v="3"/>
    <n v="0"/>
    <n v="3"/>
    <n v="1"/>
    <n v="0"/>
    <n v="155853.51999999999"/>
    <x v="0"/>
  </r>
  <r>
    <n v="299"/>
    <n v="15650068"/>
    <s v="Johnson"/>
    <n v="511"/>
    <x v="0"/>
    <x v="1"/>
    <n v="58"/>
    <x v="10"/>
    <n v="149117.31"/>
    <n v="1"/>
    <n v="1"/>
    <n v="1"/>
    <n v="162599.51"/>
    <x v="1"/>
  </r>
  <r>
    <n v="300"/>
    <n v="15811490"/>
    <s v="French"/>
    <n v="627"/>
    <x v="0"/>
    <x v="1"/>
    <n v="33"/>
    <x v="8"/>
    <n v="0"/>
    <n v="2"/>
    <n v="1"/>
    <n v="1"/>
    <n v="103737.82"/>
    <x v="1"/>
  </r>
  <r>
    <n v="301"/>
    <n v="15803976"/>
    <s v="Efremov"/>
    <n v="694"/>
    <x v="0"/>
    <x v="0"/>
    <n v="31"/>
    <x v="7"/>
    <n v="0"/>
    <n v="2"/>
    <n v="1"/>
    <n v="0"/>
    <n v="160990.26999999999"/>
    <x v="1"/>
  </r>
  <r>
    <n v="302"/>
    <n v="15682541"/>
    <s v="Hartley"/>
    <n v="616"/>
    <x v="1"/>
    <x v="0"/>
    <n v="36"/>
    <x v="5"/>
    <n v="132311.71"/>
    <n v="1"/>
    <n v="0"/>
    <n v="0"/>
    <n v="15462.84"/>
    <x v="1"/>
  </r>
  <r>
    <n v="303"/>
    <n v="15695699"/>
    <s v="Calabrese"/>
    <n v="687"/>
    <x v="0"/>
    <x v="1"/>
    <n v="35"/>
    <x v="2"/>
    <n v="0"/>
    <n v="2"/>
    <n v="1"/>
    <n v="0"/>
    <n v="10334.049999999999"/>
    <x v="1"/>
  </r>
  <r>
    <n v="304"/>
    <n v="15624188"/>
    <s v="Chiu"/>
    <n v="712"/>
    <x v="0"/>
    <x v="0"/>
    <n v="33"/>
    <x v="5"/>
    <n v="0"/>
    <n v="2"/>
    <n v="1"/>
    <n v="1"/>
    <n v="190686.16"/>
    <x v="1"/>
  </r>
  <r>
    <n v="305"/>
    <n v="15812191"/>
    <s v="Brennan"/>
    <n v="553"/>
    <x v="0"/>
    <x v="1"/>
    <n v="33"/>
    <x v="4"/>
    <n v="118082.89"/>
    <n v="1"/>
    <n v="0"/>
    <n v="0"/>
    <n v="94440.45"/>
    <x v="1"/>
  </r>
  <r>
    <n v="306"/>
    <n v="15636673"/>
    <s v="Onwuatuegwu"/>
    <n v="667"/>
    <x v="0"/>
    <x v="1"/>
    <n v="31"/>
    <x v="1"/>
    <n v="119266.69"/>
    <n v="1"/>
    <n v="1"/>
    <n v="1"/>
    <n v="28257.63"/>
    <x v="1"/>
  </r>
  <r>
    <n v="307"/>
    <n v="15594898"/>
    <s v="Hewitt"/>
    <n v="731"/>
    <x v="0"/>
    <x v="1"/>
    <n v="43"/>
    <x v="0"/>
    <n v="0"/>
    <n v="1"/>
    <n v="1"/>
    <n v="1"/>
    <n v="170034.95"/>
    <x v="0"/>
  </r>
  <r>
    <n v="308"/>
    <n v="15660211"/>
    <s v="Shih"/>
    <n v="629"/>
    <x v="2"/>
    <x v="1"/>
    <n v="35"/>
    <x v="3"/>
    <n v="156847.29"/>
    <n v="2"/>
    <n v="1"/>
    <n v="0"/>
    <n v="31824.29"/>
    <x v="1"/>
  </r>
  <r>
    <n v="309"/>
    <n v="15773972"/>
    <s v="Balashov"/>
    <n v="614"/>
    <x v="0"/>
    <x v="1"/>
    <n v="50"/>
    <x v="4"/>
    <n v="137104.47"/>
    <n v="1"/>
    <n v="1"/>
    <n v="0"/>
    <n v="127166.49"/>
    <x v="0"/>
  </r>
  <r>
    <n v="310"/>
    <n v="15746726"/>
    <s v="Doyle"/>
    <n v="438"/>
    <x v="2"/>
    <x v="1"/>
    <n v="31"/>
    <x v="2"/>
    <n v="78398.69"/>
    <n v="1"/>
    <n v="1"/>
    <n v="0"/>
    <n v="44937.01"/>
    <x v="1"/>
  </r>
  <r>
    <n v="311"/>
    <n v="15712287"/>
    <s v="Pokrovskii"/>
    <n v="652"/>
    <x v="0"/>
    <x v="0"/>
    <n v="80"/>
    <x v="4"/>
    <n v="0"/>
    <n v="2"/>
    <n v="1"/>
    <n v="1"/>
    <n v="188603.07"/>
    <x v="1"/>
  </r>
  <r>
    <n v="312"/>
    <n v="15702919"/>
    <s v="Collins"/>
    <n v="729"/>
    <x v="2"/>
    <x v="1"/>
    <n v="30"/>
    <x v="5"/>
    <n v="63669.42"/>
    <n v="1"/>
    <n v="1"/>
    <n v="0"/>
    <n v="145111.37"/>
    <x v="1"/>
  </r>
  <r>
    <n v="313"/>
    <n v="15674398"/>
    <s v="Russo"/>
    <n v="642"/>
    <x v="0"/>
    <x v="1"/>
    <n v="38"/>
    <x v="6"/>
    <n v="0"/>
    <n v="2"/>
    <n v="0"/>
    <n v="0"/>
    <n v="171463.83"/>
    <x v="1"/>
  </r>
  <r>
    <n v="314"/>
    <n v="15797960"/>
    <s v="Skinner"/>
    <n v="806"/>
    <x v="2"/>
    <x v="0"/>
    <n v="59"/>
    <x v="10"/>
    <n v="135296.32999999999"/>
    <n v="1"/>
    <n v="1"/>
    <n v="0"/>
    <n v="182822.5"/>
    <x v="1"/>
  </r>
  <r>
    <n v="315"/>
    <n v="15631868"/>
    <s v="Robertson"/>
    <n v="744"/>
    <x v="1"/>
    <x v="1"/>
    <n v="36"/>
    <x v="0"/>
    <n v="153804.44"/>
    <n v="1"/>
    <n v="1"/>
    <n v="1"/>
    <n v="87213.33"/>
    <x v="1"/>
  </r>
  <r>
    <n v="316"/>
    <n v="15581539"/>
    <s v="Atkinson"/>
    <n v="474"/>
    <x v="1"/>
    <x v="1"/>
    <n v="37"/>
    <x v="6"/>
    <n v="0"/>
    <n v="2"/>
    <n v="0"/>
    <n v="0"/>
    <n v="57175.32"/>
    <x v="1"/>
  </r>
  <r>
    <n v="317"/>
    <n v="15662736"/>
    <s v="Doyle"/>
    <n v="559"/>
    <x v="0"/>
    <x v="1"/>
    <n v="49"/>
    <x v="0"/>
    <n v="147069.78"/>
    <n v="1"/>
    <n v="1"/>
    <n v="0"/>
    <n v="120540.83"/>
    <x v="0"/>
  </r>
  <r>
    <n v="318"/>
    <n v="15666252"/>
    <s v="Ritchie"/>
    <n v="706"/>
    <x v="1"/>
    <x v="1"/>
    <n v="42"/>
    <x v="9"/>
    <n v="0"/>
    <n v="2"/>
    <n v="1"/>
    <n v="1"/>
    <n v="28714.34"/>
    <x v="1"/>
  </r>
  <r>
    <n v="319"/>
    <n v="15677512"/>
    <s v="McEncroe"/>
    <n v="628"/>
    <x v="1"/>
    <x v="0"/>
    <n v="22"/>
    <x v="6"/>
    <n v="0"/>
    <n v="1"/>
    <n v="1"/>
    <n v="0"/>
    <n v="85426.28"/>
    <x v="1"/>
  </r>
  <r>
    <n v="320"/>
    <n v="15626114"/>
    <s v="Pearson"/>
    <n v="429"/>
    <x v="0"/>
    <x v="1"/>
    <n v="24"/>
    <x v="4"/>
    <n v="95741.75"/>
    <n v="1"/>
    <n v="1"/>
    <n v="0"/>
    <n v="46170.75"/>
    <x v="1"/>
  </r>
  <r>
    <n v="321"/>
    <n v="15810834"/>
    <s v="Gordon"/>
    <n v="525"/>
    <x v="1"/>
    <x v="0"/>
    <n v="57"/>
    <x v="0"/>
    <n v="145965.32999999999"/>
    <n v="1"/>
    <n v="1"/>
    <n v="1"/>
    <n v="64448.36"/>
    <x v="1"/>
  </r>
  <r>
    <n v="322"/>
    <n v="15678910"/>
    <s v="Ts'ai"/>
    <n v="680"/>
    <x v="0"/>
    <x v="0"/>
    <n v="30"/>
    <x v="2"/>
    <n v="141441.75"/>
    <n v="1"/>
    <n v="1"/>
    <n v="1"/>
    <n v="16278.97"/>
    <x v="1"/>
  </r>
  <r>
    <n v="323"/>
    <n v="15694408"/>
    <s v="Lung"/>
    <n v="749"/>
    <x v="0"/>
    <x v="1"/>
    <n v="40"/>
    <x v="1"/>
    <n v="139290.41"/>
    <n v="1"/>
    <n v="1"/>
    <n v="0"/>
    <n v="182855.42"/>
    <x v="0"/>
  </r>
  <r>
    <n v="324"/>
    <n v="15585215"/>
    <s v="Yuan"/>
    <n v="763"/>
    <x v="0"/>
    <x v="0"/>
    <n v="31"/>
    <x v="4"/>
    <n v="0"/>
    <n v="2"/>
    <n v="0"/>
    <n v="0"/>
    <n v="50404.72"/>
    <x v="1"/>
  </r>
  <r>
    <n v="325"/>
    <n v="15682757"/>
    <s v="Pardey"/>
    <n v="734"/>
    <x v="0"/>
    <x v="1"/>
    <n v="30"/>
    <x v="6"/>
    <n v="0"/>
    <n v="2"/>
    <n v="1"/>
    <n v="0"/>
    <n v="107640.25"/>
    <x v="1"/>
  </r>
  <r>
    <n v="326"/>
    <n v="15736601"/>
    <s v="Tai"/>
    <n v="716"/>
    <x v="0"/>
    <x v="1"/>
    <n v="35"/>
    <x v="4"/>
    <n v="144428.87"/>
    <n v="1"/>
    <n v="1"/>
    <n v="0"/>
    <n v="134132.65"/>
    <x v="1"/>
  </r>
  <r>
    <n v="327"/>
    <n v="15601848"/>
    <s v="Scott"/>
    <n v="594"/>
    <x v="0"/>
    <x v="1"/>
    <n v="35"/>
    <x v="0"/>
    <n v="0"/>
    <n v="2"/>
    <n v="1"/>
    <n v="0"/>
    <n v="103480.69"/>
    <x v="1"/>
  </r>
  <r>
    <n v="328"/>
    <n v="15736008"/>
    <s v="Hunter"/>
    <n v="644"/>
    <x v="0"/>
    <x v="0"/>
    <n v="46"/>
    <x v="9"/>
    <n v="95441.27"/>
    <n v="1"/>
    <n v="1"/>
    <n v="0"/>
    <n v="108761.05"/>
    <x v="0"/>
  </r>
  <r>
    <n v="329"/>
    <n v="15669064"/>
    <s v="Mazzanti"/>
    <n v="671"/>
    <x v="2"/>
    <x v="1"/>
    <n v="35"/>
    <x v="1"/>
    <n v="144848.74"/>
    <n v="1"/>
    <n v="1"/>
    <n v="1"/>
    <n v="179012.3"/>
    <x v="1"/>
  </r>
  <r>
    <n v="330"/>
    <n v="15624528"/>
    <s v="L?"/>
    <n v="664"/>
    <x v="2"/>
    <x v="1"/>
    <n v="26"/>
    <x v="3"/>
    <n v="116244.14"/>
    <n v="2"/>
    <n v="1"/>
    <n v="1"/>
    <n v="95145.14"/>
    <x v="1"/>
  </r>
  <r>
    <n v="331"/>
    <n v="15598493"/>
    <s v="Beach"/>
    <n v="656"/>
    <x v="0"/>
    <x v="1"/>
    <n v="50"/>
    <x v="3"/>
    <n v="0"/>
    <n v="2"/>
    <n v="0"/>
    <n v="1"/>
    <n v="72143.44"/>
    <x v="1"/>
  </r>
  <r>
    <n v="332"/>
    <n v="15601274"/>
    <s v="Hsieh"/>
    <n v="667"/>
    <x v="1"/>
    <x v="0"/>
    <n v="40"/>
    <x v="1"/>
    <n v="146502.07"/>
    <n v="1"/>
    <n v="1"/>
    <n v="0"/>
    <n v="19162.89"/>
    <x v="1"/>
  </r>
  <r>
    <n v="333"/>
    <n v="15702669"/>
    <s v="Faulkner"/>
    <n v="663"/>
    <x v="2"/>
    <x v="1"/>
    <n v="44"/>
    <x v="0"/>
    <n v="117028.6"/>
    <n v="2"/>
    <n v="0"/>
    <n v="1"/>
    <n v="144680.18"/>
    <x v="1"/>
  </r>
  <r>
    <n v="334"/>
    <n v="15728669"/>
    <s v="Knowles"/>
    <n v="584"/>
    <x v="2"/>
    <x v="0"/>
    <n v="30"/>
    <x v="2"/>
    <n v="112013.81"/>
    <n v="1"/>
    <n v="1"/>
    <n v="0"/>
    <n v="177772.03"/>
    <x v="0"/>
  </r>
  <r>
    <n v="335"/>
    <n v="15742668"/>
    <s v="Day"/>
    <n v="626"/>
    <x v="1"/>
    <x v="0"/>
    <n v="37"/>
    <x v="5"/>
    <n v="108269.37"/>
    <n v="1"/>
    <n v="1"/>
    <n v="0"/>
    <n v="5597.94"/>
    <x v="1"/>
  </r>
  <r>
    <n v="336"/>
    <n v="15697441"/>
    <s v="Hsueh"/>
    <n v="485"/>
    <x v="0"/>
    <x v="1"/>
    <n v="29"/>
    <x v="3"/>
    <n v="182123.79"/>
    <n v="1"/>
    <n v="1"/>
    <n v="0"/>
    <n v="116828.51"/>
    <x v="0"/>
  </r>
  <r>
    <n v="337"/>
    <n v="15740476"/>
    <s v="Tsao"/>
    <n v="659"/>
    <x v="2"/>
    <x v="0"/>
    <n v="32"/>
    <x v="6"/>
    <n v="150923.74"/>
    <n v="2"/>
    <n v="0"/>
    <n v="1"/>
    <n v="174652.51"/>
    <x v="1"/>
  </r>
  <r>
    <n v="338"/>
    <n v="15648064"/>
    <s v="Kennedy"/>
    <n v="649"/>
    <x v="0"/>
    <x v="1"/>
    <n v="33"/>
    <x v="0"/>
    <n v="0"/>
    <n v="2"/>
    <n v="1"/>
    <n v="0"/>
    <n v="2010.98"/>
    <x v="1"/>
  </r>
  <r>
    <n v="339"/>
    <n v="15636624"/>
    <s v="Nwabugwu"/>
    <n v="805"/>
    <x v="1"/>
    <x v="0"/>
    <n v="39"/>
    <x v="8"/>
    <n v="165272.13"/>
    <n v="1"/>
    <n v="1"/>
    <n v="0"/>
    <n v="14109.85"/>
    <x v="0"/>
  </r>
  <r>
    <n v="340"/>
    <n v="15807923"/>
    <s v="Young"/>
    <n v="716"/>
    <x v="2"/>
    <x v="0"/>
    <n v="39"/>
    <x v="7"/>
    <n v="115301.31"/>
    <n v="1"/>
    <n v="1"/>
    <n v="0"/>
    <n v="43527.4"/>
    <x v="0"/>
  </r>
  <r>
    <n v="341"/>
    <n v="15745844"/>
    <s v="Kerr"/>
    <n v="642"/>
    <x v="2"/>
    <x v="0"/>
    <n v="40"/>
    <x v="5"/>
    <n v="129502.49"/>
    <n v="2"/>
    <n v="0"/>
    <n v="1"/>
    <n v="86099.23"/>
    <x v="0"/>
  </r>
  <r>
    <n v="342"/>
    <n v="15786170"/>
    <s v="Tien"/>
    <n v="659"/>
    <x v="0"/>
    <x v="1"/>
    <n v="31"/>
    <x v="4"/>
    <n v="118342.26"/>
    <n v="1"/>
    <n v="0"/>
    <n v="0"/>
    <n v="161574.19"/>
    <x v="1"/>
  </r>
  <r>
    <n v="343"/>
    <n v="15681081"/>
    <s v="Marrero"/>
    <n v="545"/>
    <x v="1"/>
    <x v="0"/>
    <n v="47"/>
    <x v="8"/>
    <n v="0"/>
    <n v="2"/>
    <n v="1"/>
    <n v="1"/>
    <n v="38970.14"/>
    <x v="1"/>
  </r>
  <r>
    <n v="344"/>
    <n v="15684484"/>
    <s v="White"/>
    <n v="543"/>
    <x v="0"/>
    <x v="1"/>
    <n v="22"/>
    <x v="2"/>
    <n v="0"/>
    <n v="2"/>
    <n v="0"/>
    <n v="0"/>
    <n v="127587.22"/>
    <x v="1"/>
  </r>
  <r>
    <n v="345"/>
    <n v="15785869"/>
    <s v="Pisano"/>
    <n v="718"/>
    <x v="0"/>
    <x v="0"/>
    <n v="25"/>
    <x v="3"/>
    <n v="0"/>
    <n v="2"/>
    <n v="1"/>
    <n v="0"/>
    <n v="30380.12"/>
    <x v="1"/>
  </r>
  <r>
    <n v="346"/>
    <n v="15763859"/>
    <s v="Brown"/>
    <n v="840"/>
    <x v="0"/>
    <x v="0"/>
    <n v="43"/>
    <x v="3"/>
    <n v="0"/>
    <n v="2"/>
    <n v="1"/>
    <n v="0"/>
    <n v="90908.95"/>
    <x v="1"/>
  </r>
  <r>
    <n v="347"/>
    <n v="15658935"/>
    <s v="Freeman"/>
    <n v="630"/>
    <x v="2"/>
    <x v="0"/>
    <n v="34"/>
    <x v="9"/>
    <n v="106937.05"/>
    <n v="2"/>
    <n v="1"/>
    <n v="0"/>
    <n v="138275.01"/>
    <x v="1"/>
  </r>
  <r>
    <n v="348"/>
    <n v="15747358"/>
    <s v="Russell"/>
    <n v="643"/>
    <x v="2"/>
    <x v="1"/>
    <n v="59"/>
    <x v="6"/>
    <n v="170331.37"/>
    <n v="1"/>
    <n v="1"/>
    <n v="1"/>
    <n v="32171.79"/>
    <x v="1"/>
  </r>
  <r>
    <n v="349"/>
    <n v="15735203"/>
    <s v="Seleznyov"/>
    <n v="654"/>
    <x v="2"/>
    <x v="0"/>
    <n v="32"/>
    <x v="1"/>
    <n v="114510.85"/>
    <n v="1"/>
    <n v="1"/>
    <n v="1"/>
    <n v="126143.23"/>
    <x v="1"/>
  </r>
  <r>
    <n v="350"/>
    <n v="15576256"/>
    <s v="Yusupova"/>
    <n v="582"/>
    <x v="0"/>
    <x v="1"/>
    <n v="39"/>
    <x v="8"/>
    <n v="0"/>
    <n v="2"/>
    <n v="1"/>
    <n v="1"/>
    <n v="129892.93"/>
    <x v="1"/>
  </r>
  <r>
    <n v="351"/>
    <n v="15659420"/>
    <s v="Foley"/>
    <n v="659"/>
    <x v="1"/>
    <x v="1"/>
    <n v="32"/>
    <x v="6"/>
    <n v="107594.11"/>
    <n v="2"/>
    <n v="1"/>
    <n v="1"/>
    <n v="102416.84"/>
    <x v="1"/>
  </r>
  <r>
    <n v="352"/>
    <n v="15593365"/>
    <s v="Shih"/>
    <n v="762"/>
    <x v="1"/>
    <x v="1"/>
    <n v="39"/>
    <x v="0"/>
    <n v="81273.13"/>
    <n v="1"/>
    <n v="1"/>
    <n v="1"/>
    <n v="18719.669999999998"/>
    <x v="1"/>
  </r>
  <r>
    <n v="353"/>
    <n v="15777352"/>
    <s v="Ikedinachukwu"/>
    <n v="568"/>
    <x v="1"/>
    <x v="0"/>
    <n v="32"/>
    <x v="3"/>
    <n v="169399.6"/>
    <n v="1"/>
    <n v="1"/>
    <n v="0"/>
    <n v="61936.22"/>
    <x v="1"/>
  </r>
  <r>
    <n v="354"/>
    <n v="15812007"/>
    <s v="Power"/>
    <n v="670"/>
    <x v="1"/>
    <x v="1"/>
    <n v="25"/>
    <x v="5"/>
    <n v="0"/>
    <n v="2"/>
    <n v="1"/>
    <n v="1"/>
    <n v="78358.94"/>
    <x v="1"/>
  </r>
  <r>
    <n v="355"/>
    <n v="15625461"/>
    <s v="Amos"/>
    <n v="613"/>
    <x v="0"/>
    <x v="0"/>
    <n v="45"/>
    <x v="1"/>
    <n v="187841.99"/>
    <n v="2"/>
    <n v="1"/>
    <n v="1"/>
    <n v="147224.26999999999"/>
    <x v="1"/>
  </r>
  <r>
    <n v="356"/>
    <n v="15739438"/>
    <s v="Reed"/>
    <n v="539"/>
    <x v="0"/>
    <x v="1"/>
    <n v="30"/>
    <x v="10"/>
    <n v="0"/>
    <n v="2"/>
    <n v="1"/>
    <n v="0"/>
    <n v="160979.66"/>
    <x v="1"/>
  </r>
  <r>
    <n v="357"/>
    <n v="15611759"/>
    <s v="Simmons"/>
    <n v="850"/>
    <x v="1"/>
    <x v="0"/>
    <n v="57"/>
    <x v="2"/>
    <n v="126776.3"/>
    <n v="2"/>
    <n v="1"/>
    <n v="1"/>
    <n v="132298.49"/>
    <x v="1"/>
  </r>
  <r>
    <n v="358"/>
    <n v="15661629"/>
    <s v="Ricci"/>
    <n v="522"/>
    <x v="1"/>
    <x v="1"/>
    <n v="34"/>
    <x v="9"/>
    <n v="126436.29"/>
    <n v="1"/>
    <n v="1"/>
    <n v="0"/>
    <n v="174248.52"/>
    <x v="0"/>
  </r>
  <r>
    <n v="359"/>
    <n v="15633950"/>
    <s v="Yen"/>
    <n v="737"/>
    <x v="0"/>
    <x v="1"/>
    <n v="41"/>
    <x v="1"/>
    <n v="101960.74"/>
    <n v="1"/>
    <n v="1"/>
    <n v="1"/>
    <n v="123547.28"/>
    <x v="1"/>
  </r>
  <r>
    <n v="360"/>
    <n v="15592386"/>
    <s v="Campbell"/>
    <n v="520"/>
    <x v="0"/>
    <x v="1"/>
    <n v="58"/>
    <x v="6"/>
    <n v="0"/>
    <n v="2"/>
    <n v="0"/>
    <n v="1"/>
    <n v="32790.019999999997"/>
    <x v="1"/>
  </r>
  <r>
    <n v="361"/>
    <n v="15803716"/>
    <s v="West"/>
    <n v="706"/>
    <x v="1"/>
    <x v="1"/>
    <n v="28"/>
    <x v="6"/>
    <n v="0"/>
    <n v="2"/>
    <n v="0"/>
    <n v="1"/>
    <n v="181543.67"/>
    <x v="1"/>
  </r>
  <r>
    <n v="362"/>
    <n v="15696674"/>
    <s v="Robinson"/>
    <n v="643"/>
    <x v="2"/>
    <x v="0"/>
    <n v="45"/>
    <x v="0"/>
    <n v="150842.93"/>
    <n v="1"/>
    <n v="0"/>
    <n v="1"/>
    <n v="2319.96"/>
    <x v="0"/>
  </r>
  <r>
    <n v="363"/>
    <n v="15706365"/>
    <s v="Bianchi"/>
    <n v="648"/>
    <x v="0"/>
    <x v="0"/>
    <n v="50"/>
    <x v="9"/>
    <n v="102535.57"/>
    <n v="1"/>
    <n v="1"/>
    <n v="1"/>
    <n v="189543.19"/>
    <x v="1"/>
  </r>
  <r>
    <n v="364"/>
    <n v="15745088"/>
    <s v="Chen"/>
    <n v="443"/>
    <x v="2"/>
    <x v="0"/>
    <n v="29"/>
    <x v="9"/>
    <n v="99027.61"/>
    <n v="2"/>
    <n v="1"/>
    <n v="0"/>
    <n v="10940.4"/>
    <x v="1"/>
  </r>
  <r>
    <n v="365"/>
    <n v="15676715"/>
    <s v="Madukaego"/>
    <n v="640"/>
    <x v="0"/>
    <x v="1"/>
    <n v="68"/>
    <x v="9"/>
    <n v="0"/>
    <n v="2"/>
    <n v="1"/>
    <n v="1"/>
    <n v="199493.38"/>
    <x v="1"/>
  </r>
  <r>
    <n v="366"/>
    <n v="15613085"/>
    <s v="Ibrahimova"/>
    <n v="628"/>
    <x v="1"/>
    <x v="0"/>
    <n v="33"/>
    <x v="6"/>
    <n v="0"/>
    <n v="1"/>
    <n v="1"/>
    <n v="1"/>
    <n v="188193.25"/>
    <x v="1"/>
  </r>
  <r>
    <n v="367"/>
    <n v="15633537"/>
    <s v="Nolan"/>
    <n v="540"/>
    <x v="2"/>
    <x v="0"/>
    <n v="42"/>
    <x v="9"/>
    <n v="87271.41"/>
    <n v="2"/>
    <n v="1"/>
    <n v="0"/>
    <n v="172572.64"/>
    <x v="1"/>
  </r>
  <r>
    <n v="368"/>
    <n v="15594720"/>
    <s v="Scott"/>
    <n v="460"/>
    <x v="2"/>
    <x v="0"/>
    <n v="35"/>
    <x v="2"/>
    <n v="102742.91"/>
    <n v="2"/>
    <n v="1"/>
    <n v="1"/>
    <n v="189339.6"/>
    <x v="1"/>
  </r>
  <r>
    <n v="369"/>
    <n v="15684042"/>
    <s v="Blair"/>
    <n v="636"/>
    <x v="2"/>
    <x v="1"/>
    <n v="34"/>
    <x v="0"/>
    <n v="40105.51"/>
    <n v="2"/>
    <n v="0"/>
    <n v="1"/>
    <n v="53512.160000000003"/>
    <x v="1"/>
  </r>
  <r>
    <n v="370"/>
    <n v="15583303"/>
    <s v="Monaldo"/>
    <n v="593"/>
    <x v="0"/>
    <x v="0"/>
    <n v="29"/>
    <x v="0"/>
    <n v="152265.43"/>
    <n v="1"/>
    <n v="1"/>
    <n v="0"/>
    <n v="34004.44"/>
    <x v="1"/>
  </r>
  <r>
    <n v="371"/>
    <n v="15611579"/>
    <s v="Sutherland"/>
    <n v="801"/>
    <x v="1"/>
    <x v="1"/>
    <n v="42"/>
    <x v="4"/>
    <n v="141947.67000000001"/>
    <n v="1"/>
    <n v="1"/>
    <n v="1"/>
    <n v="10598.29"/>
    <x v="1"/>
  </r>
  <r>
    <n v="372"/>
    <n v="15774696"/>
    <s v="Cole"/>
    <n v="640"/>
    <x v="2"/>
    <x v="0"/>
    <n v="75"/>
    <x v="1"/>
    <n v="106307.91"/>
    <n v="2"/>
    <n v="0"/>
    <n v="1"/>
    <n v="113428.77"/>
    <x v="1"/>
  </r>
  <r>
    <n v="373"/>
    <n v="15694506"/>
    <s v="Briggs"/>
    <n v="611"/>
    <x v="2"/>
    <x v="1"/>
    <n v="31"/>
    <x v="10"/>
    <n v="107884.81"/>
    <n v="2"/>
    <n v="1"/>
    <n v="1"/>
    <n v="183487.98"/>
    <x v="1"/>
  </r>
  <r>
    <n v="374"/>
    <n v="15688074"/>
    <s v="Gregory"/>
    <n v="802"/>
    <x v="2"/>
    <x v="1"/>
    <n v="31"/>
    <x v="1"/>
    <n v="125013.72"/>
    <n v="1"/>
    <n v="1"/>
    <n v="1"/>
    <n v="187658.09"/>
    <x v="1"/>
  </r>
  <r>
    <n v="375"/>
    <n v="15759537"/>
    <s v="Bianchi"/>
    <n v="717"/>
    <x v="2"/>
    <x v="1"/>
    <n v="35"/>
    <x v="3"/>
    <n v="58469.37"/>
    <n v="2"/>
    <n v="1"/>
    <n v="1"/>
    <n v="172459.39"/>
    <x v="1"/>
  </r>
  <r>
    <n v="376"/>
    <n v="15758449"/>
    <s v="Angelo"/>
    <n v="769"/>
    <x v="0"/>
    <x v="0"/>
    <n v="39"/>
    <x v="2"/>
    <n v="0"/>
    <n v="1"/>
    <n v="0"/>
    <n v="1"/>
    <n v="21016"/>
    <x v="1"/>
  </r>
  <r>
    <n v="377"/>
    <n v="15583456"/>
    <s v="Gardiner"/>
    <n v="745"/>
    <x v="2"/>
    <x v="1"/>
    <n v="45"/>
    <x v="7"/>
    <n v="117231.63"/>
    <n v="3"/>
    <n v="1"/>
    <n v="1"/>
    <n v="122381.02"/>
    <x v="0"/>
  </r>
  <r>
    <n v="378"/>
    <n v="15667871"/>
    <s v="Kerr"/>
    <n v="572"/>
    <x v="1"/>
    <x v="1"/>
    <n v="35"/>
    <x v="4"/>
    <n v="152390.26"/>
    <n v="1"/>
    <n v="1"/>
    <n v="0"/>
    <n v="128123.66"/>
    <x v="1"/>
  </r>
  <r>
    <n v="379"/>
    <n v="15677371"/>
    <s v="Ko"/>
    <n v="629"/>
    <x v="1"/>
    <x v="0"/>
    <n v="30"/>
    <x v="0"/>
    <n v="34013.629999999997"/>
    <n v="1"/>
    <n v="1"/>
    <n v="0"/>
    <n v="19570.63"/>
    <x v="1"/>
  </r>
  <r>
    <n v="380"/>
    <n v="15629677"/>
    <s v="Distefano"/>
    <n v="687"/>
    <x v="1"/>
    <x v="0"/>
    <n v="39"/>
    <x v="0"/>
    <n v="0"/>
    <n v="3"/>
    <n v="0"/>
    <n v="0"/>
    <n v="188150.6"/>
    <x v="0"/>
  </r>
  <r>
    <n v="381"/>
    <n v="15713578"/>
    <s v="Farrell"/>
    <n v="483"/>
    <x v="0"/>
    <x v="0"/>
    <n v="50"/>
    <x v="9"/>
    <n v="0"/>
    <n v="2"/>
    <n v="1"/>
    <n v="1"/>
    <n v="111020.24"/>
    <x v="1"/>
  </r>
  <r>
    <n v="382"/>
    <n v="15591509"/>
    <s v="Milano"/>
    <n v="690"/>
    <x v="0"/>
    <x v="1"/>
    <n v="36"/>
    <x v="3"/>
    <n v="101583.11"/>
    <n v="2"/>
    <n v="1"/>
    <n v="0"/>
    <n v="123775.15"/>
    <x v="1"/>
  </r>
  <r>
    <n v="383"/>
    <n v="15568240"/>
    <s v="Ting"/>
    <n v="492"/>
    <x v="2"/>
    <x v="0"/>
    <n v="30"/>
    <x v="7"/>
    <n v="77168.87"/>
    <n v="2"/>
    <n v="0"/>
    <n v="1"/>
    <n v="146700.22"/>
    <x v="1"/>
  </r>
  <r>
    <n v="384"/>
    <n v="15622993"/>
    <s v="Boyd"/>
    <n v="709"/>
    <x v="2"/>
    <x v="1"/>
    <n v="28"/>
    <x v="2"/>
    <n v="124695.72"/>
    <n v="2"/>
    <n v="1"/>
    <n v="0"/>
    <n v="145251.35"/>
    <x v="1"/>
  </r>
  <r>
    <n v="385"/>
    <n v="15689294"/>
    <s v="Onyemaechi"/>
    <n v="705"/>
    <x v="2"/>
    <x v="1"/>
    <n v="44"/>
    <x v="6"/>
    <n v="105934.96"/>
    <n v="1"/>
    <n v="1"/>
    <n v="0"/>
    <n v="82463.69"/>
    <x v="1"/>
  </r>
  <r>
    <n v="386"/>
    <n v="15720910"/>
    <s v="Black"/>
    <n v="560"/>
    <x v="0"/>
    <x v="0"/>
    <n v="66"/>
    <x v="9"/>
    <n v="0"/>
    <n v="1"/>
    <n v="1"/>
    <n v="1"/>
    <n v="15928.49"/>
    <x v="1"/>
  </r>
  <r>
    <n v="387"/>
    <n v="15721181"/>
    <s v="Oliver"/>
    <n v="611"/>
    <x v="1"/>
    <x v="1"/>
    <n v="46"/>
    <x v="5"/>
    <n v="0"/>
    <n v="2"/>
    <n v="1"/>
    <n v="0"/>
    <n v="45886.33"/>
    <x v="1"/>
  </r>
  <r>
    <n v="388"/>
    <n v="15776433"/>
    <s v="Greco"/>
    <n v="730"/>
    <x v="1"/>
    <x v="1"/>
    <n v="62"/>
    <x v="0"/>
    <n v="0"/>
    <n v="2"/>
    <n v="1"/>
    <n v="1"/>
    <n v="186489.95"/>
    <x v="1"/>
  </r>
  <r>
    <n v="389"/>
    <n v="15748936"/>
    <s v="Whitehead"/>
    <n v="709"/>
    <x v="1"/>
    <x v="0"/>
    <n v="45"/>
    <x v="0"/>
    <n v="0"/>
    <n v="2"/>
    <n v="0"/>
    <n v="1"/>
    <n v="162922.65"/>
    <x v="1"/>
  </r>
  <r>
    <n v="390"/>
    <n v="15717225"/>
    <s v="Ikemefuna"/>
    <n v="544"/>
    <x v="0"/>
    <x v="0"/>
    <n v="21"/>
    <x v="7"/>
    <n v="161525.96"/>
    <n v="2"/>
    <n v="1"/>
    <n v="0"/>
    <n v="9262.77"/>
    <x v="1"/>
  </r>
  <r>
    <n v="391"/>
    <n v="15685226"/>
    <s v="Morrison"/>
    <n v="712"/>
    <x v="2"/>
    <x v="0"/>
    <n v="29"/>
    <x v="3"/>
    <n v="147199.07"/>
    <n v="1"/>
    <n v="1"/>
    <n v="1"/>
    <n v="84932.4"/>
    <x v="1"/>
  </r>
  <r>
    <n v="392"/>
    <n v="15785611"/>
    <s v="Onyeoruru"/>
    <n v="752"/>
    <x v="2"/>
    <x v="1"/>
    <n v="38"/>
    <x v="6"/>
    <n v="183102.29"/>
    <n v="1"/>
    <n v="1"/>
    <n v="1"/>
    <n v="71557.119999999995"/>
    <x v="1"/>
  </r>
  <r>
    <n v="393"/>
    <n v="15573456"/>
    <s v="Cunningham"/>
    <n v="648"/>
    <x v="1"/>
    <x v="1"/>
    <n v="46"/>
    <x v="9"/>
    <n v="127209"/>
    <n v="2"/>
    <n v="1"/>
    <n v="0"/>
    <n v="77405.95"/>
    <x v="0"/>
  </r>
  <r>
    <n v="394"/>
    <n v="15684548"/>
    <s v="Demidov"/>
    <n v="556"/>
    <x v="1"/>
    <x v="1"/>
    <n v="38"/>
    <x v="2"/>
    <n v="0"/>
    <n v="2"/>
    <n v="0"/>
    <n v="0"/>
    <n v="417.41"/>
    <x v="0"/>
  </r>
  <r>
    <n v="395"/>
    <n v="15620505"/>
    <s v="Celis"/>
    <n v="594"/>
    <x v="1"/>
    <x v="0"/>
    <n v="24"/>
    <x v="10"/>
    <n v="97378.54"/>
    <n v="1"/>
    <n v="1"/>
    <n v="1"/>
    <n v="71405.17"/>
    <x v="1"/>
  </r>
  <r>
    <n v="396"/>
    <n v="15807432"/>
    <s v="Cheng"/>
    <n v="645"/>
    <x v="2"/>
    <x v="0"/>
    <n v="37"/>
    <x v="0"/>
    <n v="136925.09"/>
    <n v="2"/>
    <n v="0"/>
    <n v="1"/>
    <n v="153400.24"/>
    <x v="1"/>
  </r>
  <r>
    <n v="397"/>
    <n v="15584766"/>
    <s v="Knight"/>
    <n v="557"/>
    <x v="0"/>
    <x v="1"/>
    <n v="33"/>
    <x v="6"/>
    <n v="54503.55"/>
    <n v="1"/>
    <n v="1"/>
    <n v="1"/>
    <n v="371.05"/>
    <x v="1"/>
  </r>
  <r>
    <n v="398"/>
    <n v="15612187"/>
    <s v="Morin"/>
    <n v="547"/>
    <x v="2"/>
    <x v="1"/>
    <n v="32"/>
    <x v="2"/>
    <n v="155726.85"/>
    <n v="1"/>
    <n v="1"/>
    <n v="0"/>
    <n v="67789.990000000005"/>
    <x v="1"/>
  </r>
  <r>
    <n v="399"/>
    <n v="15762218"/>
    <s v="Mills"/>
    <n v="701"/>
    <x v="0"/>
    <x v="0"/>
    <n v="39"/>
    <x v="9"/>
    <n v="0"/>
    <n v="2"/>
    <n v="0"/>
    <n v="1"/>
    <n v="145894.9"/>
    <x v="1"/>
  </r>
  <r>
    <n v="400"/>
    <n v="15646372"/>
    <s v="Outhwaite"/>
    <n v="616"/>
    <x v="0"/>
    <x v="0"/>
    <n v="66"/>
    <x v="1"/>
    <n v="135842.41"/>
    <n v="1"/>
    <n v="1"/>
    <n v="0"/>
    <n v="183840.51"/>
    <x v="0"/>
  </r>
  <r>
    <n v="401"/>
    <n v="15690452"/>
    <s v="Tung"/>
    <n v="605"/>
    <x v="0"/>
    <x v="1"/>
    <n v="52"/>
    <x v="1"/>
    <n v="63349.75"/>
    <n v="1"/>
    <n v="1"/>
    <n v="0"/>
    <n v="108887.44"/>
    <x v="1"/>
  </r>
  <r>
    <n v="402"/>
    <n v="15747795"/>
    <s v="Pai"/>
    <n v="593"/>
    <x v="2"/>
    <x v="0"/>
    <n v="38"/>
    <x v="4"/>
    <n v="129499.42"/>
    <n v="1"/>
    <n v="1"/>
    <n v="1"/>
    <n v="154071.26999999999"/>
    <x v="1"/>
  </r>
  <r>
    <n v="403"/>
    <n v="15781589"/>
    <s v="Carpenter"/>
    <n v="751"/>
    <x v="1"/>
    <x v="1"/>
    <n v="52"/>
    <x v="2"/>
    <n v="0"/>
    <n v="2"/>
    <n v="0"/>
    <n v="1"/>
    <n v="179291.85"/>
    <x v="1"/>
  </r>
  <r>
    <n v="404"/>
    <n v="15732674"/>
    <s v="Fennell"/>
    <n v="443"/>
    <x v="1"/>
    <x v="1"/>
    <n v="36"/>
    <x v="5"/>
    <n v="70438.009999999995"/>
    <n v="2"/>
    <n v="0"/>
    <n v="1"/>
    <n v="56937.43"/>
    <x v="1"/>
  </r>
  <r>
    <n v="405"/>
    <n v="15642291"/>
    <s v="Fontaine"/>
    <n v="685"/>
    <x v="0"/>
    <x v="1"/>
    <n v="23"/>
    <x v="2"/>
    <n v="0"/>
    <n v="2"/>
    <n v="1"/>
    <n v="1"/>
    <n v="112239.03"/>
    <x v="1"/>
  </r>
  <r>
    <n v="406"/>
    <n v="15692761"/>
    <s v="Pratt"/>
    <n v="718"/>
    <x v="0"/>
    <x v="1"/>
    <n v="36"/>
    <x v="9"/>
    <n v="0"/>
    <n v="1"/>
    <n v="1"/>
    <n v="0"/>
    <n v="45909.87"/>
    <x v="1"/>
  </r>
  <r>
    <n v="407"/>
    <n v="15578045"/>
    <s v="Mitchell"/>
    <n v="538"/>
    <x v="1"/>
    <x v="0"/>
    <n v="49"/>
    <x v="9"/>
    <n v="141434.04"/>
    <n v="1"/>
    <n v="0"/>
    <n v="0"/>
    <n v="173779.25"/>
    <x v="0"/>
  </r>
  <r>
    <n v="408"/>
    <n v="15745354"/>
    <s v="Franklin"/>
    <n v="611"/>
    <x v="1"/>
    <x v="0"/>
    <n v="37"/>
    <x v="4"/>
    <n v="0"/>
    <n v="2"/>
    <n v="1"/>
    <n v="0"/>
    <n v="125696.26"/>
    <x v="1"/>
  </r>
  <r>
    <n v="409"/>
    <n v="15701376"/>
    <s v="K'ung"/>
    <n v="668"/>
    <x v="2"/>
    <x v="1"/>
    <n v="37"/>
    <x v="7"/>
    <n v="152958.29"/>
    <n v="2"/>
    <n v="1"/>
    <n v="1"/>
    <n v="159585.60999999999"/>
    <x v="1"/>
  </r>
  <r>
    <n v="410"/>
    <n v="15691625"/>
    <s v="Ko"/>
    <n v="537"/>
    <x v="2"/>
    <x v="0"/>
    <n v="41"/>
    <x v="6"/>
    <n v="138306.34"/>
    <n v="1"/>
    <n v="1"/>
    <n v="0"/>
    <n v="106761.47"/>
    <x v="1"/>
  </r>
  <r>
    <n v="411"/>
    <n v="15566594"/>
    <s v="McKenzie"/>
    <n v="709"/>
    <x v="1"/>
    <x v="1"/>
    <n v="23"/>
    <x v="7"/>
    <n v="0"/>
    <n v="2"/>
    <n v="0"/>
    <n v="0"/>
    <n v="129590.18"/>
    <x v="1"/>
  </r>
  <r>
    <n v="412"/>
    <n v="15760431"/>
    <s v="Pino"/>
    <n v="850"/>
    <x v="0"/>
    <x v="1"/>
    <n v="38"/>
    <x v="1"/>
    <n v="0"/>
    <n v="2"/>
    <n v="1"/>
    <n v="1"/>
    <n v="80006.649999999994"/>
    <x v="1"/>
  </r>
  <r>
    <n v="413"/>
    <n v="15686302"/>
    <s v="Fisk"/>
    <n v="745"/>
    <x v="1"/>
    <x v="0"/>
    <n v="31"/>
    <x v="6"/>
    <n v="124328.84"/>
    <n v="1"/>
    <n v="1"/>
    <n v="1"/>
    <n v="140451.51999999999"/>
    <x v="1"/>
  </r>
  <r>
    <n v="414"/>
    <n v="15801559"/>
    <s v="Chiang"/>
    <n v="693"/>
    <x v="2"/>
    <x v="0"/>
    <n v="41"/>
    <x v="9"/>
    <n v="181461.48"/>
    <n v="3"/>
    <n v="1"/>
    <n v="1"/>
    <n v="187929.43"/>
    <x v="0"/>
  </r>
  <r>
    <n v="415"/>
    <n v="15810432"/>
    <s v="Moseley"/>
    <n v="795"/>
    <x v="1"/>
    <x v="1"/>
    <n v="35"/>
    <x v="2"/>
    <n v="0"/>
    <n v="2"/>
    <n v="1"/>
    <n v="0"/>
    <n v="167155.35999999999"/>
    <x v="1"/>
  </r>
  <r>
    <n v="416"/>
    <n v="15809616"/>
    <s v="Hsiung"/>
    <n v="626"/>
    <x v="1"/>
    <x v="1"/>
    <n v="26"/>
    <x v="2"/>
    <n v="0"/>
    <n v="2"/>
    <n v="0"/>
    <n v="0"/>
    <n v="191420.71"/>
    <x v="1"/>
  </r>
  <r>
    <n v="417"/>
    <n v="15720559"/>
    <s v="Heath"/>
    <n v="487"/>
    <x v="2"/>
    <x v="0"/>
    <n v="61"/>
    <x v="8"/>
    <n v="110368.03"/>
    <n v="1"/>
    <n v="0"/>
    <n v="0"/>
    <n v="11384.45"/>
    <x v="0"/>
  </r>
  <r>
    <n v="418"/>
    <n v="15695632"/>
    <s v="Dellucci"/>
    <n v="556"/>
    <x v="0"/>
    <x v="0"/>
    <n v="39"/>
    <x v="9"/>
    <n v="89588.35"/>
    <n v="1"/>
    <n v="1"/>
    <n v="1"/>
    <n v="94898.1"/>
    <x v="1"/>
  </r>
  <r>
    <n v="419"/>
    <n v="15659843"/>
    <s v="Li"/>
    <n v="643"/>
    <x v="0"/>
    <x v="0"/>
    <n v="46"/>
    <x v="5"/>
    <n v="0"/>
    <n v="2"/>
    <n v="0"/>
    <n v="0"/>
    <n v="106781.59"/>
    <x v="1"/>
  </r>
  <r>
    <n v="420"/>
    <n v="15615624"/>
    <s v="De Salis"/>
    <n v="605"/>
    <x v="0"/>
    <x v="0"/>
    <n v="28"/>
    <x v="5"/>
    <n v="0"/>
    <n v="2"/>
    <n v="0"/>
    <n v="0"/>
    <n v="159508.51999999999"/>
    <x v="1"/>
  </r>
  <r>
    <n v="421"/>
    <n v="15810418"/>
    <s v="T'ang"/>
    <n v="756"/>
    <x v="2"/>
    <x v="0"/>
    <n v="60"/>
    <x v="6"/>
    <n v="115924.89"/>
    <n v="1"/>
    <n v="1"/>
    <n v="0"/>
    <n v="93524.19"/>
    <x v="0"/>
  </r>
  <r>
    <n v="422"/>
    <n v="15716186"/>
    <s v="Richardson"/>
    <n v="586"/>
    <x v="0"/>
    <x v="0"/>
    <n v="38"/>
    <x v="0"/>
    <n v="0"/>
    <n v="2"/>
    <n v="1"/>
    <n v="0"/>
    <n v="87168.46"/>
    <x v="1"/>
  </r>
  <r>
    <n v="423"/>
    <n v="15674551"/>
    <s v="Fitch"/>
    <n v="535"/>
    <x v="2"/>
    <x v="1"/>
    <n v="40"/>
    <x v="3"/>
    <n v="111756.5"/>
    <n v="1"/>
    <n v="1"/>
    <n v="0"/>
    <n v="8128.32"/>
    <x v="0"/>
  </r>
  <r>
    <n v="424"/>
    <n v="15622834"/>
    <s v="Stevenson"/>
    <n v="678"/>
    <x v="0"/>
    <x v="0"/>
    <n v="35"/>
    <x v="4"/>
    <n v="0"/>
    <n v="1"/>
    <n v="1"/>
    <n v="0"/>
    <n v="125518.32"/>
    <x v="1"/>
  </r>
  <r>
    <n v="425"/>
    <n v="15566111"/>
    <s v="Estes"/>
    <n v="596"/>
    <x v="0"/>
    <x v="1"/>
    <n v="39"/>
    <x v="9"/>
    <n v="0"/>
    <n v="1"/>
    <n v="1"/>
    <n v="0"/>
    <n v="48963.59"/>
    <x v="1"/>
  </r>
  <r>
    <n v="426"/>
    <n v="15784597"/>
    <s v="Lattimore"/>
    <n v="648"/>
    <x v="0"/>
    <x v="1"/>
    <n v="26"/>
    <x v="9"/>
    <n v="162923.85"/>
    <n v="1"/>
    <n v="1"/>
    <n v="0"/>
    <n v="98368.24"/>
    <x v="1"/>
  </r>
  <r>
    <n v="427"/>
    <n v="15652883"/>
    <s v="Chung"/>
    <n v="492"/>
    <x v="2"/>
    <x v="1"/>
    <n v="39"/>
    <x v="7"/>
    <n v="124576.65"/>
    <n v="2"/>
    <n v="1"/>
    <n v="0"/>
    <n v="148584.60999999999"/>
    <x v="1"/>
  </r>
  <r>
    <n v="428"/>
    <n v="15806964"/>
    <s v="Utz"/>
    <n v="702"/>
    <x v="0"/>
    <x v="1"/>
    <n v="45"/>
    <x v="10"/>
    <n v="80793.58"/>
    <n v="1"/>
    <n v="1"/>
    <n v="1"/>
    <n v="27474.81"/>
    <x v="1"/>
  </r>
  <r>
    <n v="429"/>
    <n v="15576313"/>
    <s v="Wei"/>
    <n v="486"/>
    <x v="2"/>
    <x v="0"/>
    <n v="40"/>
    <x v="9"/>
    <n v="71340.09"/>
    <n v="1"/>
    <n v="1"/>
    <n v="0"/>
    <n v="76192.210000000006"/>
    <x v="1"/>
  </r>
  <r>
    <n v="430"/>
    <n v="15806467"/>
    <s v="Boyle"/>
    <n v="568"/>
    <x v="2"/>
    <x v="1"/>
    <n v="40"/>
    <x v="1"/>
    <n v="99282.63"/>
    <n v="1"/>
    <n v="0"/>
    <n v="0"/>
    <n v="134600.94"/>
    <x v="0"/>
  </r>
  <r>
    <n v="431"/>
    <n v="15597602"/>
    <s v="Nwachinemelu"/>
    <n v="619"/>
    <x v="2"/>
    <x v="1"/>
    <n v="57"/>
    <x v="6"/>
    <n v="137946.39000000001"/>
    <n v="1"/>
    <n v="1"/>
    <n v="1"/>
    <n v="72467.990000000005"/>
    <x v="0"/>
  </r>
  <r>
    <n v="432"/>
    <n v="15743040"/>
    <s v="Kuznetsova"/>
    <n v="724"/>
    <x v="2"/>
    <x v="1"/>
    <n v="41"/>
    <x v="0"/>
    <n v="127892.57"/>
    <n v="2"/>
    <n v="0"/>
    <n v="1"/>
    <n v="199645.45"/>
    <x v="1"/>
  </r>
  <r>
    <n v="433"/>
    <n v="15705521"/>
    <s v="Pisani"/>
    <n v="548"/>
    <x v="2"/>
    <x v="0"/>
    <n v="33"/>
    <x v="10"/>
    <n v="101084.36"/>
    <n v="1"/>
    <n v="1"/>
    <n v="0"/>
    <n v="42749.85"/>
    <x v="1"/>
  </r>
  <r>
    <n v="434"/>
    <n v="15595039"/>
    <s v="Manna"/>
    <n v="545"/>
    <x v="2"/>
    <x v="0"/>
    <n v="37"/>
    <x v="2"/>
    <n v="114754.08"/>
    <n v="1"/>
    <n v="1"/>
    <n v="0"/>
    <n v="136050.44"/>
    <x v="0"/>
  </r>
  <r>
    <n v="435"/>
    <n v="15799384"/>
    <s v="Collier"/>
    <n v="683"/>
    <x v="0"/>
    <x v="1"/>
    <n v="33"/>
    <x v="2"/>
    <n v="0"/>
    <n v="1"/>
    <n v="0"/>
    <n v="0"/>
    <n v="73564.44"/>
    <x v="1"/>
  </r>
  <r>
    <n v="436"/>
    <n v="15581197"/>
    <s v="Ricci"/>
    <n v="762"/>
    <x v="0"/>
    <x v="0"/>
    <n v="51"/>
    <x v="6"/>
    <n v="99286.98"/>
    <n v="1"/>
    <n v="0"/>
    <n v="1"/>
    <n v="85578.63"/>
    <x v="1"/>
  </r>
  <r>
    <n v="437"/>
    <n v="15693737"/>
    <s v="Carr"/>
    <n v="627"/>
    <x v="2"/>
    <x v="0"/>
    <n v="30"/>
    <x v="4"/>
    <n v="79871.02"/>
    <n v="2"/>
    <n v="1"/>
    <n v="0"/>
    <n v="129826.89"/>
    <x v="1"/>
  </r>
  <r>
    <n v="438"/>
    <n v="15624623"/>
    <s v="Hs?"/>
    <n v="516"/>
    <x v="0"/>
    <x v="1"/>
    <n v="35"/>
    <x v="7"/>
    <n v="104088.59"/>
    <n v="2"/>
    <n v="0"/>
    <n v="0"/>
    <n v="119666"/>
    <x v="1"/>
  </r>
  <r>
    <n v="439"/>
    <n v="15783501"/>
    <s v="Findlay"/>
    <n v="800"/>
    <x v="0"/>
    <x v="0"/>
    <n v="38"/>
    <x v="0"/>
    <n v="168190.33"/>
    <n v="2"/>
    <n v="1"/>
    <n v="0"/>
    <n v="68052.08"/>
    <x v="1"/>
  </r>
  <r>
    <n v="440"/>
    <n v="15690134"/>
    <s v="Hughes"/>
    <n v="464"/>
    <x v="2"/>
    <x v="0"/>
    <n v="42"/>
    <x v="6"/>
    <n v="85679.25"/>
    <n v="1"/>
    <n v="1"/>
    <n v="1"/>
    <n v="164104.74"/>
    <x v="1"/>
  </r>
  <r>
    <n v="441"/>
    <n v="15782735"/>
    <s v="Chukwuemeka"/>
    <n v="626"/>
    <x v="0"/>
    <x v="0"/>
    <n v="35"/>
    <x v="6"/>
    <n v="0"/>
    <n v="1"/>
    <n v="0"/>
    <n v="0"/>
    <n v="80190.36"/>
    <x v="1"/>
  </r>
  <r>
    <n v="442"/>
    <n v="15611088"/>
    <s v="Genovese"/>
    <n v="790"/>
    <x v="0"/>
    <x v="0"/>
    <n v="31"/>
    <x v="9"/>
    <n v="0"/>
    <n v="2"/>
    <n v="1"/>
    <n v="0"/>
    <n v="84126.75"/>
    <x v="1"/>
  </r>
  <r>
    <n v="443"/>
    <n v="15672145"/>
    <s v="Swift"/>
    <n v="534"/>
    <x v="0"/>
    <x v="0"/>
    <n v="34"/>
    <x v="3"/>
    <n v="121551.58"/>
    <n v="2"/>
    <n v="1"/>
    <n v="1"/>
    <n v="70179"/>
    <x v="1"/>
  </r>
  <r>
    <n v="444"/>
    <n v="15732628"/>
    <s v="Ugoji"/>
    <n v="745"/>
    <x v="0"/>
    <x v="1"/>
    <n v="46"/>
    <x v="0"/>
    <n v="122220.19"/>
    <n v="1"/>
    <n v="1"/>
    <n v="1"/>
    <n v="118024.1"/>
    <x v="1"/>
  </r>
  <r>
    <n v="445"/>
    <n v="15787470"/>
    <s v="Parkinson"/>
    <n v="553"/>
    <x v="1"/>
    <x v="1"/>
    <n v="47"/>
    <x v="6"/>
    <n v="116528.15"/>
    <n v="1"/>
    <n v="0"/>
    <n v="0"/>
    <n v="145704.19"/>
    <x v="0"/>
  </r>
  <r>
    <n v="446"/>
    <n v="15803406"/>
    <s v="Ross"/>
    <n v="748"/>
    <x v="0"/>
    <x v="0"/>
    <n v="26"/>
    <x v="1"/>
    <n v="77780.289999999994"/>
    <n v="1"/>
    <n v="0"/>
    <n v="1"/>
    <n v="183049.41"/>
    <x v="1"/>
  </r>
  <r>
    <n v="447"/>
    <n v="15730460"/>
    <s v="Oleary"/>
    <n v="722"/>
    <x v="0"/>
    <x v="1"/>
    <n v="37"/>
    <x v="0"/>
    <n v="0"/>
    <n v="1"/>
    <n v="0"/>
    <n v="0"/>
    <n v="120906.83"/>
    <x v="1"/>
  </r>
  <r>
    <n v="448"/>
    <n v="15644572"/>
    <s v="Turnbull"/>
    <n v="501"/>
    <x v="0"/>
    <x v="1"/>
    <n v="40"/>
    <x v="4"/>
    <n v="125832.2"/>
    <n v="1"/>
    <n v="1"/>
    <n v="1"/>
    <n v="100433.83"/>
    <x v="1"/>
  </r>
  <r>
    <n v="449"/>
    <n v="15694860"/>
    <s v="Uspensky"/>
    <n v="675"/>
    <x v="0"/>
    <x v="0"/>
    <n v="38"/>
    <x v="5"/>
    <n v="68065.8"/>
    <n v="1"/>
    <n v="0"/>
    <n v="0"/>
    <n v="138777"/>
    <x v="0"/>
  </r>
  <r>
    <n v="450"/>
    <n v="15658169"/>
    <s v="Cook"/>
    <n v="778"/>
    <x v="1"/>
    <x v="0"/>
    <n v="47"/>
    <x v="5"/>
    <n v="127299.34"/>
    <n v="2"/>
    <n v="1"/>
    <n v="0"/>
    <n v="124694.99"/>
    <x v="1"/>
  </r>
  <r>
    <n v="451"/>
    <n v="15794396"/>
    <s v="Newbold"/>
    <n v="494"/>
    <x v="2"/>
    <x v="0"/>
    <n v="38"/>
    <x v="3"/>
    <n v="174937.64"/>
    <n v="1"/>
    <n v="1"/>
    <n v="0"/>
    <n v="40084.32"/>
    <x v="1"/>
  </r>
  <r>
    <n v="452"/>
    <n v="15785798"/>
    <s v="Uchechukwu"/>
    <n v="850"/>
    <x v="0"/>
    <x v="1"/>
    <n v="40"/>
    <x v="9"/>
    <n v="0"/>
    <n v="2"/>
    <n v="0"/>
    <n v="1"/>
    <n v="119232.33"/>
    <x v="1"/>
  </r>
  <r>
    <n v="453"/>
    <n v="15710825"/>
    <s v="Ch'en"/>
    <n v="592"/>
    <x v="1"/>
    <x v="1"/>
    <n v="31"/>
    <x v="3"/>
    <n v="110071.1"/>
    <n v="1"/>
    <n v="0"/>
    <n v="0"/>
    <n v="43921.36"/>
    <x v="1"/>
  </r>
  <r>
    <n v="454"/>
    <n v="15668444"/>
    <s v="He"/>
    <n v="590"/>
    <x v="1"/>
    <x v="0"/>
    <n v="44"/>
    <x v="6"/>
    <n v="139432.37"/>
    <n v="1"/>
    <n v="1"/>
    <n v="0"/>
    <n v="62222.81"/>
    <x v="1"/>
  </r>
  <r>
    <n v="455"/>
    <n v="15726631"/>
    <s v="Hilton"/>
    <n v="758"/>
    <x v="0"/>
    <x v="0"/>
    <n v="39"/>
    <x v="5"/>
    <n v="127357.75999999999"/>
    <n v="1"/>
    <n v="0"/>
    <n v="1"/>
    <n v="56577"/>
    <x v="1"/>
  </r>
  <r>
    <n v="456"/>
    <n v="15733797"/>
    <s v="Sal"/>
    <n v="506"/>
    <x v="0"/>
    <x v="1"/>
    <n v="36"/>
    <x v="8"/>
    <n v="0"/>
    <n v="2"/>
    <n v="1"/>
    <n v="0"/>
    <n v="164253.35"/>
    <x v="1"/>
  </r>
  <r>
    <n v="457"/>
    <n v="15747960"/>
    <s v="Eluemuno"/>
    <n v="733"/>
    <x v="0"/>
    <x v="1"/>
    <n v="33"/>
    <x v="6"/>
    <n v="0"/>
    <n v="1"/>
    <n v="1"/>
    <n v="1"/>
    <n v="7666.73"/>
    <x v="1"/>
  </r>
  <r>
    <n v="458"/>
    <n v="15634632"/>
    <s v="Titus"/>
    <n v="711"/>
    <x v="0"/>
    <x v="1"/>
    <n v="38"/>
    <x v="6"/>
    <n v="0"/>
    <n v="2"/>
    <n v="1"/>
    <n v="0"/>
    <n v="68487.509999999995"/>
    <x v="1"/>
  </r>
  <r>
    <n v="459"/>
    <n v="15707362"/>
    <s v="Yin"/>
    <n v="514"/>
    <x v="2"/>
    <x v="1"/>
    <n v="43"/>
    <x v="1"/>
    <n v="95556.31"/>
    <n v="1"/>
    <n v="0"/>
    <n v="1"/>
    <n v="199273.98"/>
    <x v="0"/>
  </r>
  <r>
    <n v="460"/>
    <n v="15662976"/>
    <s v="Lettiere"/>
    <n v="637"/>
    <x v="1"/>
    <x v="1"/>
    <n v="37"/>
    <x v="2"/>
    <n v="0"/>
    <n v="1"/>
    <n v="1"/>
    <n v="1"/>
    <n v="186062.36"/>
    <x v="1"/>
  </r>
  <r>
    <n v="461"/>
    <n v="15732778"/>
    <s v="Templeman"/>
    <n v="468"/>
    <x v="2"/>
    <x v="1"/>
    <n v="29"/>
    <x v="1"/>
    <n v="111681.98"/>
    <n v="2"/>
    <n v="1"/>
    <n v="1"/>
    <n v="195711.16"/>
    <x v="1"/>
  </r>
  <r>
    <n v="462"/>
    <n v="15718443"/>
    <s v="Chibuzo"/>
    <n v="539"/>
    <x v="0"/>
    <x v="1"/>
    <n v="39"/>
    <x v="6"/>
    <n v="0"/>
    <n v="2"/>
    <n v="1"/>
    <n v="0"/>
    <n v="36692.17"/>
    <x v="1"/>
  </r>
  <r>
    <n v="463"/>
    <n v="15670039"/>
    <s v="Sun"/>
    <n v="509"/>
    <x v="1"/>
    <x v="0"/>
    <n v="25"/>
    <x v="6"/>
    <n v="108738.71"/>
    <n v="2"/>
    <n v="1"/>
    <n v="0"/>
    <n v="106920.57"/>
    <x v="1"/>
  </r>
  <r>
    <n v="464"/>
    <n v="15773792"/>
    <s v="Evans"/>
    <n v="662"/>
    <x v="0"/>
    <x v="0"/>
    <n v="32"/>
    <x v="4"/>
    <n v="133950.37"/>
    <n v="1"/>
    <n v="1"/>
    <n v="1"/>
    <n v="48725.68"/>
    <x v="0"/>
  </r>
  <r>
    <n v="465"/>
    <n v="15613786"/>
    <s v="Ogbonnaya"/>
    <n v="818"/>
    <x v="1"/>
    <x v="1"/>
    <n v="26"/>
    <x v="4"/>
    <n v="0"/>
    <n v="2"/>
    <n v="1"/>
    <n v="1"/>
    <n v="167036.94"/>
    <x v="1"/>
  </r>
  <r>
    <n v="466"/>
    <n v="15726032"/>
    <s v="Enyinnaya"/>
    <n v="608"/>
    <x v="0"/>
    <x v="1"/>
    <n v="33"/>
    <x v="9"/>
    <n v="89968.69"/>
    <n v="1"/>
    <n v="1"/>
    <n v="0"/>
    <n v="68777.259999999995"/>
    <x v="1"/>
  </r>
  <r>
    <n v="467"/>
    <n v="15663252"/>
    <s v="Olisanugo"/>
    <n v="850"/>
    <x v="1"/>
    <x v="0"/>
    <n v="32"/>
    <x v="9"/>
    <n v="0"/>
    <n v="2"/>
    <n v="1"/>
    <n v="1"/>
    <n v="18924.919999999998"/>
    <x v="1"/>
  </r>
  <r>
    <n v="468"/>
    <n v="15593782"/>
    <s v="Brookes"/>
    <n v="816"/>
    <x v="2"/>
    <x v="0"/>
    <n v="38"/>
    <x v="8"/>
    <n v="130878.75"/>
    <n v="3"/>
    <n v="1"/>
    <n v="0"/>
    <n v="71905.77"/>
    <x v="0"/>
  </r>
  <r>
    <n v="469"/>
    <n v="15633283"/>
    <s v="Padovano"/>
    <n v="536"/>
    <x v="0"/>
    <x v="1"/>
    <n v="35"/>
    <x v="2"/>
    <n v="0"/>
    <n v="2"/>
    <n v="1"/>
    <n v="0"/>
    <n v="64833.279999999999"/>
    <x v="1"/>
  </r>
  <r>
    <n v="470"/>
    <n v="15749167"/>
    <s v="Fisk"/>
    <n v="753"/>
    <x v="0"/>
    <x v="1"/>
    <n v="35"/>
    <x v="6"/>
    <n v="0"/>
    <n v="2"/>
    <n v="1"/>
    <n v="1"/>
    <n v="184843.77"/>
    <x v="1"/>
  </r>
  <r>
    <n v="471"/>
    <n v="15759298"/>
    <s v="Shih"/>
    <n v="631"/>
    <x v="1"/>
    <x v="1"/>
    <n v="27"/>
    <x v="7"/>
    <n v="134169.62"/>
    <n v="1"/>
    <n v="1"/>
    <n v="1"/>
    <n v="176730.02"/>
    <x v="1"/>
  </r>
  <r>
    <n v="472"/>
    <n v="15683625"/>
    <s v="Hare"/>
    <n v="703"/>
    <x v="0"/>
    <x v="1"/>
    <n v="37"/>
    <x v="1"/>
    <n v="149762.07999999999"/>
    <n v="1"/>
    <n v="1"/>
    <n v="0"/>
    <n v="20629.400000000001"/>
    <x v="0"/>
  </r>
  <r>
    <n v="473"/>
    <n v="15635367"/>
    <s v="Muir"/>
    <n v="774"/>
    <x v="0"/>
    <x v="1"/>
    <n v="26"/>
    <x v="0"/>
    <n v="93844.69"/>
    <n v="1"/>
    <n v="1"/>
    <n v="0"/>
    <n v="28415.360000000001"/>
    <x v="1"/>
  </r>
  <r>
    <n v="474"/>
    <n v="15681705"/>
    <s v="Fanucci"/>
    <n v="785"/>
    <x v="0"/>
    <x v="1"/>
    <n v="28"/>
    <x v="2"/>
    <n v="0"/>
    <n v="2"/>
    <n v="1"/>
    <n v="0"/>
    <n v="77231.27"/>
    <x v="1"/>
  </r>
  <r>
    <n v="475"/>
    <n v="15603156"/>
    <s v="Elewechi"/>
    <n v="571"/>
    <x v="0"/>
    <x v="0"/>
    <n v="33"/>
    <x v="1"/>
    <n v="0"/>
    <n v="2"/>
    <n v="1"/>
    <n v="0"/>
    <n v="102750.7"/>
    <x v="1"/>
  </r>
  <r>
    <n v="476"/>
    <n v="15591986"/>
    <s v="Johnston"/>
    <n v="621"/>
    <x v="2"/>
    <x v="1"/>
    <n v="46"/>
    <x v="5"/>
    <n v="141078.37"/>
    <n v="1"/>
    <n v="0"/>
    <n v="0"/>
    <n v="34580.800000000003"/>
    <x v="0"/>
  </r>
  <r>
    <n v="477"/>
    <n v="15798888"/>
    <s v="Pisano"/>
    <n v="605"/>
    <x v="2"/>
    <x v="0"/>
    <n v="31"/>
    <x v="1"/>
    <n v="117992.59"/>
    <n v="1"/>
    <n v="1"/>
    <n v="1"/>
    <n v="183598.77"/>
    <x v="1"/>
  </r>
  <r>
    <n v="478"/>
    <n v="15809722"/>
    <s v="Ankudinov"/>
    <n v="611"/>
    <x v="0"/>
    <x v="0"/>
    <n v="40"/>
    <x v="2"/>
    <n v="100812.33"/>
    <n v="2"/>
    <n v="1"/>
    <n v="0"/>
    <n v="147358.26999999999"/>
    <x v="1"/>
  </r>
  <r>
    <n v="479"/>
    <n v="15677538"/>
    <s v="Nwokike"/>
    <n v="569"/>
    <x v="0"/>
    <x v="1"/>
    <n v="38"/>
    <x v="3"/>
    <n v="0"/>
    <n v="1"/>
    <n v="1"/>
    <n v="1"/>
    <n v="108469.2"/>
    <x v="1"/>
  </r>
  <r>
    <n v="480"/>
    <n v="15797736"/>
    <s v="Smith"/>
    <n v="658"/>
    <x v="0"/>
    <x v="1"/>
    <n v="29"/>
    <x v="4"/>
    <n v="80262.600000000006"/>
    <n v="1"/>
    <n v="1"/>
    <n v="1"/>
    <n v="20612.82"/>
    <x v="1"/>
  </r>
  <r>
    <n v="481"/>
    <n v="15695585"/>
    <s v="Atkins"/>
    <n v="788"/>
    <x v="1"/>
    <x v="1"/>
    <n v="34"/>
    <x v="5"/>
    <n v="156478.62"/>
    <n v="1"/>
    <n v="0"/>
    <n v="1"/>
    <n v="181196.76"/>
    <x v="1"/>
  </r>
  <r>
    <n v="482"/>
    <n v="15744398"/>
    <s v="Burns"/>
    <n v="525"/>
    <x v="0"/>
    <x v="0"/>
    <n v="23"/>
    <x v="8"/>
    <n v="0"/>
    <n v="2"/>
    <n v="1"/>
    <n v="0"/>
    <n v="160249.1"/>
    <x v="1"/>
  </r>
  <r>
    <n v="483"/>
    <n v="15750658"/>
    <s v="Obiuto"/>
    <n v="798"/>
    <x v="0"/>
    <x v="1"/>
    <n v="37"/>
    <x v="2"/>
    <n v="0"/>
    <n v="3"/>
    <n v="0"/>
    <n v="0"/>
    <n v="110783.28"/>
    <x v="1"/>
  </r>
  <r>
    <n v="484"/>
    <n v="15578186"/>
    <s v="Pirozzi"/>
    <n v="486"/>
    <x v="2"/>
    <x v="1"/>
    <n v="37"/>
    <x v="9"/>
    <n v="115217.99"/>
    <n v="2"/>
    <n v="1"/>
    <n v="0"/>
    <n v="144995.32999999999"/>
    <x v="1"/>
  </r>
  <r>
    <n v="485"/>
    <n v="15676519"/>
    <s v="George"/>
    <n v="615"/>
    <x v="1"/>
    <x v="1"/>
    <n v="61"/>
    <x v="9"/>
    <n v="0"/>
    <n v="2"/>
    <n v="1"/>
    <n v="0"/>
    <n v="150227.85"/>
    <x v="0"/>
  </r>
  <r>
    <n v="486"/>
    <n v="15637954"/>
    <s v="Lewis"/>
    <n v="730"/>
    <x v="0"/>
    <x v="0"/>
    <n v="35"/>
    <x v="10"/>
    <n v="155470.54999999999"/>
    <n v="1"/>
    <n v="1"/>
    <n v="1"/>
    <n v="53718.28"/>
    <x v="1"/>
  </r>
  <r>
    <n v="487"/>
    <n v="15758639"/>
    <s v="Moran"/>
    <n v="641"/>
    <x v="0"/>
    <x v="1"/>
    <n v="37"/>
    <x v="3"/>
    <n v="0"/>
    <n v="2"/>
    <n v="1"/>
    <n v="0"/>
    <n v="75248.3"/>
    <x v="1"/>
  </r>
  <r>
    <n v="488"/>
    <n v="15613772"/>
    <s v="Dalrymple"/>
    <n v="542"/>
    <x v="0"/>
    <x v="1"/>
    <n v="39"/>
    <x v="6"/>
    <n v="135096.76999999999"/>
    <n v="1"/>
    <n v="1"/>
    <n v="1"/>
    <n v="14353.43"/>
    <x v="0"/>
  </r>
  <r>
    <n v="489"/>
    <n v="15731744"/>
    <s v="Carslaw"/>
    <n v="692"/>
    <x v="0"/>
    <x v="1"/>
    <n v="30"/>
    <x v="0"/>
    <n v="0"/>
    <n v="2"/>
    <n v="0"/>
    <n v="1"/>
    <n v="130486.57"/>
    <x v="1"/>
  </r>
  <r>
    <n v="490"/>
    <n v="15807709"/>
    <s v="Kirby"/>
    <n v="714"/>
    <x v="2"/>
    <x v="0"/>
    <n v="55"/>
    <x v="9"/>
    <n v="180075.22"/>
    <n v="1"/>
    <n v="1"/>
    <n v="1"/>
    <n v="100127.71"/>
    <x v="1"/>
  </r>
  <r>
    <n v="491"/>
    <n v="15714689"/>
    <s v="Houghton"/>
    <n v="591"/>
    <x v="1"/>
    <x v="1"/>
    <n v="29"/>
    <x v="1"/>
    <n v="97541.24"/>
    <n v="1"/>
    <n v="1"/>
    <n v="1"/>
    <n v="196356.17"/>
    <x v="1"/>
  </r>
  <r>
    <n v="492"/>
    <n v="15699005"/>
    <s v="Martin"/>
    <n v="710"/>
    <x v="0"/>
    <x v="0"/>
    <n v="41"/>
    <x v="0"/>
    <n v="156067.04999999999"/>
    <n v="1"/>
    <n v="1"/>
    <n v="1"/>
    <n v="9983.8799999999992"/>
    <x v="1"/>
  </r>
  <r>
    <n v="493"/>
    <n v="15624170"/>
    <s v="Tan"/>
    <n v="639"/>
    <x v="0"/>
    <x v="0"/>
    <n v="38"/>
    <x v="4"/>
    <n v="81550.94"/>
    <n v="2"/>
    <n v="0"/>
    <n v="1"/>
    <n v="118974.77"/>
    <x v="1"/>
  </r>
  <r>
    <n v="494"/>
    <n v="15725679"/>
    <s v="Hsia"/>
    <n v="531"/>
    <x v="0"/>
    <x v="0"/>
    <n v="47"/>
    <x v="5"/>
    <n v="0"/>
    <n v="1"/>
    <n v="0"/>
    <n v="0"/>
    <n v="194998.34"/>
    <x v="0"/>
  </r>
  <r>
    <n v="495"/>
    <n v="15585865"/>
    <s v="Westerberg"/>
    <n v="673"/>
    <x v="0"/>
    <x v="0"/>
    <n v="38"/>
    <x v="0"/>
    <n v="170061.92"/>
    <n v="2"/>
    <n v="0"/>
    <n v="0"/>
    <n v="134901.34"/>
    <x v="0"/>
  </r>
  <r>
    <n v="496"/>
    <n v="15804256"/>
    <s v="Hale"/>
    <n v="765"/>
    <x v="2"/>
    <x v="1"/>
    <n v="36"/>
    <x v="2"/>
    <n v="92310.54"/>
    <n v="2"/>
    <n v="1"/>
    <n v="1"/>
    <n v="72924.56"/>
    <x v="1"/>
  </r>
  <r>
    <n v="497"/>
    <n v="15662403"/>
    <s v="Kryukova"/>
    <n v="622"/>
    <x v="0"/>
    <x v="0"/>
    <n v="32"/>
    <x v="5"/>
    <n v="169089.38"/>
    <n v="2"/>
    <n v="1"/>
    <n v="0"/>
    <n v="101057.95"/>
    <x v="1"/>
  </r>
  <r>
    <n v="498"/>
    <n v="15733616"/>
    <s v="Sopuluchukwu"/>
    <n v="806"/>
    <x v="0"/>
    <x v="1"/>
    <n v="40"/>
    <x v="8"/>
    <n v="80613.929999999993"/>
    <n v="1"/>
    <n v="1"/>
    <n v="1"/>
    <n v="142838.64000000001"/>
    <x v="1"/>
  </r>
  <r>
    <n v="499"/>
    <n v="15591995"/>
    <s v="Barry"/>
    <n v="757"/>
    <x v="2"/>
    <x v="1"/>
    <n v="26"/>
    <x v="2"/>
    <n v="121581.56"/>
    <n v="2"/>
    <n v="1"/>
    <n v="1"/>
    <n v="127059.04"/>
    <x v="1"/>
  </r>
  <r>
    <n v="500"/>
    <n v="15677020"/>
    <s v="Selezneva"/>
    <n v="570"/>
    <x v="0"/>
    <x v="0"/>
    <n v="58"/>
    <x v="2"/>
    <n v="0"/>
    <n v="1"/>
    <n v="0"/>
    <n v="1"/>
    <n v="116503.92"/>
    <x v="0"/>
  </r>
  <r>
    <n v="501"/>
    <n v="15727688"/>
    <s v="Chizuoke"/>
    <n v="555"/>
    <x v="1"/>
    <x v="1"/>
    <n v="32"/>
    <x v="4"/>
    <n v="0"/>
    <n v="2"/>
    <n v="1"/>
    <n v="1"/>
    <n v="54405.79"/>
    <x v="1"/>
  </r>
  <r>
    <n v="502"/>
    <n v="15715941"/>
    <s v="Lueck"/>
    <n v="692"/>
    <x v="0"/>
    <x v="1"/>
    <n v="54"/>
    <x v="8"/>
    <n v="0"/>
    <n v="2"/>
    <n v="1"/>
    <n v="1"/>
    <n v="88721.84"/>
    <x v="1"/>
  </r>
  <r>
    <n v="503"/>
    <n v="15714485"/>
    <s v="Udinese"/>
    <n v="774"/>
    <x v="0"/>
    <x v="1"/>
    <n v="60"/>
    <x v="8"/>
    <n v="85891.55"/>
    <n v="1"/>
    <n v="1"/>
    <n v="0"/>
    <n v="74135.48"/>
    <x v="0"/>
  </r>
  <r>
    <n v="504"/>
    <n v="15730059"/>
    <s v="Udobata"/>
    <n v="638"/>
    <x v="1"/>
    <x v="1"/>
    <n v="44"/>
    <x v="9"/>
    <n v="77637.350000000006"/>
    <n v="2"/>
    <n v="1"/>
    <n v="1"/>
    <n v="111346.22"/>
    <x v="1"/>
  </r>
  <r>
    <n v="505"/>
    <n v="15715527"/>
    <s v="Freeman"/>
    <n v="543"/>
    <x v="1"/>
    <x v="0"/>
    <n v="41"/>
    <x v="4"/>
    <n v="0"/>
    <n v="1"/>
    <n v="0"/>
    <n v="0"/>
    <n v="194902.16"/>
    <x v="1"/>
  </r>
  <r>
    <n v="506"/>
    <n v="15576623"/>
    <s v="Outlaw"/>
    <n v="584"/>
    <x v="0"/>
    <x v="1"/>
    <n v="31"/>
    <x v="8"/>
    <n v="0"/>
    <n v="2"/>
    <n v="1"/>
    <n v="0"/>
    <n v="31474.27"/>
    <x v="1"/>
  </r>
  <r>
    <n v="507"/>
    <n v="15805565"/>
    <s v="Obiuto"/>
    <n v="691"/>
    <x v="2"/>
    <x v="1"/>
    <n v="30"/>
    <x v="3"/>
    <n v="116927.89"/>
    <n v="1"/>
    <n v="1"/>
    <n v="0"/>
    <n v="21198.39"/>
    <x v="1"/>
  </r>
  <r>
    <n v="508"/>
    <n v="15677307"/>
    <s v="Lo"/>
    <n v="684"/>
    <x v="2"/>
    <x v="0"/>
    <n v="40"/>
    <x v="5"/>
    <n v="137326.65"/>
    <n v="1"/>
    <n v="1"/>
    <n v="0"/>
    <n v="186976.6"/>
    <x v="1"/>
  </r>
  <r>
    <n v="509"/>
    <n v="15773890"/>
    <s v="Okechukwu"/>
    <n v="733"/>
    <x v="0"/>
    <x v="1"/>
    <n v="22"/>
    <x v="8"/>
    <n v="0"/>
    <n v="2"/>
    <n v="1"/>
    <n v="1"/>
    <n v="117202.19"/>
    <x v="1"/>
  </r>
  <r>
    <n v="510"/>
    <n v="15598883"/>
    <s v="King"/>
    <n v="599"/>
    <x v="1"/>
    <x v="0"/>
    <n v="37"/>
    <x v="0"/>
    <n v="0"/>
    <n v="2"/>
    <n v="1"/>
    <n v="1"/>
    <n v="143739.29"/>
    <x v="1"/>
  </r>
  <r>
    <n v="511"/>
    <n v="15568506"/>
    <s v="Forbes"/>
    <n v="524"/>
    <x v="2"/>
    <x v="0"/>
    <n v="31"/>
    <x v="7"/>
    <n v="67238.98"/>
    <n v="2"/>
    <n v="1"/>
    <n v="1"/>
    <n v="161811.23000000001"/>
    <x v="1"/>
  </r>
  <r>
    <n v="512"/>
    <n v="15761043"/>
    <s v="Macleod"/>
    <n v="632"/>
    <x v="2"/>
    <x v="0"/>
    <n v="38"/>
    <x v="5"/>
    <n v="86569.76"/>
    <n v="2"/>
    <n v="1"/>
    <n v="0"/>
    <n v="98090.91"/>
    <x v="1"/>
  </r>
  <r>
    <n v="513"/>
    <n v="15782236"/>
    <s v="Gibbs"/>
    <n v="735"/>
    <x v="1"/>
    <x v="1"/>
    <n v="34"/>
    <x v="8"/>
    <n v="0"/>
    <n v="2"/>
    <n v="0"/>
    <n v="0"/>
    <n v="71095.41"/>
    <x v="1"/>
  </r>
  <r>
    <n v="514"/>
    <n v="15593601"/>
    <s v="Isayev"/>
    <n v="734"/>
    <x v="0"/>
    <x v="1"/>
    <n v="34"/>
    <x v="5"/>
    <n v="133598.39999999999"/>
    <n v="1"/>
    <n v="1"/>
    <n v="1"/>
    <n v="13107.24"/>
    <x v="1"/>
  </r>
  <r>
    <n v="515"/>
    <n v="15682048"/>
    <s v="Pisano"/>
    <n v="605"/>
    <x v="0"/>
    <x v="0"/>
    <n v="51"/>
    <x v="6"/>
    <n v="136188.78"/>
    <n v="1"/>
    <n v="1"/>
    <n v="1"/>
    <n v="67110.59"/>
    <x v="0"/>
  </r>
  <r>
    <n v="516"/>
    <n v="15746902"/>
    <s v="Belstead"/>
    <n v="793"/>
    <x v="1"/>
    <x v="1"/>
    <n v="38"/>
    <x v="9"/>
    <n v="0"/>
    <n v="2"/>
    <n v="1"/>
    <n v="0"/>
    <n v="88225.02"/>
    <x v="1"/>
  </r>
  <r>
    <n v="517"/>
    <n v="15752081"/>
    <s v="Vassiliev"/>
    <n v="468"/>
    <x v="0"/>
    <x v="0"/>
    <n v="56"/>
    <x v="7"/>
    <n v="0"/>
    <n v="3"/>
    <n v="0"/>
    <n v="1"/>
    <n v="62256.87"/>
    <x v="0"/>
  </r>
  <r>
    <n v="518"/>
    <n v="15781307"/>
    <s v="Schneider"/>
    <n v="779"/>
    <x v="2"/>
    <x v="1"/>
    <n v="37"/>
    <x v="3"/>
    <n v="120092.52"/>
    <n v="2"/>
    <n v="1"/>
    <n v="0"/>
    <n v="135925.72"/>
    <x v="1"/>
  </r>
  <r>
    <n v="519"/>
    <n v="15775912"/>
    <s v="Mazzanti"/>
    <n v="698"/>
    <x v="0"/>
    <x v="1"/>
    <n v="48"/>
    <x v="4"/>
    <n v="101238.24"/>
    <n v="2"/>
    <n v="0"/>
    <n v="1"/>
    <n v="177815.87"/>
    <x v="0"/>
  </r>
  <r>
    <n v="520"/>
    <n v="15745417"/>
    <s v="Knipe"/>
    <n v="707"/>
    <x v="0"/>
    <x v="1"/>
    <n v="58"/>
    <x v="5"/>
    <n v="89685.92"/>
    <n v="1"/>
    <n v="0"/>
    <n v="1"/>
    <n v="126471.13"/>
    <x v="1"/>
  </r>
  <r>
    <n v="521"/>
    <n v="15671256"/>
    <s v="Macartney"/>
    <n v="850"/>
    <x v="0"/>
    <x v="0"/>
    <n v="35"/>
    <x v="1"/>
    <n v="211774.31"/>
    <n v="1"/>
    <n v="1"/>
    <n v="0"/>
    <n v="188574.12"/>
    <x v="0"/>
  </r>
  <r>
    <n v="522"/>
    <n v="15653547"/>
    <s v="Madukwe"/>
    <n v="850"/>
    <x v="0"/>
    <x v="1"/>
    <n v="56"/>
    <x v="3"/>
    <n v="131317.48000000001"/>
    <n v="1"/>
    <n v="1"/>
    <n v="1"/>
    <n v="119175.45"/>
    <x v="1"/>
  </r>
  <r>
    <n v="523"/>
    <n v="15595766"/>
    <s v="Watts"/>
    <n v="527"/>
    <x v="1"/>
    <x v="1"/>
    <n v="37"/>
    <x v="8"/>
    <n v="93722.73"/>
    <n v="2"/>
    <n v="1"/>
    <n v="1"/>
    <n v="139093.73000000001"/>
    <x v="1"/>
  </r>
  <r>
    <n v="524"/>
    <n v="15742358"/>
    <s v="Humphreys"/>
    <n v="696"/>
    <x v="2"/>
    <x v="1"/>
    <n v="32"/>
    <x v="2"/>
    <n v="101160.99"/>
    <n v="1"/>
    <n v="1"/>
    <n v="1"/>
    <n v="115916.55"/>
    <x v="1"/>
  </r>
  <r>
    <n v="525"/>
    <n v="15763274"/>
    <s v="Wu"/>
    <n v="661"/>
    <x v="0"/>
    <x v="1"/>
    <n v="48"/>
    <x v="6"/>
    <n v="120320.54"/>
    <n v="1"/>
    <n v="0"/>
    <n v="0"/>
    <n v="96463.25"/>
    <x v="1"/>
  </r>
  <r>
    <n v="526"/>
    <n v="15786063"/>
    <s v="Chin"/>
    <n v="776"/>
    <x v="0"/>
    <x v="0"/>
    <n v="31"/>
    <x v="0"/>
    <n v="0"/>
    <n v="2"/>
    <n v="1"/>
    <n v="1"/>
    <n v="112349.51"/>
    <x v="1"/>
  </r>
  <r>
    <n v="527"/>
    <n v="15600258"/>
    <s v="Chesnokova"/>
    <n v="701"/>
    <x v="0"/>
    <x v="1"/>
    <n v="43"/>
    <x v="0"/>
    <n v="0"/>
    <n v="2"/>
    <n v="1"/>
    <n v="1"/>
    <n v="165303.79"/>
    <x v="1"/>
  </r>
  <r>
    <n v="528"/>
    <n v="15573318"/>
    <s v="Kung"/>
    <n v="610"/>
    <x v="0"/>
    <x v="1"/>
    <n v="26"/>
    <x v="2"/>
    <n v="0"/>
    <n v="2"/>
    <n v="1"/>
    <n v="0"/>
    <n v="166031.07999999999"/>
    <x v="1"/>
  </r>
  <r>
    <n v="529"/>
    <n v="15653849"/>
    <s v="Lu"/>
    <n v="572"/>
    <x v="2"/>
    <x v="0"/>
    <n v="48"/>
    <x v="6"/>
    <n v="152827.99"/>
    <n v="1"/>
    <n v="1"/>
    <n v="0"/>
    <n v="38411.79"/>
    <x v="0"/>
  </r>
  <r>
    <n v="530"/>
    <n v="15694272"/>
    <s v="Nkemakolam"/>
    <n v="673"/>
    <x v="0"/>
    <x v="1"/>
    <n v="30"/>
    <x v="1"/>
    <n v="64097.75"/>
    <n v="1"/>
    <n v="1"/>
    <n v="1"/>
    <n v="77783.350000000006"/>
    <x v="1"/>
  </r>
  <r>
    <n v="531"/>
    <n v="15736112"/>
    <s v="Walton"/>
    <n v="519"/>
    <x v="1"/>
    <x v="0"/>
    <n v="57"/>
    <x v="0"/>
    <n v="119035.35"/>
    <n v="2"/>
    <n v="1"/>
    <n v="1"/>
    <n v="29871.79"/>
    <x v="1"/>
  </r>
  <r>
    <n v="532"/>
    <n v="15749851"/>
    <s v="Brookes"/>
    <n v="702"/>
    <x v="1"/>
    <x v="0"/>
    <n v="26"/>
    <x v="4"/>
    <n v="135219.57"/>
    <n v="1"/>
    <n v="0"/>
    <n v="1"/>
    <n v="59747.63"/>
    <x v="1"/>
  </r>
  <r>
    <n v="533"/>
    <n v="15663478"/>
    <s v="Baldwin"/>
    <n v="729"/>
    <x v="0"/>
    <x v="1"/>
    <n v="32"/>
    <x v="5"/>
    <n v="93694.42"/>
    <n v="1"/>
    <n v="1"/>
    <n v="1"/>
    <n v="79919.13"/>
    <x v="1"/>
  </r>
  <r>
    <n v="534"/>
    <n v="15592300"/>
    <s v="Mai"/>
    <n v="543"/>
    <x v="1"/>
    <x v="1"/>
    <n v="35"/>
    <x v="7"/>
    <n v="59408.63"/>
    <n v="1"/>
    <n v="1"/>
    <n v="0"/>
    <n v="76773.53"/>
    <x v="1"/>
  </r>
  <r>
    <n v="535"/>
    <n v="15567832"/>
    <s v="Shih"/>
    <n v="550"/>
    <x v="0"/>
    <x v="0"/>
    <n v="40"/>
    <x v="3"/>
    <n v="114354.95"/>
    <n v="1"/>
    <n v="1"/>
    <n v="0"/>
    <n v="54018.93"/>
    <x v="1"/>
  </r>
  <r>
    <n v="536"/>
    <n v="15776780"/>
    <s v="He"/>
    <n v="608"/>
    <x v="0"/>
    <x v="1"/>
    <n v="59"/>
    <x v="1"/>
    <n v="0"/>
    <n v="1"/>
    <n v="1"/>
    <n v="0"/>
    <n v="70649.64"/>
    <x v="0"/>
  </r>
  <r>
    <n v="537"/>
    <n v="15592846"/>
    <s v="Fiorentini"/>
    <n v="639"/>
    <x v="2"/>
    <x v="1"/>
    <n v="35"/>
    <x v="7"/>
    <n v="128173.9"/>
    <n v="2"/>
    <n v="1"/>
    <n v="0"/>
    <n v="59093.39"/>
    <x v="1"/>
  </r>
  <r>
    <n v="538"/>
    <n v="15739803"/>
    <s v="Lucciano"/>
    <n v="686"/>
    <x v="1"/>
    <x v="1"/>
    <n v="34"/>
    <x v="9"/>
    <n v="0"/>
    <n v="2"/>
    <n v="1"/>
    <n v="0"/>
    <n v="127569.8"/>
    <x v="1"/>
  </r>
  <r>
    <n v="539"/>
    <n v="15794142"/>
    <s v="Ferreira"/>
    <n v="564"/>
    <x v="2"/>
    <x v="0"/>
    <n v="62"/>
    <x v="8"/>
    <n v="114931.35"/>
    <n v="3"/>
    <n v="0"/>
    <n v="1"/>
    <n v="18260.98"/>
    <x v="0"/>
  </r>
  <r>
    <n v="540"/>
    <n v="15762729"/>
    <s v="Ukaegbunam"/>
    <n v="745"/>
    <x v="2"/>
    <x v="0"/>
    <n v="28"/>
    <x v="1"/>
    <n v="111071.36"/>
    <n v="1"/>
    <n v="1"/>
    <n v="0"/>
    <n v="73275.960000000006"/>
    <x v="0"/>
  </r>
  <r>
    <n v="541"/>
    <n v="15667896"/>
    <s v="De Luca"/>
    <n v="833"/>
    <x v="0"/>
    <x v="1"/>
    <n v="37"/>
    <x v="2"/>
    <n v="151226.18"/>
    <n v="2"/>
    <n v="1"/>
    <n v="1"/>
    <n v="136129.49"/>
    <x v="1"/>
  </r>
  <r>
    <n v="542"/>
    <n v="15626578"/>
    <s v="Milne"/>
    <n v="622"/>
    <x v="0"/>
    <x v="1"/>
    <n v="26"/>
    <x v="9"/>
    <n v="0"/>
    <n v="2"/>
    <n v="1"/>
    <n v="1"/>
    <n v="153237.59"/>
    <x v="1"/>
  </r>
  <r>
    <n v="543"/>
    <n v="15776223"/>
    <s v="Davide"/>
    <n v="597"/>
    <x v="0"/>
    <x v="0"/>
    <n v="42"/>
    <x v="4"/>
    <n v="64740.12"/>
    <n v="1"/>
    <n v="1"/>
    <n v="1"/>
    <n v="106841.12"/>
    <x v="1"/>
  </r>
  <r>
    <n v="544"/>
    <n v="15705953"/>
    <s v="Kodilinyechukwu"/>
    <n v="721"/>
    <x v="1"/>
    <x v="1"/>
    <n v="51"/>
    <x v="10"/>
    <n v="169312.13"/>
    <n v="1"/>
    <n v="1"/>
    <n v="0"/>
    <n v="109078.35"/>
    <x v="0"/>
  </r>
  <r>
    <n v="545"/>
    <n v="15802593"/>
    <s v="Little"/>
    <n v="504"/>
    <x v="0"/>
    <x v="0"/>
    <n v="49"/>
    <x v="3"/>
    <n v="0"/>
    <n v="3"/>
    <n v="0"/>
    <n v="1"/>
    <n v="87822.14"/>
    <x v="0"/>
  </r>
  <r>
    <n v="546"/>
    <n v="15615457"/>
    <s v="Burns"/>
    <n v="842"/>
    <x v="1"/>
    <x v="0"/>
    <n v="44"/>
    <x v="0"/>
    <n v="112652.08"/>
    <n v="2"/>
    <n v="1"/>
    <n v="0"/>
    <n v="126644.98"/>
    <x v="1"/>
  </r>
  <r>
    <n v="547"/>
    <n v="15708916"/>
    <s v="Paterson"/>
    <n v="587"/>
    <x v="0"/>
    <x v="1"/>
    <n v="38"/>
    <x v="10"/>
    <n v="0"/>
    <n v="2"/>
    <n v="1"/>
    <n v="0"/>
    <n v="47414.15"/>
    <x v="1"/>
  </r>
  <r>
    <n v="548"/>
    <n v="15720187"/>
    <s v="Han"/>
    <n v="479"/>
    <x v="2"/>
    <x v="0"/>
    <n v="30"/>
    <x v="3"/>
    <n v="143964.35999999999"/>
    <n v="2"/>
    <n v="1"/>
    <n v="0"/>
    <n v="41879.99"/>
    <x v="1"/>
  </r>
  <r>
    <n v="549"/>
    <n v="15595440"/>
    <s v="Kryukova"/>
    <n v="508"/>
    <x v="0"/>
    <x v="1"/>
    <n v="49"/>
    <x v="3"/>
    <n v="122451.46"/>
    <n v="2"/>
    <n v="1"/>
    <n v="1"/>
    <n v="75808.100000000006"/>
    <x v="1"/>
  </r>
  <r>
    <n v="550"/>
    <n v="15600651"/>
    <s v="Ijendu"/>
    <n v="749"/>
    <x v="0"/>
    <x v="1"/>
    <n v="24"/>
    <x v="1"/>
    <n v="0"/>
    <n v="3"/>
    <n v="1"/>
    <n v="1"/>
    <n v="47911.03"/>
    <x v="1"/>
  </r>
  <r>
    <n v="551"/>
    <n v="15750141"/>
    <s v="Reichard"/>
    <n v="721"/>
    <x v="2"/>
    <x v="0"/>
    <n v="36"/>
    <x v="6"/>
    <n v="65253.07"/>
    <n v="2"/>
    <n v="1"/>
    <n v="0"/>
    <n v="28737.78"/>
    <x v="1"/>
  </r>
  <r>
    <n v="552"/>
    <n v="15657284"/>
    <s v="Day"/>
    <n v="674"/>
    <x v="2"/>
    <x v="1"/>
    <n v="47"/>
    <x v="5"/>
    <n v="106901.94"/>
    <n v="1"/>
    <n v="1"/>
    <n v="1"/>
    <n v="2079.1999999999998"/>
    <x v="0"/>
  </r>
  <r>
    <n v="553"/>
    <n v="15763063"/>
    <s v="Price"/>
    <n v="685"/>
    <x v="1"/>
    <x v="0"/>
    <n v="25"/>
    <x v="7"/>
    <n v="128509.63"/>
    <n v="1"/>
    <n v="1"/>
    <n v="0"/>
    <n v="121562.33"/>
    <x v="1"/>
  </r>
  <r>
    <n v="554"/>
    <n v="15709324"/>
    <s v="Bruce"/>
    <n v="417"/>
    <x v="0"/>
    <x v="1"/>
    <n v="34"/>
    <x v="3"/>
    <n v="0"/>
    <n v="2"/>
    <n v="1"/>
    <n v="0"/>
    <n v="55003.79"/>
    <x v="1"/>
  </r>
  <r>
    <n v="555"/>
    <n v="15711309"/>
    <s v="Sumrall"/>
    <n v="574"/>
    <x v="2"/>
    <x v="1"/>
    <n v="33"/>
    <x v="6"/>
    <n v="129834.67"/>
    <n v="1"/>
    <n v="1"/>
    <n v="0"/>
    <n v="193131.42"/>
    <x v="1"/>
  </r>
  <r>
    <n v="556"/>
    <n v="15775318"/>
    <s v="Lu"/>
    <n v="590"/>
    <x v="1"/>
    <x v="0"/>
    <n v="51"/>
    <x v="6"/>
    <n v="154962.99"/>
    <n v="3"/>
    <n v="0"/>
    <n v="1"/>
    <n v="191932.27"/>
    <x v="0"/>
  </r>
  <r>
    <n v="557"/>
    <n v="15705515"/>
    <s v="Lazarev"/>
    <n v="587"/>
    <x v="2"/>
    <x v="1"/>
    <n v="40"/>
    <x v="8"/>
    <n v="138241.9"/>
    <n v="2"/>
    <n v="1"/>
    <n v="0"/>
    <n v="159418.1"/>
    <x v="1"/>
  </r>
  <r>
    <n v="558"/>
    <n v="15634844"/>
    <s v="Miller"/>
    <n v="598"/>
    <x v="2"/>
    <x v="1"/>
    <n v="41"/>
    <x v="6"/>
    <n v="91536.93"/>
    <n v="1"/>
    <n v="1"/>
    <n v="0"/>
    <n v="191468.78"/>
    <x v="0"/>
  </r>
  <r>
    <n v="559"/>
    <n v="15717046"/>
    <s v="Wentworth-Shields"/>
    <n v="741"/>
    <x v="1"/>
    <x v="1"/>
    <n v="53"/>
    <x v="6"/>
    <n v="0"/>
    <n v="2"/>
    <n v="1"/>
    <n v="1"/>
    <n v="38913.68"/>
    <x v="1"/>
  </r>
  <r>
    <n v="560"/>
    <n v="15571816"/>
    <s v="Ritchie"/>
    <n v="850"/>
    <x v="1"/>
    <x v="0"/>
    <n v="70"/>
    <x v="8"/>
    <n v="0"/>
    <n v="1"/>
    <n v="1"/>
    <n v="1"/>
    <n v="705.18"/>
    <x v="1"/>
  </r>
  <r>
    <n v="561"/>
    <n v="15670080"/>
    <s v="Mackenzie"/>
    <n v="584"/>
    <x v="2"/>
    <x v="0"/>
    <n v="29"/>
    <x v="3"/>
    <n v="105204.01"/>
    <n v="1"/>
    <n v="0"/>
    <n v="1"/>
    <n v="138490.03"/>
    <x v="1"/>
  </r>
  <r>
    <n v="562"/>
    <n v="15800440"/>
    <s v="Power"/>
    <n v="650"/>
    <x v="1"/>
    <x v="1"/>
    <n v="61"/>
    <x v="1"/>
    <n v="152968.73000000001"/>
    <n v="1"/>
    <n v="0"/>
    <n v="1"/>
    <n v="82970.69"/>
    <x v="1"/>
  </r>
  <r>
    <n v="563"/>
    <n v="15665678"/>
    <s v="Tan"/>
    <n v="607"/>
    <x v="1"/>
    <x v="1"/>
    <n v="36"/>
    <x v="2"/>
    <n v="158261.68"/>
    <n v="1"/>
    <n v="1"/>
    <n v="1"/>
    <n v="76744.72"/>
    <x v="1"/>
  </r>
  <r>
    <n v="564"/>
    <n v="15665956"/>
    <s v="Pendergrass"/>
    <n v="509"/>
    <x v="0"/>
    <x v="0"/>
    <n v="46"/>
    <x v="1"/>
    <n v="0"/>
    <n v="1"/>
    <n v="1"/>
    <n v="0"/>
    <n v="71244.59"/>
    <x v="0"/>
  </r>
  <r>
    <n v="565"/>
    <n v="15788126"/>
    <s v="Evans"/>
    <n v="689"/>
    <x v="1"/>
    <x v="0"/>
    <n v="38"/>
    <x v="5"/>
    <n v="121021.05"/>
    <n v="1"/>
    <n v="1"/>
    <n v="1"/>
    <n v="12182.15"/>
    <x v="1"/>
  </r>
  <r>
    <n v="566"/>
    <n v="15811773"/>
    <s v="Hsia"/>
    <n v="543"/>
    <x v="0"/>
    <x v="1"/>
    <n v="36"/>
    <x v="4"/>
    <n v="0"/>
    <n v="2"/>
    <n v="1"/>
    <n v="1"/>
    <n v="141210.5"/>
    <x v="1"/>
  </r>
  <r>
    <n v="567"/>
    <n v="15651674"/>
    <s v="Billson"/>
    <n v="438"/>
    <x v="1"/>
    <x v="0"/>
    <n v="54"/>
    <x v="0"/>
    <n v="0"/>
    <n v="1"/>
    <n v="0"/>
    <n v="0"/>
    <n v="191763.07"/>
    <x v="0"/>
  </r>
  <r>
    <n v="568"/>
    <n v="15689614"/>
    <s v="Teng"/>
    <n v="687"/>
    <x v="1"/>
    <x v="0"/>
    <n v="63"/>
    <x v="1"/>
    <n v="137715.66"/>
    <n v="1"/>
    <n v="1"/>
    <n v="1"/>
    <n v="37938.74"/>
    <x v="1"/>
  </r>
  <r>
    <n v="569"/>
    <n v="15795564"/>
    <s v="Moretti"/>
    <n v="737"/>
    <x v="2"/>
    <x v="1"/>
    <n v="31"/>
    <x v="8"/>
    <n v="121192.22"/>
    <n v="2"/>
    <n v="1"/>
    <n v="1"/>
    <n v="74890.58"/>
    <x v="1"/>
  </r>
  <r>
    <n v="570"/>
    <n v="15706647"/>
    <s v="Jordan"/>
    <n v="761"/>
    <x v="0"/>
    <x v="1"/>
    <n v="31"/>
    <x v="3"/>
    <n v="0"/>
    <n v="3"/>
    <n v="1"/>
    <n v="1"/>
    <n v="166698.18"/>
    <x v="1"/>
  </r>
  <r>
    <n v="571"/>
    <n v="15728505"/>
    <s v="Ts'ao"/>
    <n v="601"/>
    <x v="0"/>
    <x v="1"/>
    <n v="44"/>
    <x v="1"/>
    <n v="100486.18"/>
    <n v="2"/>
    <n v="1"/>
    <n v="1"/>
    <n v="62678.53"/>
    <x v="1"/>
  </r>
  <r>
    <n v="572"/>
    <n v="15730076"/>
    <s v="Osborne"/>
    <n v="651"/>
    <x v="0"/>
    <x v="1"/>
    <n v="45"/>
    <x v="1"/>
    <n v="0"/>
    <n v="1"/>
    <n v="1"/>
    <n v="0"/>
    <n v="67740.08"/>
    <x v="0"/>
  </r>
  <r>
    <n v="573"/>
    <n v="15622003"/>
    <s v="Carslaw"/>
    <n v="745"/>
    <x v="0"/>
    <x v="1"/>
    <n v="35"/>
    <x v="9"/>
    <n v="92566.53"/>
    <n v="2"/>
    <n v="1"/>
    <n v="0"/>
    <n v="161519.76999999999"/>
    <x v="1"/>
  </r>
  <r>
    <n v="574"/>
    <n v="15607312"/>
    <s v="Ch'ang"/>
    <n v="648"/>
    <x v="1"/>
    <x v="0"/>
    <n v="49"/>
    <x v="7"/>
    <n v="0"/>
    <n v="2"/>
    <n v="1"/>
    <n v="1"/>
    <n v="159835.78"/>
    <x v="0"/>
  </r>
  <r>
    <n v="575"/>
    <n v="15644753"/>
    <s v="Hung"/>
    <n v="848"/>
    <x v="1"/>
    <x v="1"/>
    <n v="40"/>
    <x v="6"/>
    <n v="110929.96"/>
    <n v="1"/>
    <n v="1"/>
    <n v="1"/>
    <n v="30876.84"/>
    <x v="1"/>
  </r>
  <r>
    <n v="576"/>
    <n v="15653620"/>
    <s v="Gordon"/>
    <n v="546"/>
    <x v="0"/>
    <x v="0"/>
    <n v="27"/>
    <x v="2"/>
    <n v="0"/>
    <n v="2"/>
    <n v="1"/>
    <n v="1"/>
    <n v="14858.1"/>
    <x v="1"/>
  </r>
  <r>
    <n v="577"/>
    <n v="15761986"/>
    <s v="Obialo"/>
    <n v="439"/>
    <x v="1"/>
    <x v="0"/>
    <n v="32"/>
    <x v="6"/>
    <n v="138901.60999999999"/>
    <n v="1"/>
    <n v="1"/>
    <n v="0"/>
    <n v="75685.97"/>
    <x v="1"/>
  </r>
  <r>
    <n v="578"/>
    <n v="15633922"/>
    <s v="Gray"/>
    <n v="755"/>
    <x v="0"/>
    <x v="1"/>
    <n v="30"/>
    <x v="4"/>
    <n v="123217.66"/>
    <n v="2"/>
    <n v="0"/>
    <n v="1"/>
    <n v="144183.1"/>
    <x v="1"/>
  </r>
  <r>
    <n v="579"/>
    <n v="15734674"/>
    <s v="Lin"/>
    <n v="593"/>
    <x v="0"/>
    <x v="0"/>
    <n v="41"/>
    <x v="5"/>
    <n v="0"/>
    <n v="1"/>
    <n v="1"/>
    <n v="0"/>
    <n v="65170.66"/>
    <x v="1"/>
  </r>
  <r>
    <n v="580"/>
    <n v="15658032"/>
    <s v="Hopkins"/>
    <n v="701"/>
    <x v="0"/>
    <x v="1"/>
    <n v="39"/>
    <x v="0"/>
    <n v="0"/>
    <n v="2"/>
    <n v="1"/>
    <n v="1"/>
    <n v="82526.92"/>
    <x v="1"/>
  </r>
  <r>
    <n v="581"/>
    <n v="15692671"/>
    <s v="Dobson"/>
    <n v="701"/>
    <x v="1"/>
    <x v="1"/>
    <n v="36"/>
    <x v="2"/>
    <n v="0"/>
    <n v="2"/>
    <n v="1"/>
    <n v="0"/>
    <n v="169161.46"/>
    <x v="1"/>
  </r>
  <r>
    <n v="582"/>
    <n v="15737741"/>
    <s v="McKay"/>
    <n v="607"/>
    <x v="1"/>
    <x v="0"/>
    <n v="33"/>
    <x v="0"/>
    <n v="108431.87"/>
    <n v="2"/>
    <n v="0"/>
    <n v="1"/>
    <n v="109291.39"/>
    <x v="0"/>
  </r>
  <r>
    <n v="583"/>
    <n v="15576352"/>
    <s v="Revell"/>
    <n v="586"/>
    <x v="1"/>
    <x v="0"/>
    <n v="57"/>
    <x v="6"/>
    <n v="0"/>
    <n v="2"/>
    <n v="0"/>
    <n v="1"/>
    <n v="6057.81"/>
    <x v="1"/>
  </r>
  <r>
    <n v="584"/>
    <n v="15753719"/>
    <s v="Rickards"/>
    <n v="547"/>
    <x v="2"/>
    <x v="0"/>
    <n v="30"/>
    <x v="9"/>
    <n v="72392.41"/>
    <n v="1"/>
    <n v="1"/>
    <n v="0"/>
    <n v="77077.14"/>
    <x v="1"/>
  </r>
  <r>
    <n v="585"/>
    <n v="15803689"/>
    <s v="Begum"/>
    <n v="647"/>
    <x v="2"/>
    <x v="0"/>
    <n v="51"/>
    <x v="1"/>
    <n v="119741.77"/>
    <n v="2"/>
    <n v="0"/>
    <n v="0"/>
    <n v="54954.51"/>
    <x v="0"/>
  </r>
  <r>
    <n v="586"/>
    <n v="15718057"/>
    <s v="Onyinyechukwuka"/>
    <n v="760"/>
    <x v="0"/>
    <x v="0"/>
    <n v="51"/>
    <x v="0"/>
    <n v="100946.71"/>
    <n v="1"/>
    <n v="0"/>
    <n v="0"/>
    <n v="179614.8"/>
    <x v="0"/>
  </r>
  <r>
    <n v="587"/>
    <n v="15722010"/>
    <s v="Zuyev"/>
    <n v="621"/>
    <x v="1"/>
    <x v="1"/>
    <n v="53"/>
    <x v="9"/>
    <n v="170491.84"/>
    <n v="1"/>
    <n v="1"/>
    <n v="0"/>
    <n v="35588.07"/>
    <x v="0"/>
  </r>
  <r>
    <n v="588"/>
    <n v="15680998"/>
    <s v="Nwankwo"/>
    <n v="725"/>
    <x v="0"/>
    <x v="1"/>
    <n v="44"/>
    <x v="8"/>
    <n v="0"/>
    <n v="1"/>
    <n v="1"/>
    <n v="1"/>
    <n v="117356.14"/>
    <x v="1"/>
  </r>
  <r>
    <n v="589"/>
    <n v="15614782"/>
    <s v="Hao"/>
    <n v="526"/>
    <x v="0"/>
    <x v="1"/>
    <n v="36"/>
    <x v="1"/>
    <n v="0"/>
    <n v="1"/>
    <n v="1"/>
    <n v="0"/>
    <n v="160696.72"/>
    <x v="1"/>
  </r>
  <r>
    <n v="590"/>
    <n v="15591047"/>
    <s v="Ma"/>
    <n v="519"/>
    <x v="1"/>
    <x v="0"/>
    <n v="47"/>
    <x v="5"/>
    <n v="157296.01999999999"/>
    <n v="2"/>
    <n v="0"/>
    <n v="0"/>
    <n v="147278.43"/>
    <x v="0"/>
  </r>
  <r>
    <n v="591"/>
    <n v="15788291"/>
    <s v="Okwuadigbo"/>
    <n v="713"/>
    <x v="2"/>
    <x v="0"/>
    <n v="38"/>
    <x v="3"/>
    <n v="144606.22"/>
    <n v="1"/>
    <n v="1"/>
    <n v="1"/>
    <n v="56594.36"/>
    <x v="0"/>
  </r>
  <r>
    <n v="592"/>
    <n v="15604044"/>
    <s v="Mitchell"/>
    <n v="700"/>
    <x v="0"/>
    <x v="1"/>
    <n v="38"/>
    <x v="2"/>
    <n v="134811.29999999999"/>
    <n v="1"/>
    <n v="1"/>
    <n v="0"/>
    <n v="1299.75"/>
    <x v="1"/>
  </r>
  <r>
    <n v="593"/>
    <n v="15679587"/>
    <s v="Chan"/>
    <n v="666"/>
    <x v="0"/>
    <x v="0"/>
    <n v="34"/>
    <x v="9"/>
    <n v="115897.12"/>
    <n v="1"/>
    <n v="1"/>
    <n v="1"/>
    <n v="25095.03"/>
    <x v="1"/>
  </r>
  <r>
    <n v="594"/>
    <n v="15775153"/>
    <s v="Buchi"/>
    <n v="630"/>
    <x v="1"/>
    <x v="1"/>
    <n v="32"/>
    <x v="4"/>
    <n v="82034"/>
    <n v="1"/>
    <n v="0"/>
    <n v="0"/>
    <n v="146326.45000000001"/>
    <x v="1"/>
  </r>
  <r>
    <n v="595"/>
    <n v="15603925"/>
    <s v="Greco"/>
    <n v="779"/>
    <x v="1"/>
    <x v="0"/>
    <n v="26"/>
    <x v="4"/>
    <n v="174318.13"/>
    <n v="2"/>
    <n v="0"/>
    <n v="1"/>
    <n v="38296.21"/>
    <x v="1"/>
  </r>
  <r>
    <n v="596"/>
    <n v="15680970"/>
    <s v="Lombardi"/>
    <n v="611"/>
    <x v="2"/>
    <x v="0"/>
    <n v="41"/>
    <x v="0"/>
    <n v="114206.84"/>
    <n v="1"/>
    <n v="1"/>
    <n v="0"/>
    <n v="164061.6"/>
    <x v="1"/>
  </r>
  <r>
    <n v="597"/>
    <n v="15697183"/>
    <s v="Uchenna"/>
    <n v="685"/>
    <x v="1"/>
    <x v="1"/>
    <n v="43"/>
    <x v="9"/>
    <n v="0"/>
    <n v="2"/>
    <n v="1"/>
    <n v="0"/>
    <n v="107811.28"/>
    <x v="1"/>
  </r>
  <r>
    <n v="598"/>
    <n v="15567446"/>
    <s v="Coffman"/>
    <n v="646"/>
    <x v="2"/>
    <x v="1"/>
    <n v="39"/>
    <x v="9"/>
    <n v="111574.41"/>
    <n v="1"/>
    <n v="1"/>
    <n v="1"/>
    <n v="30838.51"/>
    <x v="1"/>
  </r>
  <r>
    <n v="599"/>
    <n v="15637476"/>
    <s v="Alexandrova"/>
    <n v="683"/>
    <x v="2"/>
    <x v="0"/>
    <n v="57"/>
    <x v="8"/>
    <n v="162448.69"/>
    <n v="1"/>
    <n v="0"/>
    <n v="0"/>
    <n v="9221.7800000000007"/>
    <x v="0"/>
  </r>
  <r>
    <n v="600"/>
    <n v="15714939"/>
    <s v="Fallaci"/>
    <n v="484"/>
    <x v="2"/>
    <x v="0"/>
    <n v="34"/>
    <x v="4"/>
    <n v="148249.54"/>
    <n v="1"/>
    <n v="0"/>
    <n v="1"/>
    <n v="33738.269999999997"/>
    <x v="1"/>
  </r>
  <r>
    <n v="601"/>
    <n v="15683503"/>
    <s v="Hudson"/>
    <n v="601"/>
    <x v="0"/>
    <x v="0"/>
    <n v="43"/>
    <x v="2"/>
    <n v="0"/>
    <n v="3"/>
    <n v="0"/>
    <n v="1"/>
    <n v="110916.15"/>
    <x v="0"/>
  </r>
  <r>
    <n v="602"/>
    <n v="15645569"/>
    <s v="Mai"/>
    <n v="762"/>
    <x v="1"/>
    <x v="0"/>
    <n v="26"/>
    <x v="3"/>
    <n v="123709.46"/>
    <n v="2"/>
    <n v="1"/>
    <n v="1"/>
    <n v="169654.57"/>
    <x v="1"/>
  </r>
  <r>
    <n v="603"/>
    <n v="15782569"/>
    <s v="Stout"/>
    <n v="687"/>
    <x v="0"/>
    <x v="0"/>
    <n v="72"/>
    <x v="9"/>
    <n v="0"/>
    <n v="1"/>
    <n v="0"/>
    <n v="1"/>
    <n v="69829.399999999994"/>
    <x v="1"/>
  </r>
  <r>
    <n v="604"/>
    <n v="15592387"/>
    <s v="Burke"/>
    <n v="566"/>
    <x v="0"/>
    <x v="1"/>
    <n v="30"/>
    <x v="8"/>
    <n v="0"/>
    <n v="1"/>
    <n v="1"/>
    <n v="0"/>
    <n v="54926.51"/>
    <x v="0"/>
  </r>
  <r>
    <n v="605"/>
    <n v="15609286"/>
    <s v="Chadwick"/>
    <n v="702"/>
    <x v="0"/>
    <x v="1"/>
    <n v="37"/>
    <x v="7"/>
    <n v="150525.79999999999"/>
    <n v="1"/>
    <n v="1"/>
    <n v="1"/>
    <n v="94728.49"/>
    <x v="1"/>
  </r>
  <r>
    <n v="606"/>
    <n v="15814035"/>
    <s v="Lawrence"/>
    <n v="601"/>
    <x v="0"/>
    <x v="1"/>
    <n v="29"/>
    <x v="9"/>
    <n v="0"/>
    <n v="1"/>
    <n v="1"/>
    <n v="1"/>
    <n v="80393.27"/>
    <x v="1"/>
  </r>
  <r>
    <n v="607"/>
    <n v="15661249"/>
    <s v="Bellucci"/>
    <n v="699"/>
    <x v="0"/>
    <x v="1"/>
    <n v="53"/>
    <x v="4"/>
    <n v="0"/>
    <n v="2"/>
    <n v="0"/>
    <n v="1"/>
    <n v="111307.98"/>
    <x v="1"/>
  </r>
  <r>
    <n v="608"/>
    <n v="15629117"/>
    <s v="Harper"/>
    <n v="584"/>
    <x v="0"/>
    <x v="1"/>
    <n v="28"/>
    <x v="7"/>
    <n v="0"/>
    <n v="2"/>
    <n v="1"/>
    <n v="0"/>
    <n v="19834.32"/>
    <x v="1"/>
  </r>
  <r>
    <n v="609"/>
    <n v="15607170"/>
    <s v="Boyle"/>
    <n v="699"/>
    <x v="0"/>
    <x v="1"/>
    <n v="35"/>
    <x v="8"/>
    <n v="0"/>
    <n v="2"/>
    <n v="1"/>
    <n v="1"/>
    <n v="78397.240000000005"/>
    <x v="1"/>
  </r>
  <r>
    <n v="610"/>
    <n v="15586585"/>
    <s v="Duncan"/>
    <n v="698"/>
    <x v="2"/>
    <x v="0"/>
    <n v="51"/>
    <x v="0"/>
    <n v="111018.98"/>
    <n v="1"/>
    <n v="1"/>
    <n v="0"/>
    <n v="86410.28"/>
    <x v="1"/>
  </r>
  <r>
    <n v="611"/>
    <n v="15686611"/>
    <s v="Moss"/>
    <n v="495"/>
    <x v="0"/>
    <x v="1"/>
    <n v="30"/>
    <x v="7"/>
    <n v="129755.99"/>
    <n v="1"/>
    <n v="0"/>
    <n v="0"/>
    <n v="172749.65"/>
    <x v="1"/>
  </r>
  <r>
    <n v="612"/>
    <n v="15603203"/>
    <s v="Avdeyeva"/>
    <n v="650"/>
    <x v="0"/>
    <x v="0"/>
    <n v="27"/>
    <x v="5"/>
    <n v="0"/>
    <n v="2"/>
    <n v="1"/>
    <n v="0"/>
    <n v="1002.39"/>
    <x v="1"/>
  </r>
  <r>
    <n v="613"/>
    <n v="15619857"/>
    <s v="Crawford"/>
    <n v="605"/>
    <x v="0"/>
    <x v="0"/>
    <n v="64"/>
    <x v="0"/>
    <n v="129555.7"/>
    <n v="1"/>
    <n v="1"/>
    <n v="1"/>
    <n v="13601.79"/>
    <x v="1"/>
  </r>
  <r>
    <n v="614"/>
    <n v="15805062"/>
    <s v="Lynton"/>
    <n v="667"/>
    <x v="1"/>
    <x v="1"/>
    <n v="38"/>
    <x v="1"/>
    <n v="87202.38"/>
    <n v="1"/>
    <n v="1"/>
    <n v="1"/>
    <n v="77866.91"/>
    <x v="1"/>
  </r>
  <r>
    <n v="615"/>
    <n v="15660271"/>
    <s v="Duncan"/>
    <n v="688"/>
    <x v="2"/>
    <x v="1"/>
    <n v="26"/>
    <x v="2"/>
    <n v="146133.39000000001"/>
    <n v="1"/>
    <n v="1"/>
    <n v="1"/>
    <n v="175296.76"/>
    <x v="1"/>
  </r>
  <r>
    <n v="616"/>
    <n v="15745295"/>
    <s v="Gether"/>
    <n v="727"/>
    <x v="1"/>
    <x v="0"/>
    <n v="31"/>
    <x v="10"/>
    <n v="0"/>
    <n v="1"/>
    <n v="1"/>
    <n v="0"/>
    <n v="121751.03999999999"/>
    <x v="0"/>
  </r>
  <r>
    <n v="617"/>
    <n v="15719352"/>
    <s v="Davidson"/>
    <n v="754"/>
    <x v="1"/>
    <x v="1"/>
    <n v="39"/>
    <x v="5"/>
    <n v="170184.99"/>
    <n v="2"/>
    <n v="1"/>
    <n v="0"/>
    <n v="89593.26"/>
    <x v="1"/>
  </r>
  <r>
    <n v="618"/>
    <n v="15766575"/>
    <s v="Larionova"/>
    <n v="612"/>
    <x v="2"/>
    <x v="0"/>
    <n v="62"/>
    <x v="2"/>
    <n v="140745.32999999999"/>
    <n v="1"/>
    <n v="1"/>
    <n v="0"/>
    <n v="193437.89"/>
    <x v="0"/>
  </r>
  <r>
    <n v="619"/>
    <n v="15594594"/>
    <s v="Loggia"/>
    <n v="546"/>
    <x v="1"/>
    <x v="1"/>
    <n v="42"/>
    <x v="3"/>
    <n v="139070.51"/>
    <n v="1"/>
    <n v="1"/>
    <n v="1"/>
    <n v="86945"/>
    <x v="1"/>
  </r>
  <r>
    <n v="620"/>
    <n v="15646161"/>
    <s v="Steinhoff"/>
    <n v="673"/>
    <x v="1"/>
    <x v="0"/>
    <n v="37"/>
    <x v="2"/>
    <n v="0"/>
    <n v="2"/>
    <n v="1"/>
    <n v="1"/>
    <n v="183318.79"/>
    <x v="1"/>
  </r>
  <r>
    <n v="621"/>
    <n v="15682585"/>
    <s v="Guerra"/>
    <n v="593"/>
    <x v="0"/>
    <x v="1"/>
    <n v="35"/>
    <x v="9"/>
    <n v="114193.24"/>
    <n v="1"/>
    <n v="1"/>
    <n v="0"/>
    <n v="71154.100000000006"/>
    <x v="1"/>
  </r>
  <r>
    <n v="622"/>
    <n v="15603134"/>
    <s v="Pai"/>
    <n v="656"/>
    <x v="1"/>
    <x v="0"/>
    <n v="40"/>
    <x v="7"/>
    <n v="167878.5"/>
    <n v="1"/>
    <n v="0"/>
    <n v="1"/>
    <n v="151887.16"/>
    <x v="1"/>
  </r>
  <r>
    <n v="623"/>
    <n v="15636444"/>
    <s v="Craig"/>
    <n v="535"/>
    <x v="2"/>
    <x v="0"/>
    <n v="53"/>
    <x v="8"/>
    <n v="141616.54999999999"/>
    <n v="2"/>
    <n v="1"/>
    <n v="1"/>
    <n v="75888.649999999994"/>
    <x v="1"/>
  </r>
  <r>
    <n v="624"/>
    <n v="15773456"/>
    <s v="Lazareva"/>
    <n v="678"/>
    <x v="2"/>
    <x v="1"/>
    <n v="36"/>
    <x v="6"/>
    <n v="145747.67000000001"/>
    <n v="2"/>
    <n v="0"/>
    <n v="1"/>
    <n v="89566.74"/>
    <x v="1"/>
  </r>
  <r>
    <n v="625"/>
    <n v="15745307"/>
    <s v="Ch'iu"/>
    <n v="477"/>
    <x v="1"/>
    <x v="0"/>
    <n v="37"/>
    <x v="0"/>
    <n v="129120.64"/>
    <n v="1"/>
    <n v="0"/>
    <n v="1"/>
    <n v="26475.79"/>
    <x v="1"/>
  </r>
  <r>
    <n v="626"/>
    <n v="15604119"/>
    <s v="Alderete"/>
    <n v="850"/>
    <x v="1"/>
    <x v="1"/>
    <n v="35"/>
    <x v="3"/>
    <n v="110349.82"/>
    <n v="1"/>
    <n v="0"/>
    <n v="0"/>
    <n v="126355.8"/>
    <x v="1"/>
  </r>
  <r>
    <n v="627"/>
    <n v="15626900"/>
    <s v="Kung"/>
    <n v="427"/>
    <x v="0"/>
    <x v="1"/>
    <n v="29"/>
    <x v="1"/>
    <n v="141325.56"/>
    <n v="1"/>
    <n v="1"/>
    <n v="1"/>
    <n v="93839.3"/>
    <x v="1"/>
  </r>
  <r>
    <n v="628"/>
    <n v="15605447"/>
    <s v="Palermo"/>
    <n v="752"/>
    <x v="0"/>
    <x v="1"/>
    <n v="49"/>
    <x v="0"/>
    <n v="78653.84"/>
    <n v="1"/>
    <n v="1"/>
    <n v="0"/>
    <n v="7698.6"/>
    <x v="1"/>
  </r>
  <r>
    <n v="629"/>
    <n v="15589030"/>
    <s v="Ts'ai"/>
    <n v="649"/>
    <x v="0"/>
    <x v="1"/>
    <n v="47"/>
    <x v="1"/>
    <n v="0"/>
    <n v="2"/>
    <n v="1"/>
    <n v="1"/>
    <n v="145593.85"/>
    <x v="1"/>
  </r>
  <r>
    <n v="630"/>
    <n v="15692463"/>
    <s v="Rahman"/>
    <n v="799"/>
    <x v="1"/>
    <x v="0"/>
    <n v="37"/>
    <x v="6"/>
    <n v="142253.65"/>
    <n v="1"/>
    <n v="1"/>
    <n v="0"/>
    <n v="45042.559999999998"/>
    <x v="1"/>
  </r>
  <r>
    <n v="631"/>
    <n v="15712403"/>
    <s v="McMillan"/>
    <n v="589"/>
    <x v="0"/>
    <x v="0"/>
    <n v="61"/>
    <x v="1"/>
    <n v="0"/>
    <n v="1"/>
    <n v="1"/>
    <n v="0"/>
    <n v="61108.56"/>
    <x v="0"/>
  </r>
  <r>
    <n v="632"/>
    <n v="15811762"/>
    <s v="Pickering"/>
    <n v="583"/>
    <x v="2"/>
    <x v="0"/>
    <n v="54"/>
    <x v="5"/>
    <n v="115988.86"/>
    <n v="1"/>
    <n v="1"/>
    <n v="0"/>
    <n v="57553.98"/>
    <x v="0"/>
  </r>
  <r>
    <n v="633"/>
    <n v="15718673"/>
    <s v="Mirams"/>
    <n v="839"/>
    <x v="1"/>
    <x v="0"/>
    <n v="37"/>
    <x v="7"/>
    <n v="75592.429999999993"/>
    <n v="1"/>
    <n v="1"/>
    <n v="0"/>
    <n v="62674.42"/>
    <x v="1"/>
  </r>
  <r>
    <n v="634"/>
    <n v="15724282"/>
    <s v="Tsao"/>
    <n v="540"/>
    <x v="2"/>
    <x v="1"/>
    <n v="44"/>
    <x v="6"/>
    <n v="164113.04"/>
    <n v="2"/>
    <n v="1"/>
    <n v="1"/>
    <n v="12120.79"/>
    <x v="1"/>
  </r>
  <r>
    <n v="635"/>
    <n v="15738181"/>
    <s v="Douglas"/>
    <n v="850"/>
    <x v="0"/>
    <x v="1"/>
    <n v="31"/>
    <x v="5"/>
    <n v="67996.23"/>
    <n v="2"/>
    <n v="0"/>
    <n v="0"/>
    <n v="50129.87"/>
    <x v="0"/>
  </r>
  <r>
    <n v="636"/>
    <n v="15633648"/>
    <s v="Jideofor"/>
    <n v="696"/>
    <x v="1"/>
    <x v="0"/>
    <n v="37"/>
    <x v="8"/>
    <n v="0"/>
    <n v="2"/>
    <n v="1"/>
    <n v="0"/>
    <n v="55022.43"/>
    <x v="1"/>
  </r>
  <r>
    <n v="637"/>
    <n v="15603323"/>
    <s v="Bell"/>
    <n v="660"/>
    <x v="1"/>
    <x v="0"/>
    <n v="37"/>
    <x v="1"/>
    <n v="0"/>
    <n v="2"/>
    <n v="0"/>
    <n v="0"/>
    <n v="117834.91"/>
    <x v="1"/>
  </r>
  <r>
    <n v="638"/>
    <n v="15583725"/>
    <s v="Mairinger"/>
    <n v="682"/>
    <x v="0"/>
    <x v="1"/>
    <n v="48"/>
    <x v="1"/>
    <n v="138778.15"/>
    <n v="1"/>
    <n v="0"/>
    <n v="1"/>
    <n v="168840.23"/>
    <x v="1"/>
  </r>
  <r>
    <n v="639"/>
    <n v="15588350"/>
    <s v="McIntyre"/>
    <n v="744"/>
    <x v="0"/>
    <x v="0"/>
    <n v="43"/>
    <x v="7"/>
    <n v="147832.15"/>
    <n v="1"/>
    <n v="0"/>
    <n v="1"/>
    <n v="24234.11"/>
    <x v="1"/>
  </r>
  <r>
    <n v="640"/>
    <n v="15798398"/>
    <s v="Pagnotto"/>
    <n v="785"/>
    <x v="0"/>
    <x v="0"/>
    <n v="36"/>
    <x v="4"/>
    <n v="135438.39999999999"/>
    <n v="1"/>
    <n v="0"/>
    <n v="0"/>
    <n v="190627.01"/>
    <x v="1"/>
  </r>
  <r>
    <n v="641"/>
    <n v="15784844"/>
    <s v="K'ung"/>
    <n v="752"/>
    <x v="1"/>
    <x v="1"/>
    <n v="48"/>
    <x v="8"/>
    <n v="116060.08"/>
    <n v="1"/>
    <n v="1"/>
    <n v="0"/>
    <n v="156618.38"/>
    <x v="0"/>
  </r>
  <r>
    <n v="642"/>
    <n v="15580684"/>
    <s v="Feng"/>
    <n v="706"/>
    <x v="0"/>
    <x v="0"/>
    <n v="29"/>
    <x v="8"/>
    <n v="112564.62"/>
    <n v="1"/>
    <n v="1"/>
    <n v="0"/>
    <n v="42334.38"/>
    <x v="1"/>
  </r>
  <r>
    <n v="643"/>
    <n v="15809663"/>
    <s v="Donaldson"/>
    <n v="583"/>
    <x v="0"/>
    <x v="0"/>
    <n v="27"/>
    <x v="1"/>
    <n v="125406.58"/>
    <n v="1"/>
    <n v="1"/>
    <n v="1"/>
    <n v="110784.42"/>
    <x v="1"/>
  </r>
  <r>
    <n v="644"/>
    <n v="15640078"/>
    <s v="Chambers"/>
    <n v="660"/>
    <x v="2"/>
    <x v="0"/>
    <n v="39"/>
    <x v="8"/>
    <n v="135134.99"/>
    <n v="1"/>
    <n v="1"/>
    <n v="0"/>
    <n v="173683"/>
    <x v="0"/>
  </r>
  <r>
    <n v="645"/>
    <n v="15698786"/>
    <s v="Marcelo"/>
    <n v="819"/>
    <x v="0"/>
    <x v="0"/>
    <n v="39"/>
    <x v="9"/>
    <n v="133102.92000000001"/>
    <n v="1"/>
    <n v="1"/>
    <n v="0"/>
    <n v="27046.46"/>
    <x v="0"/>
  </r>
  <r>
    <n v="646"/>
    <n v="15569807"/>
    <s v="Ejimofor"/>
    <n v="673"/>
    <x v="0"/>
    <x v="0"/>
    <n v="34"/>
    <x v="2"/>
    <n v="42157.08"/>
    <n v="1"/>
    <n v="1"/>
    <n v="0"/>
    <n v="20598.59"/>
    <x v="0"/>
  </r>
  <r>
    <n v="647"/>
    <n v="15730830"/>
    <s v="Dale"/>
    <n v="752"/>
    <x v="0"/>
    <x v="0"/>
    <n v="30"/>
    <x v="6"/>
    <n v="0"/>
    <n v="2"/>
    <n v="1"/>
    <n v="1"/>
    <n v="104991.28"/>
    <x v="1"/>
  </r>
  <r>
    <n v="648"/>
    <n v="15805112"/>
    <s v="Pokrovsky"/>
    <n v="578"/>
    <x v="0"/>
    <x v="1"/>
    <n v="38"/>
    <x v="3"/>
    <n v="82259.289999999994"/>
    <n v="1"/>
    <n v="1"/>
    <n v="0"/>
    <n v="8996.9699999999993"/>
    <x v="1"/>
  </r>
  <r>
    <n v="649"/>
    <n v="15633064"/>
    <s v="Stonebraker"/>
    <n v="438"/>
    <x v="0"/>
    <x v="0"/>
    <n v="36"/>
    <x v="4"/>
    <n v="0"/>
    <n v="2"/>
    <n v="1"/>
    <n v="0"/>
    <n v="64420.5"/>
    <x v="1"/>
  </r>
  <r>
    <n v="650"/>
    <n v="15703119"/>
    <s v="Liang"/>
    <n v="652"/>
    <x v="0"/>
    <x v="1"/>
    <n v="38"/>
    <x v="5"/>
    <n v="0"/>
    <n v="2"/>
    <n v="1"/>
    <n v="1"/>
    <n v="145700.22"/>
    <x v="1"/>
  </r>
  <r>
    <n v="651"/>
    <n v="15730447"/>
    <s v="Anderson"/>
    <n v="629"/>
    <x v="0"/>
    <x v="0"/>
    <n v="49"/>
    <x v="4"/>
    <n v="0"/>
    <n v="2"/>
    <n v="1"/>
    <n v="1"/>
    <n v="196335.48"/>
    <x v="1"/>
  </r>
  <r>
    <n v="652"/>
    <n v="15813850"/>
    <s v="Christian"/>
    <n v="720"/>
    <x v="0"/>
    <x v="1"/>
    <n v="52"/>
    <x v="3"/>
    <n v="0"/>
    <n v="1"/>
    <n v="1"/>
    <n v="1"/>
    <n v="14781.12"/>
    <x v="1"/>
  </r>
  <r>
    <n v="653"/>
    <n v="15711889"/>
    <s v="Mao"/>
    <n v="668"/>
    <x v="0"/>
    <x v="1"/>
    <n v="42"/>
    <x v="6"/>
    <n v="150461.07"/>
    <n v="1"/>
    <n v="1"/>
    <n v="0"/>
    <n v="108139.23"/>
    <x v="1"/>
  </r>
  <r>
    <n v="654"/>
    <n v="15664610"/>
    <s v="Campbell"/>
    <n v="459"/>
    <x v="2"/>
    <x v="1"/>
    <n v="48"/>
    <x v="4"/>
    <n v="133994.51999999999"/>
    <n v="1"/>
    <n v="1"/>
    <n v="1"/>
    <n v="19287.060000000001"/>
    <x v="0"/>
  </r>
  <r>
    <n v="655"/>
    <n v="15751710"/>
    <s v="Ginikanwa"/>
    <n v="729"/>
    <x v="1"/>
    <x v="1"/>
    <n v="31"/>
    <x v="2"/>
    <n v="164870.81"/>
    <n v="2"/>
    <n v="1"/>
    <n v="1"/>
    <n v="9567.39"/>
    <x v="1"/>
  </r>
  <r>
    <n v="656"/>
    <n v="15692926"/>
    <s v="Toscani"/>
    <n v="498"/>
    <x v="2"/>
    <x v="1"/>
    <n v="25"/>
    <x v="2"/>
    <n v="121702.73"/>
    <n v="1"/>
    <n v="1"/>
    <n v="1"/>
    <n v="132210.49"/>
    <x v="1"/>
  </r>
  <r>
    <n v="657"/>
    <n v="15813741"/>
    <s v="Nnachetam"/>
    <n v="549"/>
    <x v="1"/>
    <x v="1"/>
    <n v="25"/>
    <x v="5"/>
    <n v="193858.2"/>
    <n v="1"/>
    <n v="0"/>
    <n v="1"/>
    <n v="21600.11"/>
    <x v="1"/>
  </r>
  <r>
    <n v="658"/>
    <n v="15698474"/>
    <s v="Sagese"/>
    <n v="601"/>
    <x v="2"/>
    <x v="0"/>
    <n v="54"/>
    <x v="1"/>
    <n v="131039.97"/>
    <n v="2"/>
    <n v="1"/>
    <n v="1"/>
    <n v="199661.5"/>
    <x v="1"/>
  </r>
  <r>
    <n v="659"/>
    <n v="15568595"/>
    <s v="Fleming"/>
    <n v="544"/>
    <x v="0"/>
    <x v="1"/>
    <n v="64"/>
    <x v="9"/>
    <n v="113829.45"/>
    <n v="1"/>
    <n v="1"/>
    <n v="1"/>
    <n v="124341.49"/>
    <x v="1"/>
  </r>
  <r>
    <n v="660"/>
    <n v="15603065"/>
    <s v="Grubb"/>
    <n v="751"/>
    <x v="0"/>
    <x v="0"/>
    <n v="30"/>
    <x v="5"/>
    <n v="0"/>
    <n v="2"/>
    <n v="1"/>
    <n v="0"/>
    <n v="15766.1"/>
    <x v="1"/>
  </r>
  <r>
    <n v="661"/>
    <n v="15592937"/>
    <s v="Napolitani"/>
    <n v="632"/>
    <x v="2"/>
    <x v="0"/>
    <n v="41"/>
    <x v="6"/>
    <n v="81877.38"/>
    <n v="1"/>
    <n v="1"/>
    <n v="1"/>
    <n v="33642.21"/>
    <x v="1"/>
  </r>
  <r>
    <n v="662"/>
    <n v="15699637"/>
    <s v="Anenechi"/>
    <n v="694"/>
    <x v="1"/>
    <x v="1"/>
    <n v="57"/>
    <x v="2"/>
    <n v="116326.07"/>
    <n v="1"/>
    <n v="1"/>
    <n v="1"/>
    <n v="117704.65"/>
    <x v="1"/>
  </r>
  <r>
    <n v="663"/>
    <n v="15667215"/>
    <s v="Chandler"/>
    <n v="678"/>
    <x v="0"/>
    <x v="1"/>
    <n v="31"/>
    <x v="0"/>
    <n v="0"/>
    <n v="2"/>
    <n v="1"/>
    <n v="1"/>
    <n v="58803.28"/>
    <x v="1"/>
  </r>
  <r>
    <n v="664"/>
    <n v="15788659"/>
    <s v="Howells"/>
    <n v="695"/>
    <x v="0"/>
    <x v="1"/>
    <n v="46"/>
    <x v="4"/>
    <n v="0"/>
    <n v="2"/>
    <n v="1"/>
    <n v="1"/>
    <n v="137537.22"/>
    <x v="1"/>
  </r>
  <r>
    <n v="665"/>
    <n v="15763218"/>
    <s v="Akeroyd"/>
    <n v="661"/>
    <x v="0"/>
    <x v="0"/>
    <n v="41"/>
    <x v="1"/>
    <n v="0"/>
    <n v="2"/>
    <n v="0"/>
    <n v="1"/>
    <n v="131300.68"/>
    <x v="1"/>
  </r>
  <r>
    <n v="666"/>
    <n v="15645772"/>
    <s v="Onwumelu"/>
    <n v="661"/>
    <x v="0"/>
    <x v="1"/>
    <n v="33"/>
    <x v="9"/>
    <n v="0"/>
    <n v="2"/>
    <n v="1"/>
    <n v="1"/>
    <n v="84174.81"/>
    <x v="1"/>
  </r>
  <r>
    <n v="667"/>
    <n v="15725511"/>
    <s v="Wallace"/>
    <n v="559"/>
    <x v="0"/>
    <x v="0"/>
    <n v="31"/>
    <x v="6"/>
    <n v="127070.73"/>
    <n v="1"/>
    <n v="0"/>
    <n v="1"/>
    <n v="160941.78"/>
    <x v="1"/>
  </r>
  <r>
    <n v="668"/>
    <n v="15575024"/>
    <s v="Uwaezuoke"/>
    <n v="503"/>
    <x v="0"/>
    <x v="1"/>
    <n v="29"/>
    <x v="6"/>
    <n v="0"/>
    <n v="2"/>
    <n v="1"/>
    <n v="1"/>
    <n v="143954.99"/>
    <x v="1"/>
  </r>
  <r>
    <n v="669"/>
    <n v="15640825"/>
    <s v="Loyau"/>
    <n v="695"/>
    <x v="1"/>
    <x v="1"/>
    <n v="46"/>
    <x v="6"/>
    <n v="122549.64"/>
    <n v="1"/>
    <n v="1"/>
    <n v="1"/>
    <n v="56297.85"/>
    <x v="1"/>
  </r>
  <r>
    <n v="670"/>
    <n v="15662397"/>
    <s v="Small"/>
    <n v="640"/>
    <x v="0"/>
    <x v="0"/>
    <n v="42"/>
    <x v="8"/>
    <n v="176099.13"/>
    <n v="1"/>
    <n v="1"/>
    <n v="1"/>
    <n v="8404.73"/>
    <x v="1"/>
  </r>
  <r>
    <n v="671"/>
    <n v="15576368"/>
    <s v="Bledsoe"/>
    <n v="624"/>
    <x v="2"/>
    <x v="0"/>
    <n v="48"/>
    <x v="6"/>
    <n v="122388.38"/>
    <n v="2"/>
    <n v="0"/>
    <n v="0"/>
    <n v="30020.09"/>
    <x v="1"/>
  </r>
  <r>
    <n v="672"/>
    <n v="15674991"/>
    <s v="Kao"/>
    <n v="667"/>
    <x v="0"/>
    <x v="1"/>
    <n v="42"/>
    <x v="9"/>
    <n v="0"/>
    <n v="2"/>
    <n v="0"/>
    <n v="1"/>
    <n v="58137.42"/>
    <x v="1"/>
  </r>
  <r>
    <n v="673"/>
    <n v="15721024"/>
    <s v="Wickens"/>
    <n v="642"/>
    <x v="0"/>
    <x v="1"/>
    <n v="26"/>
    <x v="10"/>
    <n v="0"/>
    <n v="1"/>
    <n v="0"/>
    <n v="0"/>
    <n v="47472.68"/>
    <x v="1"/>
  </r>
  <r>
    <n v="674"/>
    <n v="15745621"/>
    <s v="Wertheim"/>
    <n v="640"/>
    <x v="1"/>
    <x v="0"/>
    <n v="37"/>
    <x v="5"/>
    <n v="118879.35"/>
    <n v="2"/>
    <n v="1"/>
    <n v="1"/>
    <n v="19131.71"/>
    <x v="1"/>
  </r>
  <r>
    <n v="675"/>
    <n v="15642394"/>
    <s v="He"/>
    <n v="529"/>
    <x v="1"/>
    <x v="1"/>
    <n v="35"/>
    <x v="8"/>
    <n v="0"/>
    <n v="2"/>
    <n v="1"/>
    <n v="1"/>
    <n v="187288.5"/>
    <x v="1"/>
  </r>
  <r>
    <n v="676"/>
    <n v="15754605"/>
    <s v="Jarvis"/>
    <n v="563"/>
    <x v="0"/>
    <x v="0"/>
    <n v="39"/>
    <x v="8"/>
    <n v="0"/>
    <n v="2"/>
    <n v="1"/>
    <n v="1"/>
    <n v="17603.810000000001"/>
    <x v="1"/>
  </r>
  <r>
    <n v="677"/>
    <n v="15607040"/>
    <s v="P'an"/>
    <n v="593"/>
    <x v="1"/>
    <x v="0"/>
    <n v="37"/>
    <x v="4"/>
    <n v="88736.44"/>
    <n v="2"/>
    <n v="1"/>
    <n v="0"/>
    <n v="67020.03"/>
    <x v="1"/>
  </r>
  <r>
    <n v="678"/>
    <n v="15715142"/>
    <s v="Repina"/>
    <n v="739"/>
    <x v="2"/>
    <x v="1"/>
    <n v="45"/>
    <x v="3"/>
    <n v="102703.62"/>
    <n v="1"/>
    <n v="0"/>
    <n v="1"/>
    <n v="147802.94"/>
    <x v="0"/>
  </r>
  <r>
    <n v="679"/>
    <n v="15810978"/>
    <s v="Pugliesi"/>
    <n v="788"/>
    <x v="1"/>
    <x v="0"/>
    <n v="37"/>
    <x v="1"/>
    <n v="0"/>
    <n v="2"/>
    <n v="1"/>
    <n v="1"/>
    <n v="41610.620000000003"/>
    <x v="1"/>
  </r>
  <r>
    <n v="680"/>
    <n v="15668886"/>
    <s v="Blakey"/>
    <n v="684"/>
    <x v="1"/>
    <x v="0"/>
    <n v="37"/>
    <x v="6"/>
    <n v="0"/>
    <n v="2"/>
    <n v="1"/>
    <n v="0"/>
    <n v="44255.65"/>
    <x v="1"/>
  </r>
  <r>
    <n v="681"/>
    <n v="15780804"/>
    <s v="Nucci"/>
    <n v="482"/>
    <x v="0"/>
    <x v="1"/>
    <n v="55"/>
    <x v="8"/>
    <n v="97318.25"/>
    <n v="1"/>
    <n v="0"/>
    <n v="1"/>
    <n v="78416.14"/>
    <x v="1"/>
  </r>
  <r>
    <n v="682"/>
    <n v="15613880"/>
    <s v="Higinbotham"/>
    <n v="591"/>
    <x v="1"/>
    <x v="1"/>
    <n v="58"/>
    <x v="8"/>
    <n v="128468.69"/>
    <n v="1"/>
    <n v="0"/>
    <n v="1"/>
    <n v="137254.54999999999"/>
    <x v="1"/>
  </r>
  <r>
    <n v="683"/>
    <n v="15775238"/>
    <s v="Achebe"/>
    <n v="651"/>
    <x v="2"/>
    <x v="0"/>
    <n v="41"/>
    <x v="4"/>
    <n v="133432.59"/>
    <n v="1"/>
    <n v="0"/>
    <n v="1"/>
    <n v="151303.48000000001"/>
    <x v="1"/>
  </r>
  <r>
    <n v="684"/>
    <n v="15786905"/>
    <s v="Russo"/>
    <n v="749"/>
    <x v="2"/>
    <x v="0"/>
    <n v="40"/>
    <x v="2"/>
    <n v="141782.57"/>
    <n v="2"/>
    <n v="0"/>
    <n v="0"/>
    <n v="86333.63"/>
    <x v="1"/>
  </r>
  <r>
    <n v="685"/>
    <n v="15747867"/>
    <s v="Trevisani"/>
    <n v="583"/>
    <x v="0"/>
    <x v="1"/>
    <n v="24"/>
    <x v="9"/>
    <n v="135125.28"/>
    <n v="1"/>
    <n v="0"/>
    <n v="0"/>
    <n v="89801.9"/>
    <x v="1"/>
  </r>
  <r>
    <n v="686"/>
    <n v="15600337"/>
    <s v="Dobie"/>
    <n v="661"/>
    <x v="1"/>
    <x v="1"/>
    <n v="42"/>
    <x v="0"/>
    <n v="178820.91"/>
    <n v="1"/>
    <n v="0"/>
    <n v="0"/>
    <n v="29358.57"/>
    <x v="0"/>
  </r>
  <r>
    <n v="687"/>
    <n v="15801277"/>
    <s v="Maccallum"/>
    <n v="715"/>
    <x v="0"/>
    <x v="0"/>
    <n v="31"/>
    <x v="0"/>
    <n v="112212.14"/>
    <n v="2"/>
    <n v="1"/>
    <n v="1"/>
    <n v="181600.72"/>
    <x v="1"/>
  </r>
  <r>
    <n v="688"/>
    <n v="15579334"/>
    <s v="Watkins"/>
    <n v="769"/>
    <x v="2"/>
    <x v="0"/>
    <n v="45"/>
    <x v="8"/>
    <n v="126674.81"/>
    <n v="1"/>
    <n v="1"/>
    <n v="0"/>
    <n v="124118.71"/>
    <x v="0"/>
  </r>
  <r>
    <n v="689"/>
    <n v="15802741"/>
    <s v="Mitchel"/>
    <n v="625"/>
    <x v="0"/>
    <x v="0"/>
    <n v="51"/>
    <x v="3"/>
    <n v="136294.97"/>
    <n v="1"/>
    <n v="1"/>
    <n v="0"/>
    <n v="38867.46"/>
    <x v="0"/>
  </r>
  <r>
    <n v="690"/>
    <n v="15720649"/>
    <s v="Ferdinand"/>
    <n v="641"/>
    <x v="0"/>
    <x v="0"/>
    <n v="36"/>
    <x v="8"/>
    <n v="66392.639999999999"/>
    <n v="1"/>
    <n v="1"/>
    <n v="0"/>
    <n v="31106.67"/>
    <x v="1"/>
  </r>
  <r>
    <n v="691"/>
    <n v="15589493"/>
    <s v="Otitodilinna"/>
    <n v="716"/>
    <x v="2"/>
    <x v="1"/>
    <n v="27"/>
    <x v="1"/>
    <n v="122552.34"/>
    <n v="2"/>
    <n v="1"/>
    <n v="0"/>
    <n v="67611.360000000001"/>
    <x v="1"/>
  </r>
  <r>
    <n v="692"/>
    <n v="15688251"/>
    <s v="Mamelu"/>
    <n v="767"/>
    <x v="0"/>
    <x v="1"/>
    <n v="43"/>
    <x v="1"/>
    <n v="76408.850000000006"/>
    <n v="2"/>
    <n v="1"/>
    <n v="0"/>
    <n v="77837.63"/>
    <x v="1"/>
  </r>
  <r>
    <n v="693"/>
    <n v="15665238"/>
    <s v="Beneventi"/>
    <n v="745"/>
    <x v="2"/>
    <x v="1"/>
    <n v="36"/>
    <x v="2"/>
    <n v="145071.24"/>
    <n v="1"/>
    <n v="0"/>
    <n v="0"/>
    <n v="6078.46"/>
    <x v="1"/>
  </r>
  <r>
    <n v="694"/>
    <n v="15740900"/>
    <s v="Perrodin"/>
    <n v="589"/>
    <x v="0"/>
    <x v="1"/>
    <n v="34"/>
    <x v="5"/>
    <n v="0"/>
    <n v="2"/>
    <n v="1"/>
    <n v="1"/>
    <n v="177896.92"/>
    <x v="1"/>
  </r>
  <r>
    <n v="695"/>
    <n v="15681068"/>
    <s v="Chinagorom"/>
    <n v="796"/>
    <x v="0"/>
    <x v="0"/>
    <n v="45"/>
    <x v="0"/>
    <n v="109730.22"/>
    <n v="1"/>
    <n v="1"/>
    <n v="1"/>
    <n v="123882.73"/>
    <x v="1"/>
  </r>
  <r>
    <n v="696"/>
    <n v="15748625"/>
    <s v="Napolitano"/>
    <n v="664"/>
    <x v="0"/>
    <x v="1"/>
    <n v="57"/>
    <x v="5"/>
    <n v="0"/>
    <n v="2"/>
    <n v="1"/>
    <n v="1"/>
    <n v="15304.08"/>
    <x v="1"/>
  </r>
  <r>
    <n v="697"/>
    <n v="15727299"/>
    <s v="Edgar"/>
    <n v="445"/>
    <x v="1"/>
    <x v="1"/>
    <n v="62"/>
    <x v="1"/>
    <n v="64119.38"/>
    <n v="1"/>
    <n v="1"/>
    <n v="1"/>
    <n v="76569.64"/>
    <x v="0"/>
  </r>
  <r>
    <n v="698"/>
    <n v="15620204"/>
    <s v="Walker"/>
    <n v="543"/>
    <x v="2"/>
    <x v="0"/>
    <n v="57"/>
    <x v="1"/>
    <n v="106138.33"/>
    <n v="2"/>
    <n v="1"/>
    <n v="1"/>
    <n v="120657.32"/>
    <x v="0"/>
  </r>
  <r>
    <n v="699"/>
    <n v="15669516"/>
    <s v="Steele"/>
    <n v="746"/>
    <x v="1"/>
    <x v="1"/>
    <n v="36"/>
    <x v="0"/>
    <n v="0"/>
    <n v="2"/>
    <n v="1"/>
    <n v="1"/>
    <n v="16436.560000000001"/>
    <x v="1"/>
  </r>
  <r>
    <n v="700"/>
    <n v="15736534"/>
    <s v="Elkins"/>
    <n v="742"/>
    <x v="2"/>
    <x v="1"/>
    <n v="33"/>
    <x v="10"/>
    <n v="181656.51"/>
    <n v="1"/>
    <n v="1"/>
    <n v="1"/>
    <n v="107667.91"/>
    <x v="1"/>
  </r>
  <r>
    <n v="701"/>
    <n v="15803457"/>
    <s v="Hao"/>
    <n v="750"/>
    <x v="0"/>
    <x v="0"/>
    <n v="32"/>
    <x v="8"/>
    <n v="0"/>
    <n v="2"/>
    <n v="1"/>
    <n v="0"/>
    <n v="95611.47"/>
    <x v="1"/>
  </r>
  <r>
    <n v="702"/>
    <n v="15659098"/>
    <s v="Toscano"/>
    <n v="669"/>
    <x v="0"/>
    <x v="1"/>
    <n v="30"/>
    <x v="3"/>
    <n v="95128.86"/>
    <n v="1"/>
    <n v="0"/>
    <n v="0"/>
    <n v="19799.259999999998"/>
    <x v="1"/>
  </r>
  <r>
    <n v="703"/>
    <n v="15603436"/>
    <s v="Savage"/>
    <n v="594"/>
    <x v="1"/>
    <x v="0"/>
    <n v="37"/>
    <x v="0"/>
    <n v="126615.94"/>
    <n v="2"/>
    <n v="0"/>
    <n v="1"/>
    <n v="123214.74"/>
    <x v="1"/>
  </r>
  <r>
    <n v="704"/>
    <n v="15566292"/>
    <s v="Okwuadigbo"/>
    <n v="574"/>
    <x v="1"/>
    <x v="1"/>
    <n v="36"/>
    <x v="1"/>
    <n v="0"/>
    <n v="2"/>
    <n v="0"/>
    <n v="1"/>
    <n v="71709.119999999995"/>
    <x v="1"/>
  </r>
  <r>
    <n v="705"/>
    <n v="15808621"/>
    <s v="Mordvinova"/>
    <n v="659"/>
    <x v="2"/>
    <x v="1"/>
    <n v="36"/>
    <x v="0"/>
    <n v="76190.48"/>
    <n v="2"/>
    <n v="1"/>
    <n v="1"/>
    <n v="149066.14000000001"/>
    <x v="1"/>
  </r>
  <r>
    <n v="706"/>
    <n v="15580148"/>
    <s v="Welch"/>
    <n v="750"/>
    <x v="2"/>
    <x v="1"/>
    <n v="40"/>
    <x v="8"/>
    <n v="168286.81"/>
    <n v="3"/>
    <n v="1"/>
    <n v="0"/>
    <n v="20451.990000000002"/>
    <x v="0"/>
  </r>
  <r>
    <n v="707"/>
    <n v="15776231"/>
    <s v="Kent"/>
    <n v="626"/>
    <x v="2"/>
    <x v="1"/>
    <n v="35"/>
    <x v="4"/>
    <n v="88109.81"/>
    <n v="1"/>
    <n v="1"/>
    <n v="1"/>
    <n v="32825.5"/>
    <x v="1"/>
  </r>
  <r>
    <n v="708"/>
    <n v="15773809"/>
    <s v="Campbell"/>
    <n v="620"/>
    <x v="0"/>
    <x v="1"/>
    <n v="42"/>
    <x v="4"/>
    <n v="0"/>
    <n v="2"/>
    <n v="1"/>
    <n v="0"/>
    <n v="6232.31"/>
    <x v="1"/>
  </r>
  <r>
    <n v="709"/>
    <n v="15649423"/>
    <s v="Cooper"/>
    <n v="580"/>
    <x v="0"/>
    <x v="0"/>
    <n v="35"/>
    <x v="2"/>
    <n v="0"/>
    <n v="2"/>
    <n v="0"/>
    <n v="1"/>
    <n v="10357.030000000001"/>
    <x v="1"/>
  </r>
  <r>
    <n v="710"/>
    <n v="15734886"/>
    <s v="Mazzi"/>
    <n v="686"/>
    <x v="0"/>
    <x v="0"/>
    <n v="34"/>
    <x v="6"/>
    <n v="123971.51"/>
    <n v="2"/>
    <n v="1"/>
    <n v="0"/>
    <n v="147794.63"/>
    <x v="1"/>
  </r>
  <r>
    <n v="711"/>
    <n v="15722548"/>
    <s v="Fisher"/>
    <n v="540"/>
    <x v="0"/>
    <x v="1"/>
    <n v="48"/>
    <x v="10"/>
    <n v="148116.48000000001"/>
    <n v="1"/>
    <n v="0"/>
    <n v="0"/>
    <n v="116973.48"/>
    <x v="1"/>
  </r>
  <r>
    <n v="712"/>
    <n v="15650288"/>
    <s v="Summers"/>
    <n v="634"/>
    <x v="2"/>
    <x v="1"/>
    <n v="35"/>
    <x v="5"/>
    <n v="116269.01"/>
    <n v="1"/>
    <n v="1"/>
    <n v="0"/>
    <n v="129964.94"/>
    <x v="1"/>
  </r>
  <r>
    <n v="713"/>
    <n v="15629448"/>
    <s v="Brady"/>
    <n v="632"/>
    <x v="1"/>
    <x v="1"/>
    <n v="38"/>
    <x v="1"/>
    <n v="120599.21"/>
    <n v="1"/>
    <n v="1"/>
    <n v="0"/>
    <n v="92816.86"/>
    <x v="1"/>
  </r>
  <r>
    <n v="714"/>
    <n v="15716164"/>
    <s v="Nicholls"/>
    <n v="501"/>
    <x v="0"/>
    <x v="0"/>
    <n v="41"/>
    <x v="6"/>
    <n v="144260.5"/>
    <n v="1"/>
    <n v="1"/>
    <n v="0"/>
    <n v="172114.67"/>
    <x v="1"/>
  </r>
  <r>
    <n v="715"/>
    <n v="15807609"/>
    <s v="Yuan"/>
    <n v="650"/>
    <x v="1"/>
    <x v="0"/>
    <n v="37"/>
    <x v="6"/>
    <n v="86605.5"/>
    <n v="3"/>
    <n v="1"/>
    <n v="0"/>
    <n v="16649.310000000001"/>
    <x v="0"/>
  </r>
  <r>
    <n v="716"/>
    <n v="15578977"/>
    <s v="Robinson"/>
    <n v="786"/>
    <x v="0"/>
    <x v="1"/>
    <n v="34"/>
    <x v="9"/>
    <n v="0"/>
    <n v="2"/>
    <n v="1"/>
    <n v="0"/>
    <n v="144517.19"/>
    <x v="1"/>
  </r>
  <r>
    <n v="717"/>
    <n v="15677369"/>
    <s v="Golubov"/>
    <n v="554"/>
    <x v="2"/>
    <x v="0"/>
    <n v="37"/>
    <x v="4"/>
    <n v="58629.97"/>
    <n v="1"/>
    <n v="0"/>
    <n v="0"/>
    <n v="182038.6"/>
    <x v="1"/>
  </r>
  <r>
    <n v="718"/>
    <n v="15804072"/>
    <s v="Chen"/>
    <n v="701"/>
    <x v="1"/>
    <x v="0"/>
    <n v="42"/>
    <x v="8"/>
    <n v="0"/>
    <n v="2"/>
    <n v="0"/>
    <n v="0"/>
    <n v="24210.560000000001"/>
    <x v="1"/>
  </r>
  <r>
    <n v="719"/>
    <n v="15696859"/>
    <s v="Oldham"/>
    <n v="474"/>
    <x v="0"/>
    <x v="1"/>
    <n v="45"/>
    <x v="7"/>
    <n v="0"/>
    <n v="2"/>
    <n v="0"/>
    <n v="0"/>
    <n v="172175.9"/>
    <x v="1"/>
  </r>
  <r>
    <n v="720"/>
    <n v="15653780"/>
    <s v="Kambinachi"/>
    <n v="621"/>
    <x v="0"/>
    <x v="0"/>
    <n v="43"/>
    <x v="8"/>
    <n v="0"/>
    <n v="1"/>
    <n v="1"/>
    <n v="1"/>
    <n v="47578.45"/>
    <x v="1"/>
  </r>
  <r>
    <n v="721"/>
    <n v="15721658"/>
    <s v="Fleming"/>
    <n v="672"/>
    <x v="1"/>
    <x v="0"/>
    <n v="56"/>
    <x v="0"/>
    <n v="209767.31"/>
    <n v="2"/>
    <n v="1"/>
    <n v="1"/>
    <n v="150694.42000000001"/>
    <x v="0"/>
  </r>
  <r>
    <n v="722"/>
    <n v="15578761"/>
    <s v="Cunningham"/>
    <n v="459"/>
    <x v="1"/>
    <x v="0"/>
    <n v="42"/>
    <x v="5"/>
    <n v="129634.25"/>
    <n v="2"/>
    <n v="1"/>
    <n v="1"/>
    <n v="177683.02"/>
    <x v="0"/>
  </r>
  <r>
    <n v="723"/>
    <n v="15736879"/>
    <s v="Obinna"/>
    <n v="669"/>
    <x v="0"/>
    <x v="1"/>
    <n v="23"/>
    <x v="1"/>
    <n v="0"/>
    <n v="2"/>
    <n v="0"/>
    <n v="0"/>
    <n v="66088.83"/>
    <x v="1"/>
  </r>
  <r>
    <n v="724"/>
    <n v="15571973"/>
    <s v="Chinwemma"/>
    <n v="776"/>
    <x v="0"/>
    <x v="0"/>
    <n v="38"/>
    <x v="0"/>
    <n v="169824.46"/>
    <n v="1"/>
    <n v="1"/>
    <n v="0"/>
    <n v="169291.7"/>
    <x v="1"/>
  </r>
  <r>
    <n v="725"/>
    <n v="15626742"/>
    <s v="Carpenter"/>
    <n v="694"/>
    <x v="0"/>
    <x v="1"/>
    <n v="36"/>
    <x v="6"/>
    <n v="97530.25"/>
    <n v="1"/>
    <n v="1"/>
    <n v="1"/>
    <n v="117140.41"/>
    <x v="1"/>
  </r>
  <r>
    <n v="726"/>
    <n v="15672692"/>
    <s v="Yin"/>
    <n v="787"/>
    <x v="0"/>
    <x v="0"/>
    <n v="42"/>
    <x v="7"/>
    <n v="145988.65"/>
    <n v="2"/>
    <n v="1"/>
    <n v="1"/>
    <n v="79510.37"/>
    <x v="1"/>
  </r>
  <r>
    <n v="727"/>
    <n v="15673570"/>
    <s v="Olsen"/>
    <n v="580"/>
    <x v="0"/>
    <x v="1"/>
    <n v="37"/>
    <x v="9"/>
    <n v="0"/>
    <n v="2"/>
    <n v="0"/>
    <n v="1"/>
    <n v="77108.66"/>
    <x v="1"/>
  </r>
  <r>
    <n v="728"/>
    <n v="15767432"/>
    <s v="Ts'ai"/>
    <n v="711"/>
    <x v="0"/>
    <x v="0"/>
    <n v="25"/>
    <x v="3"/>
    <n v="0"/>
    <n v="3"/>
    <n v="1"/>
    <n v="1"/>
    <n v="9679.2800000000007"/>
    <x v="1"/>
  </r>
  <r>
    <n v="729"/>
    <n v="15654238"/>
    <s v="Jen"/>
    <n v="673"/>
    <x v="0"/>
    <x v="0"/>
    <n v="40"/>
    <x v="8"/>
    <n v="137494.28"/>
    <n v="1"/>
    <n v="1"/>
    <n v="0"/>
    <n v="81753.919999999998"/>
    <x v="1"/>
  </r>
  <r>
    <n v="730"/>
    <n v="15612525"/>
    <s v="Preston"/>
    <n v="499"/>
    <x v="0"/>
    <x v="0"/>
    <n v="57"/>
    <x v="1"/>
    <n v="0"/>
    <n v="1"/>
    <n v="0"/>
    <n v="0"/>
    <n v="131372.38"/>
    <x v="0"/>
  </r>
  <r>
    <n v="731"/>
    <n v="15812750"/>
    <s v="Ozioma"/>
    <n v="591"/>
    <x v="0"/>
    <x v="1"/>
    <n v="24"/>
    <x v="5"/>
    <n v="147360"/>
    <n v="1"/>
    <n v="1"/>
    <n v="1"/>
    <n v="25310.82"/>
    <x v="1"/>
  </r>
  <r>
    <n v="732"/>
    <n v="15790757"/>
    <s v="Cody"/>
    <n v="769"/>
    <x v="0"/>
    <x v="0"/>
    <n v="25"/>
    <x v="7"/>
    <n v="0"/>
    <n v="2"/>
    <n v="0"/>
    <n v="0"/>
    <n v="187925.75"/>
    <x v="1"/>
  </r>
  <r>
    <n v="733"/>
    <n v="15723873"/>
    <s v="Ponomarev"/>
    <n v="657"/>
    <x v="1"/>
    <x v="1"/>
    <n v="31"/>
    <x v="6"/>
    <n v="125167.02"/>
    <n v="1"/>
    <n v="0"/>
    <n v="0"/>
    <n v="98820.39"/>
    <x v="1"/>
  </r>
  <r>
    <n v="734"/>
    <n v="15744607"/>
    <s v="Martin"/>
    <n v="738"/>
    <x v="2"/>
    <x v="1"/>
    <n v="43"/>
    <x v="9"/>
    <n v="121152.05"/>
    <n v="2"/>
    <n v="1"/>
    <n v="0"/>
    <n v="64166.7"/>
    <x v="0"/>
  </r>
  <r>
    <n v="735"/>
    <n v="15612966"/>
    <s v="Milani"/>
    <n v="545"/>
    <x v="2"/>
    <x v="0"/>
    <n v="60"/>
    <x v="3"/>
    <n v="128981.07"/>
    <n v="1"/>
    <n v="0"/>
    <n v="1"/>
    <n v="176924.21"/>
    <x v="0"/>
  </r>
  <r>
    <n v="736"/>
    <n v="15784209"/>
    <s v="Tang"/>
    <n v="497"/>
    <x v="0"/>
    <x v="1"/>
    <n v="47"/>
    <x v="5"/>
    <n v="0"/>
    <n v="1"/>
    <n v="1"/>
    <n v="1"/>
    <n v="90055.08"/>
    <x v="1"/>
  </r>
  <r>
    <n v="737"/>
    <n v="15794278"/>
    <s v="Romani"/>
    <n v="816"/>
    <x v="1"/>
    <x v="1"/>
    <n v="67"/>
    <x v="5"/>
    <n v="151858.98000000001"/>
    <n v="1"/>
    <n v="1"/>
    <n v="1"/>
    <n v="72814.31"/>
    <x v="1"/>
  </r>
  <r>
    <n v="738"/>
    <n v="15766741"/>
    <s v="McIntyre"/>
    <n v="525"/>
    <x v="0"/>
    <x v="1"/>
    <n v="36"/>
    <x v="0"/>
    <n v="114628.4"/>
    <n v="1"/>
    <n v="0"/>
    <n v="1"/>
    <n v="168290.06"/>
    <x v="1"/>
  </r>
  <r>
    <n v="739"/>
    <n v="15661036"/>
    <s v="Davis"/>
    <n v="725"/>
    <x v="0"/>
    <x v="1"/>
    <n v="46"/>
    <x v="5"/>
    <n v="0"/>
    <n v="2"/>
    <n v="1"/>
    <n v="0"/>
    <n v="161767.38"/>
    <x v="1"/>
  </r>
  <r>
    <n v="740"/>
    <n v="15705639"/>
    <s v="Onyemauchechukwu"/>
    <n v="692"/>
    <x v="0"/>
    <x v="0"/>
    <n v="28"/>
    <x v="2"/>
    <n v="95059.02"/>
    <n v="2"/>
    <n v="1"/>
    <n v="0"/>
    <n v="44420.18"/>
    <x v="1"/>
  </r>
  <r>
    <n v="741"/>
    <n v="15637414"/>
    <s v="Gell"/>
    <n v="618"/>
    <x v="0"/>
    <x v="0"/>
    <n v="24"/>
    <x v="3"/>
    <n v="128736.39"/>
    <n v="1"/>
    <n v="0"/>
    <n v="1"/>
    <n v="37147.61"/>
    <x v="1"/>
  </r>
  <r>
    <n v="742"/>
    <n v="15716835"/>
    <s v="Rossi"/>
    <n v="546"/>
    <x v="0"/>
    <x v="1"/>
    <n v="24"/>
    <x v="2"/>
    <n v="156325.38"/>
    <n v="1"/>
    <n v="1"/>
    <n v="1"/>
    <n v="125381.02"/>
    <x v="1"/>
  </r>
  <r>
    <n v="743"/>
    <n v="15696231"/>
    <s v="Chiwetelu"/>
    <n v="635"/>
    <x v="0"/>
    <x v="1"/>
    <n v="29"/>
    <x v="3"/>
    <n v="105405.97"/>
    <n v="1"/>
    <n v="1"/>
    <n v="1"/>
    <n v="149853.89000000001"/>
    <x v="1"/>
  </r>
  <r>
    <n v="744"/>
    <n v="15641675"/>
    <s v="Kirillova"/>
    <n v="611"/>
    <x v="0"/>
    <x v="0"/>
    <n v="49"/>
    <x v="0"/>
    <n v="88915.37"/>
    <n v="3"/>
    <n v="0"/>
    <n v="0"/>
    <n v="161435.01999999999"/>
    <x v="0"/>
  </r>
  <r>
    <n v="745"/>
    <n v="15670755"/>
    <s v="Shaw"/>
    <n v="650"/>
    <x v="0"/>
    <x v="1"/>
    <n v="60"/>
    <x v="2"/>
    <n v="0"/>
    <n v="2"/>
    <n v="1"/>
    <n v="1"/>
    <n v="102925.75999999999"/>
    <x v="1"/>
  </r>
  <r>
    <n v="746"/>
    <n v="15640059"/>
    <s v="Smith"/>
    <n v="606"/>
    <x v="0"/>
    <x v="1"/>
    <n v="40"/>
    <x v="8"/>
    <n v="0"/>
    <n v="2"/>
    <n v="1"/>
    <n v="1"/>
    <n v="70899.27"/>
    <x v="1"/>
  </r>
  <r>
    <n v="747"/>
    <n v="15787619"/>
    <s v="Hsieh"/>
    <n v="844"/>
    <x v="0"/>
    <x v="1"/>
    <n v="18"/>
    <x v="0"/>
    <n v="160980.03"/>
    <n v="1"/>
    <n v="0"/>
    <n v="0"/>
    <n v="145936.28"/>
    <x v="1"/>
  </r>
  <r>
    <n v="748"/>
    <n v="15587535"/>
    <s v="Onyemauchechukwu"/>
    <n v="450"/>
    <x v="1"/>
    <x v="0"/>
    <n v="46"/>
    <x v="8"/>
    <n v="177619.71"/>
    <n v="1"/>
    <n v="1"/>
    <n v="0"/>
    <n v="54227.06"/>
    <x v="1"/>
  </r>
  <r>
    <n v="749"/>
    <n v="15813034"/>
    <s v="Martin"/>
    <n v="727"/>
    <x v="1"/>
    <x v="1"/>
    <n v="38"/>
    <x v="0"/>
    <n v="62276.99"/>
    <n v="1"/>
    <n v="1"/>
    <n v="1"/>
    <n v="59280.79"/>
    <x v="1"/>
  </r>
  <r>
    <n v="750"/>
    <n v="15698839"/>
    <s v="Okwudilichukwu"/>
    <n v="460"/>
    <x v="2"/>
    <x v="1"/>
    <n v="46"/>
    <x v="4"/>
    <n v="127559.97"/>
    <n v="2"/>
    <n v="1"/>
    <n v="1"/>
    <n v="126952.5"/>
    <x v="1"/>
  </r>
  <r>
    <n v="751"/>
    <n v="15790314"/>
    <s v="Onuoha"/>
    <n v="649"/>
    <x v="0"/>
    <x v="1"/>
    <n v="41"/>
    <x v="10"/>
    <n v="0"/>
    <n v="2"/>
    <n v="0"/>
    <n v="1"/>
    <n v="130567.02"/>
    <x v="1"/>
  </r>
  <r>
    <n v="752"/>
    <n v="15634245"/>
    <s v="Muecke"/>
    <n v="758"/>
    <x v="2"/>
    <x v="0"/>
    <n v="47"/>
    <x v="9"/>
    <n v="95523.16"/>
    <n v="1"/>
    <n v="1"/>
    <n v="0"/>
    <n v="73294.48"/>
    <x v="1"/>
  </r>
  <r>
    <n v="753"/>
    <n v="15677305"/>
    <s v="Hsieh"/>
    <n v="490"/>
    <x v="0"/>
    <x v="0"/>
    <n v="35"/>
    <x v="3"/>
    <n v="107749.03"/>
    <n v="1"/>
    <n v="1"/>
    <n v="1"/>
    <n v="3937.37"/>
    <x v="1"/>
  </r>
  <r>
    <n v="754"/>
    <n v="15661526"/>
    <s v="Anderson"/>
    <n v="815"/>
    <x v="2"/>
    <x v="1"/>
    <n v="37"/>
    <x v="0"/>
    <n v="110777.26"/>
    <n v="2"/>
    <n v="1"/>
    <n v="0"/>
    <n v="2383.59"/>
    <x v="1"/>
  </r>
  <r>
    <n v="755"/>
    <n v="15685997"/>
    <s v="Azubuike"/>
    <n v="838"/>
    <x v="1"/>
    <x v="0"/>
    <n v="39"/>
    <x v="8"/>
    <n v="166733.92000000001"/>
    <n v="2"/>
    <n v="1"/>
    <n v="0"/>
    <n v="14279.44"/>
    <x v="1"/>
  </r>
  <r>
    <n v="756"/>
    <n v="15660101"/>
    <s v="Nnonso"/>
    <n v="803"/>
    <x v="0"/>
    <x v="1"/>
    <n v="31"/>
    <x v="9"/>
    <n v="157120.85999999999"/>
    <n v="2"/>
    <n v="1"/>
    <n v="0"/>
    <n v="141300.53"/>
    <x v="1"/>
  </r>
  <r>
    <n v="757"/>
    <n v="15637979"/>
    <s v="Fuller"/>
    <n v="664"/>
    <x v="2"/>
    <x v="0"/>
    <n v="36"/>
    <x v="0"/>
    <n v="127160.78"/>
    <n v="2"/>
    <n v="1"/>
    <n v="0"/>
    <n v="78140.75"/>
    <x v="1"/>
  </r>
  <r>
    <n v="758"/>
    <n v="15815364"/>
    <s v="Ashley"/>
    <n v="736"/>
    <x v="1"/>
    <x v="0"/>
    <n v="28"/>
    <x v="0"/>
    <n v="0"/>
    <n v="2"/>
    <n v="1"/>
    <n v="1"/>
    <n v="117431.1"/>
    <x v="1"/>
  </r>
  <r>
    <n v="759"/>
    <n v="15647099"/>
    <s v="Ts'ui"/>
    <n v="633"/>
    <x v="0"/>
    <x v="0"/>
    <n v="37"/>
    <x v="9"/>
    <n v="156091.97"/>
    <n v="1"/>
    <n v="1"/>
    <n v="0"/>
    <n v="72008.61"/>
    <x v="1"/>
  </r>
  <r>
    <n v="760"/>
    <n v="15625944"/>
    <s v="Buccho"/>
    <n v="664"/>
    <x v="0"/>
    <x v="1"/>
    <n v="58"/>
    <x v="8"/>
    <n v="98668.18"/>
    <n v="1"/>
    <n v="1"/>
    <n v="1"/>
    <n v="60887.58"/>
    <x v="1"/>
  </r>
  <r>
    <n v="761"/>
    <n v="15583212"/>
    <s v="Chidozie"/>
    <n v="600"/>
    <x v="0"/>
    <x v="0"/>
    <n v="43"/>
    <x v="8"/>
    <n v="134022.06"/>
    <n v="1"/>
    <n v="1"/>
    <n v="0"/>
    <n v="194764.83"/>
    <x v="1"/>
  </r>
  <r>
    <n v="762"/>
    <n v="15582741"/>
    <s v="Maclean"/>
    <n v="693"/>
    <x v="0"/>
    <x v="0"/>
    <n v="35"/>
    <x v="8"/>
    <n v="124151.09"/>
    <n v="1"/>
    <n v="1"/>
    <n v="0"/>
    <n v="88705.14"/>
    <x v="0"/>
  </r>
  <r>
    <n v="763"/>
    <n v="15637876"/>
    <s v="Burns"/>
    <n v="663"/>
    <x v="2"/>
    <x v="0"/>
    <n v="36"/>
    <x v="5"/>
    <n v="77253.5"/>
    <n v="1"/>
    <n v="0"/>
    <n v="0"/>
    <n v="35817.97"/>
    <x v="0"/>
  </r>
  <r>
    <n v="764"/>
    <n v="15622750"/>
    <s v="Chu"/>
    <n v="742"/>
    <x v="2"/>
    <x v="0"/>
    <n v="21"/>
    <x v="1"/>
    <n v="114292.48"/>
    <n v="1"/>
    <n v="1"/>
    <n v="0"/>
    <n v="31520.400000000001"/>
    <x v="1"/>
  </r>
  <r>
    <n v="765"/>
    <n v="15672056"/>
    <s v="Kenenna"/>
    <n v="710"/>
    <x v="2"/>
    <x v="1"/>
    <n v="43"/>
    <x v="0"/>
    <n v="140080.32000000001"/>
    <n v="3"/>
    <n v="1"/>
    <n v="1"/>
    <n v="157908.19"/>
    <x v="0"/>
  </r>
  <r>
    <n v="766"/>
    <n v="15812351"/>
    <s v="Beluchi"/>
    <n v="710"/>
    <x v="1"/>
    <x v="0"/>
    <n v="27"/>
    <x v="0"/>
    <n v="135277.96"/>
    <n v="1"/>
    <n v="1"/>
    <n v="0"/>
    <n v="142200.15"/>
    <x v="1"/>
  </r>
  <r>
    <n v="767"/>
    <n v="15810864"/>
    <s v="Williamson"/>
    <n v="700"/>
    <x v="0"/>
    <x v="0"/>
    <n v="82"/>
    <x v="0"/>
    <n v="0"/>
    <n v="2"/>
    <n v="0"/>
    <n v="1"/>
    <n v="182055.36"/>
    <x v="1"/>
  </r>
  <r>
    <n v="768"/>
    <n v="15677921"/>
    <s v="Bobrov"/>
    <n v="720"/>
    <x v="2"/>
    <x v="1"/>
    <n v="60"/>
    <x v="9"/>
    <n v="115920.62"/>
    <n v="2"/>
    <n v="0"/>
    <n v="0"/>
    <n v="157552.07999999999"/>
    <x v="0"/>
  </r>
  <r>
    <n v="769"/>
    <n v="15724296"/>
    <s v="Kerr"/>
    <n v="684"/>
    <x v="1"/>
    <x v="1"/>
    <n v="41"/>
    <x v="0"/>
    <n v="119782.72"/>
    <n v="2"/>
    <n v="0"/>
    <n v="0"/>
    <n v="120284.67"/>
    <x v="1"/>
  </r>
  <r>
    <n v="770"/>
    <n v="15685329"/>
    <s v="McKenzie"/>
    <n v="531"/>
    <x v="0"/>
    <x v="0"/>
    <n v="63"/>
    <x v="1"/>
    <n v="114715.71"/>
    <n v="1"/>
    <n v="0"/>
    <n v="1"/>
    <n v="24506.95"/>
    <x v="0"/>
  </r>
  <r>
    <n v="771"/>
    <n v="15584091"/>
    <s v="Pitts"/>
    <n v="742"/>
    <x v="2"/>
    <x v="0"/>
    <n v="36"/>
    <x v="0"/>
    <n v="129748.54"/>
    <n v="2"/>
    <n v="0"/>
    <n v="0"/>
    <n v="47271.61"/>
    <x v="0"/>
  </r>
  <r>
    <n v="772"/>
    <n v="15640442"/>
    <s v="Standish"/>
    <n v="717"/>
    <x v="0"/>
    <x v="1"/>
    <n v="31"/>
    <x v="4"/>
    <n v="129722.57"/>
    <n v="1"/>
    <n v="0"/>
    <n v="0"/>
    <n v="41176.6"/>
    <x v="1"/>
  </r>
  <r>
    <n v="773"/>
    <n v="15639314"/>
    <s v="Cartwright"/>
    <n v="589"/>
    <x v="0"/>
    <x v="1"/>
    <n v="32"/>
    <x v="0"/>
    <n v="0"/>
    <n v="2"/>
    <n v="0"/>
    <n v="1"/>
    <n v="9468.64"/>
    <x v="1"/>
  </r>
  <r>
    <n v="774"/>
    <n v="15685320"/>
    <s v="Johnstone"/>
    <n v="767"/>
    <x v="0"/>
    <x v="1"/>
    <n v="36"/>
    <x v="6"/>
    <n v="139180.20000000001"/>
    <n v="1"/>
    <n v="0"/>
    <n v="0"/>
    <n v="123880.19"/>
    <x v="1"/>
  </r>
  <r>
    <n v="775"/>
    <n v="15789158"/>
    <s v="Nikitina"/>
    <n v="636"/>
    <x v="2"/>
    <x v="1"/>
    <n v="49"/>
    <x v="5"/>
    <n v="113599.74"/>
    <n v="2"/>
    <n v="1"/>
    <n v="0"/>
    <n v="158887.09"/>
    <x v="0"/>
  </r>
  <r>
    <n v="776"/>
    <n v="15752137"/>
    <s v="McElroy"/>
    <n v="648"/>
    <x v="0"/>
    <x v="1"/>
    <n v="33"/>
    <x v="3"/>
    <n v="134944"/>
    <n v="1"/>
    <n v="1"/>
    <n v="1"/>
    <n v="117036.38"/>
    <x v="1"/>
  </r>
  <r>
    <n v="777"/>
    <n v="15712551"/>
    <s v="Shen"/>
    <n v="622"/>
    <x v="2"/>
    <x v="0"/>
    <n v="58"/>
    <x v="3"/>
    <n v="116922.25"/>
    <n v="1"/>
    <n v="1"/>
    <n v="0"/>
    <n v="120415.61"/>
    <x v="0"/>
  </r>
  <r>
    <n v="778"/>
    <n v="15628936"/>
    <s v="Archer"/>
    <n v="692"/>
    <x v="1"/>
    <x v="1"/>
    <n v="28"/>
    <x v="9"/>
    <n v="118945.09"/>
    <n v="1"/>
    <n v="0"/>
    <n v="0"/>
    <n v="16064.25"/>
    <x v="0"/>
  </r>
  <r>
    <n v="779"/>
    <n v="15797227"/>
    <s v="Otutodilinna"/>
    <n v="754"/>
    <x v="0"/>
    <x v="1"/>
    <n v="28"/>
    <x v="2"/>
    <n v="0"/>
    <n v="2"/>
    <n v="1"/>
    <n v="1"/>
    <n v="52615.62"/>
    <x v="1"/>
  </r>
  <r>
    <n v="780"/>
    <n v="15769974"/>
    <s v="Shih"/>
    <n v="679"/>
    <x v="1"/>
    <x v="0"/>
    <n v="35"/>
    <x v="2"/>
    <n v="119182.73"/>
    <n v="1"/>
    <n v="0"/>
    <n v="0"/>
    <n v="121210.09"/>
    <x v="1"/>
  </r>
  <r>
    <n v="781"/>
    <n v="15737051"/>
    <s v="Denisov"/>
    <n v="639"/>
    <x v="0"/>
    <x v="1"/>
    <n v="27"/>
    <x v="2"/>
    <n v="0"/>
    <n v="2"/>
    <n v="1"/>
    <n v="0"/>
    <n v="192247.35"/>
    <x v="1"/>
  </r>
  <r>
    <n v="782"/>
    <n v="15585595"/>
    <s v="Owens"/>
    <n v="774"/>
    <x v="0"/>
    <x v="0"/>
    <n v="28"/>
    <x v="1"/>
    <n v="71264.02"/>
    <n v="2"/>
    <n v="0"/>
    <n v="1"/>
    <n v="68759.570000000007"/>
    <x v="1"/>
  </r>
  <r>
    <n v="783"/>
    <n v="15654060"/>
    <s v="P'eng"/>
    <n v="517"/>
    <x v="0"/>
    <x v="1"/>
    <n v="41"/>
    <x v="0"/>
    <n v="0"/>
    <n v="2"/>
    <n v="0"/>
    <n v="1"/>
    <n v="75937.47"/>
    <x v="1"/>
  </r>
  <r>
    <n v="784"/>
    <n v="15745196"/>
    <s v="Verco"/>
    <n v="571"/>
    <x v="0"/>
    <x v="0"/>
    <n v="35"/>
    <x v="2"/>
    <n v="0"/>
    <n v="2"/>
    <n v="0"/>
    <n v="0"/>
    <n v="84569.13"/>
    <x v="1"/>
  </r>
  <r>
    <n v="785"/>
    <n v="15571221"/>
    <s v="Bergamaschi"/>
    <n v="747"/>
    <x v="2"/>
    <x v="1"/>
    <n v="58"/>
    <x v="3"/>
    <n v="116313.57"/>
    <n v="1"/>
    <n v="1"/>
    <n v="1"/>
    <n v="190696.35"/>
    <x v="0"/>
  </r>
  <r>
    <n v="786"/>
    <n v="15660155"/>
    <s v="Lorenzo"/>
    <n v="792"/>
    <x v="1"/>
    <x v="1"/>
    <n v="36"/>
    <x v="8"/>
    <n v="92140.15"/>
    <n v="1"/>
    <n v="0"/>
    <n v="1"/>
    <n v="67468.67"/>
    <x v="1"/>
  </r>
  <r>
    <n v="787"/>
    <n v="15605284"/>
    <s v="Outtrim"/>
    <n v="688"/>
    <x v="0"/>
    <x v="1"/>
    <n v="26"/>
    <x v="1"/>
    <n v="0"/>
    <n v="2"/>
    <n v="1"/>
    <n v="1"/>
    <n v="104435.94"/>
    <x v="1"/>
  </r>
  <r>
    <n v="788"/>
    <n v="15694366"/>
    <s v="Hou"/>
    <n v="714"/>
    <x v="2"/>
    <x v="1"/>
    <n v="42"/>
    <x v="0"/>
    <n v="177640.09"/>
    <n v="1"/>
    <n v="0"/>
    <n v="1"/>
    <n v="47166.55"/>
    <x v="1"/>
  </r>
  <r>
    <n v="789"/>
    <n v="15600739"/>
    <s v="Galkin"/>
    <n v="562"/>
    <x v="1"/>
    <x v="0"/>
    <n v="35"/>
    <x v="10"/>
    <n v="0"/>
    <n v="2"/>
    <n v="1"/>
    <n v="0"/>
    <n v="119899.52"/>
    <x v="1"/>
  </r>
  <r>
    <n v="790"/>
    <n v="15653253"/>
    <s v="Pagnotto"/>
    <n v="704"/>
    <x v="1"/>
    <x v="1"/>
    <n v="48"/>
    <x v="2"/>
    <n v="167997.6"/>
    <n v="1"/>
    <n v="1"/>
    <n v="1"/>
    <n v="173498.45"/>
    <x v="1"/>
  </r>
  <r>
    <n v="791"/>
    <n v="15763431"/>
    <s v="Echezonachukwu"/>
    <n v="698"/>
    <x v="0"/>
    <x v="1"/>
    <n v="36"/>
    <x v="0"/>
    <n v="82275.350000000006"/>
    <n v="2"/>
    <n v="1"/>
    <n v="1"/>
    <n v="93249.26"/>
    <x v="1"/>
  </r>
  <r>
    <n v="792"/>
    <n v="15643696"/>
    <s v="Young"/>
    <n v="611"/>
    <x v="0"/>
    <x v="1"/>
    <n v="49"/>
    <x v="6"/>
    <n v="0"/>
    <n v="2"/>
    <n v="1"/>
    <n v="1"/>
    <n v="142917.54"/>
    <x v="1"/>
  </r>
  <r>
    <n v="793"/>
    <n v="15707473"/>
    <s v="Summers"/>
    <n v="850"/>
    <x v="2"/>
    <x v="0"/>
    <n v="48"/>
    <x v="5"/>
    <n v="111962.99"/>
    <n v="1"/>
    <n v="1"/>
    <n v="0"/>
    <n v="111755.8"/>
    <x v="1"/>
  </r>
  <r>
    <n v="794"/>
    <n v="15769504"/>
    <s v="Munro"/>
    <n v="743"/>
    <x v="2"/>
    <x v="0"/>
    <n v="34"/>
    <x v="1"/>
    <n v="131736.88"/>
    <n v="1"/>
    <n v="1"/>
    <n v="1"/>
    <n v="108543.21"/>
    <x v="1"/>
  </r>
  <r>
    <n v="795"/>
    <n v="15776807"/>
    <s v="Brennan"/>
    <n v="654"/>
    <x v="0"/>
    <x v="1"/>
    <n v="29"/>
    <x v="1"/>
    <n v="0"/>
    <n v="1"/>
    <n v="1"/>
    <n v="0"/>
    <n v="180345.44"/>
    <x v="1"/>
  </r>
  <r>
    <n v="796"/>
    <n v="15686870"/>
    <s v="Ball"/>
    <n v="761"/>
    <x v="2"/>
    <x v="1"/>
    <n v="36"/>
    <x v="2"/>
    <n v="108239.11"/>
    <n v="2"/>
    <n v="0"/>
    <n v="0"/>
    <n v="99444.02"/>
    <x v="1"/>
  </r>
  <r>
    <n v="797"/>
    <n v="15668747"/>
    <s v="Virgo"/>
    <n v="702"/>
    <x v="0"/>
    <x v="0"/>
    <n v="46"/>
    <x v="9"/>
    <n v="98444.19"/>
    <n v="1"/>
    <n v="0"/>
    <n v="1"/>
    <n v="109563.28"/>
    <x v="1"/>
  </r>
  <r>
    <n v="798"/>
    <n v="15766908"/>
    <s v="Trevisani"/>
    <n v="488"/>
    <x v="2"/>
    <x v="1"/>
    <n v="32"/>
    <x v="6"/>
    <n v="114540.38"/>
    <n v="1"/>
    <n v="1"/>
    <n v="0"/>
    <n v="92568.07"/>
    <x v="1"/>
  </r>
  <r>
    <n v="799"/>
    <n v="15570134"/>
    <s v="Padovano"/>
    <n v="683"/>
    <x v="0"/>
    <x v="0"/>
    <n v="35"/>
    <x v="5"/>
    <n v="187530.66"/>
    <n v="2"/>
    <n v="1"/>
    <n v="1"/>
    <n v="37976.36"/>
    <x v="1"/>
  </r>
  <r>
    <n v="800"/>
    <n v="15567367"/>
    <s v="Tao"/>
    <n v="601"/>
    <x v="2"/>
    <x v="0"/>
    <n v="42"/>
    <x v="9"/>
    <n v="133636.16"/>
    <n v="1"/>
    <n v="0"/>
    <n v="1"/>
    <n v="103315.74"/>
    <x v="1"/>
  </r>
  <r>
    <n v="801"/>
    <n v="15747542"/>
    <s v="Perez"/>
    <n v="605"/>
    <x v="0"/>
    <x v="1"/>
    <n v="52"/>
    <x v="3"/>
    <n v="0"/>
    <n v="2"/>
    <n v="1"/>
    <n v="1"/>
    <n v="173952.5"/>
    <x v="1"/>
  </r>
  <r>
    <n v="802"/>
    <n v="15762238"/>
    <s v="Fraser"/>
    <n v="671"/>
    <x v="2"/>
    <x v="0"/>
    <n v="44"/>
    <x v="10"/>
    <n v="84745.03"/>
    <n v="2"/>
    <n v="0"/>
    <n v="1"/>
    <n v="34673.980000000003"/>
    <x v="1"/>
  </r>
  <r>
    <n v="803"/>
    <n v="15681554"/>
    <s v="Alley"/>
    <n v="614"/>
    <x v="2"/>
    <x v="0"/>
    <n v="31"/>
    <x v="3"/>
    <n v="120599.38"/>
    <n v="2"/>
    <n v="1"/>
    <n v="1"/>
    <n v="46163.44"/>
    <x v="1"/>
  </r>
  <r>
    <n v="804"/>
    <n v="15712825"/>
    <s v="Howells"/>
    <n v="511"/>
    <x v="1"/>
    <x v="0"/>
    <n v="29"/>
    <x v="9"/>
    <n v="0"/>
    <n v="2"/>
    <n v="0"/>
    <n v="1"/>
    <n v="140676.98000000001"/>
    <x v="1"/>
  </r>
  <r>
    <n v="805"/>
    <n v="15640280"/>
    <s v="Cameron"/>
    <n v="850"/>
    <x v="0"/>
    <x v="1"/>
    <n v="39"/>
    <x v="4"/>
    <n v="127771.35"/>
    <n v="2"/>
    <n v="0"/>
    <n v="1"/>
    <n v="151738.54"/>
    <x v="1"/>
  </r>
  <r>
    <n v="806"/>
    <n v="15756026"/>
    <s v="Hooper"/>
    <n v="790"/>
    <x v="1"/>
    <x v="0"/>
    <n v="46"/>
    <x v="9"/>
    <n v="0"/>
    <n v="1"/>
    <n v="0"/>
    <n v="0"/>
    <n v="14679.81"/>
    <x v="0"/>
  </r>
  <r>
    <n v="807"/>
    <n v="15613319"/>
    <s v="Rice"/>
    <n v="793"/>
    <x v="0"/>
    <x v="0"/>
    <n v="33"/>
    <x v="10"/>
    <n v="0"/>
    <n v="1"/>
    <n v="0"/>
    <n v="0"/>
    <n v="175544.02"/>
    <x v="1"/>
  </r>
  <r>
    <n v="808"/>
    <n v="15798906"/>
    <s v="Cox"/>
    <n v="628"/>
    <x v="0"/>
    <x v="1"/>
    <n v="69"/>
    <x v="8"/>
    <n v="0"/>
    <n v="2"/>
    <n v="1"/>
    <n v="1"/>
    <n v="181964.6"/>
    <x v="1"/>
  </r>
  <r>
    <n v="809"/>
    <n v="15708917"/>
    <s v="Martin"/>
    <n v="598"/>
    <x v="2"/>
    <x v="1"/>
    <n v="53"/>
    <x v="7"/>
    <n v="167772.96"/>
    <n v="1"/>
    <n v="1"/>
    <n v="1"/>
    <n v="136886.85999999999"/>
    <x v="1"/>
  </r>
  <r>
    <n v="810"/>
    <n v="15778463"/>
    <s v="Ikenna"/>
    <n v="657"/>
    <x v="0"/>
    <x v="0"/>
    <n v="37"/>
    <x v="5"/>
    <n v="95845.6"/>
    <n v="1"/>
    <n v="1"/>
    <n v="0"/>
    <n v="122218.23"/>
    <x v="1"/>
  </r>
  <r>
    <n v="811"/>
    <n v="15699430"/>
    <s v="Davide"/>
    <n v="618"/>
    <x v="0"/>
    <x v="0"/>
    <n v="35"/>
    <x v="7"/>
    <n v="0"/>
    <n v="2"/>
    <n v="1"/>
    <n v="0"/>
    <n v="180439.75"/>
    <x v="1"/>
  </r>
  <r>
    <n v="812"/>
    <n v="15649992"/>
    <s v="Alexander"/>
    <n v="681"/>
    <x v="1"/>
    <x v="1"/>
    <n v="65"/>
    <x v="3"/>
    <n v="134714.70000000001"/>
    <n v="2"/>
    <n v="0"/>
    <n v="1"/>
    <n v="190419.81"/>
    <x v="1"/>
  </r>
  <r>
    <n v="813"/>
    <n v="15578980"/>
    <s v="Piazza"/>
    <n v="516"/>
    <x v="1"/>
    <x v="0"/>
    <n v="33"/>
    <x v="6"/>
    <n v="0"/>
    <n v="2"/>
    <n v="1"/>
    <n v="1"/>
    <n v="58685.59"/>
    <x v="1"/>
  </r>
  <r>
    <n v="814"/>
    <n v="15775306"/>
    <s v="Ni"/>
    <n v="421"/>
    <x v="2"/>
    <x v="1"/>
    <n v="28"/>
    <x v="2"/>
    <n v="122384.22"/>
    <n v="3"/>
    <n v="1"/>
    <n v="1"/>
    <n v="89017.38"/>
    <x v="0"/>
  </r>
  <r>
    <n v="815"/>
    <n v="15641655"/>
    <s v="Black"/>
    <n v="700"/>
    <x v="0"/>
    <x v="0"/>
    <n v="26"/>
    <x v="0"/>
    <n v="0"/>
    <n v="2"/>
    <n v="0"/>
    <n v="0"/>
    <n v="50051.42"/>
    <x v="1"/>
  </r>
  <r>
    <n v="816"/>
    <n v="15619708"/>
    <s v="Harker"/>
    <n v="745"/>
    <x v="0"/>
    <x v="1"/>
    <n v="25"/>
    <x v="8"/>
    <n v="157993.15"/>
    <n v="2"/>
    <n v="1"/>
    <n v="0"/>
    <n v="146041.45000000001"/>
    <x v="1"/>
  </r>
  <r>
    <n v="817"/>
    <n v="15734565"/>
    <s v="Hughes"/>
    <n v="696"/>
    <x v="0"/>
    <x v="1"/>
    <n v="29"/>
    <x v="2"/>
    <n v="0"/>
    <n v="2"/>
    <n v="1"/>
    <n v="0"/>
    <n v="191166.09"/>
    <x v="1"/>
  </r>
  <r>
    <n v="818"/>
    <n v="15806438"/>
    <s v="Chiabuotu"/>
    <n v="580"/>
    <x v="2"/>
    <x v="0"/>
    <n v="42"/>
    <x v="0"/>
    <n v="123331.36"/>
    <n v="1"/>
    <n v="0"/>
    <n v="0"/>
    <n v="103516.08"/>
    <x v="0"/>
  </r>
  <r>
    <n v="819"/>
    <n v="15591969"/>
    <s v="Kuo"/>
    <n v="497"/>
    <x v="1"/>
    <x v="1"/>
    <n v="27"/>
    <x v="9"/>
    <n v="75263.16"/>
    <n v="1"/>
    <n v="1"/>
    <n v="1"/>
    <n v="164825.04"/>
    <x v="1"/>
  </r>
  <r>
    <n v="820"/>
    <n v="15747807"/>
    <s v="Gallagher"/>
    <n v="720"/>
    <x v="0"/>
    <x v="0"/>
    <n v="43"/>
    <x v="5"/>
    <n v="137824.03"/>
    <n v="2"/>
    <n v="1"/>
    <n v="0"/>
    <n v="172557.77"/>
    <x v="1"/>
  </r>
  <r>
    <n v="821"/>
    <n v="15596939"/>
    <s v="Calabresi"/>
    <n v="659"/>
    <x v="2"/>
    <x v="1"/>
    <n v="36"/>
    <x v="4"/>
    <n v="132578.92000000001"/>
    <n v="2"/>
    <n v="1"/>
    <n v="0"/>
    <n v="84320.94"/>
    <x v="1"/>
  </r>
  <r>
    <n v="822"/>
    <n v="15716155"/>
    <s v="Shaw"/>
    <n v="841"/>
    <x v="0"/>
    <x v="0"/>
    <n v="36"/>
    <x v="8"/>
    <n v="156021.31"/>
    <n v="1"/>
    <n v="0"/>
    <n v="0"/>
    <n v="122662.98"/>
    <x v="1"/>
  </r>
  <r>
    <n v="823"/>
    <n v="15765311"/>
    <s v="Zhirov"/>
    <n v="642"/>
    <x v="1"/>
    <x v="1"/>
    <n v="34"/>
    <x v="2"/>
    <n v="0"/>
    <n v="1"/>
    <n v="1"/>
    <n v="0"/>
    <n v="72085.100000000006"/>
    <x v="1"/>
  </r>
  <r>
    <n v="824"/>
    <n v="15757811"/>
    <s v="Lloyd"/>
    <n v="732"/>
    <x v="1"/>
    <x v="0"/>
    <n v="69"/>
    <x v="9"/>
    <n v="137453.43"/>
    <n v="1"/>
    <n v="0"/>
    <n v="1"/>
    <n v="110932.24"/>
    <x v="0"/>
  </r>
  <r>
    <n v="825"/>
    <n v="15603830"/>
    <s v="Palmer"/>
    <n v="600"/>
    <x v="1"/>
    <x v="1"/>
    <n v="36"/>
    <x v="4"/>
    <n v="0"/>
    <n v="2"/>
    <n v="1"/>
    <n v="0"/>
    <n v="143635.35999999999"/>
    <x v="1"/>
  </r>
  <r>
    <n v="826"/>
    <n v="15660602"/>
    <s v="Ch'eng"/>
    <n v="464"/>
    <x v="2"/>
    <x v="1"/>
    <n v="33"/>
    <x v="2"/>
    <n v="164284.72"/>
    <n v="2"/>
    <n v="1"/>
    <n v="1"/>
    <n v="3710.34"/>
    <x v="1"/>
  </r>
  <r>
    <n v="827"/>
    <n v="15660535"/>
    <s v="Avent"/>
    <n v="680"/>
    <x v="0"/>
    <x v="0"/>
    <n v="47"/>
    <x v="8"/>
    <n v="0"/>
    <n v="2"/>
    <n v="1"/>
    <n v="1"/>
    <n v="179843.33"/>
    <x v="1"/>
  </r>
  <r>
    <n v="828"/>
    <n v="15666633"/>
    <s v="Huang"/>
    <n v="758"/>
    <x v="1"/>
    <x v="1"/>
    <n v="56"/>
    <x v="1"/>
    <n v="0"/>
    <n v="2"/>
    <n v="1"/>
    <n v="1"/>
    <n v="10643.38"/>
    <x v="1"/>
  </r>
  <r>
    <n v="829"/>
    <n v="15596914"/>
    <s v="Shaw"/>
    <n v="630"/>
    <x v="2"/>
    <x v="0"/>
    <n v="31"/>
    <x v="0"/>
    <n v="112373.49"/>
    <n v="2"/>
    <n v="1"/>
    <n v="1"/>
    <n v="131167.98000000001"/>
    <x v="1"/>
  </r>
  <r>
    <n v="830"/>
    <n v="15639788"/>
    <s v="Yuan"/>
    <n v="577"/>
    <x v="0"/>
    <x v="0"/>
    <n v="39"/>
    <x v="7"/>
    <n v="0"/>
    <n v="2"/>
    <n v="1"/>
    <n v="0"/>
    <n v="10553.31"/>
    <x v="1"/>
  </r>
  <r>
    <n v="831"/>
    <n v="15695846"/>
    <s v="Hawkins"/>
    <n v="684"/>
    <x v="0"/>
    <x v="0"/>
    <n v="34"/>
    <x v="5"/>
    <n v="0"/>
    <n v="2"/>
    <n v="1"/>
    <n v="1"/>
    <n v="130928.22"/>
    <x v="1"/>
  </r>
  <r>
    <n v="832"/>
    <n v="15726234"/>
    <s v="Trentini"/>
    <n v="708"/>
    <x v="1"/>
    <x v="0"/>
    <n v="41"/>
    <x v="8"/>
    <n v="0"/>
    <n v="1"/>
    <n v="0"/>
    <n v="1"/>
    <n v="157003.99"/>
    <x v="1"/>
  </r>
  <r>
    <n v="833"/>
    <n v="15797964"/>
    <s v="Cameron"/>
    <n v="732"/>
    <x v="2"/>
    <x v="0"/>
    <n v="29"/>
    <x v="1"/>
    <n v="154333.82"/>
    <n v="1"/>
    <n v="1"/>
    <n v="1"/>
    <n v="138527.56"/>
    <x v="1"/>
  </r>
  <r>
    <n v="834"/>
    <n v="15625881"/>
    <s v="Koehler"/>
    <n v="634"/>
    <x v="2"/>
    <x v="1"/>
    <n v="37"/>
    <x v="6"/>
    <n v="111432.77"/>
    <n v="2"/>
    <n v="1"/>
    <n v="1"/>
    <n v="167032.49"/>
    <x v="1"/>
  </r>
  <r>
    <n v="835"/>
    <n v="15780628"/>
    <s v="Wu"/>
    <n v="633"/>
    <x v="0"/>
    <x v="0"/>
    <n v="30"/>
    <x v="5"/>
    <n v="0"/>
    <n v="2"/>
    <n v="0"/>
    <n v="0"/>
    <n v="41642.29"/>
    <x v="1"/>
  </r>
  <r>
    <n v="836"/>
    <n v="15575883"/>
    <s v="Manna"/>
    <n v="559"/>
    <x v="0"/>
    <x v="1"/>
    <n v="34"/>
    <x v="0"/>
    <n v="137390.10999999999"/>
    <n v="2"/>
    <n v="1"/>
    <n v="0"/>
    <n v="9677"/>
    <x v="1"/>
  </r>
  <r>
    <n v="837"/>
    <n v="15585036"/>
    <s v="Okoli"/>
    <n v="694"/>
    <x v="1"/>
    <x v="0"/>
    <n v="37"/>
    <x v="6"/>
    <n v="0"/>
    <n v="2"/>
    <n v="1"/>
    <n v="1"/>
    <n v="147012.22"/>
    <x v="1"/>
  </r>
  <r>
    <n v="838"/>
    <n v="15589488"/>
    <s v="Ch'eng"/>
    <n v="686"/>
    <x v="2"/>
    <x v="0"/>
    <n v="56"/>
    <x v="8"/>
    <n v="111642.08"/>
    <n v="1"/>
    <n v="1"/>
    <n v="1"/>
    <n v="80553.87"/>
    <x v="1"/>
  </r>
  <r>
    <n v="839"/>
    <n v="15585888"/>
    <s v="Nwokezuike"/>
    <n v="553"/>
    <x v="1"/>
    <x v="0"/>
    <n v="48"/>
    <x v="6"/>
    <n v="0"/>
    <n v="1"/>
    <n v="0"/>
    <n v="1"/>
    <n v="30730.95"/>
    <x v="0"/>
  </r>
  <r>
    <n v="840"/>
    <n v="15727915"/>
    <s v="Artemiev"/>
    <n v="507"/>
    <x v="0"/>
    <x v="1"/>
    <n v="36"/>
    <x v="4"/>
    <n v="83543.37"/>
    <n v="1"/>
    <n v="0"/>
    <n v="0"/>
    <n v="140134.43"/>
    <x v="1"/>
  </r>
  <r>
    <n v="841"/>
    <n v="15707567"/>
    <s v="Esposito"/>
    <n v="732"/>
    <x v="2"/>
    <x v="1"/>
    <n v="50"/>
    <x v="5"/>
    <n v="145338.76"/>
    <n v="1"/>
    <n v="0"/>
    <n v="0"/>
    <n v="91936.1"/>
    <x v="0"/>
  </r>
  <r>
    <n v="842"/>
    <n v="15737792"/>
    <s v="Abbie"/>
    <n v="818"/>
    <x v="0"/>
    <x v="0"/>
    <n v="31"/>
    <x v="1"/>
    <n v="186796.37"/>
    <n v="1"/>
    <n v="0"/>
    <n v="0"/>
    <n v="178252.63"/>
    <x v="1"/>
  </r>
  <r>
    <n v="843"/>
    <n v="15599433"/>
    <s v="Fanucci"/>
    <n v="660"/>
    <x v="2"/>
    <x v="1"/>
    <n v="35"/>
    <x v="2"/>
    <n v="58641.43"/>
    <n v="1"/>
    <n v="0"/>
    <n v="1"/>
    <n v="198674.08"/>
    <x v="1"/>
  </r>
  <r>
    <n v="844"/>
    <n v="15672012"/>
    <s v="Jen"/>
    <n v="773"/>
    <x v="1"/>
    <x v="0"/>
    <n v="41"/>
    <x v="8"/>
    <n v="0"/>
    <n v="1"/>
    <n v="1"/>
    <n v="0"/>
    <n v="28266.9"/>
    <x v="0"/>
  </r>
  <r>
    <n v="845"/>
    <n v="15806983"/>
    <s v="Moss"/>
    <n v="640"/>
    <x v="0"/>
    <x v="1"/>
    <n v="44"/>
    <x v="6"/>
    <n v="137148.68"/>
    <n v="1"/>
    <n v="1"/>
    <n v="0"/>
    <n v="92381.01"/>
    <x v="1"/>
  </r>
  <r>
    <n v="846"/>
    <n v="15592222"/>
    <s v="Lo"/>
    <n v="505"/>
    <x v="0"/>
    <x v="1"/>
    <n v="49"/>
    <x v="3"/>
    <n v="80001.23"/>
    <n v="1"/>
    <n v="0"/>
    <n v="0"/>
    <n v="135180.10999999999"/>
    <x v="1"/>
  </r>
  <r>
    <n v="847"/>
    <n v="15608968"/>
    <s v="Averyanov"/>
    <n v="714"/>
    <x v="2"/>
    <x v="1"/>
    <n v="21"/>
    <x v="5"/>
    <n v="86402.52"/>
    <n v="2"/>
    <n v="0"/>
    <n v="0"/>
    <n v="27330.59"/>
    <x v="1"/>
  </r>
  <r>
    <n v="848"/>
    <n v="15586959"/>
    <s v="Unaipon"/>
    <n v="468"/>
    <x v="0"/>
    <x v="0"/>
    <n v="42"/>
    <x v="8"/>
    <n v="0"/>
    <n v="2"/>
    <n v="1"/>
    <n v="0"/>
    <n v="125305.34"/>
    <x v="1"/>
  </r>
  <r>
    <n v="849"/>
    <n v="15646558"/>
    <s v="Clamp"/>
    <n v="611"/>
    <x v="1"/>
    <x v="1"/>
    <n v="51"/>
    <x v="1"/>
    <n v="122874.74"/>
    <n v="1"/>
    <n v="1"/>
    <n v="1"/>
    <n v="149648.45000000001"/>
    <x v="1"/>
  </r>
  <r>
    <n v="850"/>
    <n v="15725811"/>
    <s v="Lim"/>
    <n v="705"/>
    <x v="0"/>
    <x v="1"/>
    <n v="25"/>
    <x v="10"/>
    <n v="97544.29"/>
    <n v="1"/>
    <n v="0"/>
    <n v="1"/>
    <n v="59887.15"/>
    <x v="1"/>
  </r>
  <r>
    <n v="851"/>
    <n v="15572265"/>
    <s v="Wu"/>
    <n v="646"/>
    <x v="2"/>
    <x v="1"/>
    <n v="46"/>
    <x v="1"/>
    <n v="170826.55"/>
    <n v="2"/>
    <n v="1"/>
    <n v="0"/>
    <n v="45041.32"/>
    <x v="1"/>
  </r>
  <r>
    <n v="852"/>
    <n v="15794048"/>
    <s v="Wan"/>
    <n v="667"/>
    <x v="2"/>
    <x v="0"/>
    <n v="48"/>
    <x v="1"/>
    <n v="97133.92"/>
    <n v="2"/>
    <n v="0"/>
    <n v="0"/>
    <n v="113316.77"/>
    <x v="0"/>
  </r>
  <r>
    <n v="853"/>
    <n v="15677610"/>
    <s v="Chambers"/>
    <n v="511"/>
    <x v="2"/>
    <x v="0"/>
    <n v="41"/>
    <x v="2"/>
    <n v="153895.65"/>
    <n v="1"/>
    <n v="1"/>
    <n v="1"/>
    <n v="39087.42"/>
    <x v="1"/>
  </r>
  <r>
    <n v="854"/>
    <n v="15745012"/>
    <s v="Pettit"/>
    <n v="653"/>
    <x v="0"/>
    <x v="0"/>
    <n v="43"/>
    <x v="5"/>
    <n v="0"/>
    <n v="2"/>
    <n v="1"/>
    <n v="1"/>
    <n v="7330.59"/>
    <x v="1"/>
  </r>
  <r>
    <n v="855"/>
    <n v="15601589"/>
    <s v="Baresi"/>
    <n v="675"/>
    <x v="0"/>
    <x v="0"/>
    <n v="57"/>
    <x v="2"/>
    <n v="0"/>
    <n v="2"/>
    <n v="0"/>
    <n v="1"/>
    <n v="95463.29"/>
    <x v="1"/>
  </r>
  <r>
    <n v="856"/>
    <n v="15686436"/>
    <s v="Newbery"/>
    <n v="523"/>
    <x v="1"/>
    <x v="1"/>
    <n v="32"/>
    <x v="4"/>
    <n v="0"/>
    <n v="2"/>
    <n v="1"/>
    <n v="0"/>
    <n v="167848.02"/>
    <x v="1"/>
  </r>
  <r>
    <n v="857"/>
    <n v="15693864"/>
    <s v="Iheanacho"/>
    <n v="567"/>
    <x v="2"/>
    <x v="0"/>
    <n v="49"/>
    <x v="8"/>
    <n v="134956.01999999999"/>
    <n v="1"/>
    <n v="1"/>
    <n v="0"/>
    <n v="93953.84"/>
    <x v="0"/>
  </r>
  <r>
    <n v="858"/>
    <n v="15760550"/>
    <s v="Duncan"/>
    <n v="741"/>
    <x v="1"/>
    <x v="1"/>
    <n v="39"/>
    <x v="3"/>
    <n v="143637.57999999999"/>
    <n v="2"/>
    <n v="0"/>
    <n v="1"/>
    <n v="174227.66"/>
    <x v="1"/>
  </r>
  <r>
    <n v="859"/>
    <n v="15686137"/>
    <s v="Barry"/>
    <n v="456"/>
    <x v="1"/>
    <x v="1"/>
    <n v="32"/>
    <x v="9"/>
    <n v="147506.25"/>
    <n v="1"/>
    <n v="1"/>
    <n v="1"/>
    <n v="135399.21"/>
    <x v="1"/>
  </r>
  <r>
    <n v="860"/>
    <n v="15809087"/>
    <s v="Landry"/>
    <n v="598"/>
    <x v="0"/>
    <x v="1"/>
    <n v="64"/>
    <x v="1"/>
    <n v="0"/>
    <n v="2"/>
    <n v="1"/>
    <n v="0"/>
    <n v="195635.3"/>
    <x v="0"/>
  </r>
  <r>
    <n v="861"/>
    <n v="15807663"/>
    <s v="McGregor"/>
    <n v="667"/>
    <x v="0"/>
    <x v="1"/>
    <n v="43"/>
    <x v="2"/>
    <n v="190227.46"/>
    <n v="1"/>
    <n v="1"/>
    <n v="0"/>
    <n v="97508.04"/>
    <x v="0"/>
  </r>
  <r>
    <n v="862"/>
    <n v="15809100"/>
    <s v="Nucci"/>
    <n v="548"/>
    <x v="0"/>
    <x v="0"/>
    <n v="32"/>
    <x v="0"/>
    <n v="172448.77"/>
    <n v="1"/>
    <n v="1"/>
    <n v="0"/>
    <n v="188083.77"/>
    <x v="0"/>
  </r>
  <r>
    <n v="863"/>
    <n v="15794916"/>
    <s v="Pirogov"/>
    <n v="725"/>
    <x v="0"/>
    <x v="1"/>
    <n v="41"/>
    <x v="3"/>
    <n v="113980.21"/>
    <n v="1"/>
    <n v="1"/>
    <n v="1"/>
    <n v="116704.25"/>
    <x v="1"/>
  </r>
  <r>
    <n v="864"/>
    <n v="15614215"/>
    <s v="Oguejiofor"/>
    <n v="717"/>
    <x v="0"/>
    <x v="1"/>
    <n v="53"/>
    <x v="5"/>
    <n v="0"/>
    <n v="2"/>
    <n v="0"/>
    <n v="1"/>
    <n v="97614.87"/>
    <x v="1"/>
  </r>
  <r>
    <n v="865"/>
    <n v="15805449"/>
    <s v="Ugochukwu"/>
    <n v="594"/>
    <x v="0"/>
    <x v="1"/>
    <n v="38"/>
    <x v="4"/>
    <n v="0"/>
    <n v="2"/>
    <n v="0"/>
    <n v="0"/>
    <n v="186884.04"/>
    <x v="1"/>
  </r>
  <r>
    <n v="866"/>
    <n v="15686983"/>
    <s v="Rohu"/>
    <n v="678"/>
    <x v="2"/>
    <x v="0"/>
    <n v="25"/>
    <x v="7"/>
    <n v="76968.12"/>
    <n v="2"/>
    <n v="0"/>
    <n v="1"/>
    <n v="131501.72"/>
    <x v="1"/>
  </r>
  <r>
    <n v="867"/>
    <n v="15808017"/>
    <s v="Cary"/>
    <n v="545"/>
    <x v="0"/>
    <x v="1"/>
    <n v="38"/>
    <x v="1"/>
    <n v="88293.13"/>
    <n v="2"/>
    <n v="1"/>
    <n v="1"/>
    <n v="24302.95"/>
    <x v="1"/>
  </r>
  <r>
    <n v="868"/>
    <n v="15756804"/>
    <s v="O'Loghlen"/>
    <n v="636"/>
    <x v="0"/>
    <x v="0"/>
    <n v="48"/>
    <x v="1"/>
    <n v="170833.46"/>
    <n v="1"/>
    <n v="1"/>
    <n v="0"/>
    <n v="110510.28"/>
    <x v="0"/>
  </r>
  <r>
    <n v="869"/>
    <n v="15646810"/>
    <s v="Quinn"/>
    <n v="603"/>
    <x v="2"/>
    <x v="1"/>
    <n v="44"/>
    <x v="5"/>
    <n v="108122.39"/>
    <n v="2"/>
    <n v="1"/>
    <n v="0"/>
    <n v="108488.33"/>
    <x v="0"/>
  </r>
  <r>
    <n v="870"/>
    <n v="15710424"/>
    <s v="Page"/>
    <n v="435"/>
    <x v="0"/>
    <x v="1"/>
    <n v="36"/>
    <x v="4"/>
    <n v="0"/>
    <n v="1"/>
    <n v="1"/>
    <n v="1"/>
    <n v="197015.2"/>
    <x v="1"/>
  </r>
  <r>
    <n v="871"/>
    <n v="15799422"/>
    <s v="Evans"/>
    <n v="535"/>
    <x v="0"/>
    <x v="0"/>
    <n v="40"/>
    <x v="2"/>
    <n v="0"/>
    <n v="1"/>
    <n v="1"/>
    <n v="1"/>
    <n v="27689.77"/>
    <x v="1"/>
  </r>
  <r>
    <n v="872"/>
    <n v="15692750"/>
    <s v="McGregor"/>
    <n v="629"/>
    <x v="2"/>
    <x v="0"/>
    <n v="45"/>
    <x v="3"/>
    <n v="129818.39"/>
    <n v="3"/>
    <n v="1"/>
    <n v="0"/>
    <n v="9217.5499999999993"/>
    <x v="0"/>
  </r>
  <r>
    <n v="873"/>
    <n v="15794549"/>
    <s v="Andrews"/>
    <n v="722"/>
    <x v="0"/>
    <x v="0"/>
    <n v="35"/>
    <x v="0"/>
    <n v="163943.89000000001"/>
    <n v="2"/>
    <n v="1"/>
    <n v="1"/>
    <n v="15068.18"/>
    <x v="1"/>
  </r>
  <r>
    <n v="874"/>
    <n v="15803764"/>
    <s v="Stanley"/>
    <n v="561"/>
    <x v="0"/>
    <x v="1"/>
    <n v="28"/>
    <x v="3"/>
    <n v="0"/>
    <n v="2"/>
    <n v="1"/>
    <n v="0"/>
    <n v="7797.01"/>
    <x v="1"/>
  </r>
  <r>
    <n v="875"/>
    <n v="15674840"/>
    <s v="Chiazagomekpere"/>
    <n v="645"/>
    <x v="0"/>
    <x v="0"/>
    <n v="38"/>
    <x v="8"/>
    <n v="101430.3"/>
    <n v="2"/>
    <n v="0"/>
    <n v="1"/>
    <n v="4400.32"/>
    <x v="1"/>
  </r>
  <r>
    <n v="876"/>
    <n v="15653762"/>
    <s v="Chidiebele"/>
    <n v="501"/>
    <x v="0"/>
    <x v="0"/>
    <n v="39"/>
    <x v="9"/>
    <n v="117301.66"/>
    <n v="1"/>
    <n v="0"/>
    <n v="0"/>
    <n v="182025.95"/>
    <x v="1"/>
  </r>
  <r>
    <n v="877"/>
    <n v="15581229"/>
    <s v="Gregory"/>
    <n v="502"/>
    <x v="2"/>
    <x v="0"/>
    <n v="32"/>
    <x v="1"/>
    <n v="173340.83"/>
    <n v="1"/>
    <n v="0"/>
    <n v="1"/>
    <n v="122763.95"/>
    <x v="1"/>
  </r>
  <r>
    <n v="878"/>
    <n v="15800228"/>
    <s v="Bednall"/>
    <n v="652"/>
    <x v="1"/>
    <x v="0"/>
    <n v="42"/>
    <x v="4"/>
    <n v="0"/>
    <n v="2"/>
    <n v="1"/>
    <n v="1"/>
    <n v="38152.01"/>
    <x v="1"/>
  </r>
  <r>
    <n v="879"/>
    <n v="15656333"/>
    <s v="Jen"/>
    <n v="574"/>
    <x v="0"/>
    <x v="0"/>
    <n v="33"/>
    <x v="6"/>
    <n v="134348.57"/>
    <n v="1"/>
    <n v="1"/>
    <n v="0"/>
    <n v="63163.99"/>
    <x v="1"/>
  </r>
  <r>
    <n v="880"/>
    <n v="15697497"/>
    <s v="She"/>
    <n v="518"/>
    <x v="0"/>
    <x v="0"/>
    <n v="45"/>
    <x v="9"/>
    <n v="105525.65"/>
    <n v="2"/>
    <n v="1"/>
    <n v="1"/>
    <n v="73418.289999999994"/>
    <x v="1"/>
  </r>
  <r>
    <n v="881"/>
    <n v="15585362"/>
    <s v="Simmons"/>
    <n v="749"/>
    <x v="0"/>
    <x v="0"/>
    <n v="60"/>
    <x v="5"/>
    <n v="0"/>
    <n v="1"/>
    <n v="1"/>
    <n v="0"/>
    <n v="17978.68"/>
    <x v="0"/>
  </r>
  <r>
    <n v="882"/>
    <n v="15571928"/>
    <s v="Fraser"/>
    <n v="679"/>
    <x v="0"/>
    <x v="0"/>
    <n v="43"/>
    <x v="4"/>
    <n v="0"/>
    <n v="3"/>
    <n v="1"/>
    <n v="0"/>
    <n v="115136.51"/>
    <x v="0"/>
  </r>
  <r>
    <n v="883"/>
    <n v="15785519"/>
    <s v="May"/>
    <n v="565"/>
    <x v="0"/>
    <x v="1"/>
    <n v="36"/>
    <x v="5"/>
    <n v="106192.1"/>
    <n v="1"/>
    <n v="1"/>
    <n v="0"/>
    <n v="149575.59"/>
    <x v="1"/>
  </r>
  <r>
    <n v="884"/>
    <n v="15743007"/>
    <s v="Seabrook"/>
    <n v="643"/>
    <x v="0"/>
    <x v="0"/>
    <n v="45"/>
    <x v="4"/>
    <n v="45144.43"/>
    <n v="1"/>
    <n v="1"/>
    <n v="0"/>
    <n v="60917.24"/>
    <x v="0"/>
  </r>
  <r>
    <n v="885"/>
    <n v="15777211"/>
    <s v="Herrera"/>
    <n v="515"/>
    <x v="0"/>
    <x v="1"/>
    <n v="65"/>
    <x v="3"/>
    <n v="92113.61"/>
    <n v="1"/>
    <n v="1"/>
    <n v="1"/>
    <n v="142548.32999999999"/>
    <x v="1"/>
  </r>
  <r>
    <n v="886"/>
    <n v="15721935"/>
    <s v="Kincaid"/>
    <n v="521"/>
    <x v="0"/>
    <x v="1"/>
    <n v="25"/>
    <x v="3"/>
    <n v="0"/>
    <n v="2"/>
    <n v="1"/>
    <n v="1"/>
    <n v="157878.67000000001"/>
    <x v="1"/>
  </r>
  <r>
    <n v="887"/>
    <n v="15591711"/>
    <s v="Sleeman"/>
    <n v="739"/>
    <x v="1"/>
    <x v="1"/>
    <n v="38"/>
    <x v="10"/>
    <n v="128366.44"/>
    <n v="1"/>
    <n v="1"/>
    <n v="0"/>
    <n v="12796.43"/>
    <x v="1"/>
  </r>
  <r>
    <n v="888"/>
    <n v="15625021"/>
    <s v="Hung"/>
    <n v="585"/>
    <x v="0"/>
    <x v="1"/>
    <n v="42"/>
    <x v="0"/>
    <n v="0"/>
    <n v="2"/>
    <n v="1"/>
    <n v="1"/>
    <n v="18657.77"/>
    <x v="1"/>
  </r>
  <r>
    <n v="889"/>
    <n v="15702968"/>
    <s v="Artemieva"/>
    <n v="733"/>
    <x v="2"/>
    <x v="1"/>
    <n v="74"/>
    <x v="6"/>
    <n v="106545.53"/>
    <n v="1"/>
    <n v="1"/>
    <n v="1"/>
    <n v="134589.57999999999"/>
    <x v="1"/>
  </r>
  <r>
    <n v="890"/>
    <n v="15600462"/>
    <s v="Barwell"/>
    <n v="542"/>
    <x v="0"/>
    <x v="0"/>
    <n v="43"/>
    <x v="2"/>
    <n v="145618.37"/>
    <n v="1"/>
    <n v="0"/>
    <n v="1"/>
    <n v="10350.74"/>
    <x v="1"/>
  </r>
  <r>
    <n v="891"/>
    <n v="15768104"/>
    <s v="Wright"/>
    <n v="788"/>
    <x v="1"/>
    <x v="1"/>
    <n v="37"/>
    <x v="2"/>
    <n v="141541.25"/>
    <n v="1"/>
    <n v="0"/>
    <n v="0"/>
    <n v="66013.27"/>
    <x v="1"/>
  </r>
  <r>
    <n v="892"/>
    <n v="15780140"/>
    <s v="Bellucci"/>
    <n v="435"/>
    <x v="2"/>
    <x v="1"/>
    <n v="32"/>
    <x v="0"/>
    <n v="57017.06"/>
    <n v="2"/>
    <n v="1"/>
    <n v="1"/>
    <n v="5907.11"/>
    <x v="1"/>
  </r>
  <r>
    <n v="893"/>
    <n v="15585255"/>
    <s v="Moore"/>
    <n v="577"/>
    <x v="0"/>
    <x v="1"/>
    <n v="42"/>
    <x v="9"/>
    <n v="0"/>
    <n v="1"/>
    <n v="1"/>
    <n v="0"/>
    <n v="74077.91"/>
    <x v="1"/>
  </r>
  <r>
    <n v="894"/>
    <n v="15772781"/>
    <s v="Ball"/>
    <n v="703"/>
    <x v="0"/>
    <x v="0"/>
    <n v="51"/>
    <x v="6"/>
    <n v="0"/>
    <n v="3"/>
    <n v="1"/>
    <n v="1"/>
    <n v="77294.559999999998"/>
    <x v="0"/>
  </r>
  <r>
    <n v="895"/>
    <n v="15669987"/>
    <s v="Sung"/>
    <n v="728"/>
    <x v="2"/>
    <x v="0"/>
    <n v="35"/>
    <x v="2"/>
    <n v="125884.95"/>
    <n v="2"/>
    <n v="1"/>
    <n v="0"/>
    <n v="54359.02"/>
    <x v="0"/>
  </r>
  <r>
    <n v="896"/>
    <n v="15697000"/>
    <s v="Mello"/>
    <n v="728"/>
    <x v="2"/>
    <x v="1"/>
    <n v="32"/>
    <x v="8"/>
    <n v="61825.5"/>
    <n v="1"/>
    <n v="1"/>
    <n v="1"/>
    <n v="156124.93"/>
    <x v="1"/>
  </r>
  <r>
    <n v="897"/>
    <n v="15733119"/>
    <s v="Mistry"/>
    <n v="718"/>
    <x v="0"/>
    <x v="1"/>
    <n v="35"/>
    <x v="2"/>
    <n v="0"/>
    <n v="2"/>
    <n v="1"/>
    <n v="0"/>
    <n v="94820.85"/>
    <x v="1"/>
  </r>
  <r>
    <n v="898"/>
    <n v="15782390"/>
    <s v="T'ien"/>
    <n v="621"/>
    <x v="0"/>
    <x v="0"/>
    <n v="40"/>
    <x v="5"/>
    <n v="0"/>
    <n v="1"/>
    <n v="1"/>
    <n v="0"/>
    <n v="155155.25"/>
    <x v="1"/>
  </r>
  <r>
    <n v="899"/>
    <n v="15654700"/>
    <s v="Fallaci"/>
    <n v="523"/>
    <x v="0"/>
    <x v="0"/>
    <n v="40"/>
    <x v="0"/>
    <n v="102967.41"/>
    <n v="1"/>
    <n v="1"/>
    <n v="0"/>
    <n v="128702.1"/>
    <x v="0"/>
  </r>
  <r>
    <n v="900"/>
    <n v="15632210"/>
    <s v="Hill"/>
    <n v="657"/>
    <x v="2"/>
    <x v="1"/>
    <n v="25"/>
    <x v="0"/>
    <n v="171770.55"/>
    <n v="1"/>
    <n v="1"/>
    <n v="0"/>
    <n v="22745.5"/>
    <x v="1"/>
  </r>
  <r>
    <n v="901"/>
    <n v="15642041"/>
    <s v="Burns"/>
    <n v="727"/>
    <x v="2"/>
    <x v="1"/>
    <n v="40"/>
    <x v="1"/>
    <n v="93051.64"/>
    <n v="2"/>
    <n v="1"/>
    <n v="0"/>
    <n v="71865.31"/>
    <x v="0"/>
  </r>
  <r>
    <n v="902"/>
    <n v="15709737"/>
    <s v="Hunter"/>
    <n v="643"/>
    <x v="0"/>
    <x v="1"/>
    <n v="36"/>
    <x v="3"/>
    <n v="161064.64000000001"/>
    <n v="2"/>
    <n v="0"/>
    <n v="1"/>
    <n v="84294.82"/>
    <x v="1"/>
  </r>
  <r>
    <n v="903"/>
    <n v="15792388"/>
    <s v="Li"/>
    <n v="645"/>
    <x v="0"/>
    <x v="0"/>
    <n v="48"/>
    <x v="3"/>
    <n v="90612.34"/>
    <n v="1"/>
    <n v="1"/>
    <n v="1"/>
    <n v="149139.13"/>
    <x v="1"/>
  </r>
  <r>
    <n v="904"/>
    <n v="15786014"/>
    <s v="Ku"/>
    <n v="568"/>
    <x v="0"/>
    <x v="1"/>
    <n v="28"/>
    <x v="8"/>
    <n v="145105.64000000001"/>
    <n v="2"/>
    <n v="1"/>
    <n v="0"/>
    <n v="185489.11"/>
    <x v="1"/>
  </r>
  <r>
    <n v="905"/>
    <n v="15794580"/>
    <s v="Ch'en"/>
    <n v="599"/>
    <x v="0"/>
    <x v="1"/>
    <n v="58"/>
    <x v="4"/>
    <n v="0"/>
    <n v="1"/>
    <n v="0"/>
    <n v="0"/>
    <n v="176407.15"/>
    <x v="0"/>
  </r>
  <r>
    <n v="906"/>
    <n v="15675964"/>
    <s v="Chukwukadibia"/>
    <n v="672"/>
    <x v="0"/>
    <x v="0"/>
    <n v="45"/>
    <x v="9"/>
    <n v="0"/>
    <n v="1"/>
    <n v="1"/>
    <n v="1"/>
    <n v="92027.69"/>
    <x v="0"/>
  </r>
  <r>
    <n v="907"/>
    <n v="15814275"/>
    <s v="Zikoranachidimma"/>
    <n v="685"/>
    <x v="0"/>
    <x v="1"/>
    <n v="33"/>
    <x v="5"/>
    <n v="174912.72"/>
    <n v="1"/>
    <n v="1"/>
    <n v="1"/>
    <n v="43932.54"/>
    <x v="1"/>
  </r>
  <r>
    <n v="908"/>
    <n v="15724848"/>
    <s v="Oluchukwu"/>
    <n v="516"/>
    <x v="0"/>
    <x v="0"/>
    <n v="46"/>
    <x v="1"/>
    <n v="104947.72"/>
    <n v="1"/>
    <n v="1"/>
    <n v="0"/>
    <n v="115789.25"/>
    <x v="0"/>
  </r>
  <r>
    <n v="909"/>
    <n v="15754713"/>
    <s v="Rivera"/>
    <n v="685"/>
    <x v="1"/>
    <x v="1"/>
    <n v="31"/>
    <x v="7"/>
    <n v="135213.71"/>
    <n v="1"/>
    <n v="1"/>
    <n v="1"/>
    <n v="125777.28"/>
    <x v="1"/>
  </r>
  <r>
    <n v="910"/>
    <n v="15693814"/>
    <s v="Niu"/>
    <n v="806"/>
    <x v="1"/>
    <x v="1"/>
    <n v="25"/>
    <x v="3"/>
    <n v="0"/>
    <n v="2"/>
    <n v="1"/>
    <n v="0"/>
    <n v="18461.900000000001"/>
    <x v="1"/>
  </r>
  <r>
    <n v="911"/>
    <n v="15599660"/>
    <s v="Bennett"/>
    <n v="604"/>
    <x v="0"/>
    <x v="1"/>
    <n v="36"/>
    <x v="5"/>
    <n v="116229.85"/>
    <n v="2"/>
    <n v="1"/>
    <n v="1"/>
    <n v="79633.38"/>
    <x v="1"/>
  </r>
  <r>
    <n v="912"/>
    <n v="15746490"/>
    <s v="Wollstonecraft"/>
    <n v="648"/>
    <x v="1"/>
    <x v="0"/>
    <n v="53"/>
    <x v="5"/>
    <n v="111201.41"/>
    <n v="1"/>
    <n v="1"/>
    <n v="1"/>
    <n v="121542.29"/>
    <x v="1"/>
  </r>
  <r>
    <n v="913"/>
    <n v="15566091"/>
    <s v="Thomsen"/>
    <n v="545"/>
    <x v="1"/>
    <x v="0"/>
    <n v="32"/>
    <x v="4"/>
    <n v="0"/>
    <n v="1"/>
    <n v="1"/>
    <n v="0"/>
    <n v="94739.199999999997"/>
    <x v="1"/>
  </r>
  <r>
    <n v="914"/>
    <n v="15655961"/>
    <s v="Palermo"/>
    <n v="756"/>
    <x v="2"/>
    <x v="1"/>
    <n v="27"/>
    <x v="1"/>
    <n v="131899"/>
    <n v="1"/>
    <n v="1"/>
    <n v="0"/>
    <n v="93302.29"/>
    <x v="1"/>
  </r>
  <r>
    <n v="915"/>
    <n v="15710404"/>
    <s v="Chinwendu"/>
    <n v="569"/>
    <x v="0"/>
    <x v="1"/>
    <n v="35"/>
    <x v="7"/>
    <n v="124525.52"/>
    <n v="1"/>
    <n v="1"/>
    <n v="1"/>
    <n v="193793.78"/>
    <x v="1"/>
  </r>
  <r>
    <n v="916"/>
    <n v="15775625"/>
    <s v="McKenzie"/>
    <n v="596"/>
    <x v="0"/>
    <x v="1"/>
    <n v="47"/>
    <x v="5"/>
    <n v="0"/>
    <n v="1"/>
    <n v="1"/>
    <n v="0"/>
    <n v="74835.649999999994"/>
    <x v="1"/>
  </r>
  <r>
    <n v="917"/>
    <n v="15792328"/>
    <s v="James"/>
    <n v="475"/>
    <x v="0"/>
    <x v="1"/>
    <n v="39"/>
    <x v="5"/>
    <n v="0"/>
    <n v="1"/>
    <n v="1"/>
    <n v="1"/>
    <n v="56999.9"/>
    <x v="0"/>
  </r>
  <r>
    <n v="918"/>
    <n v="15719856"/>
    <s v="Lamb"/>
    <n v="646"/>
    <x v="0"/>
    <x v="0"/>
    <n v="45"/>
    <x v="6"/>
    <n v="47134.75"/>
    <n v="1"/>
    <n v="1"/>
    <n v="1"/>
    <n v="57236.44"/>
    <x v="1"/>
  </r>
  <r>
    <n v="919"/>
    <n v="15593773"/>
    <s v="Olejuru"/>
    <n v="784"/>
    <x v="1"/>
    <x v="1"/>
    <n v="35"/>
    <x v="6"/>
    <n v="0"/>
    <n v="2"/>
    <n v="0"/>
    <n v="0"/>
    <n v="81483.64"/>
    <x v="1"/>
  </r>
  <r>
    <n v="920"/>
    <n v="15733114"/>
    <s v="Hay"/>
    <n v="552"/>
    <x v="1"/>
    <x v="1"/>
    <n v="45"/>
    <x v="9"/>
    <n v="0"/>
    <n v="2"/>
    <n v="1"/>
    <n v="0"/>
    <n v="26752.560000000001"/>
    <x v="1"/>
  </r>
  <r>
    <n v="921"/>
    <n v="15797748"/>
    <s v="Lu"/>
    <n v="729"/>
    <x v="0"/>
    <x v="1"/>
    <n v="44"/>
    <x v="8"/>
    <n v="0"/>
    <n v="2"/>
    <n v="0"/>
    <n v="1"/>
    <n v="9200.5400000000009"/>
    <x v="1"/>
  </r>
  <r>
    <n v="922"/>
    <n v="15743411"/>
    <s v="Chiawuotu"/>
    <n v="609"/>
    <x v="1"/>
    <x v="1"/>
    <n v="61"/>
    <x v="1"/>
    <n v="0"/>
    <n v="1"/>
    <n v="1"/>
    <n v="0"/>
    <n v="22447.85"/>
    <x v="0"/>
  </r>
  <r>
    <n v="923"/>
    <n v="15753337"/>
    <s v="Yeates"/>
    <n v="555"/>
    <x v="0"/>
    <x v="1"/>
    <n v="51"/>
    <x v="8"/>
    <n v="0"/>
    <n v="3"/>
    <n v="1"/>
    <n v="0"/>
    <n v="189122.89"/>
    <x v="0"/>
  </r>
  <r>
    <n v="924"/>
    <n v="15601026"/>
    <s v="Gallagher"/>
    <n v="572"/>
    <x v="2"/>
    <x v="0"/>
    <n v="19"/>
    <x v="1"/>
    <n v="138657.07999999999"/>
    <n v="1"/>
    <n v="1"/>
    <n v="1"/>
    <n v="16161.82"/>
    <x v="1"/>
  </r>
  <r>
    <n v="925"/>
    <n v="15658485"/>
    <s v="Heath"/>
    <n v="785"/>
    <x v="0"/>
    <x v="0"/>
    <n v="34"/>
    <x v="9"/>
    <n v="70302.48"/>
    <n v="1"/>
    <n v="1"/>
    <n v="1"/>
    <n v="68600.36"/>
    <x v="1"/>
  </r>
  <r>
    <n v="926"/>
    <n v="15636731"/>
    <s v="Ts'ai"/>
    <n v="714"/>
    <x v="2"/>
    <x v="0"/>
    <n v="36"/>
    <x v="1"/>
    <n v="101609.01"/>
    <n v="2"/>
    <n v="1"/>
    <n v="1"/>
    <n v="447.73"/>
    <x v="1"/>
  </r>
  <r>
    <n v="927"/>
    <n v="15628303"/>
    <s v="Thurgood"/>
    <n v="738"/>
    <x v="1"/>
    <x v="1"/>
    <n v="35"/>
    <x v="6"/>
    <n v="0"/>
    <n v="1"/>
    <n v="1"/>
    <n v="1"/>
    <n v="15650.73"/>
    <x v="1"/>
  </r>
  <r>
    <n v="928"/>
    <n v="15633461"/>
    <s v="Pai"/>
    <n v="639"/>
    <x v="2"/>
    <x v="1"/>
    <n v="38"/>
    <x v="8"/>
    <n v="130170.82"/>
    <n v="1"/>
    <n v="1"/>
    <n v="1"/>
    <n v="149599.62"/>
    <x v="1"/>
  </r>
  <r>
    <n v="929"/>
    <n v="15677135"/>
    <s v="Lorenzo"/>
    <n v="520"/>
    <x v="2"/>
    <x v="1"/>
    <n v="61"/>
    <x v="2"/>
    <n v="133802.29"/>
    <n v="2"/>
    <n v="1"/>
    <n v="1"/>
    <n v="90304.01"/>
    <x v="1"/>
  </r>
  <r>
    <n v="930"/>
    <n v="15590876"/>
    <s v="Knupp"/>
    <n v="764"/>
    <x v="0"/>
    <x v="0"/>
    <n v="24"/>
    <x v="3"/>
    <n v="106234.02"/>
    <n v="1"/>
    <n v="0"/>
    <n v="0"/>
    <n v="115676.38"/>
    <x v="1"/>
  </r>
  <r>
    <n v="931"/>
    <n v="15790782"/>
    <s v="Baryshnikov"/>
    <n v="661"/>
    <x v="1"/>
    <x v="1"/>
    <n v="39"/>
    <x v="5"/>
    <n v="132628.98000000001"/>
    <n v="1"/>
    <n v="0"/>
    <n v="0"/>
    <n v="38812.67"/>
    <x v="1"/>
  </r>
  <r>
    <n v="932"/>
    <n v="15700476"/>
    <s v="Azubuike"/>
    <n v="564"/>
    <x v="2"/>
    <x v="1"/>
    <n v="41"/>
    <x v="9"/>
    <n v="103522.75"/>
    <n v="2"/>
    <n v="1"/>
    <n v="1"/>
    <n v="34338.21"/>
    <x v="1"/>
  </r>
  <r>
    <n v="933"/>
    <n v="15634141"/>
    <s v="Shephard"/>
    <n v="708"/>
    <x v="2"/>
    <x v="0"/>
    <n v="42"/>
    <x v="2"/>
    <n v="192390.52"/>
    <n v="2"/>
    <n v="1"/>
    <n v="0"/>
    <n v="823.36"/>
    <x v="1"/>
  </r>
  <r>
    <n v="934"/>
    <n v="15737795"/>
    <s v="Scott"/>
    <n v="512"/>
    <x v="1"/>
    <x v="1"/>
    <n v="36"/>
    <x v="1"/>
    <n v="0"/>
    <n v="1"/>
    <n v="0"/>
    <n v="1"/>
    <n v="135482.26"/>
    <x v="0"/>
  </r>
  <r>
    <n v="935"/>
    <n v="15790299"/>
    <s v="Williamson"/>
    <n v="592"/>
    <x v="1"/>
    <x v="1"/>
    <n v="37"/>
    <x v="9"/>
    <n v="0"/>
    <n v="3"/>
    <n v="1"/>
    <n v="1"/>
    <n v="10656.89"/>
    <x v="1"/>
  </r>
  <r>
    <n v="936"/>
    <n v="15675316"/>
    <s v="Avdeeva"/>
    <n v="619"/>
    <x v="0"/>
    <x v="0"/>
    <n v="38"/>
    <x v="6"/>
    <n v="0"/>
    <n v="2"/>
    <n v="0"/>
    <n v="1"/>
    <n v="116467.35"/>
    <x v="1"/>
  </r>
  <r>
    <n v="937"/>
    <n v="15613630"/>
    <s v="Tang"/>
    <n v="775"/>
    <x v="0"/>
    <x v="1"/>
    <n v="52"/>
    <x v="2"/>
    <n v="109922.61"/>
    <n v="1"/>
    <n v="1"/>
    <n v="1"/>
    <n v="96823.32"/>
    <x v="0"/>
  </r>
  <r>
    <n v="938"/>
    <n v="15662100"/>
    <s v="Hsu"/>
    <n v="850"/>
    <x v="2"/>
    <x v="0"/>
    <n v="44"/>
    <x v="8"/>
    <n v="128605.32"/>
    <n v="1"/>
    <n v="0"/>
    <n v="1"/>
    <n v="171096.2"/>
    <x v="1"/>
  </r>
  <r>
    <n v="939"/>
    <n v="15668032"/>
    <s v="Buchanan"/>
    <n v="577"/>
    <x v="0"/>
    <x v="0"/>
    <n v="37"/>
    <x v="4"/>
    <n v="0"/>
    <n v="1"/>
    <n v="1"/>
    <n v="1"/>
    <n v="79881.39"/>
    <x v="1"/>
  </r>
  <r>
    <n v="940"/>
    <n v="15599289"/>
    <s v="Yeh"/>
    <n v="724"/>
    <x v="0"/>
    <x v="0"/>
    <n v="37"/>
    <x v="7"/>
    <n v="68598.559999999998"/>
    <n v="1"/>
    <n v="1"/>
    <n v="0"/>
    <n v="157862.82"/>
    <x v="1"/>
  </r>
  <r>
    <n v="941"/>
    <n v="15754084"/>
    <s v="Palazzi"/>
    <n v="710"/>
    <x v="1"/>
    <x v="1"/>
    <n v="35"/>
    <x v="1"/>
    <n v="106518.52"/>
    <n v="1"/>
    <n v="1"/>
    <n v="1"/>
    <n v="127951.81"/>
    <x v="1"/>
  </r>
  <r>
    <n v="942"/>
    <n v="15676521"/>
    <s v="Y?an"/>
    <n v="696"/>
    <x v="0"/>
    <x v="0"/>
    <n v="31"/>
    <x v="2"/>
    <n v="0"/>
    <n v="2"/>
    <n v="0"/>
    <n v="0"/>
    <n v="191074.11"/>
    <x v="1"/>
  </r>
  <r>
    <n v="943"/>
    <n v="15804586"/>
    <s v="Lin"/>
    <n v="376"/>
    <x v="0"/>
    <x v="0"/>
    <n v="46"/>
    <x v="5"/>
    <n v="0"/>
    <n v="1"/>
    <n v="1"/>
    <n v="0"/>
    <n v="157333.69"/>
    <x v="0"/>
  </r>
  <r>
    <n v="944"/>
    <n v="15781465"/>
    <s v="Schofield"/>
    <n v="675"/>
    <x v="2"/>
    <x v="0"/>
    <n v="29"/>
    <x v="2"/>
    <n v="121326.42"/>
    <n v="1"/>
    <n v="1"/>
    <n v="0"/>
    <n v="133457.51999999999"/>
    <x v="1"/>
  </r>
  <r>
    <n v="945"/>
    <n v="15729362"/>
    <s v="Lombardi"/>
    <n v="745"/>
    <x v="0"/>
    <x v="1"/>
    <n v="36"/>
    <x v="2"/>
    <n v="67226.37"/>
    <n v="1"/>
    <n v="1"/>
    <n v="0"/>
    <n v="130789.6"/>
    <x v="1"/>
  </r>
  <r>
    <n v="946"/>
    <n v="15709295"/>
    <s v="Wall"/>
    <n v="697"/>
    <x v="1"/>
    <x v="0"/>
    <n v="25"/>
    <x v="8"/>
    <n v="82931.850000000006"/>
    <n v="2"/>
    <n v="1"/>
    <n v="1"/>
    <n v="128373.88"/>
    <x v="1"/>
  </r>
  <r>
    <n v="947"/>
    <n v="15745324"/>
    <s v="Milani"/>
    <n v="599"/>
    <x v="1"/>
    <x v="0"/>
    <n v="39"/>
    <x v="4"/>
    <n v="0"/>
    <n v="1"/>
    <n v="1"/>
    <n v="0"/>
    <n v="194273.2"/>
    <x v="0"/>
  </r>
  <r>
    <n v="948"/>
    <n v="15741336"/>
    <s v="Ejimofor"/>
    <n v="715"/>
    <x v="0"/>
    <x v="0"/>
    <n v="38"/>
    <x v="8"/>
    <n v="118590.41"/>
    <n v="1"/>
    <n v="1"/>
    <n v="1"/>
    <n v="5684.17"/>
    <x v="0"/>
  </r>
  <r>
    <n v="949"/>
    <n v="15783659"/>
    <s v="Blackburn"/>
    <n v="659"/>
    <x v="0"/>
    <x v="1"/>
    <n v="67"/>
    <x v="4"/>
    <n v="145981.87"/>
    <n v="1"/>
    <n v="1"/>
    <n v="1"/>
    <n v="131043.2"/>
    <x v="1"/>
  </r>
  <r>
    <n v="950"/>
    <n v="15620981"/>
    <s v="Wickham"/>
    <n v="684"/>
    <x v="0"/>
    <x v="0"/>
    <n v="48"/>
    <x v="6"/>
    <n v="73309.38"/>
    <n v="1"/>
    <n v="0"/>
    <n v="0"/>
    <n v="21228.34"/>
    <x v="0"/>
  </r>
  <r>
    <n v="951"/>
    <n v="15630328"/>
    <s v="Bird"/>
    <n v="635"/>
    <x v="0"/>
    <x v="0"/>
    <n v="48"/>
    <x v="2"/>
    <n v="130796.33"/>
    <n v="2"/>
    <n v="1"/>
    <n v="1"/>
    <n v="43250.3"/>
    <x v="1"/>
  </r>
  <r>
    <n v="952"/>
    <n v="15785899"/>
    <s v="Ch'en"/>
    <n v="789"/>
    <x v="2"/>
    <x v="1"/>
    <n v="33"/>
    <x v="2"/>
    <n v="151607.56"/>
    <n v="1"/>
    <n v="1"/>
    <n v="0"/>
    <n v="4389.3999999999996"/>
    <x v="1"/>
  </r>
  <r>
    <n v="953"/>
    <n v="15606149"/>
    <s v="Wood"/>
    <n v="571"/>
    <x v="2"/>
    <x v="0"/>
    <n v="66"/>
    <x v="9"/>
    <n v="111577.01"/>
    <n v="1"/>
    <n v="0"/>
    <n v="1"/>
    <n v="189271.9"/>
    <x v="1"/>
  </r>
  <r>
    <n v="954"/>
    <n v="15671139"/>
    <s v="Brizendine"/>
    <n v="694"/>
    <x v="1"/>
    <x v="1"/>
    <n v="39"/>
    <x v="10"/>
    <n v="107042.74"/>
    <n v="1"/>
    <n v="1"/>
    <n v="1"/>
    <n v="102284.2"/>
    <x v="1"/>
  </r>
  <r>
    <n v="955"/>
    <n v="15660429"/>
    <s v="Ch'in"/>
    <n v="665"/>
    <x v="1"/>
    <x v="0"/>
    <n v="42"/>
    <x v="0"/>
    <n v="156371.60999999999"/>
    <n v="2"/>
    <n v="0"/>
    <n v="1"/>
    <n v="156774.94"/>
    <x v="0"/>
  </r>
  <r>
    <n v="956"/>
    <n v="15571002"/>
    <s v="Yusupov"/>
    <n v="706"/>
    <x v="0"/>
    <x v="0"/>
    <n v="44"/>
    <x v="4"/>
    <n v="129605.99"/>
    <n v="1"/>
    <n v="0"/>
    <n v="0"/>
    <n v="69865.490000000005"/>
    <x v="1"/>
  </r>
  <r>
    <n v="957"/>
    <n v="15631681"/>
    <s v="Jibunoh"/>
    <n v="807"/>
    <x v="1"/>
    <x v="0"/>
    <n v="43"/>
    <x v="10"/>
    <n v="0"/>
    <n v="2"/>
    <n v="0"/>
    <n v="1"/>
    <n v="85523.24"/>
    <x v="1"/>
  </r>
  <r>
    <n v="958"/>
    <n v="15731522"/>
    <s v="Ts'ui"/>
    <n v="771"/>
    <x v="1"/>
    <x v="0"/>
    <n v="67"/>
    <x v="2"/>
    <n v="0"/>
    <n v="2"/>
    <n v="1"/>
    <n v="1"/>
    <n v="51219.8"/>
    <x v="1"/>
  </r>
  <r>
    <n v="959"/>
    <n v="15619529"/>
    <s v="Ndukaku"/>
    <n v="531"/>
    <x v="1"/>
    <x v="1"/>
    <n v="27"/>
    <x v="2"/>
    <n v="132576.25"/>
    <n v="1"/>
    <n v="0"/>
    <n v="0"/>
    <n v="7222.92"/>
    <x v="1"/>
  </r>
  <r>
    <n v="960"/>
    <n v="15628034"/>
    <s v="Wilder"/>
    <n v="629"/>
    <x v="0"/>
    <x v="0"/>
    <n v="37"/>
    <x v="5"/>
    <n v="129101.3"/>
    <n v="1"/>
    <n v="1"/>
    <n v="1"/>
    <n v="23971.33"/>
    <x v="1"/>
  </r>
  <r>
    <n v="961"/>
    <n v="15686164"/>
    <s v="Maclean"/>
    <n v="850"/>
    <x v="2"/>
    <x v="0"/>
    <n v="31"/>
    <x v="1"/>
    <n v="108822.39999999999"/>
    <n v="1"/>
    <n v="1"/>
    <n v="1"/>
    <n v="132173.31"/>
    <x v="1"/>
  </r>
  <r>
    <n v="962"/>
    <n v="15582797"/>
    <s v="Ch'iu"/>
    <n v="685"/>
    <x v="1"/>
    <x v="1"/>
    <n v="35"/>
    <x v="4"/>
    <n v="137948.51"/>
    <n v="1"/>
    <n v="1"/>
    <n v="0"/>
    <n v="113639.64"/>
    <x v="1"/>
  </r>
  <r>
    <n v="963"/>
    <n v="15753831"/>
    <s v="Cox"/>
    <n v="642"/>
    <x v="1"/>
    <x v="1"/>
    <n v="32"/>
    <x v="3"/>
    <n v="100433.8"/>
    <n v="1"/>
    <n v="1"/>
    <n v="1"/>
    <n v="39768.589999999997"/>
    <x v="1"/>
  </r>
  <r>
    <n v="964"/>
    <n v="15731815"/>
    <s v="Nepean"/>
    <n v="529"/>
    <x v="1"/>
    <x v="1"/>
    <n v="63"/>
    <x v="4"/>
    <n v="96134.11"/>
    <n v="3"/>
    <n v="1"/>
    <n v="0"/>
    <n v="108732.96"/>
    <x v="0"/>
  </r>
  <r>
    <n v="965"/>
    <n v="15580956"/>
    <s v="McNess"/>
    <n v="683"/>
    <x v="2"/>
    <x v="0"/>
    <n v="43"/>
    <x v="4"/>
    <n v="115888.04"/>
    <n v="1"/>
    <n v="1"/>
    <n v="1"/>
    <n v="117349.19"/>
    <x v="0"/>
  </r>
  <r>
    <n v="966"/>
    <n v="15602084"/>
    <s v="Coles"/>
    <n v="663"/>
    <x v="0"/>
    <x v="0"/>
    <n v="42"/>
    <x v="8"/>
    <n v="124626.07"/>
    <n v="1"/>
    <n v="1"/>
    <n v="1"/>
    <n v="78004.5"/>
    <x v="1"/>
  </r>
  <r>
    <n v="967"/>
    <n v="15589805"/>
    <s v="Benson"/>
    <n v="563"/>
    <x v="0"/>
    <x v="0"/>
    <n v="34"/>
    <x v="5"/>
    <n v="139810.34"/>
    <n v="1"/>
    <n v="1"/>
    <n v="1"/>
    <n v="152417.79"/>
    <x v="1"/>
  </r>
  <r>
    <n v="968"/>
    <n v="15720893"/>
    <s v="Gilbert"/>
    <n v="637"/>
    <x v="1"/>
    <x v="0"/>
    <n v="34"/>
    <x v="9"/>
    <n v="0"/>
    <n v="2"/>
    <n v="0"/>
    <n v="0"/>
    <n v="26057.08"/>
    <x v="1"/>
  </r>
  <r>
    <n v="969"/>
    <n v="15641009"/>
    <s v="Wilhelm"/>
    <n v="544"/>
    <x v="0"/>
    <x v="1"/>
    <n v="37"/>
    <x v="6"/>
    <n v="84496.71"/>
    <n v="1"/>
    <n v="0"/>
    <n v="0"/>
    <n v="79972.09"/>
    <x v="1"/>
  </r>
  <r>
    <n v="970"/>
    <n v="15605926"/>
    <s v="Sinclair"/>
    <n v="649"/>
    <x v="2"/>
    <x v="1"/>
    <n v="70"/>
    <x v="9"/>
    <n v="116854.71"/>
    <n v="2"/>
    <n v="0"/>
    <n v="1"/>
    <n v="107125.79"/>
    <x v="1"/>
  </r>
  <r>
    <n v="971"/>
    <n v="15805955"/>
    <s v="L?"/>
    <n v="638"/>
    <x v="0"/>
    <x v="0"/>
    <n v="48"/>
    <x v="7"/>
    <n v="138333.03"/>
    <n v="1"/>
    <n v="1"/>
    <n v="1"/>
    <n v="47679.14"/>
    <x v="1"/>
  </r>
  <r>
    <n v="972"/>
    <n v="15801488"/>
    <s v="Buckner"/>
    <n v="723"/>
    <x v="0"/>
    <x v="1"/>
    <n v="25"/>
    <x v="6"/>
    <n v="0"/>
    <n v="2"/>
    <n v="1"/>
    <n v="1"/>
    <n v="134509.47"/>
    <x v="1"/>
  </r>
  <r>
    <n v="973"/>
    <n v="15605918"/>
    <s v="Padovesi"/>
    <n v="635"/>
    <x v="2"/>
    <x v="1"/>
    <n v="43"/>
    <x v="8"/>
    <n v="78992.75"/>
    <n v="2"/>
    <n v="0"/>
    <n v="0"/>
    <n v="153265.31"/>
    <x v="1"/>
  </r>
  <r>
    <n v="974"/>
    <n v="15779711"/>
    <s v="Gray"/>
    <n v="750"/>
    <x v="1"/>
    <x v="0"/>
    <n v="38"/>
    <x v="3"/>
    <n v="97257.41"/>
    <n v="2"/>
    <n v="0"/>
    <n v="1"/>
    <n v="179883.04"/>
    <x v="1"/>
  </r>
  <r>
    <n v="975"/>
    <n v="15705620"/>
    <s v="Lu"/>
    <n v="730"/>
    <x v="0"/>
    <x v="1"/>
    <n v="34"/>
    <x v="8"/>
    <n v="122453.37"/>
    <n v="2"/>
    <n v="1"/>
    <n v="0"/>
    <n v="138882.98000000001"/>
    <x v="1"/>
  </r>
  <r>
    <n v="976"/>
    <n v="15685357"/>
    <s v="Wright"/>
    <n v="750"/>
    <x v="1"/>
    <x v="0"/>
    <n v="36"/>
    <x v="2"/>
    <n v="112940.07"/>
    <n v="1"/>
    <n v="0"/>
    <n v="1"/>
    <n v="9855.81"/>
    <x v="1"/>
  </r>
  <r>
    <n v="977"/>
    <n v="15570060"/>
    <s v="Palerma"/>
    <n v="653.5"/>
    <x v="0"/>
    <x v="0"/>
    <n v="43"/>
    <x v="2"/>
    <n v="132558.26"/>
    <n v="1"/>
    <n v="1"/>
    <n v="0"/>
    <n v="67046.83"/>
    <x v="0"/>
  </r>
  <r>
    <n v="978"/>
    <n v="15582616"/>
    <s v="Y?an"/>
    <n v="520"/>
    <x v="0"/>
    <x v="0"/>
    <n v="38"/>
    <x v="4"/>
    <n v="0"/>
    <n v="2"/>
    <n v="1"/>
    <n v="0"/>
    <n v="56388.63"/>
    <x v="1"/>
  </r>
  <r>
    <n v="979"/>
    <n v="15799515"/>
    <s v="Wei"/>
    <n v="652"/>
    <x v="0"/>
    <x v="0"/>
    <n v="48"/>
    <x v="2"/>
    <n v="133297.24"/>
    <n v="1"/>
    <n v="1"/>
    <n v="0"/>
    <n v="77764.37"/>
    <x v="1"/>
  </r>
  <r>
    <n v="980"/>
    <n v="15642937"/>
    <s v="Padovesi"/>
    <n v="550"/>
    <x v="0"/>
    <x v="0"/>
    <n v="46"/>
    <x v="3"/>
    <n v="0"/>
    <n v="2"/>
    <n v="1"/>
    <n v="0"/>
    <n v="130590.35"/>
    <x v="1"/>
  </r>
  <r>
    <n v="981"/>
    <n v="15624729"/>
    <s v="Tsao"/>
    <n v="594"/>
    <x v="0"/>
    <x v="1"/>
    <n v="27"/>
    <x v="10"/>
    <n v="197041.8"/>
    <n v="1"/>
    <n v="0"/>
    <n v="0"/>
    <n v="151912.49"/>
    <x v="1"/>
  </r>
  <r>
    <n v="982"/>
    <n v="15566156"/>
    <s v="Franklin"/>
    <n v="749"/>
    <x v="2"/>
    <x v="0"/>
    <n v="44"/>
    <x v="10"/>
    <n v="71497.789999999994"/>
    <n v="2"/>
    <n v="0"/>
    <n v="0"/>
    <n v="151083.79999999999"/>
    <x v="1"/>
  </r>
  <r>
    <n v="983"/>
    <n v="15792360"/>
    <s v="Clark"/>
    <n v="668"/>
    <x v="0"/>
    <x v="1"/>
    <n v="32"/>
    <x v="3"/>
    <n v="0"/>
    <n v="2"/>
    <n v="1"/>
    <n v="1"/>
    <n v="777.37"/>
    <x v="1"/>
  </r>
  <r>
    <n v="984"/>
    <n v="15807008"/>
    <s v="McGregor"/>
    <n v="614"/>
    <x v="2"/>
    <x v="0"/>
    <n v="35"/>
    <x v="5"/>
    <n v="128100.28"/>
    <n v="1"/>
    <n v="0"/>
    <n v="0"/>
    <n v="69454.240000000005"/>
    <x v="0"/>
  </r>
  <r>
    <n v="985"/>
    <n v="15704770"/>
    <s v="Pan"/>
    <n v="773"/>
    <x v="0"/>
    <x v="1"/>
    <n v="25"/>
    <x v="1"/>
    <n v="124532.78"/>
    <n v="2"/>
    <n v="0"/>
    <n v="1"/>
    <n v="11723.57"/>
    <x v="1"/>
  </r>
  <r>
    <n v="986"/>
    <n v="15756475"/>
    <s v="Kenniff"/>
    <n v="551"/>
    <x v="2"/>
    <x v="1"/>
    <n v="31"/>
    <x v="9"/>
    <n v="82293.820000000007"/>
    <n v="2"/>
    <n v="1"/>
    <n v="1"/>
    <n v="91565.25"/>
    <x v="1"/>
  </r>
  <r>
    <n v="987"/>
    <n v="15655339"/>
    <s v="Spencer"/>
    <n v="566"/>
    <x v="0"/>
    <x v="1"/>
    <n v="36"/>
    <x v="1"/>
    <n v="142120.91"/>
    <n v="1"/>
    <n v="1"/>
    <n v="0"/>
    <n v="79616.37"/>
    <x v="1"/>
  </r>
  <r>
    <n v="988"/>
    <n v="15613749"/>
    <s v="Lees"/>
    <n v="569"/>
    <x v="1"/>
    <x v="1"/>
    <n v="34"/>
    <x v="10"/>
    <n v="151839.26"/>
    <n v="1"/>
    <n v="1"/>
    <n v="0"/>
    <n v="102299.81"/>
    <x v="0"/>
  </r>
  <r>
    <n v="989"/>
    <n v="15664521"/>
    <s v="David"/>
    <n v="659"/>
    <x v="1"/>
    <x v="1"/>
    <n v="31"/>
    <x v="3"/>
    <n v="149620.88"/>
    <n v="2"/>
    <n v="1"/>
    <n v="1"/>
    <n v="104533.51"/>
    <x v="1"/>
  </r>
  <r>
    <n v="990"/>
    <n v="15681206"/>
    <s v="Hsing"/>
    <n v="722"/>
    <x v="0"/>
    <x v="0"/>
    <n v="49"/>
    <x v="6"/>
    <n v="168197.66"/>
    <n v="1"/>
    <n v="1"/>
    <n v="0"/>
    <n v="140765.57"/>
    <x v="0"/>
  </r>
  <r>
    <n v="991"/>
    <n v="15745527"/>
    <s v="Burke"/>
    <n v="655"/>
    <x v="0"/>
    <x v="1"/>
    <n v="37"/>
    <x v="8"/>
    <n v="93147"/>
    <n v="2"/>
    <n v="1"/>
    <n v="0"/>
    <n v="66214.13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1">
  <r>
    <n v="1"/>
    <n v="15634602"/>
    <s v="Hargrave"/>
    <s v="France"/>
    <s v="Female"/>
    <n v="619"/>
    <n v="42"/>
    <x v="0"/>
    <n v="0"/>
    <x v="0"/>
    <x v="0"/>
    <x v="0"/>
    <n v="101348.88"/>
    <x v="0"/>
    <s v="Average"/>
    <s v="Adult"/>
    <x v="0"/>
    <x v="0"/>
  </r>
  <r>
    <n v="2"/>
    <n v="15647311"/>
    <s v="Hill"/>
    <s v="Spain"/>
    <s v="Female"/>
    <n v="608"/>
    <n v="41"/>
    <x v="1"/>
    <n v="83807.86"/>
    <x v="0"/>
    <x v="1"/>
    <x v="0"/>
    <n v="112542.58"/>
    <x v="1"/>
    <s v="Average"/>
    <s v="Adult"/>
    <x v="0"/>
    <x v="1"/>
  </r>
  <r>
    <n v="3"/>
    <n v="15619304"/>
    <s v="Onio"/>
    <s v="France"/>
    <s v="Female"/>
    <n v="502"/>
    <n v="42"/>
    <x v="2"/>
    <n v="159660.79999999999"/>
    <x v="1"/>
    <x v="0"/>
    <x v="1"/>
    <n v="113931.57"/>
    <x v="0"/>
    <s v="Poor"/>
    <s v="Adult"/>
    <x v="0"/>
    <x v="2"/>
  </r>
  <r>
    <n v="4"/>
    <n v="15701354"/>
    <s v="Boni"/>
    <s v="France"/>
    <s v="Female"/>
    <n v="699"/>
    <n v="39"/>
    <x v="1"/>
    <n v="0"/>
    <x v="2"/>
    <x v="1"/>
    <x v="1"/>
    <n v="93826.63"/>
    <x v="1"/>
    <s v="Good"/>
    <s v="Adult"/>
    <x v="0"/>
    <x v="0"/>
  </r>
  <r>
    <n v="5"/>
    <n v="15737888"/>
    <s v="Mitchell"/>
    <s v="Spain"/>
    <s v="Female"/>
    <n v="850"/>
    <n v="43"/>
    <x v="0"/>
    <n v="125510.82"/>
    <x v="0"/>
    <x v="0"/>
    <x v="0"/>
    <n v="79084.100000000006"/>
    <x v="1"/>
    <s v="Good"/>
    <s v="Adult"/>
    <x v="0"/>
    <x v="2"/>
  </r>
  <r>
    <n v="6"/>
    <n v="15574012"/>
    <s v="Chu"/>
    <s v="Spain"/>
    <s v="Male"/>
    <n v="645"/>
    <n v="44"/>
    <x v="2"/>
    <n v="113755.78"/>
    <x v="2"/>
    <x v="0"/>
    <x v="1"/>
    <n v="149756.71"/>
    <x v="0"/>
    <s v="Average"/>
    <s v="Adult"/>
    <x v="0"/>
    <x v="2"/>
  </r>
  <r>
    <n v="7"/>
    <n v="15592531"/>
    <s v="Bartlett"/>
    <s v="France"/>
    <s v="Male"/>
    <n v="822"/>
    <n v="50"/>
    <x v="3"/>
    <n v="0"/>
    <x v="2"/>
    <x v="0"/>
    <x v="0"/>
    <n v="10062.799999999999"/>
    <x v="1"/>
    <s v="Good"/>
    <s v="Adult"/>
    <x v="1"/>
    <x v="0"/>
  </r>
  <r>
    <n v="8"/>
    <n v="15656148"/>
    <s v="Obinna"/>
    <s v="Germany"/>
    <s v="Female"/>
    <n v="376"/>
    <n v="29"/>
    <x v="4"/>
    <n v="115046.74"/>
    <x v="3"/>
    <x v="0"/>
    <x v="1"/>
    <n v="119346.88"/>
    <x v="0"/>
    <s v="Poor"/>
    <s v="Young Adult"/>
    <x v="0"/>
    <x v="2"/>
  </r>
  <r>
    <n v="9"/>
    <n v="15792365"/>
    <s v="He"/>
    <s v="France"/>
    <s v="Male"/>
    <n v="501"/>
    <n v="44"/>
    <x v="4"/>
    <n v="142051.07"/>
    <x v="2"/>
    <x v="1"/>
    <x v="0"/>
    <n v="74940.5"/>
    <x v="1"/>
    <s v="Poor"/>
    <s v="Adult"/>
    <x v="0"/>
    <x v="2"/>
  </r>
  <r>
    <n v="10"/>
    <n v="15592389"/>
    <s v="H?"/>
    <s v="France"/>
    <s v="Male"/>
    <n v="684"/>
    <n v="27"/>
    <x v="0"/>
    <n v="134603.88"/>
    <x v="0"/>
    <x v="0"/>
    <x v="0"/>
    <n v="71725.73"/>
    <x v="1"/>
    <s v="Good"/>
    <s v="Young Adult"/>
    <x v="0"/>
    <x v="2"/>
  </r>
  <r>
    <n v="11"/>
    <n v="15767821"/>
    <s v="Bearce"/>
    <s v="France"/>
    <s v="Male"/>
    <n v="528"/>
    <n v="31"/>
    <x v="5"/>
    <n v="102016.72"/>
    <x v="2"/>
    <x v="1"/>
    <x v="1"/>
    <n v="80181.119999999995"/>
    <x v="1"/>
    <s v="Poor"/>
    <s v="Adult"/>
    <x v="0"/>
    <x v="2"/>
  </r>
  <r>
    <n v="12"/>
    <n v="15737173"/>
    <s v="Andrews"/>
    <s v="Spain"/>
    <s v="Male"/>
    <n v="497"/>
    <n v="24"/>
    <x v="6"/>
    <n v="0"/>
    <x v="2"/>
    <x v="0"/>
    <x v="1"/>
    <n v="76390.009999999995"/>
    <x v="1"/>
    <s v="Poor"/>
    <s v="Young Adult"/>
    <x v="0"/>
    <x v="0"/>
  </r>
  <r>
    <n v="13"/>
    <n v="15632264"/>
    <s v="Kay"/>
    <s v="France"/>
    <s v="Female"/>
    <n v="476"/>
    <n v="34"/>
    <x v="7"/>
    <n v="0"/>
    <x v="2"/>
    <x v="0"/>
    <x v="1"/>
    <n v="26260.98"/>
    <x v="1"/>
    <s v="Poor"/>
    <s v="Adult"/>
    <x v="1"/>
    <x v="0"/>
  </r>
  <r>
    <n v="14"/>
    <n v="15691483"/>
    <s v="Chin"/>
    <s v="France"/>
    <s v="Female"/>
    <n v="549"/>
    <n v="25"/>
    <x v="8"/>
    <n v="0"/>
    <x v="2"/>
    <x v="1"/>
    <x v="1"/>
    <n v="190857.79"/>
    <x v="1"/>
    <s v="Poor"/>
    <s v="Young Adult"/>
    <x v="0"/>
    <x v="0"/>
  </r>
  <r>
    <n v="15"/>
    <n v="15600882"/>
    <s v="Scott"/>
    <s v="Spain"/>
    <s v="Female"/>
    <n v="635"/>
    <n v="35"/>
    <x v="3"/>
    <n v="0"/>
    <x v="2"/>
    <x v="0"/>
    <x v="0"/>
    <n v="65951.649999999994"/>
    <x v="1"/>
    <s v="Average"/>
    <s v="Adult"/>
    <x v="2"/>
    <x v="0"/>
  </r>
  <r>
    <n v="16"/>
    <n v="15643966"/>
    <s v="Goforth"/>
    <s v="Germany"/>
    <s v="Male"/>
    <n v="616"/>
    <n v="45"/>
    <x v="6"/>
    <n v="143129.41"/>
    <x v="2"/>
    <x v="1"/>
    <x v="0"/>
    <n v="64327.26"/>
    <x v="1"/>
    <s v="Average"/>
    <s v="Adult"/>
    <x v="2"/>
    <x v="2"/>
  </r>
  <r>
    <n v="17"/>
    <n v="15737452"/>
    <s v="Romeo"/>
    <s v="Germany"/>
    <s v="Male"/>
    <n v="653"/>
    <n v="58"/>
    <x v="1"/>
    <n v="132602.88"/>
    <x v="0"/>
    <x v="0"/>
    <x v="1"/>
    <n v="5097.67"/>
    <x v="0"/>
    <s v="Average"/>
    <s v="Adult"/>
    <x v="1"/>
    <x v="2"/>
  </r>
  <r>
    <n v="18"/>
    <n v="15788218"/>
    <s v="Henderson"/>
    <s v="Spain"/>
    <s v="Female"/>
    <n v="549"/>
    <n v="24"/>
    <x v="9"/>
    <n v="0"/>
    <x v="2"/>
    <x v="0"/>
    <x v="0"/>
    <n v="14406.41"/>
    <x v="1"/>
    <s v="Poor"/>
    <s v="Young Adult"/>
    <x v="1"/>
    <x v="0"/>
  </r>
  <r>
    <n v="19"/>
    <n v="15661507"/>
    <s v="Muldrow"/>
    <s v="Spain"/>
    <s v="Male"/>
    <n v="587"/>
    <n v="45"/>
    <x v="5"/>
    <n v="0"/>
    <x v="0"/>
    <x v="1"/>
    <x v="1"/>
    <n v="158684.81"/>
    <x v="1"/>
    <s v="Average"/>
    <s v="Adult"/>
    <x v="0"/>
    <x v="0"/>
  </r>
  <r>
    <n v="20"/>
    <n v="15568982"/>
    <s v="Hao"/>
    <s v="France"/>
    <s v="Female"/>
    <n v="726"/>
    <n v="24"/>
    <x v="5"/>
    <n v="0"/>
    <x v="2"/>
    <x v="0"/>
    <x v="0"/>
    <n v="54724.03"/>
    <x v="1"/>
    <s v="Good"/>
    <s v="Young Adult"/>
    <x v="2"/>
    <x v="0"/>
  </r>
  <r>
    <n v="21"/>
    <n v="15577657"/>
    <s v="McDonald"/>
    <s v="France"/>
    <s v="Male"/>
    <n v="732"/>
    <n v="41"/>
    <x v="2"/>
    <n v="0"/>
    <x v="2"/>
    <x v="0"/>
    <x v="0"/>
    <n v="170886.17"/>
    <x v="1"/>
    <s v="Good"/>
    <s v="Adult"/>
    <x v="0"/>
    <x v="0"/>
  </r>
  <r>
    <n v="22"/>
    <n v="15597945"/>
    <s v="Dellucci"/>
    <s v="Spain"/>
    <s v="Female"/>
    <n v="636"/>
    <n v="32"/>
    <x v="2"/>
    <n v="0"/>
    <x v="2"/>
    <x v="0"/>
    <x v="1"/>
    <n v="98368.24"/>
    <x v="1"/>
    <s v="Average"/>
    <s v="Adult"/>
    <x v="0"/>
    <x v="0"/>
  </r>
  <r>
    <n v="23"/>
    <n v="15699309"/>
    <s v="Gerasimov"/>
    <s v="Spain"/>
    <s v="Female"/>
    <n v="510"/>
    <n v="37"/>
    <x v="4"/>
    <n v="0"/>
    <x v="0"/>
    <x v="0"/>
    <x v="1"/>
    <n v="118913.53"/>
    <x v="0"/>
    <s v="Poor"/>
    <s v="Adult"/>
    <x v="0"/>
    <x v="0"/>
  </r>
  <r>
    <n v="24"/>
    <n v="15725737"/>
    <s v="Mosman"/>
    <s v="France"/>
    <s v="Male"/>
    <n v="669"/>
    <n v="46"/>
    <x v="6"/>
    <n v="0"/>
    <x v="2"/>
    <x v="1"/>
    <x v="0"/>
    <n v="8487.75"/>
    <x v="1"/>
    <s v="Average"/>
    <s v="Adult"/>
    <x v="1"/>
    <x v="0"/>
  </r>
  <r>
    <n v="25"/>
    <n v="15625047"/>
    <s v="Yen"/>
    <s v="France"/>
    <s v="Female"/>
    <n v="846"/>
    <n v="38"/>
    <x v="8"/>
    <n v="0"/>
    <x v="0"/>
    <x v="0"/>
    <x v="0"/>
    <n v="187616.16"/>
    <x v="1"/>
    <s v="Good"/>
    <s v="Adult"/>
    <x v="0"/>
    <x v="0"/>
  </r>
  <r>
    <n v="26"/>
    <n v="15738191"/>
    <s v="Maclean"/>
    <s v="France"/>
    <s v="Male"/>
    <n v="577"/>
    <n v="25"/>
    <x v="6"/>
    <n v="0"/>
    <x v="2"/>
    <x v="1"/>
    <x v="0"/>
    <n v="124508.29"/>
    <x v="1"/>
    <s v="Poor"/>
    <s v="Young Adult"/>
    <x v="0"/>
    <x v="0"/>
  </r>
  <r>
    <n v="27"/>
    <n v="15736816"/>
    <s v="Young"/>
    <s v="Germany"/>
    <s v="Male"/>
    <n v="756"/>
    <n v="36"/>
    <x v="0"/>
    <n v="136815.64000000001"/>
    <x v="0"/>
    <x v="0"/>
    <x v="0"/>
    <n v="170041.95"/>
    <x v="1"/>
    <s v="Good"/>
    <s v="Adult"/>
    <x v="0"/>
    <x v="2"/>
  </r>
  <r>
    <n v="28"/>
    <n v="15700772"/>
    <s v="Nebechi"/>
    <s v="France"/>
    <s v="Male"/>
    <n v="571"/>
    <n v="44"/>
    <x v="9"/>
    <n v="0"/>
    <x v="2"/>
    <x v="1"/>
    <x v="1"/>
    <n v="38433.35"/>
    <x v="1"/>
    <s v="Poor"/>
    <s v="Adult"/>
    <x v="2"/>
    <x v="0"/>
  </r>
  <r>
    <n v="29"/>
    <n v="15728693"/>
    <s v="McWilliams"/>
    <s v="Germany"/>
    <s v="Female"/>
    <n v="574"/>
    <n v="43"/>
    <x v="6"/>
    <n v="141349.43"/>
    <x v="0"/>
    <x v="0"/>
    <x v="0"/>
    <n v="100187.43"/>
    <x v="1"/>
    <s v="Poor"/>
    <s v="Adult"/>
    <x v="0"/>
    <x v="2"/>
  </r>
  <r>
    <n v="30"/>
    <n v="15656300"/>
    <s v="Lucciano"/>
    <s v="France"/>
    <s v="Male"/>
    <n v="411"/>
    <n v="29"/>
    <x v="10"/>
    <n v="59697.17"/>
    <x v="2"/>
    <x v="0"/>
    <x v="0"/>
    <n v="53483.21"/>
    <x v="1"/>
    <s v="Poor"/>
    <s v="Young Adult"/>
    <x v="2"/>
    <x v="1"/>
  </r>
  <r>
    <n v="31"/>
    <n v="15589475"/>
    <s v="Azikiwe"/>
    <s v="Spain"/>
    <s v="Female"/>
    <n v="591"/>
    <n v="39"/>
    <x v="6"/>
    <n v="0"/>
    <x v="1"/>
    <x v="0"/>
    <x v="1"/>
    <n v="140469.38"/>
    <x v="0"/>
    <s v="Average"/>
    <s v="Adult"/>
    <x v="0"/>
    <x v="0"/>
  </r>
  <r>
    <n v="32"/>
    <n v="15706552"/>
    <s v="Odinakachukwu"/>
    <s v="France"/>
    <s v="Male"/>
    <n v="533"/>
    <n v="36"/>
    <x v="3"/>
    <n v="85311.7"/>
    <x v="0"/>
    <x v="1"/>
    <x v="0"/>
    <n v="156731.91"/>
    <x v="1"/>
    <s v="Poor"/>
    <s v="Adult"/>
    <x v="0"/>
    <x v="1"/>
  </r>
  <r>
    <n v="33"/>
    <n v="15750181"/>
    <s v="Sanderson"/>
    <s v="Germany"/>
    <s v="Male"/>
    <n v="553"/>
    <n v="41"/>
    <x v="9"/>
    <n v="110112.54"/>
    <x v="2"/>
    <x v="1"/>
    <x v="1"/>
    <n v="81898.81"/>
    <x v="1"/>
    <s v="Poor"/>
    <s v="Adult"/>
    <x v="0"/>
    <x v="2"/>
  </r>
  <r>
    <n v="34"/>
    <n v="15659428"/>
    <s v="Maggard"/>
    <s v="Spain"/>
    <s v="Female"/>
    <n v="520"/>
    <n v="42"/>
    <x v="5"/>
    <n v="0"/>
    <x v="2"/>
    <x v="0"/>
    <x v="0"/>
    <n v="34410.550000000003"/>
    <x v="1"/>
    <s v="Poor"/>
    <s v="Adult"/>
    <x v="2"/>
    <x v="0"/>
  </r>
  <r>
    <n v="35"/>
    <n v="15732963"/>
    <s v="Clements"/>
    <s v="Spain"/>
    <s v="Female"/>
    <n v="722"/>
    <n v="29"/>
    <x v="9"/>
    <n v="0"/>
    <x v="2"/>
    <x v="0"/>
    <x v="0"/>
    <n v="142033.07"/>
    <x v="1"/>
    <s v="Good"/>
    <s v="Young Adult"/>
    <x v="0"/>
    <x v="0"/>
  </r>
  <r>
    <n v="36"/>
    <n v="15794171"/>
    <s v="Lombardo"/>
    <s v="France"/>
    <s v="Female"/>
    <n v="475"/>
    <n v="45"/>
    <x v="10"/>
    <n v="134264.04"/>
    <x v="0"/>
    <x v="0"/>
    <x v="1"/>
    <n v="27822.99"/>
    <x v="0"/>
    <s v="Poor"/>
    <s v="Adult"/>
    <x v="1"/>
    <x v="2"/>
  </r>
  <r>
    <n v="37"/>
    <n v="15788448"/>
    <s v="Watson"/>
    <s v="Spain"/>
    <s v="Male"/>
    <n v="490"/>
    <n v="31"/>
    <x v="6"/>
    <n v="145260.23000000001"/>
    <x v="0"/>
    <x v="1"/>
    <x v="0"/>
    <n v="114066.77"/>
    <x v="1"/>
    <s v="Poor"/>
    <s v="Adult"/>
    <x v="0"/>
    <x v="2"/>
  </r>
  <r>
    <n v="38"/>
    <n v="15729599"/>
    <s v="Lorenzo"/>
    <s v="Spain"/>
    <s v="Male"/>
    <n v="804"/>
    <n v="33"/>
    <x v="3"/>
    <n v="76548.600000000006"/>
    <x v="0"/>
    <x v="1"/>
    <x v="0"/>
    <n v="98453.45"/>
    <x v="1"/>
    <s v="Good"/>
    <s v="Adult"/>
    <x v="0"/>
    <x v="1"/>
  </r>
  <r>
    <n v="39"/>
    <n v="15717426"/>
    <s v="Armstrong"/>
    <s v="France"/>
    <s v="Male"/>
    <n v="850"/>
    <n v="36"/>
    <x v="3"/>
    <n v="0"/>
    <x v="0"/>
    <x v="0"/>
    <x v="0"/>
    <n v="40812.9"/>
    <x v="1"/>
    <s v="Good"/>
    <s v="Adult"/>
    <x v="2"/>
    <x v="0"/>
  </r>
  <r>
    <n v="40"/>
    <n v="15585768"/>
    <s v="Cameron"/>
    <s v="Germany"/>
    <s v="Male"/>
    <n v="582"/>
    <n v="41"/>
    <x v="5"/>
    <n v="70349.48"/>
    <x v="2"/>
    <x v="1"/>
    <x v="0"/>
    <n v="178074.04"/>
    <x v="1"/>
    <s v="Average"/>
    <s v="Adult"/>
    <x v="0"/>
    <x v="1"/>
  </r>
  <r>
    <n v="41"/>
    <n v="15619360"/>
    <s v="Hsiao"/>
    <s v="Spain"/>
    <s v="Male"/>
    <n v="472"/>
    <n v="40"/>
    <x v="4"/>
    <n v="0"/>
    <x v="0"/>
    <x v="0"/>
    <x v="1"/>
    <n v="70154.22"/>
    <x v="1"/>
    <s v="Poor"/>
    <s v="Adult"/>
    <x v="0"/>
    <x v="0"/>
  </r>
  <r>
    <n v="42"/>
    <n v="15738148"/>
    <s v="Clarke"/>
    <s v="France"/>
    <s v="Female"/>
    <n v="465"/>
    <n v="51"/>
    <x v="2"/>
    <n v="122522.32"/>
    <x v="0"/>
    <x v="1"/>
    <x v="1"/>
    <n v="181297.65"/>
    <x v="0"/>
    <s v="Poor"/>
    <s v="Adult"/>
    <x v="0"/>
    <x v="2"/>
  </r>
  <r>
    <n v="43"/>
    <n v="15687946"/>
    <s v="Osborne"/>
    <s v="France"/>
    <s v="Female"/>
    <n v="556"/>
    <n v="61"/>
    <x v="0"/>
    <n v="117419.35"/>
    <x v="0"/>
    <x v="0"/>
    <x v="0"/>
    <n v="94153.83"/>
    <x v="1"/>
    <s v="Poor"/>
    <s v="Senior"/>
    <x v="0"/>
    <x v="2"/>
  </r>
  <r>
    <n v="44"/>
    <n v="15755196"/>
    <s v="Lavine"/>
    <s v="France"/>
    <s v="Female"/>
    <n v="834"/>
    <n v="49"/>
    <x v="0"/>
    <n v="131394.56"/>
    <x v="0"/>
    <x v="1"/>
    <x v="1"/>
    <n v="194365.76"/>
    <x v="0"/>
    <s v="Good"/>
    <s v="Adult"/>
    <x v="0"/>
    <x v="2"/>
  </r>
  <r>
    <n v="45"/>
    <n v="15684171"/>
    <s v="Bianchi"/>
    <s v="Spain"/>
    <s v="Female"/>
    <n v="660"/>
    <n v="61"/>
    <x v="8"/>
    <n v="155931.10999999999"/>
    <x v="0"/>
    <x v="0"/>
    <x v="0"/>
    <n v="158338.39000000001"/>
    <x v="1"/>
    <s v="Average"/>
    <s v="Senior"/>
    <x v="0"/>
    <x v="2"/>
  </r>
  <r>
    <n v="46"/>
    <n v="15754849"/>
    <s v="Tyler"/>
    <s v="Germany"/>
    <s v="Female"/>
    <n v="776"/>
    <n v="32"/>
    <x v="4"/>
    <n v="109421.13"/>
    <x v="2"/>
    <x v="0"/>
    <x v="0"/>
    <n v="126517.46"/>
    <x v="1"/>
    <s v="Good"/>
    <s v="Adult"/>
    <x v="0"/>
    <x v="2"/>
  </r>
  <r>
    <n v="47"/>
    <n v="15602280"/>
    <s v="Martin"/>
    <s v="Germany"/>
    <s v="Female"/>
    <n v="829"/>
    <n v="27"/>
    <x v="9"/>
    <n v="112045.67"/>
    <x v="0"/>
    <x v="0"/>
    <x v="0"/>
    <n v="119708.21"/>
    <x v="0"/>
    <s v="Good"/>
    <s v="Young Adult"/>
    <x v="0"/>
    <x v="2"/>
  </r>
  <r>
    <n v="48"/>
    <n v="15771573"/>
    <s v="Okagbue"/>
    <s v="Germany"/>
    <s v="Female"/>
    <n v="637"/>
    <n v="39"/>
    <x v="9"/>
    <n v="137843.79999999999"/>
    <x v="0"/>
    <x v="0"/>
    <x v="0"/>
    <n v="117622.8"/>
    <x v="0"/>
    <s v="Average"/>
    <s v="Adult"/>
    <x v="0"/>
    <x v="2"/>
  </r>
  <r>
    <n v="49"/>
    <n v="15766205"/>
    <s v="Yin"/>
    <s v="Germany"/>
    <s v="Male"/>
    <n v="550"/>
    <n v="38"/>
    <x v="0"/>
    <n v="103391.38"/>
    <x v="0"/>
    <x v="1"/>
    <x v="0"/>
    <n v="90878.13"/>
    <x v="1"/>
    <s v="Poor"/>
    <s v="Adult"/>
    <x v="0"/>
    <x v="2"/>
  </r>
  <r>
    <n v="50"/>
    <n v="15771873"/>
    <s v="Buccho"/>
    <s v="Germany"/>
    <s v="Female"/>
    <n v="776"/>
    <n v="37"/>
    <x v="0"/>
    <n v="103769.22"/>
    <x v="2"/>
    <x v="0"/>
    <x v="1"/>
    <n v="194099.12"/>
    <x v="1"/>
    <s v="Good"/>
    <s v="Adult"/>
    <x v="0"/>
    <x v="2"/>
  </r>
  <r>
    <n v="51"/>
    <n v="15616550"/>
    <s v="Chidiebele"/>
    <s v="Germany"/>
    <s v="Male"/>
    <n v="698"/>
    <n v="44"/>
    <x v="7"/>
    <n v="116363.37"/>
    <x v="2"/>
    <x v="0"/>
    <x v="1"/>
    <n v="198059.16"/>
    <x v="1"/>
    <s v="Good"/>
    <s v="Adult"/>
    <x v="0"/>
    <x v="2"/>
  </r>
  <r>
    <n v="52"/>
    <n v="15768193"/>
    <s v="Trevisani"/>
    <s v="Germany"/>
    <s v="Male"/>
    <n v="585"/>
    <n v="36"/>
    <x v="8"/>
    <n v="146050.97"/>
    <x v="2"/>
    <x v="1"/>
    <x v="1"/>
    <n v="86424.57"/>
    <x v="1"/>
    <s v="Average"/>
    <s v="Adult"/>
    <x v="0"/>
    <x v="2"/>
  </r>
  <r>
    <n v="53"/>
    <n v="15683553"/>
    <s v="O'Brien"/>
    <s v="France"/>
    <s v="Female"/>
    <n v="788"/>
    <n v="33"/>
    <x v="8"/>
    <n v="0"/>
    <x v="2"/>
    <x v="1"/>
    <x v="1"/>
    <n v="116978.19"/>
    <x v="1"/>
    <s v="Good"/>
    <s v="Adult"/>
    <x v="0"/>
    <x v="0"/>
  </r>
  <r>
    <n v="54"/>
    <n v="15702298"/>
    <s v="Parkhill"/>
    <s v="Germany"/>
    <s v="Male"/>
    <n v="655"/>
    <n v="41"/>
    <x v="2"/>
    <n v="125561.97"/>
    <x v="0"/>
    <x v="1"/>
    <x v="1"/>
    <n v="164040.94"/>
    <x v="0"/>
    <s v="Average"/>
    <s v="Adult"/>
    <x v="0"/>
    <x v="2"/>
  </r>
  <r>
    <n v="55"/>
    <n v="15569590"/>
    <s v="Yoo"/>
    <s v="Germany"/>
    <s v="Male"/>
    <n v="601"/>
    <n v="42"/>
    <x v="1"/>
    <n v="98495.72"/>
    <x v="0"/>
    <x v="0"/>
    <x v="1"/>
    <n v="40014.76"/>
    <x v="0"/>
    <s v="Average"/>
    <s v="Adult"/>
    <x v="2"/>
    <x v="1"/>
  </r>
  <r>
    <n v="56"/>
    <n v="15760861"/>
    <s v="Phillipps"/>
    <s v="France"/>
    <s v="Male"/>
    <n v="619"/>
    <n v="43"/>
    <x v="1"/>
    <n v="125211.92"/>
    <x v="0"/>
    <x v="0"/>
    <x v="0"/>
    <n v="113410.49"/>
    <x v="1"/>
    <s v="Average"/>
    <s v="Adult"/>
    <x v="0"/>
    <x v="2"/>
  </r>
  <r>
    <n v="57"/>
    <n v="15630053"/>
    <s v="Tsao"/>
    <s v="France"/>
    <s v="Male"/>
    <n v="656"/>
    <n v="45"/>
    <x v="8"/>
    <n v="127864.4"/>
    <x v="0"/>
    <x v="0"/>
    <x v="1"/>
    <n v="87107.57"/>
    <x v="1"/>
    <s v="Average"/>
    <s v="Adult"/>
    <x v="0"/>
    <x v="2"/>
  </r>
  <r>
    <n v="58"/>
    <n v="15647091"/>
    <s v="Endrizzi"/>
    <s v="Germany"/>
    <s v="Male"/>
    <n v="725"/>
    <n v="19"/>
    <x v="10"/>
    <n v="75888.2"/>
    <x v="0"/>
    <x v="1"/>
    <x v="1"/>
    <n v="45613.75"/>
    <x v="1"/>
    <s v="Good"/>
    <s v="Young Adult"/>
    <x v="2"/>
    <x v="1"/>
  </r>
  <r>
    <n v="59"/>
    <n v="15623944"/>
    <s v="T'ien"/>
    <s v="Spain"/>
    <s v="Female"/>
    <n v="511"/>
    <n v="66"/>
    <x v="4"/>
    <n v="0"/>
    <x v="0"/>
    <x v="0"/>
    <x v="1"/>
    <n v="1643.11"/>
    <x v="0"/>
    <s v="Poor"/>
    <s v="Senior"/>
    <x v="1"/>
    <x v="0"/>
  </r>
  <r>
    <n v="60"/>
    <n v="15804771"/>
    <s v="Velazquez"/>
    <s v="France"/>
    <s v="Male"/>
    <n v="614"/>
    <n v="51"/>
    <x v="4"/>
    <n v="40685.919999999998"/>
    <x v="0"/>
    <x v="0"/>
    <x v="0"/>
    <n v="46775.28"/>
    <x v="1"/>
    <s v="Average"/>
    <s v="Adult"/>
    <x v="2"/>
    <x v="0"/>
  </r>
  <r>
    <n v="61"/>
    <n v="15651280"/>
    <s v="Hunter"/>
    <s v="Germany"/>
    <s v="Male"/>
    <n v="742"/>
    <n v="35"/>
    <x v="8"/>
    <n v="136857"/>
    <x v="0"/>
    <x v="1"/>
    <x v="1"/>
    <n v="84509.57"/>
    <x v="1"/>
    <s v="Good"/>
    <s v="Adult"/>
    <x v="0"/>
    <x v="2"/>
  </r>
  <r>
    <n v="62"/>
    <n v="15773469"/>
    <s v="Clark"/>
    <s v="Germany"/>
    <s v="Female"/>
    <n v="687"/>
    <n v="27"/>
    <x v="9"/>
    <n v="152328.88"/>
    <x v="2"/>
    <x v="1"/>
    <x v="1"/>
    <n v="126494.82"/>
    <x v="1"/>
    <s v="Good"/>
    <s v="Young Adult"/>
    <x v="0"/>
    <x v="2"/>
  </r>
  <r>
    <n v="63"/>
    <n v="15702014"/>
    <s v="Jeffrey"/>
    <s v="Spain"/>
    <s v="Male"/>
    <n v="555"/>
    <n v="33"/>
    <x v="1"/>
    <n v="56084.69"/>
    <x v="2"/>
    <x v="1"/>
    <x v="1"/>
    <n v="178798.13"/>
    <x v="1"/>
    <s v="Poor"/>
    <s v="Adult"/>
    <x v="0"/>
    <x v="1"/>
  </r>
  <r>
    <n v="64"/>
    <n v="15751208"/>
    <s v="Pirozzi"/>
    <s v="Spain"/>
    <s v="Male"/>
    <n v="684"/>
    <n v="56"/>
    <x v="2"/>
    <n v="78707.16"/>
    <x v="0"/>
    <x v="0"/>
    <x v="0"/>
    <n v="99398.36"/>
    <x v="1"/>
    <s v="Good"/>
    <s v="Adult"/>
    <x v="0"/>
    <x v="1"/>
  </r>
  <r>
    <n v="65"/>
    <n v="15592461"/>
    <s v="Jackson"/>
    <s v="Germany"/>
    <s v="Male"/>
    <n v="603"/>
    <n v="26"/>
    <x v="4"/>
    <n v="109166.37"/>
    <x v="0"/>
    <x v="0"/>
    <x v="0"/>
    <n v="92840.67"/>
    <x v="1"/>
    <s v="Average"/>
    <s v="Young Adult"/>
    <x v="0"/>
    <x v="2"/>
  </r>
  <r>
    <n v="66"/>
    <n v="15789484"/>
    <s v="Hammond"/>
    <s v="Germany"/>
    <s v="Female"/>
    <n v="751"/>
    <n v="36"/>
    <x v="5"/>
    <n v="169831.46"/>
    <x v="2"/>
    <x v="0"/>
    <x v="0"/>
    <n v="27758.36"/>
    <x v="1"/>
    <s v="Good"/>
    <s v="Adult"/>
    <x v="1"/>
    <x v="2"/>
  </r>
  <r>
    <n v="67"/>
    <n v="15696061"/>
    <s v="Brownless"/>
    <s v="Germany"/>
    <s v="Female"/>
    <n v="581"/>
    <n v="34"/>
    <x v="1"/>
    <n v="101633.04"/>
    <x v="0"/>
    <x v="0"/>
    <x v="1"/>
    <n v="110431.51"/>
    <x v="1"/>
    <s v="Average"/>
    <s v="Adult"/>
    <x v="0"/>
    <x v="2"/>
  </r>
  <r>
    <n v="68"/>
    <n v="15641582"/>
    <s v="Chibugo"/>
    <s v="Germany"/>
    <s v="Male"/>
    <n v="735"/>
    <n v="43"/>
    <x v="7"/>
    <n v="123180.01"/>
    <x v="2"/>
    <x v="0"/>
    <x v="0"/>
    <n v="196673.28"/>
    <x v="1"/>
    <s v="Good"/>
    <s v="Adult"/>
    <x v="0"/>
    <x v="2"/>
  </r>
  <r>
    <n v="69"/>
    <n v="15638424"/>
    <s v="Glauert"/>
    <s v="Germany"/>
    <s v="Female"/>
    <n v="661"/>
    <n v="35"/>
    <x v="8"/>
    <n v="150725.53"/>
    <x v="2"/>
    <x v="1"/>
    <x v="0"/>
    <n v="113656.85"/>
    <x v="1"/>
    <s v="Average"/>
    <s v="Adult"/>
    <x v="0"/>
    <x v="2"/>
  </r>
  <r>
    <n v="70"/>
    <n v="15755648"/>
    <s v="Pisano"/>
    <s v="France"/>
    <s v="Female"/>
    <n v="675"/>
    <n v="21"/>
    <x v="2"/>
    <n v="98373.26"/>
    <x v="0"/>
    <x v="0"/>
    <x v="1"/>
    <n v="18203"/>
    <x v="1"/>
    <s v="Good"/>
    <s v="Young Adult"/>
    <x v="1"/>
    <x v="1"/>
  </r>
  <r>
    <n v="71"/>
    <n v="15703793"/>
    <s v="Konovalova"/>
    <s v="Germany"/>
    <s v="Male"/>
    <n v="738"/>
    <n v="58"/>
    <x v="0"/>
    <n v="133745.44"/>
    <x v="3"/>
    <x v="0"/>
    <x v="1"/>
    <n v="28373.86"/>
    <x v="0"/>
    <s v="Good"/>
    <s v="Adult"/>
    <x v="1"/>
    <x v="2"/>
  </r>
  <r>
    <n v="72"/>
    <n v="15620344"/>
    <s v="McKee"/>
    <s v="France"/>
    <s v="Male"/>
    <n v="813"/>
    <n v="29"/>
    <x v="5"/>
    <n v="0"/>
    <x v="0"/>
    <x v="0"/>
    <x v="1"/>
    <n v="33953.870000000003"/>
    <x v="1"/>
    <s v="Good"/>
    <s v="Young Adult"/>
    <x v="2"/>
    <x v="0"/>
  </r>
  <r>
    <n v="73"/>
    <n v="15812518"/>
    <s v="Palermo"/>
    <s v="Spain"/>
    <s v="Female"/>
    <n v="657"/>
    <n v="37"/>
    <x v="10"/>
    <n v="163607.18"/>
    <x v="0"/>
    <x v="1"/>
    <x v="0"/>
    <n v="44203.55"/>
    <x v="1"/>
    <s v="Average"/>
    <s v="Adult"/>
    <x v="2"/>
    <x v="2"/>
  </r>
  <r>
    <n v="74"/>
    <n v="15779052"/>
    <s v="Ballard"/>
    <s v="Germany"/>
    <s v="Female"/>
    <n v="604"/>
    <n v="25"/>
    <x v="8"/>
    <n v="157780.84"/>
    <x v="2"/>
    <x v="0"/>
    <x v="0"/>
    <n v="58426.81"/>
    <x v="1"/>
    <s v="Average"/>
    <s v="Young Adult"/>
    <x v="2"/>
    <x v="2"/>
  </r>
  <r>
    <n v="75"/>
    <n v="15770811"/>
    <s v="Wallace"/>
    <s v="France"/>
    <s v="Male"/>
    <n v="519"/>
    <n v="36"/>
    <x v="9"/>
    <n v="0"/>
    <x v="2"/>
    <x v="1"/>
    <x v="0"/>
    <n v="145562.4"/>
    <x v="1"/>
    <s v="Poor"/>
    <s v="Adult"/>
    <x v="0"/>
    <x v="0"/>
  </r>
  <r>
    <n v="76"/>
    <n v="15780961"/>
    <s v="Cavenagh"/>
    <s v="France"/>
    <s v="Female"/>
    <n v="735"/>
    <n v="21"/>
    <x v="1"/>
    <n v="178718.19"/>
    <x v="2"/>
    <x v="0"/>
    <x v="1"/>
    <n v="22388"/>
    <x v="1"/>
    <s v="Good"/>
    <s v="Young Adult"/>
    <x v="1"/>
    <x v="2"/>
  </r>
  <r>
    <n v="77"/>
    <n v="15614049"/>
    <s v="Hu"/>
    <s v="France"/>
    <s v="Male"/>
    <n v="664"/>
    <n v="55"/>
    <x v="2"/>
    <n v="0"/>
    <x v="2"/>
    <x v="0"/>
    <x v="0"/>
    <n v="139161.64000000001"/>
    <x v="1"/>
    <s v="Average"/>
    <s v="Adult"/>
    <x v="0"/>
    <x v="0"/>
  </r>
  <r>
    <n v="78"/>
    <n v="15662085"/>
    <s v="Read"/>
    <s v="France"/>
    <s v="Female"/>
    <n v="678"/>
    <n v="32"/>
    <x v="9"/>
    <n v="0"/>
    <x v="0"/>
    <x v="0"/>
    <x v="0"/>
    <n v="148210.64000000001"/>
    <x v="1"/>
    <s v="Good"/>
    <s v="Adult"/>
    <x v="0"/>
    <x v="0"/>
  </r>
  <r>
    <n v="79"/>
    <n v="15575185"/>
    <s v="Bushell"/>
    <s v="Spain"/>
    <s v="Male"/>
    <n v="757"/>
    <n v="33"/>
    <x v="8"/>
    <n v="77253.22"/>
    <x v="0"/>
    <x v="1"/>
    <x v="0"/>
    <n v="194239.63"/>
    <x v="1"/>
    <s v="Good"/>
    <s v="Adult"/>
    <x v="0"/>
    <x v="1"/>
  </r>
  <r>
    <n v="80"/>
    <n v="15803136"/>
    <s v="Postle"/>
    <s v="Germany"/>
    <s v="Female"/>
    <n v="416"/>
    <n v="41"/>
    <x v="7"/>
    <n v="122189.66"/>
    <x v="2"/>
    <x v="0"/>
    <x v="1"/>
    <n v="98301.61"/>
    <x v="1"/>
    <s v="Poor"/>
    <s v="Adult"/>
    <x v="0"/>
    <x v="2"/>
  </r>
  <r>
    <n v="81"/>
    <n v="15706021"/>
    <s v="Buley"/>
    <s v="France"/>
    <s v="Female"/>
    <n v="665"/>
    <n v="34"/>
    <x v="1"/>
    <n v="96645.54"/>
    <x v="2"/>
    <x v="1"/>
    <x v="1"/>
    <n v="171413.66"/>
    <x v="1"/>
    <s v="Average"/>
    <s v="Adult"/>
    <x v="0"/>
    <x v="1"/>
  </r>
  <r>
    <n v="82"/>
    <n v="15663706"/>
    <s v="Leonard"/>
    <s v="France"/>
    <s v="Female"/>
    <n v="777"/>
    <n v="32"/>
    <x v="0"/>
    <n v="0"/>
    <x v="0"/>
    <x v="0"/>
    <x v="1"/>
    <n v="136458.19"/>
    <x v="0"/>
    <s v="Good"/>
    <s v="Adult"/>
    <x v="0"/>
    <x v="0"/>
  </r>
  <r>
    <n v="83"/>
    <n v="15641732"/>
    <s v="Mills"/>
    <s v="France"/>
    <s v="Female"/>
    <n v="543"/>
    <n v="36"/>
    <x v="6"/>
    <n v="0"/>
    <x v="2"/>
    <x v="1"/>
    <x v="1"/>
    <n v="26019.59"/>
    <x v="1"/>
    <s v="Poor"/>
    <s v="Adult"/>
    <x v="1"/>
    <x v="0"/>
  </r>
  <r>
    <n v="84"/>
    <n v="15701164"/>
    <s v="Onyeorulu"/>
    <s v="France"/>
    <s v="Female"/>
    <n v="506"/>
    <n v="34"/>
    <x v="4"/>
    <n v="90307.62"/>
    <x v="0"/>
    <x v="0"/>
    <x v="0"/>
    <n v="159235.29"/>
    <x v="1"/>
    <s v="Poor"/>
    <s v="Adult"/>
    <x v="0"/>
    <x v="1"/>
  </r>
  <r>
    <n v="85"/>
    <n v="15738751"/>
    <s v="Beit"/>
    <s v="France"/>
    <s v="Female"/>
    <n v="493"/>
    <n v="46"/>
    <x v="4"/>
    <n v="0"/>
    <x v="2"/>
    <x v="0"/>
    <x v="1"/>
    <n v="1907.66"/>
    <x v="1"/>
    <s v="Poor"/>
    <s v="Adult"/>
    <x v="1"/>
    <x v="0"/>
  </r>
  <r>
    <n v="86"/>
    <n v="15805254"/>
    <s v="Ndukaku"/>
    <s v="Spain"/>
    <s v="Female"/>
    <n v="652"/>
    <n v="75"/>
    <x v="7"/>
    <n v="0"/>
    <x v="2"/>
    <x v="0"/>
    <x v="0"/>
    <n v="114675.75"/>
    <x v="1"/>
    <s v="Average"/>
    <s v="Senior"/>
    <x v="0"/>
    <x v="0"/>
  </r>
  <r>
    <n v="87"/>
    <n v="15762418"/>
    <s v="Gant"/>
    <s v="Spain"/>
    <s v="Male"/>
    <n v="750"/>
    <n v="22"/>
    <x v="6"/>
    <n v="121681.82"/>
    <x v="0"/>
    <x v="0"/>
    <x v="1"/>
    <n v="128643.35"/>
    <x v="0"/>
    <s v="Good"/>
    <s v="Young Adult"/>
    <x v="0"/>
    <x v="2"/>
  </r>
  <r>
    <n v="88"/>
    <n v="15625759"/>
    <s v="Rowley"/>
    <s v="France"/>
    <s v="Male"/>
    <n v="729"/>
    <n v="30"/>
    <x v="9"/>
    <n v="0"/>
    <x v="2"/>
    <x v="0"/>
    <x v="1"/>
    <n v="151869.35"/>
    <x v="1"/>
    <s v="Good"/>
    <s v="Young Adult"/>
    <x v="0"/>
    <x v="0"/>
  </r>
  <r>
    <n v="89"/>
    <n v="15622897"/>
    <s v="Sharpe"/>
    <s v="France"/>
    <s v="Female"/>
    <n v="646"/>
    <n v="46"/>
    <x v="4"/>
    <n v="0"/>
    <x v="1"/>
    <x v="0"/>
    <x v="1"/>
    <n v="93251.42"/>
    <x v="0"/>
    <s v="Average"/>
    <s v="Adult"/>
    <x v="0"/>
    <x v="0"/>
  </r>
  <r>
    <n v="90"/>
    <n v="15767954"/>
    <s v="Osborne"/>
    <s v="Germany"/>
    <s v="Female"/>
    <n v="635"/>
    <n v="28"/>
    <x v="6"/>
    <n v="81623.67"/>
    <x v="2"/>
    <x v="0"/>
    <x v="0"/>
    <n v="156791.35999999999"/>
    <x v="1"/>
    <s v="Average"/>
    <s v="Young Adult"/>
    <x v="0"/>
    <x v="1"/>
  </r>
  <r>
    <n v="91"/>
    <n v="15757535"/>
    <s v="Heap"/>
    <s v="Spain"/>
    <s v="Female"/>
    <n v="647"/>
    <n v="44"/>
    <x v="8"/>
    <n v="0"/>
    <x v="1"/>
    <x v="0"/>
    <x v="0"/>
    <n v="174205.22"/>
    <x v="0"/>
    <s v="Average"/>
    <s v="Adult"/>
    <x v="0"/>
    <x v="0"/>
  </r>
  <r>
    <n v="92"/>
    <n v="15731511"/>
    <s v="Ritchie"/>
    <s v="France"/>
    <s v="Male"/>
    <n v="808"/>
    <n v="45"/>
    <x v="3"/>
    <n v="118626.55"/>
    <x v="2"/>
    <x v="0"/>
    <x v="1"/>
    <n v="147132.46"/>
    <x v="1"/>
    <s v="Good"/>
    <s v="Adult"/>
    <x v="0"/>
    <x v="2"/>
  </r>
  <r>
    <n v="93"/>
    <n v="15809248"/>
    <s v="Cole"/>
    <s v="France"/>
    <s v="Female"/>
    <n v="524"/>
    <n v="36"/>
    <x v="7"/>
    <n v="0"/>
    <x v="2"/>
    <x v="0"/>
    <x v="1"/>
    <n v="109614.57"/>
    <x v="1"/>
    <s v="Poor"/>
    <s v="Adult"/>
    <x v="0"/>
    <x v="0"/>
  </r>
  <r>
    <n v="94"/>
    <n v="15640635"/>
    <s v="Capon"/>
    <s v="France"/>
    <s v="Male"/>
    <n v="769"/>
    <n v="29"/>
    <x v="2"/>
    <n v="0"/>
    <x v="2"/>
    <x v="0"/>
    <x v="0"/>
    <n v="172290.61"/>
    <x v="1"/>
    <s v="Good"/>
    <s v="Young Adult"/>
    <x v="0"/>
    <x v="0"/>
  </r>
  <r>
    <n v="95"/>
    <n v="15676966"/>
    <s v="Capon"/>
    <s v="Spain"/>
    <s v="Male"/>
    <n v="730"/>
    <n v="42"/>
    <x v="4"/>
    <n v="0"/>
    <x v="2"/>
    <x v="1"/>
    <x v="0"/>
    <n v="85982.47"/>
    <x v="1"/>
    <s v="Good"/>
    <s v="Adult"/>
    <x v="0"/>
    <x v="0"/>
  </r>
  <r>
    <n v="96"/>
    <n v="15699461"/>
    <s v="Fiorentini"/>
    <s v="Spain"/>
    <s v="Male"/>
    <n v="515"/>
    <n v="35"/>
    <x v="7"/>
    <n v="176273.95"/>
    <x v="0"/>
    <x v="1"/>
    <x v="0"/>
    <n v="121277.78"/>
    <x v="1"/>
    <s v="Poor"/>
    <s v="Adult"/>
    <x v="0"/>
    <x v="2"/>
  </r>
  <r>
    <n v="97"/>
    <n v="15738721"/>
    <s v="Graham"/>
    <s v="Spain"/>
    <s v="Male"/>
    <n v="773"/>
    <n v="41"/>
    <x v="9"/>
    <n v="102827.44"/>
    <x v="0"/>
    <x v="1"/>
    <x v="0"/>
    <n v="64595.25"/>
    <x v="1"/>
    <s v="Good"/>
    <s v="Adult"/>
    <x v="2"/>
    <x v="2"/>
  </r>
  <r>
    <n v="98"/>
    <n v="15693683"/>
    <s v="Yuille"/>
    <s v="Germany"/>
    <s v="Male"/>
    <n v="814"/>
    <n v="29"/>
    <x v="2"/>
    <n v="97086.399999999994"/>
    <x v="2"/>
    <x v="0"/>
    <x v="0"/>
    <n v="197276.13"/>
    <x v="1"/>
    <s v="Good"/>
    <s v="Young Adult"/>
    <x v="0"/>
    <x v="1"/>
  </r>
  <r>
    <n v="99"/>
    <n v="15604348"/>
    <s v="Allard"/>
    <s v="Spain"/>
    <s v="Male"/>
    <n v="710"/>
    <n v="22"/>
    <x v="2"/>
    <n v="0"/>
    <x v="2"/>
    <x v="1"/>
    <x v="1"/>
    <n v="99645.04"/>
    <x v="1"/>
    <s v="Good"/>
    <s v="Young Adult"/>
    <x v="0"/>
    <x v="0"/>
  </r>
  <r>
    <n v="100"/>
    <n v="15633059"/>
    <s v="Fanucci"/>
    <s v="France"/>
    <s v="Male"/>
    <n v="413"/>
    <n v="34"/>
    <x v="9"/>
    <n v="0"/>
    <x v="2"/>
    <x v="1"/>
    <x v="1"/>
    <n v="6534.18"/>
    <x v="1"/>
    <s v="Poor"/>
    <s v="Adult"/>
    <x v="1"/>
    <x v="0"/>
  </r>
  <r>
    <n v="101"/>
    <n v="15808582"/>
    <s v="Fu"/>
    <s v="France"/>
    <s v="Female"/>
    <n v="665"/>
    <n v="40"/>
    <x v="5"/>
    <n v="0"/>
    <x v="0"/>
    <x v="0"/>
    <x v="0"/>
    <n v="161848.03"/>
    <x v="1"/>
    <s v="Average"/>
    <s v="Adult"/>
    <x v="0"/>
    <x v="0"/>
  </r>
  <r>
    <n v="102"/>
    <n v="15743192"/>
    <s v="Hung"/>
    <s v="France"/>
    <s v="Female"/>
    <n v="623"/>
    <n v="44"/>
    <x v="5"/>
    <n v="0"/>
    <x v="2"/>
    <x v="1"/>
    <x v="1"/>
    <n v="167162.43"/>
    <x v="1"/>
    <s v="Average"/>
    <s v="Adult"/>
    <x v="0"/>
    <x v="0"/>
  </r>
  <r>
    <n v="103"/>
    <n v="15580146"/>
    <s v="Hung"/>
    <s v="France"/>
    <s v="Male"/>
    <n v="738"/>
    <n v="31"/>
    <x v="9"/>
    <n v="82674.149999999994"/>
    <x v="0"/>
    <x v="0"/>
    <x v="1"/>
    <n v="41970.720000000001"/>
    <x v="1"/>
    <s v="Good"/>
    <s v="Adult"/>
    <x v="2"/>
    <x v="1"/>
  </r>
  <r>
    <n v="104"/>
    <n v="15776605"/>
    <s v="Bradley"/>
    <s v="Spain"/>
    <s v="Male"/>
    <n v="528"/>
    <n v="36"/>
    <x v="3"/>
    <n v="0"/>
    <x v="2"/>
    <x v="0"/>
    <x v="1"/>
    <n v="60536.56"/>
    <x v="1"/>
    <s v="Poor"/>
    <s v="Adult"/>
    <x v="2"/>
    <x v="0"/>
  </r>
  <r>
    <n v="105"/>
    <n v="15804919"/>
    <s v="Dunbabin"/>
    <s v="Spain"/>
    <s v="Female"/>
    <n v="670"/>
    <n v="65"/>
    <x v="1"/>
    <n v="0"/>
    <x v="0"/>
    <x v="0"/>
    <x v="0"/>
    <n v="177655.67999999999"/>
    <x v="0"/>
    <s v="Good"/>
    <s v="Senior"/>
    <x v="0"/>
    <x v="0"/>
  </r>
  <r>
    <n v="106"/>
    <n v="15613854"/>
    <s v="Mauldon"/>
    <s v="Spain"/>
    <s v="Female"/>
    <n v="622"/>
    <n v="46"/>
    <x v="4"/>
    <n v="107073.27"/>
    <x v="2"/>
    <x v="0"/>
    <x v="0"/>
    <n v="30984.59"/>
    <x v="0"/>
    <s v="Average"/>
    <s v="Adult"/>
    <x v="2"/>
    <x v="2"/>
  </r>
  <r>
    <n v="107"/>
    <n v="15599195"/>
    <s v="Stiger"/>
    <s v="Germany"/>
    <s v="Male"/>
    <n v="582"/>
    <n v="32"/>
    <x v="1"/>
    <n v="88938.62"/>
    <x v="0"/>
    <x v="0"/>
    <x v="0"/>
    <n v="10054.530000000001"/>
    <x v="1"/>
    <s v="Average"/>
    <s v="Adult"/>
    <x v="1"/>
    <x v="1"/>
  </r>
  <r>
    <n v="108"/>
    <n v="15812878"/>
    <s v="Parsons"/>
    <s v="Germany"/>
    <s v="Female"/>
    <n v="785"/>
    <n v="36"/>
    <x v="0"/>
    <n v="99806.85"/>
    <x v="0"/>
    <x v="1"/>
    <x v="0"/>
    <n v="36976.519999999997"/>
    <x v="1"/>
    <s v="Good"/>
    <s v="Adult"/>
    <x v="2"/>
    <x v="1"/>
  </r>
  <r>
    <n v="109"/>
    <n v="15602312"/>
    <s v="Walkom"/>
    <s v="Spain"/>
    <s v="Male"/>
    <n v="605"/>
    <n v="33"/>
    <x v="8"/>
    <n v="150092.79999999999"/>
    <x v="0"/>
    <x v="1"/>
    <x v="1"/>
    <n v="71862.789999999994"/>
    <x v="1"/>
    <s v="Average"/>
    <s v="Adult"/>
    <x v="0"/>
    <x v="2"/>
  </r>
  <r>
    <n v="110"/>
    <n v="15744689"/>
    <s v="T'ang"/>
    <s v="Germany"/>
    <s v="Male"/>
    <n v="479"/>
    <n v="35"/>
    <x v="9"/>
    <n v="92833.89"/>
    <x v="0"/>
    <x v="0"/>
    <x v="1"/>
    <n v="99449.86"/>
    <x v="0"/>
    <s v="Poor"/>
    <s v="Adult"/>
    <x v="0"/>
    <x v="1"/>
  </r>
  <r>
    <n v="111"/>
    <n v="15803526"/>
    <s v="Eremenko"/>
    <s v="Germany"/>
    <s v="Male"/>
    <n v="685"/>
    <n v="30"/>
    <x v="6"/>
    <n v="90536.81"/>
    <x v="0"/>
    <x v="1"/>
    <x v="0"/>
    <n v="63082.879999999997"/>
    <x v="1"/>
    <s v="Good"/>
    <s v="Young Adult"/>
    <x v="2"/>
    <x v="1"/>
  </r>
  <r>
    <n v="112"/>
    <n v="15665790"/>
    <s v="Rowntree"/>
    <s v="Germany"/>
    <s v="Male"/>
    <n v="538"/>
    <n v="39"/>
    <x v="3"/>
    <n v="108055.1"/>
    <x v="2"/>
    <x v="0"/>
    <x v="1"/>
    <n v="27231.26"/>
    <x v="1"/>
    <s v="Poor"/>
    <s v="Adult"/>
    <x v="1"/>
    <x v="2"/>
  </r>
  <r>
    <n v="113"/>
    <n v="15715951"/>
    <s v="Thorpe"/>
    <s v="France"/>
    <s v="Male"/>
    <n v="562"/>
    <n v="42"/>
    <x v="0"/>
    <n v="100238.35"/>
    <x v="0"/>
    <x v="1"/>
    <x v="1"/>
    <n v="86797.41"/>
    <x v="1"/>
    <s v="Poor"/>
    <s v="Adult"/>
    <x v="0"/>
    <x v="2"/>
  </r>
  <r>
    <n v="114"/>
    <n v="15591100"/>
    <s v="Chiemela"/>
    <s v="Spain"/>
    <s v="Male"/>
    <n v="675"/>
    <n v="36"/>
    <x v="9"/>
    <n v="106190.55"/>
    <x v="0"/>
    <x v="1"/>
    <x v="0"/>
    <n v="22994.32"/>
    <x v="1"/>
    <s v="Good"/>
    <s v="Adult"/>
    <x v="1"/>
    <x v="2"/>
  </r>
  <r>
    <n v="115"/>
    <n v="15609618"/>
    <s v="Fanucci"/>
    <s v="Germany"/>
    <s v="Male"/>
    <n v="721"/>
    <n v="28"/>
    <x v="9"/>
    <n v="154475.54"/>
    <x v="2"/>
    <x v="1"/>
    <x v="0"/>
    <n v="101300.94"/>
    <x v="0"/>
    <s v="Good"/>
    <s v="Young Adult"/>
    <x v="0"/>
    <x v="2"/>
  </r>
  <r>
    <n v="116"/>
    <n v="15675522"/>
    <s v="Ko"/>
    <s v="Germany"/>
    <s v="Female"/>
    <n v="628"/>
    <n v="30"/>
    <x v="9"/>
    <n v="132351.29"/>
    <x v="2"/>
    <x v="0"/>
    <x v="0"/>
    <n v="74169.13"/>
    <x v="1"/>
    <s v="Average"/>
    <s v="Young Adult"/>
    <x v="0"/>
    <x v="2"/>
  </r>
  <r>
    <n v="117"/>
    <n v="15705512"/>
    <s v="Welch"/>
    <s v="Germany"/>
    <s v="Female"/>
    <n v="668"/>
    <n v="37"/>
    <x v="5"/>
    <n v="167864.4"/>
    <x v="0"/>
    <x v="0"/>
    <x v="1"/>
    <n v="115638.29"/>
    <x v="1"/>
    <s v="Average"/>
    <s v="Adult"/>
    <x v="0"/>
    <x v="2"/>
  </r>
  <r>
    <n v="118"/>
    <n v="15698028"/>
    <s v="Duncan"/>
    <s v="France"/>
    <s v="Female"/>
    <n v="506"/>
    <n v="41"/>
    <x v="1"/>
    <n v="0"/>
    <x v="2"/>
    <x v="0"/>
    <x v="1"/>
    <n v="31766.3"/>
    <x v="1"/>
    <s v="Poor"/>
    <s v="Adult"/>
    <x v="2"/>
    <x v="0"/>
  </r>
  <r>
    <n v="119"/>
    <n v="15661670"/>
    <s v="Chidozie"/>
    <s v="Germany"/>
    <s v="Female"/>
    <n v="524"/>
    <n v="31"/>
    <x v="2"/>
    <n v="107818.63"/>
    <x v="0"/>
    <x v="0"/>
    <x v="1"/>
    <n v="199725.39"/>
    <x v="0"/>
    <s v="Poor"/>
    <s v="Adult"/>
    <x v="0"/>
    <x v="2"/>
  </r>
  <r>
    <n v="120"/>
    <n v="15600781"/>
    <s v="Wu"/>
    <s v="Germany"/>
    <s v="Male"/>
    <n v="699"/>
    <n v="34"/>
    <x v="4"/>
    <n v="185173.81"/>
    <x v="2"/>
    <x v="0"/>
    <x v="1"/>
    <n v="120834.48"/>
    <x v="1"/>
    <s v="Good"/>
    <s v="Adult"/>
    <x v="0"/>
    <x v="2"/>
  </r>
  <r>
    <n v="121"/>
    <n v="15682472"/>
    <s v="Culbreth"/>
    <s v="France"/>
    <s v="Male"/>
    <n v="828"/>
    <n v="34"/>
    <x v="2"/>
    <n v="129433.34"/>
    <x v="2"/>
    <x v="1"/>
    <x v="1"/>
    <n v="38131.769999999997"/>
    <x v="1"/>
    <s v="Good"/>
    <s v="Adult"/>
    <x v="2"/>
    <x v="2"/>
  </r>
  <r>
    <n v="122"/>
    <n v="15580203"/>
    <s v="Kennedy"/>
    <s v="Spain"/>
    <s v="Male"/>
    <n v="674"/>
    <n v="39"/>
    <x v="5"/>
    <n v="120193.42"/>
    <x v="0"/>
    <x v="1"/>
    <x v="1"/>
    <n v="100130.95"/>
    <x v="1"/>
    <s v="Good"/>
    <s v="Adult"/>
    <x v="0"/>
    <x v="2"/>
  </r>
  <r>
    <n v="123"/>
    <n v="15690673"/>
    <s v="Cameron"/>
    <s v="France"/>
    <s v="Female"/>
    <n v="656"/>
    <n v="39"/>
    <x v="5"/>
    <n v="0"/>
    <x v="2"/>
    <x v="0"/>
    <x v="1"/>
    <n v="141069.88"/>
    <x v="1"/>
    <s v="Average"/>
    <s v="Adult"/>
    <x v="0"/>
    <x v="0"/>
  </r>
  <r>
    <n v="124"/>
    <n v="15760085"/>
    <s v="Calabresi"/>
    <s v="Germany"/>
    <s v="Female"/>
    <n v="684"/>
    <n v="48"/>
    <x v="7"/>
    <n v="126384.42"/>
    <x v="0"/>
    <x v="0"/>
    <x v="0"/>
    <n v="198129.36"/>
    <x v="1"/>
    <s v="Good"/>
    <s v="Adult"/>
    <x v="0"/>
    <x v="2"/>
  </r>
  <r>
    <n v="125"/>
    <n v="15779659"/>
    <s v="Zetticci"/>
    <s v="France"/>
    <s v="Female"/>
    <n v="625"/>
    <n v="28"/>
    <x v="6"/>
    <n v="0"/>
    <x v="0"/>
    <x v="1"/>
    <x v="1"/>
    <n v="183646.41"/>
    <x v="1"/>
    <s v="Average"/>
    <s v="Young Adult"/>
    <x v="0"/>
    <x v="0"/>
  </r>
  <r>
    <n v="126"/>
    <n v="15627360"/>
    <s v="Fuller"/>
    <s v="France"/>
    <s v="Male"/>
    <n v="432"/>
    <n v="42"/>
    <x v="9"/>
    <n v="152603.45000000001"/>
    <x v="0"/>
    <x v="0"/>
    <x v="1"/>
    <n v="110265.24"/>
    <x v="0"/>
    <s v="Poor"/>
    <s v="Adult"/>
    <x v="0"/>
    <x v="2"/>
  </r>
  <r>
    <n v="127"/>
    <n v="15671137"/>
    <s v="MacDonald"/>
    <s v="France"/>
    <s v="Female"/>
    <n v="549"/>
    <n v="52"/>
    <x v="1"/>
    <n v="0"/>
    <x v="0"/>
    <x v="1"/>
    <x v="0"/>
    <n v="8636.0499999999993"/>
    <x v="0"/>
    <s v="Poor"/>
    <s v="Adult"/>
    <x v="1"/>
    <x v="0"/>
  </r>
  <r>
    <n v="128"/>
    <n v="15782688"/>
    <s v="Piccio"/>
    <s v="Germany"/>
    <s v="Male"/>
    <n v="625"/>
    <n v="56"/>
    <x v="10"/>
    <n v="148507.24"/>
    <x v="0"/>
    <x v="0"/>
    <x v="1"/>
    <n v="46824.08"/>
    <x v="0"/>
    <s v="Average"/>
    <s v="Adult"/>
    <x v="2"/>
    <x v="2"/>
  </r>
  <r>
    <n v="129"/>
    <n v="15575492"/>
    <s v="Kennedy"/>
    <s v="France"/>
    <s v="Female"/>
    <n v="828"/>
    <n v="41"/>
    <x v="3"/>
    <n v="0"/>
    <x v="2"/>
    <x v="0"/>
    <x v="1"/>
    <n v="171378.77"/>
    <x v="1"/>
    <s v="Good"/>
    <s v="Adult"/>
    <x v="0"/>
    <x v="0"/>
  </r>
  <r>
    <n v="130"/>
    <n v="15591607"/>
    <s v="Fernie"/>
    <s v="France"/>
    <s v="Male"/>
    <n v="770"/>
    <n v="24"/>
    <x v="9"/>
    <n v="101827.07"/>
    <x v="0"/>
    <x v="0"/>
    <x v="1"/>
    <n v="167256.35"/>
    <x v="1"/>
    <s v="Good"/>
    <s v="Young Adult"/>
    <x v="0"/>
    <x v="2"/>
  </r>
  <r>
    <n v="131"/>
    <n v="15740404"/>
    <s v="He"/>
    <s v="France"/>
    <s v="Female"/>
    <n v="758"/>
    <n v="34"/>
    <x v="6"/>
    <n v="0"/>
    <x v="2"/>
    <x v="0"/>
    <x v="0"/>
    <n v="124226.16"/>
    <x v="1"/>
    <s v="Good"/>
    <s v="Adult"/>
    <x v="0"/>
    <x v="0"/>
  </r>
  <r>
    <n v="132"/>
    <n v="15718369"/>
    <s v="Kaodilinakachukwu"/>
    <s v="Germany"/>
    <s v="Female"/>
    <n v="795"/>
    <n v="33"/>
    <x v="9"/>
    <n v="130862.43"/>
    <x v="0"/>
    <x v="0"/>
    <x v="0"/>
    <n v="114935.21"/>
    <x v="1"/>
    <s v="Good"/>
    <s v="Adult"/>
    <x v="0"/>
    <x v="2"/>
  </r>
  <r>
    <n v="133"/>
    <n v="15677871"/>
    <s v="Cocci"/>
    <s v="France"/>
    <s v="Male"/>
    <n v="687"/>
    <n v="38"/>
    <x v="9"/>
    <n v="122570.87"/>
    <x v="0"/>
    <x v="0"/>
    <x v="0"/>
    <n v="35608.879999999997"/>
    <x v="1"/>
    <s v="Good"/>
    <s v="Adult"/>
    <x v="2"/>
    <x v="2"/>
  </r>
  <r>
    <n v="134"/>
    <n v="15642004"/>
    <s v="Alekseeva"/>
    <s v="France"/>
    <s v="Male"/>
    <n v="686"/>
    <n v="25"/>
    <x v="1"/>
    <n v="0"/>
    <x v="2"/>
    <x v="1"/>
    <x v="0"/>
    <n v="16459.37"/>
    <x v="1"/>
    <s v="Good"/>
    <s v="Young Adult"/>
    <x v="1"/>
    <x v="0"/>
  </r>
  <r>
    <n v="135"/>
    <n v="15712543"/>
    <s v="Chinweike"/>
    <s v="Germany"/>
    <s v="Male"/>
    <n v="789"/>
    <n v="39"/>
    <x v="3"/>
    <n v="124828.46"/>
    <x v="2"/>
    <x v="0"/>
    <x v="0"/>
    <n v="124411.08"/>
    <x v="1"/>
    <s v="Good"/>
    <s v="Adult"/>
    <x v="0"/>
    <x v="2"/>
  </r>
  <r>
    <n v="136"/>
    <n v="15584518"/>
    <s v="Arthur"/>
    <s v="Germany"/>
    <s v="Female"/>
    <n v="589"/>
    <n v="50"/>
    <x v="8"/>
    <n v="144895.04999999999"/>
    <x v="2"/>
    <x v="0"/>
    <x v="0"/>
    <n v="34941.230000000003"/>
    <x v="1"/>
    <s v="Average"/>
    <s v="Adult"/>
    <x v="2"/>
    <x v="2"/>
  </r>
  <r>
    <n v="137"/>
    <n v="15802381"/>
    <s v="Li"/>
    <s v="Germany"/>
    <s v="Female"/>
    <n v="461"/>
    <n v="34"/>
    <x v="8"/>
    <n v="63663.93"/>
    <x v="0"/>
    <x v="1"/>
    <x v="0"/>
    <n v="167784.28"/>
    <x v="1"/>
    <s v="Poor"/>
    <s v="Adult"/>
    <x v="0"/>
    <x v="1"/>
  </r>
  <r>
    <n v="138"/>
    <n v="15610156"/>
    <s v="Ma"/>
    <s v="France"/>
    <s v="Male"/>
    <n v="637"/>
    <n v="40"/>
    <x v="0"/>
    <n v="133463.1"/>
    <x v="0"/>
    <x v="1"/>
    <x v="0"/>
    <n v="93165.34"/>
    <x v="1"/>
    <s v="Average"/>
    <s v="Adult"/>
    <x v="0"/>
    <x v="2"/>
  </r>
  <r>
    <n v="139"/>
    <n v="15594408"/>
    <s v="Chia"/>
    <s v="Spain"/>
    <s v="Female"/>
    <n v="584"/>
    <n v="48"/>
    <x v="0"/>
    <n v="213146.2"/>
    <x v="0"/>
    <x v="0"/>
    <x v="1"/>
    <n v="75161.25"/>
    <x v="0"/>
    <s v="Average"/>
    <s v="Adult"/>
    <x v="0"/>
    <x v="2"/>
  </r>
  <r>
    <n v="140"/>
    <n v="15640905"/>
    <s v="Vasin"/>
    <s v="Spain"/>
    <s v="Female"/>
    <n v="579"/>
    <n v="35"/>
    <x v="1"/>
    <n v="129490.36"/>
    <x v="2"/>
    <x v="1"/>
    <x v="0"/>
    <n v="8590.83"/>
    <x v="0"/>
    <s v="Poor"/>
    <s v="Adult"/>
    <x v="1"/>
    <x v="2"/>
  </r>
  <r>
    <n v="141"/>
    <n v="15698932"/>
    <s v="Groves"/>
    <s v="Germany"/>
    <s v="Male"/>
    <n v="756"/>
    <n v="44"/>
    <x v="7"/>
    <n v="137452.09"/>
    <x v="0"/>
    <x v="0"/>
    <x v="1"/>
    <n v="189543.9"/>
    <x v="1"/>
    <s v="Good"/>
    <s v="Adult"/>
    <x v="0"/>
    <x v="2"/>
  </r>
  <r>
    <n v="142"/>
    <n v="15724944"/>
    <s v="Tien"/>
    <s v="France"/>
    <s v="Male"/>
    <n v="663"/>
    <n v="34"/>
    <x v="3"/>
    <n v="0"/>
    <x v="2"/>
    <x v="0"/>
    <x v="0"/>
    <n v="180427.24"/>
    <x v="1"/>
    <s v="Average"/>
    <s v="Adult"/>
    <x v="0"/>
    <x v="0"/>
  </r>
  <r>
    <n v="143"/>
    <n v="15628145"/>
    <s v="Forwood"/>
    <s v="France"/>
    <s v="Female"/>
    <n v="682"/>
    <n v="43"/>
    <x v="8"/>
    <n v="125851.93"/>
    <x v="0"/>
    <x v="0"/>
    <x v="0"/>
    <n v="193318.33"/>
    <x v="1"/>
    <s v="Good"/>
    <s v="Adult"/>
    <x v="0"/>
    <x v="2"/>
  </r>
  <r>
    <n v="144"/>
    <n v="15713483"/>
    <s v="Greeves"/>
    <s v="Spain"/>
    <s v="Male"/>
    <n v="793"/>
    <n v="52"/>
    <x v="0"/>
    <n v="0"/>
    <x v="0"/>
    <x v="0"/>
    <x v="1"/>
    <n v="159123.82"/>
    <x v="0"/>
    <s v="Good"/>
    <s v="Adult"/>
    <x v="0"/>
    <x v="0"/>
  </r>
  <r>
    <n v="145"/>
    <n v="15612350"/>
    <s v="Taylor"/>
    <s v="France"/>
    <s v="Female"/>
    <n v="691"/>
    <n v="31"/>
    <x v="8"/>
    <n v="40915.550000000003"/>
    <x v="0"/>
    <x v="0"/>
    <x v="1"/>
    <n v="126213.84"/>
    <x v="0"/>
    <s v="Good"/>
    <s v="Adult"/>
    <x v="0"/>
    <x v="0"/>
  </r>
  <r>
    <n v="146"/>
    <n v="15800703"/>
    <s v="Madukwe"/>
    <s v="Spain"/>
    <s v="Female"/>
    <n v="485"/>
    <n v="21"/>
    <x v="8"/>
    <n v="113157.22"/>
    <x v="0"/>
    <x v="0"/>
    <x v="0"/>
    <n v="54141.5"/>
    <x v="1"/>
    <s v="Poor"/>
    <s v="Young Adult"/>
    <x v="2"/>
    <x v="2"/>
  </r>
  <r>
    <n v="147"/>
    <n v="15705707"/>
    <s v="Bennelong"/>
    <s v="Spain"/>
    <s v="Female"/>
    <n v="635"/>
    <n v="29"/>
    <x v="2"/>
    <n v="138296.94"/>
    <x v="2"/>
    <x v="0"/>
    <x v="1"/>
    <n v="141075.51"/>
    <x v="1"/>
    <s v="Average"/>
    <s v="Young Adult"/>
    <x v="0"/>
    <x v="2"/>
  </r>
  <r>
    <n v="148"/>
    <n v="15754105"/>
    <s v="Olisanugo"/>
    <s v="France"/>
    <s v="Male"/>
    <n v="650"/>
    <n v="37"/>
    <x v="8"/>
    <n v="106967.18"/>
    <x v="0"/>
    <x v="1"/>
    <x v="1"/>
    <n v="24495.03"/>
    <x v="1"/>
    <s v="Average"/>
    <s v="Adult"/>
    <x v="1"/>
    <x v="2"/>
  </r>
  <r>
    <n v="149"/>
    <n v="15703264"/>
    <s v="Chukwufumnanya"/>
    <s v="France"/>
    <s v="Male"/>
    <n v="735"/>
    <n v="44"/>
    <x v="9"/>
    <n v="120681.63"/>
    <x v="0"/>
    <x v="0"/>
    <x v="1"/>
    <n v="74836.34"/>
    <x v="1"/>
    <s v="Good"/>
    <s v="Adult"/>
    <x v="0"/>
    <x v="2"/>
  </r>
  <r>
    <n v="150"/>
    <n v="15794413"/>
    <s v="Harris"/>
    <s v="France"/>
    <s v="Male"/>
    <n v="416"/>
    <n v="32"/>
    <x v="10"/>
    <n v="0"/>
    <x v="2"/>
    <x v="1"/>
    <x v="0"/>
    <n v="878.87"/>
    <x v="1"/>
    <s v="Poor"/>
    <s v="Adult"/>
    <x v="1"/>
    <x v="0"/>
  </r>
  <r>
    <n v="151"/>
    <n v="15650237"/>
    <s v="Morgan"/>
    <s v="Spain"/>
    <s v="Female"/>
    <n v="754"/>
    <n v="32"/>
    <x v="3"/>
    <n v="0"/>
    <x v="2"/>
    <x v="0"/>
    <x v="1"/>
    <n v="89520.75"/>
    <x v="1"/>
    <s v="Good"/>
    <s v="Adult"/>
    <x v="0"/>
    <x v="0"/>
  </r>
  <r>
    <n v="152"/>
    <n v="15759618"/>
    <s v="Alexeeva"/>
    <s v="France"/>
    <s v="Female"/>
    <n v="535"/>
    <n v="48"/>
    <x v="9"/>
    <n v="0"/>
    <x v="0"/>
    <x v="0"/>
    <x v="1"/>
    <n v="149892.79"/>
    <x v="0"/>
    <s v="Poor"/>
    <s v="Adult"/>
    <x v="0"/>
    <x v="0"/>
  </r>
  <r>
    <n v="153"/>
    <n v="15811589"/>
    <s v="Metcalfe"/>
    <s v="Spain"/>
    <s v="Male"/>
    <n v="716"/>
    <n v="42"/>
    <x v="2"/>
    <n v="0"/>
    <x v="2"/>
    <x v="0"/>
    <x v="1"/>
    <n v="180800.42"/>
    <x v="1"/>
    <s v="Good"/>
    <s v="Adult"/>
    <x v="0"/>
    <x v="0"/>
  </r>
  <r>
    <n v="154"/>
    <n v="15689044"/>
    <s v="Humphries"/>
    <s v="France"/>
    <s v="Male"/>
    <n v="539"/>
    <n v="37"/>
    <x v="0"/>
    <n v="127609.59"/>
    <x v="0"/>
    <x v="0"/>
    <x v="1"/>
    <n v="98646.22"/>
    <x v="1"/>
    <s v="Poor"/>
    <s v="Adult"/>
    <x v="0"/>
    <x v="2"/>
  </r>
  <r>
    <n v="155"/>
    <n v="15709368"/>
    <s v="Milne"/>
    <s v="France"/>
    <s v="Female"/>
    <n v="614"/>
    <n v="43"/>
    <x v="5"/>
    <n v="0"/>
    <x v="2"/>
    <x v="0"/>
    <x v="0"/>
    <n v="109041.53"/>
    <x v="1"/>
    <s v="Average"/>
    <s v="Adult"/>
    <x v="0"/>
    <x v="0"/>
  </r>
  <r>
    <n v="156"/>
    <n v="15679145"/>
    <s v="Chou"/>
    <s v="Spain"/>
    <s v="Male"/>
    <n v="706"/>
    <n v="57"/>
    <x v="3"/>
    <n v="0"/>
    <x v="0"/>
    <x v="0"/>
    <x v="1"/>
    <n v="17941.16"/>
    <x v="0"/>
    <s v="Good"/>
    <s v="Adult"/>
    <x v="1"/>
    <x v="0"/>
  </r>
  <r>
    <n v="157"/>
    <n v="15655007"/>
    <s v="Li"/>
    <s v="France"/>
    <s v="Female"/>
    <n v="758"/>
    <n v="33"/>
    <x v="3"/>
    <n v="0"/>
    <x v="2"/>
    <x v="1"/>
    <x v="1"/>
    <n v="82996.47"/>
    <x v="1"/>
    <s v="Good"/>
    <s v="Adult"/>
    <x v="0"/>
    <x v="0"/>
  </r>
  <r>
    <n v="158"/>
    <n v="15623595"/>
    <s v="Clayton"/>
    <s v="Spain"/>
    <s v="Female"/>
    <n v="586"/>
    <n v="28"/>
    <x v="0"/>
    <n v="0"/>
    <x v="2"/>
    <x v="0"/>
    <x v="0"/>
    <n v="92067.35"/>
    <x v="1"/>
    <s v="Average"/>
    <s v="Young Adult"/>
    <x v="0"/>
    <x v="0"/>
  </r>
  <r>
    <n v="159"/>
    <n v="15589975"/>
    <s v="Maclean"/>
    <s v="France"/>
    <s v="Female"/>
    <n v="646"/>
    <n v="73"/>
    <x v="5"/>
    <n v="97259.25"/>
    <x v="0"/>
    <x v="1"/>
    <x v="0"/>
    <n v="104719.66"/>
    <x v="1"/>
    <s v="Average"/>
    <s v="Senior"/>
    <x v="0"/>
    <x v="1"/>
  </r>
  <r>
    <n v="160"/>
    <n v="15804017"/>
    <s v="Chigolum"/>
    <s v="Germany"/>
    <s v="Female"/>
    <n v="631"/>
    <n v="33"/>
    <x v="4"/>
    <n v="123246.7"/>
    <x v="0"/>
    <x v="1"/>
    <x v="1"/>
    <n v="112687.57"/>
    <x v="1"/>
    <s v="Average"/>
    <s v="Adult"/>
    <x v="0"/>
    <x v="2"/>
  </r>
  <r>
    <n v="161"/>
    <n v="15692132"/>
    <s v="Wilkinson"/>
    <s v="Spain"/>
    <s v="Female"/>
    <n v="717"/>
    <n v="22"/>
    <x v="5"/>
    <n v="101060.25"/>
    <x v="0"/>
    <x v="1"/>
    <x v="0"/>
    <n v="84699.56"/>
    <x v="1"/>
    <s v="Good"/>
    <s v="Young Adult"/>
    <x v="0"/>
    <x v="2"/>
  </r>
  <r>
    <n v="162"/>
    <n v="15641122"/>
    <s v="Wei"/>
    <s v="France"/>
    <s v="Male"/>
    <n v="684"/>
    <n v="30"/>
    <x v="0"/>
    <n v="0"/>
    <x v="2"/>
    <x v="0"/>
    <x v="1"/>
    <n v="83473.820000000007"/>
    <x v="1"/>
    <s v="Good"/>
    <s v="Young Adult"/>
    <x v="0"/>
    <x v="0"/>
  </r>
  <r>
    <n v="163"/>
    <n v="15630910"/>
    <s v="Treacy"/>
    <s v="France"/>
    <s v="Female"/>
    <n v="800"/>
    <n v="49"/>
    <x v="3"/>
    <n v="108007.36"/>
    <x v="0"/>
    <x v="1"/>
    <x v="1"/>
    <n v="47125.11"/>
    <x v="1"/>
    <s v="Good"/>
    <s v="Adult"/>
    <x v="2"/>
    <x v="2"/>
  </r>
  <r>
    <n v="164"/>
    <n v="15680772"/>
    <s v="Hu"/>
    <s v="Spain"/>
    <s v="Female"/>
    <n v="721"/>
    <n v="36"/>
    <x v="0"/>
    <n v="0"/>
    <x v="2"/>
    <x v="0"/>
    <x v="0"/>
    <n v="106977.8"/>
    <x v="1"/>
    <s v="Good"/>
    <s v="Adult"/>
    <x v="0"/>
    <x v="0"/>
  </r>
  <r>
    <n v="165"/>
    <n v="15658929"/>
    <s v="Taverner"/>
    <s v="Spain"/>
    <s v="Male"/>
    <n v="683"/>
    <n v="29"/>
    <x v="10"/>
    <n v="133702.89000000001"/>
    <x v="0"/>
    <x v="0"/>
    <x v="1"/>
    <n v="55582.54"/>
    <x v="0"/>
    <s v="Good"/>
    <s v="Young Adult"/>
    <x v="2"/>
    <x v="2"/>
  </r>
  <r>
    <n v="166"/>
    <n v="15585388"/>
    <s v="Sherman"/>
    <s v="Germany"/>
    <s v="Male"/>
    <n v="660"/>
    <n v="31"/>
    <x v="9"/>
    <n v="125189.75"/>
    <x v="2"/>
    <x v="0"/>
    <x v="0"/>
    <n v="139874.43"/>
    <x v="1"/>
    <s v="Average"/>
    <s v="Adult"/>
    <x v="0"/>
    <x v="2"/>
  </r>
  <r>
    <n v="167"/>
    <n v="15724623"/>
    <s v="Taubman"/>
    <s v="Germany"/>
    <s v="Female"/>
    <n v="704"/>
    <n v="24"/>
    <x v="3"/>
    <n v="113034.22"/>
    <x v="0"/>
    <x v="0"/>
    <x v="1"/>
    <n v="162503.48000000001"/>
    <x v="0"/>
    <s v="Good"/>
    <s v="Young Adult"/>
    <x v="0"/>
    <x v="2"/>
  </r>
  <r>
    <n v="168"/>
    <n v="15588537"/>
    <s v="Robinson"/>
    <s v="Spain"/>
    <s v="Female"/>
    <n v="615"/>
    <n v="41"/>
    <x v="9"/>
    <n v="109013.23"/>
    <x v="0"/>
    <x v="0"/>
    <x v="1"/>
    <n v="196499.96"/>
    <x v="1"/>
    <s v="Average"/>
    <s v="Adult"/>
    <x v="0"/>
    <x v="2"/>
  </r>
  <r>
    <n v="169"/>
    <n v="15574692"/>
    <s v="Pinto"/>
    <s v="Spain"/>
    <s v="Female"/>
    <n v="667"/>
    <n v="39"/>
    <x v="0"/>
    <n v="0"/>
    <x v="2"/>
    <x v="0"/>
    <x v="1"/>
    <n v="40721.24"/>
    <x v="0"/>
    <s v="Average"/>
    <s v="Adult"/>
    <x v="2"/>
    <x v="0"/>
  </r>
  <r>
    <n v="170"/>
    <n v="15611325"/>
    <s v="Wood"/>
    <s v="Germany"/>
    <s v="Male"/>
    <n v="682"/>
    <n v="24"/>
    <x v="9"/>
    <n v="57929.81"/>
    <x v="2"/>
    <x v="1"/>
    <x v="1"/>
    <n v="53134.3"/>
    <x v="1"/>
    <s v="Good"/>
    <s v="Young Adult"/>
    <x v="2"/>
    <x v="1"/>
  </r>
  <r>
    <n v="171"/>
    <n v="15587562"/>
    <s v="Hawkins"/>
    <s v="France"/>
    <s v="Female"/>
    <n v="484"/>
    <n v="29"/>
    <x v="4"/>
    <n v="130114.39"/>
    <x v="0"/>
    <x v="0"/>
    <x v="1"/>
    <n v="164017.89000000001"/>
    <x v="1"/>
    <s v="Poor"/>
    <s v="Young Adult"/>
    <x v="0"/>
    <x v="2"/>
  </r>
  <r>
    <n v="172"/>
    <n v="15613172"/>
    <s v="Sun"/>
    <s v="Germany"/>
    <s v="Male"/>
    <n v="628"/>
    <n v="27"/>
    <x v="8"/>
    <n v="95826.49"/>
    <x v="2"/>
    <x v="0"/>
    <x v="1"/>
    <n v="155996.96"/>
    <x v="1"/>
    <s v="Average"/>
    <s v="Young Adult"/>
    <x v="0"/>
    <x v="1"/>
  </r>
  <r>
    <n v="173"/>
    <n v="15651022"/>
    <s v="Yost"/>
    <s v="Germany"/>
    <s v="Male"/>
    <n v="480"/>
    <n v="44"/>
    <x v="7"/>
    <n v="129608.57"/>
    <x v="0"/>
    <x v="0"/>
    <x v="1"/>
    <n v="5472.7"/>
    <x v="0"/>
    <s v="Poor"/>
    <s v="Adult"/>
    <x v="1"/>
    <x v="2"/>
  </r>
  <r>
    <n v="174"/>
    <n v="15586310"/>
    <s v="Ting"/>
    <s v="France"/>
    <s v="Male"/>
    <n v="578"/>
    <n v="30"/>
    <x v="4"/>
    <n v="169462.09"/>
    <x v="0"/>
    <x v="0"/>
    <x v="1"/>
    <n v="112187.11"/>
    <x v="1"/>
    <s v="Poor"/>
    <s v="Young Adult"/>
    <x v="0"/>
    <x v="2"/>
  </r>
  <r>
    <n v="175"/>
    <n v="15625524"/>
    <s v="Rowe"/>
    <s v="France"/>
    <s v="Male"/>
    <n v="512"/>
    <n v="40"/>
    <x v="8"/>
    <n v="0"/>
    <x v="2"/>
    <x v="0"/>
    <x v="0"/>
    <n v="146457.82999999999"/>
    <x v="1"/>
    <s v="Poor"/>
    <s v="Adult"/>
    <x v="0"/>
    <x v="0"/>
  </r>
  <r>
    <n v="176"/>
    <n v="15755209"/>
    <s v="Fu"/>
    <s v="Spain"/>
    <s v="Female"/>
    <n v="484"/>
    <n v="35"/>
    <x v="3"/>
    <n v="133868.21"/>
    <x v="0"/>
    <x v="0"/>
    <x v="0"/>
    <n v="27286.1"/>
    <x v="1"/>
    <s v="Poor"/>
    <s v="Adult"/>
    <x v="1"/>
    <x v="2"/>
  </r>
  <r>
    <n v="177"/>
    <n v="15645248"/>
    <s v="Ho"/>
    <s v="France"/>
    <s v="Female"/>
    <n v="510"/>
    <n v="30"/>
    <x v="10"/>
    <n v="0"/>
    <x v="2"/>
    <x v="0"/>
    <x v="0"/>
    <n v="130553.47"/>
    <x v="1"/>
    <s v="Poor"/>
    <s v="Young Adult"/>
    <x v="0"/>
    <x v="0"/>
  </r>
  <r>
    <n v="178"/>
    <n v="15790355"/>
    <s v="Okechukwu"/>
    <s v="Germany"/>
    <s v="Male"/>
    <n v="606"/>
    <n v="36"/>
    <x v="8"/>
    <n v="190479.48"/>
    <x v="2"/>
    <x v="1"/>
    <x v="1"/>
    <n v="179351.89"/>
    <x v="1"/>
    <s v="Average"/>
    <s v="Adult"/>
    <x v="0"/>
    <x v="2"/>
  </r>
  <r>
    <n v="179"/>
    <n v="15762615"/>
    <s v="Campbell"/>
    <s v="Spain"/>
    <s v="Female"/>
    <n v="597"/>
    <n v="40"/>
    <x v="2"/>
    <n v="101993.12"/>
    <x v="0"/>
    <x v="1"/>
    <x v="0"/>
    <n v="94774.12"/>
    <x v="1"/>
    <s v="Average"/>
    <s v="Adult"/>
    <x v="0"/>
    <x v="2"/>
  </r>
  <r>
    <n v="180"/>
    <n v="15625426"/>
    <s v="Ashbolt"/>
    <s v="Germany"/>
    <s v="Female"/>
    <n v="754"/>
    <n v="55"/>
    <x v="6"/>
    <n v="161608.81"/>
    <x v="0"/>
    <x v="0"/>
    <x v="1"/>
    <n v="8080.85"/>
    <x v="0"/>
    <s v="Good"/>
    <s v="Adult"/>
    <x v="1"/>
    <x v="2"/>
  </r>
  <r>
    <n v="181"/>
    <n v="15716334"/>
    <s v="Rozier"/>
    <s v="Spain"/>
    <s v="Female"/>
    <n v="850"/>
    <n v="45"/>
    <x v="0"/>
    <n v="122311.21"/>
    <x v="0"/>
    <x v="0"/>
    <x v="0"/>
    <n v="19482.5"/>
    <x v="1"/>
    <s v="Good"/>
    <s v="Adult"/>
    <x v="1"/>
    <x v="2"/>
  </r>
  <r>
    <n v="182"/>
    <n v="15789669"/>
    <s v="Hsia"/>
    <s v="France"/>
    <s v="Male"/>
    <n v="510"/>
    <n v="65"/>
    <x v="0"/>
    <n v="0"/>
    <x v="2"/>
    <x v="0"/>
    <x v="0"/>
    <n v="48071.61"/>
    <x v="1"/>
    <s v="Poor"/>
    <s v="Senior"/>
    <x v="2"/>
    <x v="0"/>
  </r>
  <r>
    <n v="183"/>
    <n v="15621075"/>
    <s v="Ogbonnaya"/>
    <s v="Germany"/>
    <s v="Female"/>
    <n v="778"/>
    <n v="45"/>
    <x v="1"/>
    <n v="162150.42000000001"/>
    <x v="2"/>
    <x v="0"/>
    <x v="1"/>
    <n v="174531.27"/>
    <x v="1"/>
    <s v="Good"/>
    <s v="Adult"/>
    <x v="0"/>
    <x v="2"/>
  </r>
  <r>
    <n v="184"/>
    <n v="15810845"/>
    <s v="T'ang"/>
    <s v="France"/>
    <s v="Male"/>
    <n v="636"/>
    <n v="42"/>
    <x v="0"/>
    <n v="0"/>
    <x v="2"/>
    <x v="0"/>
    <x v="0"/>
    <n v="55470.78"/>
    <x v="1"/>
    <s v="Average"/>
    <s v="Adult"/>
    <x v="2"/>
    <x v="0"/>
  </r>
  <r>
    <n v="185"/>
    <n v="15719377"/>
    <s v="Cocci"/>
    <s v="France"/>
    <s v="Female"/>
    <n v="804"/>
    <n v="50"/>
    <x v="4"/>
    <n v="0"/>
    <x v="0"/>
    <x v="0"/>
    <x v="0"/>
    <n v="8546.8700000000008"/>
    <x v="0"/>
    <s v="Good"/>
    <s v="Adult"/>
    <x v="1"/>
    <x v="0"/>
  </r>
  <r>
    <n v="186"/>
    <n v="15654506"/>
    <s v="Chang"/>
    <s v="France"/>
    <s v="Male"/>
    <n v="514"/>
    <n v="32"/>
    <x v="2"/>
    <n v="0"/>
    <x v="2"/>
    <x v="0"/>
    <x v="1"/>
    <n v="95857.18"/>
    <x v="1"/>
    <s v="Poor"/>
    <s v="Adult"/>
    <x v="0"/>
    <x v="0"/>
  </r>
  <r>
    <n v="187"/>
    <n v="15771977"/>
    <s v="T'ao"/>
    <s v="France"/>
    <s v="Female"/>
    <n v="730"/>
    <n v="39"/>
    <x v="1"/>
    <n v="99010.67"/>
    <x v="0"/>
    <x v="0"/>
    <x v="1"/>
    <n v="194945.8"/>
    <x v="1"/>
    <s v="Good"/>
    <s v="Adult"/>
    <x v="0"/>
    <x v="1"/>
  </r>
  <r>
    <n v="188"/>
    <n v="15708710"/>
    <s v="Ford"/>
    <s v="Spain"/>
    <s v="Female"/>
    <n v="525"/>
    <n v="37"/>
    <x v="10"/>
    <n v="0"/>
    <x v="0"/>
    <x v="1"/>
    <x v="0"/>
    <n v="131521.72"/>
    <x v="1"/>
    <s v="Poor"/>
    <s v="Adult"/>
    <x v="0"/>
    <x v="0"/>
  </r>
  <r>
    <n v="189"/>
    <n v="15726676"/>
    <s v="Marshall"/>
    <s v="Spain"/>
    <s v="Male"/>
    <n v="616"/>
    <n v="30"/>
    <x v="8"/>
    <n v="0"/>
    <x v="2"/>
    <x v="1"/>
    <x v="0"/>
    <n v="196108.51"/>
    <x v="1"/>
    <s v="Average"/>
    <s v="Young Adult"/>
    <x v="0"/>
    <x v="0"/>
  </r>
  <r>
    <n v="190"/>
    <n v="15587421"/>
    <s v="Tsai"/>
    <s v="Germany"/>
    <s v="Female"/>
    <n v="687"/>
    <n v="34"/>
    <x v="3"/>
    <n v="111388.18"/>
    <x v="2"/>
    <x v="0"/>
    <x v="1"/>
    <n v="148564.76"/>
    <x v="1"/>
    <s v="Good"/>
    <s v="Adult"/>
    <x v="0"/>
    <x v="2"/>
  </r>
  <r>
    <n v="191"/>
    <n v="15726931"/>
    <s v="Onwumelu"/>
    <s v="France"/>
    <s v="Female"/>
    <n v="715"/>
    <n v="41"/>
    <x v="2"/>
    <n v="56214.85"/>
    <x v="2"/>
    <x v="1"/>
    <x v="1"/>
    <n v="92982.61"/>
    <x v="0"/>
    <s v="Good"/>
    <s v="Adult"/>
    <x v="0"/>
    <x v="1"/>
  </r>
  <r>
    <n v="192"/>
    <n v="15771086"/>
    <s v="Graham"/>
    <s v="France"/>
    <s v="Female"/>
    <n v="512"/>
    <n v="36"/>
    <x v="6"/>
    <n v="84327.77"/>
    <x v="2"/>
    <x v="0"/>
    <x v="1"/>
    <n v="17675.36"/>
    <x v="1"/>
    <s v="Poor"/>
    <s v="Adult"/>
    <x v="1"/>
    <x v="1"/>
  </r>
  <r>
    <n v="193"/>
    <n v="15756850"/>
    <s v="Golovanov"/>
    <s v="France"/>
    <s v="Male"/>
    <n v="479"/>
    <n v="40"/>
    <x v="1"/>
    <n v="0"/>
    <x v="2"/>
    <x v="1"/>
    <x v="1"/>
    <n v="114996.43"/>
    <x v="1"/>
    <s v="Poor"/>
    <s v="Adult"/>
    <x v="0"/>
    <x v="0"/>
  </r>
  <r>
    <n v="194"/>
    <n v="15702741"/>
    <s v="Potts"/>
    <s v="France"/>
    <s v="Male"/>
    <n v="601"/>
    <n v="32"/>
    <x v="2"/>
    <n v="93012.89"/>
    <x v="0"/>
    <x v="0"/>
    <x v="1"/>
    <n v="86957.42"/>
    <x v="1"/>
    <s v="Average"/>
    <s v="Adult"/>
    <x v="0"/>
    <x v="1"/>
  </r>
  <r>
    <n v="195"/>
    <n v="15679200"/>
    <s v="Crawford"/>
    <s v="Spain"/>
    <s v="Male"/>
    <n v="580"/>
    <n v="29"/>
    <x v="9"/>
    <n v="61710.44"/>
    <x v="2"/>
    <x v="0"/>
    <x v="1"/>
    <n v="128077.8"/>
    <x v="1"/>
    <s v="Average"/>
    <s v="Young Adult"/>
    <x v="0"/>
    <x v="1"/>
  </r>
  <r>
    <n v="196"/>
    <n v="15594815"/>
    <s v="Aleshire"/>
    <s v="France"/>
    <s v="Male"/>
    <n v="807"/>
    <n v="35"/>
    <x v="6"/>
    <n v="174790.15"/>
    <x v="0"/>
    <x v="0"/>
    <x v="0"/>
    <n v="600.36"/>
    <x v="1"/>
    <s v="Good"/>
    <s v="Adult"/>
    <x v="1"/>
    <x v="2"/>
  </r>
  <r>
    <n v="197"/>
    <n v="15635905"/>
    <s v="Moran"/>
    <s v="Spain"/>
    <s v="Female"/>
    <n v="616"/>
    <n v="32"/>
    <x v="5"/>
    <n v="0"/>
    <x v="2"/>
    <x v="0"/>
    <x v="0"/>
    <n v="43001.46"/>
    <x v="1"/>
    <s v="Average"/>
    <s v="Adult"/>
    <x v="2"/>
    <x v="0"/>
  </r>
  <r>
    <n v="198"/>
    <n v="15777892"/>
    <s v="Samsonova"/>
    <s v="Germany"/>
    <s v="Male"/>
    <n v="721"/>
    <n v="37"/>
    <x v="6"/>
    <n v="107720.64"/>
    <x v="0"/>
    <x v="0"/>
    <x v="0"/>
    <n v="158591.12"/>
    <x v="1"/>
    <s v="Good"/>
    <s v="Adult"/>
    <x v="0"/>
    <x v="2"/>
  </r>
  <r>
    <n v="199"/>
    <n v="15656176"/>
    <s v="Jenkins"/>
    <s v="France"/>
    <s v="Male"/>
    <n v="501"/>
    <n v="57"/>
    <x v="7"/>
    <n v="0"/>
    <x v="2"/>
    <x v="0"/>
    <x v="0"/>
    <n v="47847.19"/>
    <x v="1"/>
    <s v="Poor"/>
    <s v="Adult"/>
    <x v="2"/>
    <x v="0"/>
  </r>
  <r>
    <n v="200"/>
    <n v="15811127"/>
    <s v="Volkov"/>
    <s v="France"/>
    <s v="Male"/>
    <n v="521"/>
    <n v="35"/>
    <x v="5"/>
    <n v="96423.84"/>
    <x v="0"/>
    <x v="0"/>
    <x v="1"/>
    <n v="10488.44"/>
    <x v="1"/>
    <s v="Poor"/>
    <s v="Adult"/>
    <x v="1"/>
    <x v="1"/>
  </r>
  <r>
    <n v="201"/>
    <n v="15604482"/>
    <s v="Chiemezie"/>
    <s v="Spain"/>
    <s v="Male"/>
    <n v="850"/>
    <n v="30"/>
    <x v="0"/>
    <n v="141040.01"/>
    <x v="0"/>
    <x v="0"/>
    <x v="0"/>
    <n v="5978.2"/>
    <x v="1"/>
    <s v="Good"/>
    <s v="Young Adult"/>
    <x v="1"/>
    <x v="2"/>
  </r>
  <r>
    <n v="202"/>
    <n v="15622911"/>
    <s v="Jude"/>
    <s v="France"/>
    <s v="Male"/>
    <n v="759"/>
    <n v="42"/>
    <x v="4"/>
    <n v="105420.18"/>
    <x v="0"/>
    <x v="1"/>
    <x v="0"/>
    <n v="121409.06"/>
    <x v="1"/>
    <s v="Good"/>
    <s v="Adult"/>
    <x v="0"/>
    <x v="2"/>
  </r>
  <r>
    <n v="203"/>
    <n v="15600974"/>
    <s v="He"/>
    <s v="Spain"/>
    <s v="Male"/>
    <n v="516"/>
    <n v="50"/>
    <x v="8"/>
    <n v="0"/>
    <x v="0"/>
    <x v="1"/>
    <x v="0"/>
    <n v="146145.93"/>
    <x v="0"/>
    <s v="Poor"/>
    <s v="Adult"/>
    <x v="0"/>
    <x v="0"/>
  </r>
  <r>
    <n v="204"/>
    <n v="15727868"/>
    <s v="Onuora"/>
    <s v="France"/>
    <s v="Female"/>
    <n v="711"/>
    <n v="38"/>
    <x v="0"/>
    <n v="129022.06"/>
    <x v="2"/>
    <x v="0"/>
    <x v="0"/>
    <n v="14374.86"/>
    <x v="0"/>
    <s v="Good"/>
    <s v="Adult"/>
    <x v="1"/>
    <x v="2"/>
  </r>
  <r>
    <n v="205"/>
    <n v="15627801"/>
    <s v="Ginikanwa"/>
    <s v="Spain"/>
    <s v="Male"/>
    <n v="653.5"/>
    <n v="33"/>
    <x v="6"/>
    <n v="176666.62"/>
    <x v="0"/>
    <x v="0"/>
    <x v="1"/>
    <n v="94670.77"/>
    <x v="1"/>
    <s v="Average"/>
    <s v="Adult"/>
    <x v="0"/>
    <x v="2"/>
  </r>
  <r>
    <n v="206"/>
    <n v="15773039"/>
    <s v="Ku"/>
    <s v="France"/>
    <s v="Male"/>
    <n v="550"/>
    <n v="37"/>
    <x v="6"/>
    <n v="0"/>
    <x v="0"/>
    <x v="0"/>
    <x v="0"/>
    <n v="179670.31"/>
    <x v="1"/>
    <s v="Poor"/>
    <s v="Adult"/>
    <x v="0"/>
    <x v="0"/>
  </r>
  <r>
    <n v="207"/>
    <n v="15755262"/>
    <s v="McDonald"/>
    <s v="Spain"/>
    <s v="Female"/>
    <n v="608"/>
    <n v="41"/>
    <x v="6"/>
    <n v="89763.839999999997"/>
    <x v="0"/>
    <x v="1"/>
    <x v="1"/>
    <n v="199304.74"/>
    <x v="0"/>
    <s v="Average"/>
    <s v="Adult"/>
    <x v="0"/>
    <x v="1"/>
  </r>
  <r>
    <n v="208"/>
    <n v="15679531"/>
    <s v="Collins"/>
    <s v="France"/>
    <s v="Male"/>
    <n v="618"/>
    <n v="34"/>
    <x v="8"/>
    <n v="134954.53"/>
    <x v="0"/>
    <x v="0"/>
    <x v="0"/>
    <n v="151954.39000000001"/>
    <x v="1"/>
    <s v="Average"/>
    <s v="Adult"/>
    <x v="0"/>
    <x v="2"/>
  </r>
  <r>
    <n v="209"/>
    <n v="15684181"/>
    <s v="Hackett"/>
    <s v="France"/>
    <s v="Male"/>
    <n v="643"/>
    <n v="45"/>
    <x v="8"/>
    <n v="0"/>
    <x v="0"/>
    <x v="0"/>
    <x v="1"/>
    <n v="142513.5"/>
    <x v="0"/>
    <s v="Average"/>
    <s v="Adult"/>
    <x v="0"/>
    <x v="0"/>
  </r>
  <r>
    <n v="210"/>
    <n v="15612087"/>
    <s v="Dike"/>
    <s v="France"/>
    <s v="Male"/>
    <n v="671"/>
    <n v="45"/>
    <x v="0"/>
    <n v="106376.85"/>
    <x v="0"/>
    <x v="1"/>
    <x v="0"/>
    <n v="158264.62"/>
    <x v="1"/>
    <s v="Good"/>
    <s v="Adult"/>
    <x v="0"/>
    <x v="2"/>
  </r>
  <r>
    <n v="211"/>
    <n v="15752047"/>
    <s v="He"/>
    <s v="Germany"/>
    <s v="Male"/>
    <n v="689"/>
    <n v="33"/>
    <x v="0"/>
    <n v="161814.64000000001"/>
    <x v="2"/>
    <x v="0"/>
    <x v="1"/>
    <n v="169381.9"/>
    <x v="1"/>
    <s v="Good"/>
    <s v="Adult"/>
    <x v="0"/>
    <x v="2"/>
  </r>
  <r>
    <n v="212"/>
    <n v="15624592"/>
    <s v="Tan"/>
    <s v="France"/>
    <s v="Male"/>
    <n v="603"/>
    <n v="31"/>
    <x v="2"/>
    <n v="0"/>
    <x v="2"/>
    <x v="0"/>
    <x v="0"/>
    <n v="169915.02"/>
    <x v="1"/>
    <s v="Average"/>
    <s v="Adult"/>
    <x v="0"/>
    <x v="0"/>
  </r>
  <r>
    <n v="213"/>
    <n v="15573152"/>
    <s v="Glassman"/>
    <s v="France"/>
    <s v="Female"/>
    <n v="620"/>
    <n v="41"/>
    <x v="9"/>
    <n v="0"/>
    <x v="2"/>
    <x v="1"/>
    <x v="1"/>
    <n v="88852.47"/>
    <x v="1"/>
    <s v="Average"/>
    <s v="Adult"/>
    <x v="0"/>
    <x v="0"/>
  </r>
  <r>
    <n v="214"/>
    <n v="15594917"/>
    <s v="Miller"/>
    <s v="France"/>
    <s v="Female"/>
    <n v="676"/>
    <n v="34"/>
    <x v="1"/>
    <n v="63095.01"/>
    <x v="0"/>
    <x v="0"/>
    <x v="0"/>
    <n v="40645.81"/>
    <x v="1"/>
    <s v="Good"/>
    <s v="Adult"/>
    <x v="2"/>
    <x v="1"/>
  </r>
  <r>
    <n v="215"/>
    <n v="15785542"/>
    <s v="Kornilova"/>
    <s v="Germany"/>
    <s v="Male"/>
    <n v="653.5"/>
    <n v="26"/>
    <x v="4"/>
    <n v="118287.01"/>
    <x v="2"/>
    <x v="1"/>
    <x v="1"/>
    <n v="98368.24"/>
    <x v="1"/>
    <s v="Average"/>
    <s v="Young Adult"/>
    <x v="0"/>
    <x v="2"/>
  </r>
  <r>
    <n v="216"/>
    <n v="15723488"/>
    <s v="Watson"/>
    <s v="Germany"/>
    <s v="Male"/>
    <n v="668"/>
    <n v="47"/>
    <x v="3"/>
    <n v="106854.21"/>
    <x v="0"/>
    <x v="1"/>
    <x v="0"/>
    <n v="157959.01999999999"/>
    <x v="0"/>
    <s v="Average"/>
    <s v="Adult"/>
    <x v="0"/>
    <x v="2"/>
  </r>
  <r>
    <n v="217"/>
    <n v="15680920"/>
    <s v="Marchesi"/>
    <s v="France"/>
    <s v="Male"/>
    <n v="695"/>
    <n v="46"/>
    <x v="3"/>
    <n v="49512.55"/>
    <x v="0"/>
    <x v="0"/>
    <x v="1"/>
    <n v="133007.34"/>
    <x v="1"/>
    <s v="Good"/>
    <s v="Adult"/>
    <x v="0"/>
    <x v="0"/>
  </r>
  <r>
    <n v="218"/>
    <n v="15786308"/>
    <s v="Millar"/>
    <s v="Spain"/>
    <s v="Female"/>
    <n v="730"/>
    <n v="33"/>
    <x v="9"/>
    <n v="0"/>
    <x v="2"/>
    <x v="1"/>
    <x v="1"/>
    <n v="176576.62"/>
    <x v="1"/>
    <s v="Good"/>
    <s v="Adult"/>
    <x v="0"/>
    <x v="0"/>
  </r>
  <r>
    <n v="219"/>
    <n v="15659366"/>
    <s v="Shih"/>
    <s v="France"/>
    <s v="Male"/>
    <n v="807"/>
    <n v="43"/>
    <x v="1"/>
    <n v="105799.32"/>
    <x v="2"/>
    <x v="0"/>
    <x v="1"/>
    <n v="34888.04"/>
    <x v="0"/>
    <s v="Good"/>
    <s v="Adult"/>
    <x v="2"/>
    <x v="2"/>
  </r>
  <r>
    <n v="220"/>
    <n v="15774854"/>
    <s v="Fuller"/>
    <s v="France"/>
    <s v="Male"/>
    <n v="592"/>
    <n v="54"/>
    <x v="2"/>
    <n v="0"/>
    <x v="0"/>
    <x v="0"/>
    <x v="0"/>
    <n v="28737.71"/>
    <x v="0"/>
    <s v="Average"/>
    <s v="Adult"/>
    <x v="1"/>
    <x v="0"/>
  </r>
  <r>
    <n v="221"/>
    <n v="15725311"/>
    <s v="Hay"/>
    <s v="France"/>
    <s v="Female"/>
    <n v="726"/>
    <n v="31"/>
    <x v="9"/>
    <n v="114722.05"/>
    <x v="2"/>
    <x v="0"/>
    <x v="0"/>
    <n v="98178.57"/>
    <x v="1"/>
    <s v="Good"/>
    <s v="Adult"/>
    <x v="0"/>
    <x v="2"/>
  </r>
  <r>
    <n v="222"/>
    <n v="15787155"/>
    <s v="Yang"/>
    <s v="Spain"/>
    <s v="Male"/>
    <n v="514"/>
    <n v="30"/>
    <x v="3"/>
    <n v="0"/>
    <x v="0"/>
    <x v="1"/>
    <x v="0"/>
    <n v="125010.24000000001"/>
    <x v="1"/>
    <s v="Poor"/>
    <s v="Young Adult"/>
    <x v="0"/>
    <x v="0"/>
  </r>
  <r>
    <n v="223"/>
    <n v="15727829"/>
    <s v="McIntyre"/>
    <s v="France"/>
    <s v="Male"/>
    <n v="567"/>
    <n v="42"/>
    <x v="0"/>
    <n v="0"/>
    <x v="2"/>
    <x v="0"/>
    <x v="0"/>
    <n v="167984.61"/>
    <x v="1"/>
    <s v="Poor"/>
    <s v="Adult"/>
    <x v="0"/>
    <x v="0"/>
  </r>
  <r>
    <n v="224"/>
    <n v="15733247"/>
    <s v="Stevenson"/>
    <s v="France"/>
    <s v="Male"/>
    <n v="850"/>
    <n v="33"/>
    <x v="7"/>
    <n v="0"/>
    <x v="0"/>
    <x v="0"/>
    <x v="1"/>
    <n v="4861.72"/>
    <x v="0"/>
    <s v="Good"/>
    <s v="Adult"/>
    <x v="1"/>
    <x v="0"/>
  </r>
  <r>
    <n v="225"/>
    <n v="15568748"/>
    <s v="Poole"/>
    <s v="Germany"/>
    <s v="Male"/>
    <n v="671"/>
    <n v="45"/>
    <x v="5"/>
    <n v="99564.22"/>
    <x v="0"/>
    <x v="0"/>
    <x v="0"/>
    <n v="108872.45"/>
    <x v="0"/>
    <s v="Good"/>
    <s v="Adult"/>
    <x v="0"/>
    <x v="1"/>
  </r>
  <r>
    <n v="226"/>
    <n v="15699029"/>
    <s v="Bagley"/>
    <s v="France"/>
    <s v="Male"/>
    <n v="670"/>
    <n v="37"/>
    <x v="4"/>
    <n v="170557.91"/>
    <x v="2"/>
    <x v="0"/>
    <x v="1"/>
    <n v="198252.88"/>
    <x v="1"/>
    <s v="Good"/>
    <s v="Adult"/>
    <x v="0"/>
    <x v="2"/>
  </r>
  <r>
    <n v="227"/>
    <n v="15774393"/>
    <s v="Ch'ien"/>
    <s v="France"/>
    <s v="Female"/>
    <n v="694"/>
    <n v="30"/>
    <x v="9"/>
    <n v="0"/>
    <x v="2"/>
    <x v="0"/>
    <x v="0"/>
    <n v="26960.31"/>
    <x v="1"/>
    <s v="Good"/>
    <s v="Young Adult"/>
    <x v="1"/>
    <x v="0"/>
  </r>
  <r>
    <n v="228"/>
    <n v="15676895"/>
    <s v="Cattaneo"/>
    <s v="Germany"/>
    <s v="Female"/>
    <n v="547"/>
    <n v="39"/>
    <x v="5"/>
    <n v="74596.149999999994"/>
    <x v="1"/>
    <x v="0"/>
    <x v="0"/>
    <n v="85746.52"/>
    <x v="0"/>
    <s v="Poor"/>
    <s v="Adult"/>
    <x v="0"/>
    <x v="1"/>
  </r>
  <r>
    <n v="229"/>
    <n v="15637753"/>
    <s v="O'Sullivan"/>
    <s v="Germany"/>
    <s v="Male"/>
    <n v="751"/>
    <n v="50"/>
    <x v="0"/>
    <n v="96888.39"/>
    <x v="0"/>
    <x v="0"/>
    <x v="1"/>
    <n v="77206.25"/>
    <x v="0"/>
    <s v="Good"/>
    <s v="Adult"/>
    <x v="0"/>
    <x v="1"/>
  </r>
  <r>
    <n v="230"/>
    <n v="15605461"/>
    <s v="Lucas"/>
    <s v="Germany"/>
    <s v="Female"/>
    <n v="594"/>
    <n v="29"/>
    <x v="6"/>
    <n v="130830.22"/>
    <x v="0"/>
    <x v="0"/>
    <x v="1"/>
    <n v="61048.53"/>
    <x v="1"/>
    <s v="Average"/>
    <s v="Young Adult"/>
    <x v="2"/>
    <x v="2"/>
  </r>
  <r>
    <n v="231"/>
    <n v="15808473"/>
    <s v="Ringrose"/>
    <s v="France"/>
    <s v="Male"/>
    <n v="673"/>
    <n v="72"/>
    <x v="1"/>
    <n v="0"/>
    <x v="2"/>
    <x v="1"/>
    <x v="0"/>
    <n v="111981.19"/>
    <x v="1"/>
    <s v="Good"/>
    <s v="Senior"/>
    <x v="0"/>
    <x v="0"/>
  </r>
  <r>
    <n v="232"/>
    <n v="15627000"/>
    <s v="Freeman"/>
    <s v="France"/>
    <s v="Male"/>
    <n v="610"/>
    <n v="40"/>
    <x v="10"/>
    <n v="0"/>
    <x v="2"/>
    <x v="0"/>
    <x v="1"/>
    <n v="62232.6"/>
    <x v="1"/>
    <s v="Average"/>
    <s v="Adult"/>
    <x v="2"/>
    <x v="0"/>
  </r>
  <r>
    <n v="233"/>
    <n v="15787174"/>
    <s v="Sergeyev"/>
    <s v="France"/>
    <s v="Female"/>
    <n v="512"/>
    <n v="37"/>
    <x v="1"/>
    <n v="0"/>
    <x v="2"/>
    <x v="1"/>
    <x v="0"/>
    <n v="156105.03"/>
    <x v="1"/>
    <s v="Poor"/>
    <s v="Adult"/>
    <x v="0"/>
    <x v="0"/>
  </r>
  <r>
    <n v="234"/>
    <n v="15723886"/>
    <s v="Fiore"/>
    <s v="Germany"/>
    <s v="Male"/>
    <n v="767"/>
    <n v="20"/>
    <x v="6"/>
    <n v="119714.25"/>
    <x v="2"/>
    <x v="1"/>
    <x v="0"/>
    <n v="150135.38"/>
    <x v="1"/>
    <s v="Good"/>
    <s v="Young Adult"/>
    <x v="0"/>
    <x v="2"/>
  </r>
  <r>
    <n v="235"/>
    <n v="15704769"/>
    <s v="Smith"/>
    <s v="France"/>
    <s v="Female"/>
    <n v="585"/>
    <n v="67"/>
    <x v="8"/>
    <n v="113978.97"/>
    <x v="2"/>
    <x v="1"/>
    <x v="0"/>
    <n v="93146.11"/>
    <x v="1"/>
    <s v="Average"/>
    <s v="Senior"/>
    <x v="0"/>
    <x v="2"/>
  </r>
  <r>
    <n v="236"/>
    <n v="15772896"/>
    <s v="Dumetochukwu"/>
    <s v="Germany"/>
    <s v="Male"/>
    <n v="763"/>
    <n v="42"/>
    <x v="5"/>
    <n v="100160.75"/>
    <x v="0"/>
    <x v="0"/>
    <x v="1"/>
    <n v="33462.94"/>
    <x v="0"/>
    <s v="Good"/>
    <s v="Adult"/>
    <x v="2"/>
    <x v="2"/>
  </r>
  <r>
    <n v="237"/>
    <n v="15711540"/>
    <s v="Pacheco"/>
    <s v="France"/>
    <s v="Female"/>
    <n v="712"/>
    <n v="29"/>
    <x v="0"/>
    <n v="0"/>
    <x v="0"/>
    <x v="0"/>
    <x v="0"/>
    <n v="144375"/>
    <x v="1"/>
    <s v="Good"/>
    <s v="Young Adult"/>
    <x v="0"/>
    <x v="0"/>
  </r>
  <r>
    <n v="238"/>
    <n v="15764866"/>
    <s v="Synnot"/>
    <s v="Germany"/>
    <s v="Female"/>
    <n v="539"/>
    <n v="43"/>
    <x v="6"/>
    <n v="116220.5"/>
    <x v="1"/>
    <x v="0"/>
    <x v="1"/>
    <n v="55803.96"/>
    <x v="0"/>
    <s v="Poor"/>
    <s v="Adult"/>
    <x v="2"/>
    <x v="2"/>
  </r>
  <r>
    <n v="239"/>
    <n v="15794056"/>
    <s v="Johnston"/>
    <s v="France"/>
    <s v="Female"/>
    <n v="668"/>
    <n v="46"/>
    <x v="0"/>
    <n v="0"/>
    <x v="1"/>
    <x v="0"/>
    <x v="1"/>
    <n v="89048.46"/>
    <x v="0"/>
    <s v="Average"/>
    <s v="Adult"/>
    <x v="0"/>
    <x v="0"/>
  </r>
  <r>
    <n v="240"/>
    <n v="15795149"/>
    <s v="Stevens"/>
    <s v="France"/>
    <s v="Male"/>
    <n v="703"/>
    <n v="28"/>
    <x v="0"/>
    <n v="81173.83"/>
    <x v="2"/>
    <x v="1"/>
    <x v="0"/>
    <n v="162812.16"/>
    <x v="1"/>
    <s v="Good"/>
    <s v="Young Adult"/>
    <x v="0"/>
    <x v="1"/>
  </r>
  <r>
    <n v="241"/>
    <n v="15812009"/>
    <s v="Grant"/>
    <s v="Spain"/>
    <s v="Male"/>
    <n v="662"/>
    <n v="38"/>
    <x v="4"/>
    <n v="0"/>
    <x v="2"/>
    <x v="0"/>
    <x v="1"/>
    <n v="136259.65"/>
    <x v="1"/>
    <s v="Average"/>
    <s v="Adult"/>
    <x v="0"/>
    <x v="0"/>
  </r>
  <r>
    <n v="242"/>
    <n v="15651001"/>
    <s v="Tsao"/>
    <s v="Germany"/>
    <s v="Female"/>
    <n v="725"/>
    <n v="39"/>
    <x v="8"/>
    <n v="116803.8"/>
    <x v="0"/>
    <x v="0"/>
    <x v="1"/>
    <n v="124052.97"/>
    <x v="1"/>
    <s v="Good"/>
    <s v="Adult"/>
    <x v="0"/>
    <x v="2"/>
  </r>
  <r>
    <n v="243"/>
    <n v="15813844"/>
    <s v="Barnes"/>
    <s v="France"/>
    <s v="Male"/>
    <n v="703"/>
    <n v="37"/>
    <x v="2"/>
    <n v="105961.68"/>
    <x v="2"/>
    <x v="1"/>
    <x v="0"/>
    <n v="74158.8"/>
    <x v="1"/>
    <s v="Good"/>
    <s v="Adult"/>
    <x v="0"/>
    <x v="2"/>
  </r>
  <r>
    <n v="244"/>
    <n v="15596175"/>
    <s v="McIntosh"/>
    <s v="Germany"/>
    <s v="Male"/>
    <n v="659"/>
    <n v="67"/>
    <x v="5"/>
    <n v="117411.6"/>
    <x v="0"/>
    <x v="0"/>
    <x v="0"/>
    <n v="45071.09"/>
    <x v="0"/>
    <s v="Average"/>
    <s v="Senior"/>
    <x v="2"/>
    <x v="2"/>
  </r>
  <r>
    <n v="245"/>
    <n v="15576269"/>
    <s v="Madison"/>
    <s v="Spain"/>
    <s v="Male"/>
    <n v="523"/>
    <n v="34"/>
    <x v="3"/>
    <n v="0"/>
    <x v="2"/>
    <x v="0"/>
    <x v="1"/>
    <n v="62030.06"/>
    <x v="1"/>
    <s v="Poor"/>
    <s v="Adult"/>
    <x v="2"/>
    <x v="0"/>
  </r>
  <r>
    <n v="246"/>
    <n v="15797219"/>
    <s v="Ifesinachi"/>
    <s v="France"/>
    <s v="Female"/>
    <n v="635"/>
    <n v="40"/>
    <x v="7"/>
    <n v="123497.58"/>
    <x v="0"/>
    <x v="0"/>
    <x v="1"/>
    <n v="131953.23000000001"/>
    <x v="0"/>
    <s v="Average"/>
    <s v="Adult"/>
    <x v="0"/>
    <x v="2"/>
  </r>
  <r>
    <n v="247"/>
    <n v="15685500"/>
    <s v="Glazkov"/>
    <s v="Germany"/>
    <s v="Male"/>
    <n v="772"/>
    <n v="26"/>
    <x v="3"/>
    <n v="152400.51"/>
    <x v="2"/>
    <x v="0"/>
    <x v="1"/>
    <n v="79414"/>
    <x v="1"/>
    <s v="Good"/>
    <s v="Young Adult"/>
    <x v="0"/>
    <x v="2"/>
  </r>
  <r>
    <n v="248"/>
    <n v="15599792"/>
    <s v="Dimauro"/>
    <s v="France"/>
    <s v="Female"/>
    <n v="545"/>
    <n v="26"/>
    <x v="1"/>
    <n v="0"/>
    <x v="2"/>
    <x v="0"/>
    <x v="0"/>
    <n v="199638.56"/>
    <x v="1"/>
    <s v="Poor"/>
    <s v="Young Adult"/>
    <x v="0"/>
    <x v="0"/>
  </r>
  <r>
    <n v="249"/>
    <n v="15657566"/>
    <s v="Wieck"/>
    <s v="Germany"/>
    <s v="Male"/>
    <n v="634"/>
    <n v="24"/>
    <x v="2"/>
    <n v="103097.85"/>
    <x v="0"/>
    <x v="0"/>
    <x v="0"/>
    <n v="157577.29"/>
    <x v="1"/>
    <s v="Average"/>
    <s v="Young Adult"/>
    <x v="0"/>
    <x v="2"/>
  </r>
  <r>
    <n v="250"/>
    <n v="15772423"/>
    <s v="Liao"/>
    <s v="Germany"/>
    <s v="Male"/>
    <n v="739"/>
    <n v="54"/>
    <x v="2"/>
    <n v="126418.14"/>
    <x v="0"/>
    <x v="0"/>
    <x v="1"/>
    <n v="134420.75"/>
    <x v="0"/>
    <s v="Good"/>
    <s v="Adult"/>
    <x v="0"/>
    <x v="2"/>
  </r>
  <r>
    <n v="251"/>
    <n v="15628112"/>
    <s v="Hughes"/>
    <s v="Germany"/>
    <s v="Female"/>
    <n v="771"/>
    <n v="36"/>
    <x v="8"/>
    <n v="77846.899999999994"/>
    <x v="0"/>
    <x v="1"/>
    <x v="1"/>
    <n v="99805.99"/>
    <x v="1"/>
    <s v="Good"/>
    <s v="Adult"/>
    <x v="0"/>
    <x v="1"/>
  </r>
  <r>
    <n v="252"/>
    <n v="15753754"/>
    <s v="Morrison"/>
    <s v="Spain"/>
    <s v="Female"/>
    <n v="587"/>
    <n v="34"/>
    <x v="1"/>
    <n v="0"/>
    <x v="2"/>
    <x v="0"/>
    <x v="0"/>
    <n v="97932.68"/>
    <x v="1"/>
    <s v="Average"/>
    <s v="Adult"/>
    <x v="0"/>
    <x v="0"/>
  </r>
  <r>
    <n v="253"/>
    <n v="15793726"/>
    <s v="Matveyeva"/>
    <s v="France"/>
    <s v="Female"/>
    <n v="681"/>
    <n v="79"/>
    <x v="10"/>
    <n v="0"/>
    <x v="2"/>
    <x v="1"/>
    <x v="0"/>
    <n v="170968.99"/>
    <x v="1"/>
    <s v="Good"/>
    <s v="Senior"/>
    <x v="0"/>
    <x v="0"/>
  </r>
  <r>
    <n v="254"/>
    <n v="15694717"/>
    <s v="Ku"/>
    <s v="Germany"/>
    <s v="Male"/>
    <n v="544"/>
    <n v="37"/>
    <x v="0"/>
    <n v="79731.91"/>
    <x v="0"/>
    <x v="0"/>
    <x v="0"/>
    <n v="57558.95"/>
    <x v="1"/>
    <s v="Poor"/>
    <s v="Adult"/>
    <x v="2"/>
    <x v="1"/>
  </r>
  <r>
    <n v="255"/>
    <n v="15665834"/>
    <s v="Cheatham"/>
    <s v="Spain"/>
    <s v="Male"/>
    <n v="696"/>
    <n v="28"/>
    <x v="2"/>
    <n v="0"/>
    <x v="0"/>
    <x v="1"/>
    <x v="1"/>
    <n v="176713.47"/>
    <x v="1"/>
    <s v="Good"/>
    <s v="Young Adult"/>
    <x v="0"/>
    <x v="0"/>
  </r>
  <r>
    <n v="256"/>
    <n v="15765297"/>
    <s v="Yao"/>
    <s v="Spain"/>
    <s v="Male"/>
    <n v="766"/>
    <n v="41"/>
    <x v="10"/>
    <n v="0"/>
    <x v="2"/>
    <x v="1"/>
    <x v="0"/>
    <n v="34283.230000000003"/>
    <x v="1"/>
    <s v="Good"/>
    <s v="Adult"/>
    <x v="2"/>
    <x v="0"/>
  </r>
  <r>
    <n v="257"/>
    <n v="15636684"/>
    <s v="Kirkland"/>
    <s v="France"/>
    <s v="Male"/>
    <n v="727"/>
    <n v="34"/>
    <x v="7"/>
    <n v="0"/>
    <x v="2"/>
    <x v="0"/>
    <x v="0"/>
    <n v="198637.34"/>
    <x v="1"/>
    <s v="Good"/>
    <s v="Adult"/>
    <x v="0"/>
    <x v="0"/>
  </r>
  <r>
    <n v="258"/>
    <n v="15592979"/>
    <s v="Rose"/>
    <s v="Germany"/>
    <s v="Female"/>
    <n v="671"/>
    <n v="34"/>
    <x v="5"/>
    <n v="37266.67"/>
    <x v="2"/>
    <x v="1"/>
    <x v="1"/>
    <n v="156917.12"/>
    <x v="1"/>
    <s v="Good"/>
    <s v="Adult"/>
    <x v="0"/>
    <x v="0"/>
  </r>
  <r>
    <n v="259"/>
    <n v="15750803"/>
    <s v="Jess"/>
    <s v="France"/>
    <s v="Female"/>
    <n v="693"/>
    <n v="30"/>
    <x v="5"/>
    <n v="127992.25"/>
    <x v="0"/>
    <x v="0"/>
    <x v="0"/>
    <n v="50457.2"/>
    <x v="1"/>
    <s v="Good"/>
    <s v="Young Adult"/>
    <x v="2"/>
    <x v="2"/>
  </r>
  <r>
    <n v="260"/>
    <n v="15607178"/>
    <s v="Welch"/>
    <s v="Germany"/>
    <s v="Male"/>
    <n v="850"/>
    <n v="38"/>
    <x v="6"/>
    <n v="54901.01"/>
    <x v="0"/>
    <x v="0"/>
    <x v="0"/>
    <n v="140075.54999999999"/>
    <x v="1"/>
    <s v="Good"/>
    <s v="Adult"/>
    <x v="0"/>
    <x v="1"/>
  </r>
  <r>
    <n v="261"/>
    <n v="15713853"/>
    <s v="Ifeajuna"/>
    <s v="Germany"/>
    <s v="Male"/>
    <n v="732"/>
    <n v="42"/>
    <x v="9"/>
    <n v="108748.08"/>
    <x v="2"/>
    <x v="0"/>
    <x v="0"/>
    <n v="65323.11"/>
    <x v="1"/>
    <s v="Good"/>
    <s v="Adult"/>
    <x v="2"/>
    <x v="2"/>
  </r>
  <r>
    <n v="262"/>
    <n v="15673481"/>
    <s v="Morton"/>
    <s v="Spain"/>
    <s v="Female"/>
    <n v="726"/>
    <n v="48"/>
    <x v="5"/>
    <n v="99906.19"/>
    <x v="0"/>
    <x v="0"/>
    <x v="1"/>
    <n v="64323.24"/>
    <x v="1"/>
    <s v="Good"/>
    <s v="Adult"/>
    <x v="2"/>
    <x v="1"/>
  </r>
  <r>
    <n v="263"/>
    <n v="15686776"/>
    <s v="Rossi"/>
    <s v="France"/>
    <s v="Female"/>
    <n v="557"/>
    <n v="32"/>
    <x v="5"/>
    <n v="184686.41"/>
    <x v="2"/>
    <x v="0"/>
    <x v="1"/>
    <n v="14956.44"/>
    <x v="1"/>
    <s v="Poor"/>
    <s v="Adult"/>
    <x v="1"/>
    <x v="2"/>
  </r>
  <r>
    <n v="264"/>
    <n v="15673693"/>
    <s v="Reppert"/>
    <s v="France"/>
    <s v="Female"/>
    <n v="682"/>
    <n v="26"/>
    <x v="10"/>
    <n v="110654.02"/>
    <x v="0"/>
    <x v="1"/>
    <x v="0"/>
    <n v="111879.21"/>
    <x v="1"/>
    <s v="Good"/>
    <s v="Young Adult"/>
    <x v="0"/>
    <x v="2"/>
  </r>
  <r>
    <n v="265"/>
    <n v="15700696"/>
    <s v="Kang"/>
    <s v="Spain"/>
    <s v="Male"/>
    <n v="738"/>
    <n v="31"/>
    <x v="9"/>
    <n v="79019.8"/>
    <x v="0"/>
    <x v="0"/>
    <x v="0"/>
    <n v="18606.23"/>
    <x v="1"/>
    <s v="Good"/>
    <s v="Adult"/>
    <x v="1"/>
    <x v="1"/>
  </r>
  <r>
    <n v="266"/>
    <n v="15813163"/>
    <s v="Ch'iu"/>
    <s v="Spain"/>
    <s v="Female"/>
    <n v="531"/>
    <n v="36"/>
    <x v="9"/>
    <n v="99240.51"/>
    <x v="0"/>
    <x v="0"/>
    <x v="1"/>
    <n v="123137.01"/>
    <x v="1"/>
    <s v="Poor"/>
    <s v="Adult"/>
    <x v="0"/>
    <x v="1"/>
  </r>
  <r>
    <n v="267"/>
    <n v="15653857"/>
    <s v="Wallis"/>
    <s v="France"/>
    <s v="Male"/>
    <n v="498"/>
    <n v="34"/>
    <x v="0"/>
    <n v="0"/>
    <x v="2"/>
    <x v="0"/>
    <x v="0"/>
    <n v="148528.24"/>
    <x v="1"/>
    <s v="Poor"/>
    <s v="Adult"/>
    <x v="0"/>
    <x v="0"/>
  </r>
  <r>
    <n v="268"/>
    <n v="15777076"/>
    <s v="Clark"/>
    <s v="France"/>
    <s v="Male"/>
    <n v="651"/>
    <n v="36"/>
    <x v="3"/>
    <n v="0"/>
    <x v="2"/>
    <x v="0"/>
    <x v="1"/>
    <n v="13898.31"/>
    <x v="1"/>
    <s v="Average"/>
    <s v="Adult"/>
    <x v="1"/>
    <x v="0"/>
  </r>
  <r>
    <n v="269"/>
    <n v="15717398"/>
    <s v="Fielding"/>
    <s v="Spain"/>
    <s v="Female"/>
    <n v="549"/>
    <n v="39"/>
    <x v="3"/>
    <n v="0"/>
    <x v="0"/>
    <x v="1"/>
    <x v="1"/>
    <n v="81259.25"/>
    <x v="0"/>
    <s v="Poor"/>
    <s v="Adult"/>
    <x v="0"/>
    <x v="0"/>
  </r>
  <r>
    <n v="270"/>
    <n v="15799217"/>
    <s v="Zetticci"/>
    <s v="Germany"/>
    <s v="Female"/>
    <n v="791"/>
    <n v="35"/>
    <x v="3"/>
    <n v="52436.2"/>
    <x v="0"/>
    <x v="0"/>
    <x v="1"/>
    <n v="161051.75"/>
    <x v="1"/>
    <s v="Good"/>
    <s v="Adult"/>
    <x v="0"/>
    <x v="1"/>
  </r>
  <r>
    <n v="271"/>
    <n v="15787071"/>
    <s v="Dulhunty"/>
    <s v="Spain"/>
    <s v="Male"/>
    <n v="650"/>
    <n v="41"/>
    <x v="9"/>
    <n v="0"/>
    <x v="2"/>
    <x v="1"/>
    <x v="0"/>
    <n v="191599.67"/>
    <x v="1"/>
    <s v="Average"/>
    <s v="Adult"/>
    <x v="0"/>
    <x v="0"/>
  </r>
  <r>
    <n v="272"/>
    <n v="15619955"/>
    <s v="Bevington"/>
    <s v="Germany"/>
    <s v="Male"/>
    <n v="733"/>
    <n v="34"/>
    <x v="6"/>
    <n v="100337.96"/>
    <x v="1"/>
    <x v="0"/>
    <x v="1"/>
    <n v="48559.19"/>
    <x v="0"/>
    <s v="Good"/>
    <s v="Adult"/>
    <x v="2"/>
    <x v="2"/>
  </r>
  <r>
    <n v="273"/>
    <n v="15796505"/>
    <s v="Boyle"/>
    <s v="Germany"/>
    <s v="Female"/>
    <n v="811"/>
    <n v="34"/>
    <x v="1"/>
    <n v="149297.19"/>
    <x v="2"/>
    <x v="0"/>
    <x v="0"/>
    <n v="186339.74"/>
    <x v="1"/>
    <s v="Good"/>
    <s v="Adult"/>
    <x v="0"/>
    <x v="2"/>
  </r>
  <r>
    <n v="274"/>
    <n v="15725166"/>
    <s v="Newton"/>
    <s v="France"/>
    <s v="Male"/>
    <n v="707"/>
    <n v="30"/>
    <x v="2"/>
    <n v="0"/>
    <x v="2"/>
    <x v="0"/>
    <x v="1"/>
    <n v="33159.370000000003"/>
    <x v="1"/>
    <s v="Good"/>
    <s v="Young Adult"/>
    <x v="2"/>
    <x v="0"/>
  </r>
  <r>
    <n v="275"/>
    <n v="15800116"/>
    <s v="Bowman"/>
    <s v="Germany"/>
    <s v="Male"/>
    <n v="712"/>
    <n v="28"/>
    <x v="4"/>
    <n v="145605.44"/>
    <x v="0"/>
    <x v="1"/>
    <x v="0"/>
    <n v="93883.53"/>
    <x v="1"/>
    <s v="Good"/>
    <s v="Young Adult"/>
    <x v="0"/>
    <x v="2"/>
  </r>
  <r>
    <n v="276"/>
    <n v="15758685"/>
    <s v="Dubinina"/>
    <s v="Spain"/>
    <s v="Female"/>
    <n v="706"/>
    <n v="37"/>
    <x v="3"/>
    <n v="0"/>
    <x v="2"/>
    <x v="0"/>
    <x v="0"/>
    <n v="110899.3"/>
    <x v="1"/>
    <s v="Good"/>
    <s v="Adult"/>
    <x v="0"/>
    <x v="0"/>
  </r>
  <r>
    <n v="277"/>
    <n v="15694456"/>
    <s v="Toscani"/>
    <s v="France"/>
    <s v="Male"/>
    <n v="756"/>
    <n v="62"/>
    <x v="6"/>
    <n v="0"/>
    <x v="0"/>
    <x v="0"/>
    <x v="0"/>
    <n v="11199.04"/>
    <x v="0"/>
    <s v="Good"/>
    <s v="Senior"/>
    <x v="1"/>
    <x v="0"/>
  </r>
  <r>
    <n v="278"/>
    <n v="15767339"/>
    <s v="Chiazagomekpere"/>
    <s v="France"/>
    <s v="Female"/>
    <n v="777"/>
    <n v="53"/>
    <x v="7"/>
    <n v="0"/>
    <x v="2"/>
    <x v="0"/>
    <x v="1"/>
    <n v="189992.97"/>
    <x v="1"/>
    <s v="Good"/>
    <s v="Adult"/>
    <x v="0"/>
    <x v="0"/>
  </r>
  <r>
    <n v="279"/>
    <n v="15683562"/>
    <s v="Allen"/>
    <s v="France"/>
    <s v="Male"/>
    <n v="646"/>
    <n v="35"/>
    <x v="5"/>
    <n v="84026.86"/>
    <x v="0"/>
    <x v="1"/>
    <x v="0"/>
    <n v="164255.69"/>
    <x v="1"/>
    <s v="Average"/>
    <s v="Adult"/>
    <x v="0"/>
    <x v="1"/>
  </r>
  <r>
    <n v="280"/>
    <n v="15782210"/>
    <s v="K'ung"/>
    <s v="France"/>
    <s v="Male"/>
    <n v="714"/>
    <n v="46"/>
    <x v="1"/>
    <n v="0"/>
    <x v="0"/>
    <x v="0"/>
    <x v="1"/>
    <n v="152167.79"/>
    <x v="0"/>
    <s v="Good"/>
    <s v="Adult"/>
    <x v="0"/>
    <x v="0"/>
  </r>
  <r>
    <n v="281"/>
    <n v="15668893"/>
    <s v="Wilsmore"/>
    <s v="France"/>
    <s v="Male"/>
    <n v="782"/>
    <n v="39"/>
    <x v="2"/>
    <n v="0"/>
    <x v="2"/>
    <x v="0"/>
    <x v="0"/>
    <n v="33949.67"/>
    <x v="1"/>
    <s v="Good"/>
    <s v="Adult"/>
    <x v="2"/>
    <x v="0"/>
  </r>
  <r>
    <n v="282"/>
    <n v="15669169"/>
    <s v="Hargreaves"/>
    <s v="Spain"/>
    <s v="Male"/>
    <n v="775"/>
    <n v="29"/>
    <x v="7"/>
    <n v="0"/>
    <x v="2"/>
    <x v="0"/>
    <x v="0"/>
    <n v="68143.929999999993"/>
    <x v="1"/>
    <s v="Good"/>
    <s v="Young Adult"/>
    <x v="2"/>
    <x v="0"/>
  </r>
  <r>
    <n v="283"/>
    <n v="15643024"/>
    <s v="Huang"/>
    <s v="Germany"/>
    <s v="Male"/>
    <n v="479"/>
    <n v="35"/>
    <x v="4"/>
    <n v="138718.92000000001"/>
    <x v="0"/>
    <x v="0"/>
    <x v="0"/>
    <n v="47251.79"/>
    <x v="0"/>
    <s v="Poor"/>
    <s v="Adult"/>
    <x v="2"/>
    <x v="2"/>
  </r>
  <r>
    <n v="284"/>
    <n v="15699389"/>
    <s v="Ch'ien"/>
    <s v="France"/>
    <s v="Male"/>
    <n v="807"/>
    <n v="42"/>
    <x v="3"/>
    <n v="118274.71"/>
    <x v="0"/>
    <x v="0"/>
    <x v="0"/>
    <n v="25885.72"/>
    <x v="1"/>
    <s v="Good"/>
    <s v="Adult"/>
    <x v="1"/>
    <x v="2"/>
  </r>
  <r>
    <n v="285"/>
    <n v="15708608"/>
    <s v="Wallwork"/>
    <s v="France"/>
    <s v="Female"/>
    <n v="799"/>
    <n v="22"/>
    <x v="2"/>
    <n v="174185.98"/>
    <x v="2"/>
    <x v="1"/>
    <x v="0"/>
    <n v="192633.85"/>
    <x v="1"/>
    <s v="Good"/>
    <s v="Young Adult"/>
    <x v="0"/>
    <x v="2"/>
  </r>
  <r>
    <n v="286"/>
    <n v="15626144"/>
    <s v="Chu"/>
    <s v="France"/>
    <s v="Male"/>
    <n v="675"/>
    <n v="40"/>
    <x v="3"/>
    <n v="113208.86"/>
    <x v="2"/>
    <x v="0"/>
    <x v="1"/>
    <n v="34577.360000000001"/>
    <x v="1"/>
    <s v="Good"/>
    <s v="Adult"/>
    <x v="2"/>
    <x v="2"/>
  </r>
  <r>
    <n v="287"/>
    <n v="15573112"/>
    <s v="Kang"/>
    <s v="Spain"/>
    <s v="Male"/>
    <n v="602"/>
    <n v="29"/>
    <x v="8"/>
    <n v="103907.28"/>
    <x v="0"/>
    <x v="0"/>
    <x v="1"/>
    <n v="161229.84"/>
    <x v="1"/>
    <s v="Average"/>
    <s v="Young Adult"/>
    <x v="0"/>
    <x v="2"/>
  </r>
  <r>
    <n v="288"/>
    <n v="15790678"/>
    <s v="Davidson"/>
    <s v="France"/>
    <s v="Female"/>
    <n v="475"/>
    <n v="32"/>
    <x v="2"/>
    <n v="119023.28"/>
    <x v="0"/>
    <x v="0"/>
    <x v="1"/>
    <n v="100816.29"/>
    <x v="1"/>
    <s v="Poor"/>
    <s v="Adult"/>
    <x v="0"/>
    <x v="2"/>
  </r>
  <r>
    <n v="289"/>
    <n v="15727556"/>
    <s v="O'Donnell"/>
    <s v="Spain"/>
    <s v="Female"/>
    <n v="744"/>
    <n v="26"/>
    <x v="8"/>
    <n v="166297.89000000001"/>
    <x v="0"/>
    <x v="0"/>
    <x v="0"/>
    <n v="181694.44"/>
    <x v="1"/>
    <s v="Good"/>
    <s v="Young Adult"/>
    <x v="0"/>
    <x v="2"/>
  </r>
  <r>
    <n v="290"/>
    <n v="15697307"/>
    <s v="Nnachetam"/>
    <s v="Spain"/>
    <s v="Male"/>
    <n v="588"/>
    <n v="34"/>
    <x v="7"/>
    <n v="0"/>
    <x v="2"/>
    <x v="0"/>
    <x v="1"/>
    <n v="79078.91"/>
    <x v="1"/>
    <s v="Average"/>
    <s v="Adult"/>
    <x v="0"/>
    <x v="0"/>
  </r>
  <r>
    <n v="291"/>
    <n v="15652266"/>
    <s v="Chidiebele"/>
    <s v="Germany"/>
    <s v="Male"/>
    <n v="703"/>
    <n v="42"/>
    <x v="9"/>
    <n v="63227"/>
    <x v="0"/>
    <x v="1"/>
    <x v="0"/>
    <n v="137316.32"/>
    <x v="1"/>
    <s v="Good"/>
    <s v="Adult"/>
    <x v="0"/>
    <x v="1"/>
  </r>
  <r>
    <n v="292"/>
    <n v="15607098"/>
    <s v="Ahmed"/>
    <s v="Spain"/>
    <s v="Female"/>
    <n v="747"/>
    <n v="41"/>
    <x v="8"/>
    <n v="94521.17"/>
    <x v="2"/>
    <x v="0"/>
    <x v="1"/>
    <n v="194926.86"/>
    <x v="1"/>
    <s v="Good"/>
    <s v="Adult"/>
    <x v="0"/>
    <x v="1"/>
  </r>
  <r>
    <n v="293"/>
    <n v="15655774"/>
    <s v="Booth"/>
    <s v="France"/>
    <s v="Male"/>
    <n v="583"/>
    <n v="27"/>
    <x v="3"/>
    <n v="0"/>
    <x v="2"/>
    <x v="0"/>
    <x v="1"/>
    <n v="51285.49"/>
    <x v="1"/>
    <s v="Average"/>
    <s v="Young Adult"/>
    <x v="2"/>
    <x v="0"/>
  </r>
  <r>
    <n v="294"/>
    <n v="15590241"/>
    <s v="Chuang"/>
    <s v="Spain"/>
    <s v="Female"/>
    <n v="750"/>
    <n v="34"/>
    <x v="9"/>
    <n v="112822.26"/>
    <x v="0"/>
    <x v="1"/>
    <x v="1"/>
    <n v="150401.53"/>
    <x v="0"/>
    <s v="Good"/>
    <s v="Adult"/>
    <x v="0"/>
    <x v="2"/>
  </r>
  <r>
    <n v="295"/>
    <n v="15785819"/>
    <s v="Shao"/>
    <s v="France"/>
    <s v="Male"/>
    <n v="681"/>
    <n v="38"/>
    <x v="6"/>
    <n v="0"/>
    <x v="2"/>
    <x v="0"/>
    <x v="0"/>
    <n v="112491.96"/>
    <x v="1"/>
    <s v="Good"/>
    <s v="Adult"/>
    <x v="0"/>
    <x v="0"/>
  </r>
  <r>
    <n v="296"/>
    <n v="15723654"/>
    <s v="Tsao"/>
    <s v="France"/>
    <s v="Male"/>
    <n v="773"/>
    <n v="25"/>
    <x v="0"/>
    <n v="135903.32999999999"/>
    <x v="0"/>
    <x v="0"/>
    <x v="1"/>
    <n v="73656.38"/>
    <x v="1"/>
    <s v="Good"/>
    <s v="Young Adult"/>
    <x v="0"/>
    <x v="2"/>
  </r>
  <r>
    <n v="297"/>
    <n v="15774510"/>
    <s v="Tien"/>
    <s v="France"/>
    <s v="Female"/>
    <n v="714"/>
    <n v="31"/>
    <x v="4"/>
    <n v="125169.26"/>
    <x v="0"/>
    <x v="0"/>
    <x v="0"/>
    <n v="106636.89"/>
    <x v="1"/>
    <s v="Good"/>
    <s v="Adult"/>
    <x v="0"/>
    <x v="2"/>
  </r>
  <r>
    <n v="298"/>
    <n v="15684173"/>
    <s v="Chang"/>
    <s v="Spain"/>
    <s v="Female"/>
    <n v="687"/>
    <n v="44"/>
    <x v="3"/>
    <n v="0"/>
    <x v="1"/>
    <x v="0"/>
    <x v="1"/>
    <n v="155853.51999999999"/>
    <x v="0"/>
    <s v="Good"/>
    <s v="Adult"/>
    <x v="0"/>
    <x v="0"/>
  </r>
  <r>
    <n v="299"/>
    <n v="15650068"/>
    <s v="Johnson"/>
    <s v="France"/>
    <s v="Male"/>
    <n v="511"/>
    <n v="58"/>
    <x v="10"/>
    <n v="149117.31"/>
    <x v="0"/>
    <x v="0"/>
    <x v="0"/>
    <n v="162599.51"/>
    <x v="1"/>
    <s v="Poor"/>
    <s v="Adult"/>
    <x v="0"/>
    <x v="2"/>
  </r>
  <r>
    <n v="300"/>
    <n v="15811490"/>
    <s v="French"/>
    <s v="France"/>
    <s v="Male"/>
    <n v="627"/>
    <n v="33"/>
    <x v="8"/>
    <n v="0"/>
    <x v="2"/>
    <x v="0"/>
    <x v="0"/>
    <n v="103737.82"/>
    <x v="1"/>
    <s v="Average"/>
    <s v="Adult"/>
    <x v="0"/>
    <x v="0"/>
  </r>
  <r>
    <n v="301"/>
    <n v="15803976"/>
    <s v="Efremov"/>
    <s v="France"/>
    <s v="Female"/>
    <n v="694"/>
    <n v="31"/>
    <x v="7"/>
    <n v="0"/>
    <x v="2"/>
    <x v="0"/>
    <x v="1"/>
    <n v="160990.26999999999"/>
    <x v="1"/>
    <s v="Good"/>
    <s v="Adult"/>
    <x v="0"/>
    <x v="0"/>
  </r>
  <r>
    <n v="302"/>
    <n v="15682541"/>
    <s v="Hartley"/>
    <s v="Spain"/>
    <s v="Female"/>
    <n v="616"/>
    <n v="36"/>
    <x v="5"/>
    <n v="132311.71"/>
    <x v="0"/>
    <x v="1"/>
    <x v="1"/>
    <n v="15462.84"/>
    <x v="1"/>
    <s v="Average"/>
    <s v="Adult"/>
    <x v="1"/>
    <x v="2"/>
  </r>
  <r>
    <n v="303"/>
    <n v="15695699"/>
    <s v="Calabrese"/>
    <s v="France"/>
    <s v="Male"/>
    <n v="687"/>
    <n v="35"/>
    <x v="2"/>
    <n v="0"/>
    <x v="2"/>
    <x v="0"/>
    <x v="1"/>
    <n v="10334.049999999999"/>
    <x v="1"/>
    <s v="Good"/>
    <s v="Adult"/>
    <x v="1"/>
    <x v="0"/>
  </r>
  <r>
    <n v="304"/>
    <n v="15624188"/>
    <s v="Chiu"/>
    <s v="France"/>
    <s v="Female"/>
    <n v="712"/>
    <n v="33"/>
    <x v="5"/>
    <n v="0"/>
    <x v="2"/>
    <x v="0"/>
    <x v="0"/>
    <n v="190686.16"/>
    <x v="1"/>
    <s v="Good"/>
    <s v="Adult"/>
    <x v="0"/>
    <x v="0"/>
  </r>
  <r>
    <n v="305"/>
    <n v="15812191"/>
    <s v="Brennan"/>
    <s v="France"/>
    <s v="Male"/>
    <n v="553"/>
    <n v="33"/>
    <x v="4"/>
    <n v="118082.89"/>
    <x v="0"/>
    <x v="1"/>
    <x v="1"/>
    <n v="94440.45"/>
    <x v="1"/>
    <s v="Poor"/>
    <s v="Adult"/>
    <x v="0"/>
    <x v="2"/>
  </r>
  <r>
    <n v="306"/>
    <n v="15636673"/>
    <s v="Onwuatuegwu"/>
    <s v="France"/>
    <s v="Male"/>
    <n v="667"/>
    <n v="31"/>
    <x v="1"/>
    <n v="119266.69"/>
    <x v="0"/>
    <x v="0"/>
    <x v="0"/>
    <n v="28257.63"/>
    <x v="1"/>
    <s v="Average"/>
    <s v="Adult"/>
    <x v="1"/>
    <x v="2"/>
  </r>
  <r>
    <n v="307"/>
    <n v="15594898"/>
    <s v="Hewitt"/>
    <s v="France"/>
    <s v="Male"/>
    <n v="731"/>
    <n v="43"/>
    <x v="0"/>
    <n v="0"/>
    <x v="0"/>
    <x v="0"/>
    <x v="0"/>
    <n v="170034.95"/>
    <x v="0"/>
    <s v="Good"/>
    <s v="Adult"/>
    <x v="0"/>
    <x v="0"/>
  </r>
  <r>
    <n v="308"/>
    <n v="15660211"/>
    <s v="Shih"/>
    <s v="Germany"/>
    <s v="Male"/>
    <n v="629"/>
    <n v="35"/>
    <x v="3"/>
    <n v="156847.29"/>
    <x v="2"/>
    <x v="0"/>
    <x v="1"/>
    <n v="31824.29"/>
    <x v="1"/>
    <s v="Average"/>
    <s v="Adult"/>
    <x v="2"/>
    <x v="2"/>
  </r>
  <r>
    <n v="309"/>
    <n v="15773972"/>
    <s v="Balashov"/>
    <s v="France"/>
    <s v="Male"/>
    <n v="614"/>
    <n v="50"/>
    <x v="4"/>
    <n v="137104.47"/>
    <x v="0"/>
    <x v="0"/>
    <x v="1"/>
    <n v="127166.49"/>
    <x v="0"/>
    <s v="Average"/>
    <s v="Adult"/>
    <x v="0"/>
    <x v="2"/>
  </r>
  <r>
    <n v="310"/>
    <n v="15746726"/>
    <s v="Doyle"/>
    <s v="Germany"/>
    <s v="Male"/>
    <n v="438"/>
    <n v="31"/>
    <x v="2"/>
    <n v="78398.69"/>
    <x v="0"/>
    <x v="0"/>
    <x v="1"/>
    <n v="44937.01"/>
    <x v="1"/>
    <s v="Poor"/>
    <s v="Adult"/>
    <x v="2"/>
    <x v="1"/>
  </r>
  <r>
    <n v="311"/>
    <n v="15712287"/>
    <s v="Pokrovskii"/>
    <s v="France"/>
    <s v="Female"/>
    <n v="652"/>
    <n v="80"/>
    <x v="4"/>
    <n v="0"/>
    <x v="2"/>
    <x v="0"/>
    <x v="0"/>
    <n v="188603.07"/>
    <x v="1"/>
    <s v="Average"/>
    <s v="Senior"/>
    <x v="0"/>
    <x v="0"/>
  </r>
  <r>
    <n v="312"/>
    <n v="15702919"/>
    <s v="Collins"/>
    <s v="Germany"/>
    <s v="Male"/>
    <n v="729"/>
    <n v="30"/>
    <x v="5"/>
    <n v="63669.42"/>
    <x v="0"/>
    <x v="0"/>
    <x v="1"/>
    <n v="145111.37"/>
    <x v="1"/>
    <s v="Good"/>
    <s v="Young Adult"/>
    <x v="0"/>
    <x v="1"/>
  </r>
  <r>
    <n v="313"/>
    <n v="15674398"/>
    <s v="Russo"/>
    <s v="France"/>
    <s v="Male"/>
    <n v="642"/>
    <n v="38"/>
    <x v="6"/>
    <n v="0"/>
    <x v="2"/>
    <x v="1"/>
    <x v="1"/>
    <n v="171463.83"/>
    <x v="1"/>
    <s v="Average"/>
    <s v="Adult"/>
    <x v="0"/>
    <x v="0"/>
  </r>
  <r>
    <n v="314"/>
    <n v="15797960"/>
    <s v="Skinner"/>
    <s v="Germany"/>
    <s v="Female"/>
    <n v="806"/>
    <n v="59"/>
    <x v="10"/>
    <n v="135296.32999999999"/>
    <x v="0"/>
    <x v="0"/>
    <x v="1"/>
    <n v="182822.5"/>
    <x v="1"/>
    <s v="Good"/>
    <s v="Adult"/>
    <x v="0"/>
    <x v="2"/>
  </r>
  <r>
    <n v="315"/>
    <n v="15631868"/>
    <s v="Robertson"/>
    <s v="Spain"/>
    <s v="Male"/>
    <n v="744"/>
    <n v="36"/>
    <x v="0"/>
    <n v="153804.44"/>
    <x v="0"/>
    <x v="0"/>
    <x v="0"/>
    <n v="87213.33"/>
    <x v="1"/>
    <s v="Good"/>
    <s v="Adult"/>
    <x v="0"/>
    <x v="2"/>
  </r>
  <r>
    <n v="316"/>
    <n v="15581539"/>
    <s v="Atkinson"/>
    <s v="Spain"/>
    <s v="Male"/>
    <n v="474"/>
    <n v="37"/>
    <x v="6"/>
    <n v="0"/>
    <x v="2"/>
    <x v="1"/>
    <x v="1"/>
    <n v="57175.32"/>
    <x v="1"/>
    <s v="Poor"/>
    <s v="Adult"/>
    <x v="2"/>
    <x v="0"/>
  </r>
  <r>
    <n v="317"/>
    <n v="15662736"/>
    <s v="Doyle"/>
    <s v="France"/>
    <s v="Male"/>
    <n v="559"/>
    <n v="49"/>
    <x v="0"/>
    <n v="147069.78"/>
    <x v="0"/>
    <x v="0"/>
    <x v="1"/>
    <n v="120540.83"/>
    <x v="0"/>
    <s v="Poor"/>
    <s v="Adult"/>
    <x v="0"/>
    <x v="2"/>
  </r>
  <r>
    <n v="318"/>
    <n v="15666252"/>
    <s v="Ritchie"/>
    <s v="Spain"/>
    <s v="Male"/>
    <n v="706"/>
    <n v="42"/>
    <x v="9"/>
    <n v="0"/>
    <x v="2"/>
    <x v="0"/>
    <x v="0"/>
    <n v="28714.34"/>
    <x v="1"/>
    <s v="Good"/>
    <s v="Adult"/>
    <x v="1"/>
    <x v="0"/>
  </r>
  <r>
    <n v="319"/>
    <n v="15677512"/>
    <s v="McEncroe"/>
    <s v="Spain"/>
    <s v="Female"/>
    <n v="628"/>
    <n v="22"/>
    <x v="6"/>
    <n v="0"/>
    <x v="0"/>
    <x v="0"/>
    <x v="1"/>
    <n v="85426.28"/>
    <x v="1"/>
    <s v="Average"/>
    <s v="Young Adult"/>
    <x v="0"/>
    <x v="0"/>
  </r>
  <r>
    <n v="320"/>
    <n v="15626114"/>
    <s v="Pearson"/>
    <s v="France"/>
    <s v="Male"/>
    <n v="429"/>
    <n v="24"/>
    <x v="4"/>
    <n v="95741.75"/>
    <x v="0"/>
    <x v="0"/>
    <x v="1"/>
    <n v="46170.75"/>
    <x v="1"/>
    <s v="Poor"/>
    <s v="Young Adult"/>
    <x v="2"/>
    <x v="1"/>
  </r>
  <r>
    <n v="321"/>
    <n v="15810834"/>
    <s v="Gordon"/>
    <s v="Spain"/>
    <s v="Female"/>
    <n v="525"/>
    <n v="57"/>
    <x v="0"/>
    <n v="145965.32999999999"/>
    <x v="0"/>
    <x v="0"/>
    <x v="0"/>
    <n v="64448.36"/>
    <x v="1"/>
    <s v="Poor"/>
    <s v="Adult"/>
    <x v="2"/>
    <x v="2"/>
  </r>
  <r>
    <n v="322"/>
    <n v="15678910"/>
    <s v="Ts'ai"/>
    <s v="France"/>
    <s v="Female"/>
    <n v="680"/>
    <n v="30"/>
    <x v="2"/>
    <n v="141441.75"/>
    <x v="0"/>
    <x v="0"/>
    <x v="0"/>
    <n v="16278.97"/>
    <x v="1"/>
    <s v="Good"/>
    <s v="Young Adult"/>
    <x v="1"/>
    <x v="2"/>
  </r>
  <r>
    <n v="323"/>
    <n v="15694408"/>
    <s v="Lung"/>
    <s v="France"/>
    <s v="Male"/>
    <n v="749"/>
    <n v="40"/>
    <x v="1"/>
    <n v="139290.41"/>
    <x v="0"/>
    <x v="0"/>
    <x v="1"/>
    <n v="182855.42"/>
    <x v="0"/>
    <s v="Good"/>
    <s v="Adult"/>
    <x v="0"/>
    <x v="2"/>
  </r>
  <r>
    <n v="324"/>
    <n v="15585215"/>
    <s v="Yuan"/>
    <s v="France"/>
    <s v="Female"/>
    <n v="763"/>
    <n v="31"/>
    <x v="4"/>
    <n v="0"/>
    <x v="2"/>
    <x v="1"/>
    <x v="1"/>
    <n v="50404.72"/>
    <x v="1"/>
    <s v="Good"/>
    <s v="Adult"/>
    <x v="2"/>
    <x v="0"/>
  </r>
  <r>
    <n v="325"/>
    <n v="15682757"/>
    <s v="Pardey"/>
    <s v="France"/>
    <s v="Male"/>
    <n v="734"/>
    <n v="30"/>
    <x v="6"/>
    <n v="0"/>
    <x v="2"/>
    <x v="0"/>
    <x v="1"/>
    <n v="107640.25"/>
    <x v="1"/>
    <s v="Good"/>
    <s v="Young Adult"/>
    <x v="0"/>
    <x v="0"/>
  </r>
  <r>
    <n v="326"/>
    <n v="15736601"/>
    <s v="Tai"/>
    <s v="France"/>
    <s v="Male"/>
    <n v="716"/>
    <n v="35"/>
    <x v="4"/>
    <n v="144428.87"/>
    <x v="0"/>
    <x v="0"/>
    <x v="1"/>
    <n v="134132.65"/>
    <x v="1"/>
    <s v="Good"/>
    <s v="Adult"/>
    <x v="0"/>
    <x v="2"/>
  </r>
  <r>
    <n v="327"/>
    <n v="15601848"/>
    <s v="Scott"/>
    <s v="France"/>
    <s v="Male"/>
    <n v="594"/>
    <n v="35"/>
    <x v="0"/>
    <n v="0"/>
    <x v="2"/>
    <x v="0"/>
    <x v="1"/>
    <n v="103480.69"/>
    <x v="1"/>
    <s v="Average"/>
    <s v="Adult"/>
    <x v="0"/>
    <x v="0"/>
  </r>
  <r>
    <n v="328"/>
    <n v="15736008"/>
    <s v="Hunter"/>
    <s v="France"/>
    <s v="Female"/>
    <n v="644"/>
    <n v="46"/>
    <x v="9"/>
    <n v="95441.27"/>
    <x v="0"/>
    <x v="0"/>
    <x v="1"/>
    <n v="108761.05"/>
    <x v="0"/>
    <s v="Average"/>
    <s v="Adult"/>
    <x v="0"/>
    <x v="1"/>
  </r>
  <r>
    <n v="329"/>
    <n v="15669064"/>
    <s v="Mazzanti"/>
    <s v="Germany"/>
    <s v="Male"/>
    <n v="671"/>
    <n v="35"/>
    <x v="1"/>
    <n v="144848.74"/>
    <x v="0"/>
    <x v="0"/>
    <x v="0"/>
    <n v="179012.3"/>
    <x v="1"/>
    <s v="Good"/>
    <s v="Adult"/>
    <x v="0"/>
    <x v="2"/>
  </r>
  <r>
    <n v="330"/>
    <n v="15624528"/>
    <s v="L?"/>
    <s v="Germany"/>
    <s v="Male"/>
    <n v="664"/>
    <n v="26"/>
    <x v="3"/>
    <n v="116244.14"/>
    <x v="2"/>
    <x v="0"/>
    <x v="0"/>
    <n v="95145.14"/>
    <x v="1"/>
    <s v="Average"/>
    <s v="Young Adult"/>
    <x v="0"/>
    <x v="2"/>
  </r>
  <r>
    <n v="331"/>
    <n v="15598493"/>
    <s v="Beach"/>
    <s v="France"/>
    <s v="Male"/>
    <n v="656"/>
    <n v="50"/>
    <x v="3"/>
    <n v="0"/>
    <x v="2"/>
    <x v="1"/>
    <x v="0"/>
    <n v="72143.44"/>
    <x v="1"/>
    <s v="Average"/>
    <s v="Adult"/>
    <x v="0"/>
    <x v="0"/>
  </r>
  <r>
    <n v="332"/>
    <n v="15601274"/>
    <s v="Hsieh"/>
    <s v="Spain"/>
    <s v="Female"/>
    <n v="667"/>
    <n v="40"/>
    <x v="1"/>
    <n v="146502.07"/>
    <x v="0"/>
    <x v="0"/>
    <x v="1"/>
    <n v="19162.89"/>
    <x v="1"/>
    <s v="Average"/>
    <s v="Adult"/>
    <x v="1"/>
    <x v="2"/>
  </r>
  <r>
    <n v="333"/>
    <n v="15702669"/>
    <s v="Faulkner"/>
    <s v="Germany"/>
    <s v="Male"/>
    <n v="663"/>
    <n v="44"/>
    <x v="0"/>
    <n v="117028.6"/>
    <x v="2"/>
    <x v="1"/>
    <x v="0"/>
    <n v="144680.18"/>
    <x v="1"/>
    <s v="Average"/>
    <s v="Adult"/>
    <x v="0"/>
    <x v="2"/>
  </r>
  <r>
    <n v="334"/>
    <n v="15728669"/>
    <s v="Knowles"/>
    <s v="Germany"/>
    <s v="Female"/>
    <n v="584"/>
    <n v="30"/>
    <x v="2"/>
    <n v="112013.81"/>
    <x v="0"/>
    <x v="0"/>
    <x v="1"/>
    <n v="177772.03"/>
    <x v="0"/>
    <s v="Average"/>
    <s v="Young Adult"/>
    <x v="0"/>
    <x v="2"/>
  </r>
  <r>
    <n v="335"/>
    <n v="15742668"/>
    <s v="Day"/>
    <s v="Spain"/>
    <s v="Female"/>
    <n v="626"/>
    <n v="37"/>
    <x v="5"/>
    <n v="108269.37"/>
    <x v="0"/>
    <x v="0"/>
    <x v="1"/>
    <n v="5597.94"/>
    <x v="1"/>
    <s v="Average"/>
    <s v="Adult"/>
    <x v="1"/>
    <x v="2"/>
  </r>
  <r>
    <n v="336"/>
    <n v="15697441"/>
    <s v="Hsueh"/>
    <s v="France"/>
    <s v="Male"/>
    <n v="485"/>
    <n v="29"/>
    <x v="3"/>
    <n v="182123.79"/>
    <x v="0"/>
    <x v="0"/>
    <x v="1"/>
    <n v="116828.51"/>
    <x v="0"/>
    <s v="Poor"/>
    <s v="Young Adult"/>
    <x v="0"/>
    <x v="2"/>
  </r>
  <r>
    <n v="337"/>
    <n v="15740476"/>
    <s v="Tsao"/>
    <s v="Germany"/>
    <s v="Female"/>
    <n v="659"/>
    <n v="32"/>
    <x v="6"/>
    <n v="150923.74"/>
    <x v="2"/>
    <x v="1"/>
    <x v="0"/>
    <n v="174652.51"/>
    <x v="1"/>
    <s v="Average"/>
    <s v="Adult"/>
    <x v="0"/>
    <x v="2"/>
  </r>
  <r>
    <n v="338"/>
    <n v="15648064"/>
    <s v="Kennedy"/>
    <s v="France"/>
    <s v="Male"/>
    <n v="649"/>
    <n v="33"/>
    <x v="0"/>
    <n v="0"/>
    <x v="2"/>
    <x v="0"/>
    <x v="1"/>
    <n v="2010.98"/>
    <x v="1"/>
    <s v="Average"/>
    <s v="Adult"/>
    <x v="1"/>
    <x v="0"/>
  </r>
  <r>
    <n v="339"/>
    <n v="15636624"/>
    <s v="Nwabugwu"/>
    <s v="Spain"/>
    <s v="Female"/>
    <n v="805"/>
    <n v="39"/>
    <x v="8"/>
    <n v="165272.13"/>
    <x v="0"/>
    <x v="0"/>
    <x v="1"/>
    <n v="14109.85"/>
    <x v="0"/>
    <s v="Good"/>
    <s v="Adult"/>
    <x v="1"/>
    <x v="2"/>
  </r>
  <r>
    <n v="340"/>
    <n v="15807923"/>
    <s v="Young"/>
    <s v="Germany"/>
    <s v="Female"/>
    <n v="716"/>
    <n v="39"/>
    <x v="7"/>
    <n v="115301.31"/>
    <x v="0"/>
    <x v="0"/>
    <x v="1"/>
    <n v="43527.4"/>
    <x v="0"/>
    <s v="Good"/>
    <s v="Adult"/>
    <x v="2"/>
    <x v="2"/>
  </r>
  <r>
    <n v="341"/>
    <n v="15745844"/>
    <s v="Kerr"/>
    <s v="Germany"/>
    <s v="Female"/>
    <n v="642"/>
    <n v="40"/>
    <x v="5"/>
    <n v="129502.49"/>
    <x v="2"/>
    <x v="1"/>
    <x v="0"/>
    <n v="86099.23"/>
    <x v="0"/>
    <s v="Average"/>
    <s v="Adult"/>
    <x v="0"/>
    <x v="2"/>
  </r>
  <r>
    <n v="342"/>
    <n v="15786170"/>
    <s v="Tien"/>
    <s v="France"/>
    <s v="Male"/>
    <n v="659"/>
    <n v="31"/>
    <x v="4"/>
    <n v="118342.26"/>
    <x v="0"/>
    <x v="1"/>
    <x v="1"/>
    <n v="161574.19"/>
    <x v="1"/>
    <s v="Average"/>
    <s v="Adult"/>
    <x v="0"/>
    <x v="2"/>
  </r>
  <r>
    <n v="343"/>
    <n v="15681081"/>
    <s v="Marrero"/>
    <s v="Spain"/>
    <s v="Female"/>
    <n v="545"/>
    <n v="47"/>
    <x v="8"/>
    <n v="0"/>
    <x v="2"/>
    <x v="0"/>
    <x v="0"/>
    <n v="38970.14"/>
    <x v="1"/>
    <s v="Poor"/>
    <s v="Adult"/>
    <x v="2"/>
    <x v="0"/>
  </r>
  <r>
    <n v="344"/>
    <n v="15684484"/>
    <s v="White"/>
    <s v="France"/>
    <s v="Male"/>
    <n v="543"/>
    <n v="22"/>
    <x v="2"/>
    <n v="0"/>
    <x v="2"/>
    <x v="1"/>
    <x v="1"/>
    <n v="127587.22"/>
    <x v="1"/>
    <s v="Poor"/>
    <s v="Young Adult"/>
    <x v="0"/>
    <x v="0"/>
  </r>
  <r>
    <n v="345"/>
    <n v="15785869"/>
    <s v="Pisano"/>
    <s v="France"/>
    <s v="Female"/>
    <n v="718"/>
    <n v="25"/>
    <x v="3"/>
    <n v="0"/>
    <x v="2"/>
    <x v="0"/>
    <x v="1"/>
    <n v="30380.12"/>
    <x v="1"/>
    <s v="Good"/>
    <s v="Young Adult"/>
    <x v="2"/>
    <x v="0"/>
  </r>
  <r>
    <n v="346"/>
    <n v="15763859"/>
    <s v="Brown"/>
    <s v="France"/>
    <s v="Female"/>
    <n v="840"/>
    <n v="43"/>
    <x v="3"/>
    <n v="0"/>
    <x v="2"/>
    <x v="0"/>
    <x v="1"/>
    <n v="90908.95"/>
    <x v="1"/>
    <s v="Good"/>
    <s v="Adult"/>
    <x v="0"/>
    <x v="0"/>
  </r>
  <r>
    <n v="347"/>
    <n v="15658935"/>
    <s v="Freeman"/>
    <s v="Germany"/>
    <s v="Female"/>
    <n v="630"/>
    <n v="34"/>
    <x v="9"/>
    <n v="106937.05"/>
    <x v="2"/>
    <x v="0"/>
    <x v="1"/>
    <n v="138275.01"/>
    <x v="1"/>
    <s v="Average"/>
    <s v="Adult"/>
    <x v="0"/>
    <x v="2"/>
  </r>
  <r>
    <n v="348"/>
    <n v="15747358"/>
    <s v="Russell"/>
    <s v="Germany"/>
    <s v="Male"/>
    <n v="643"/>
    <n v="59"/>
    <x v="6"/>
    <n v="170331.37"/>
    <x v="0"/>
    <x v="0"/>
    <x v="0"/>
    <n v="32171.79"/>
    <x v="1"/>
    <s v="Average"/>
    <s v="Adult"/>
    <x v="2"/>
    <x v="2"/>
  </r>
  <r>
    <n v="349"/>
    <n v="15735203"/>
    <s v="Seleznyov"/>
    <s v="Germany"/>
    <s v="Female"/>
    <n v="654"/>
    <n v="32"/>
    <x v="1"/>
    <n v="114510.85"/>
    <x v="0"/>
    <x v="0"/>
    <x v="0"/>
    <n v="126143.23"/>
    <x v="1"/>
    <s v="Average"/>
    <s v="Adult"/>
    <x v="0"/>
    <x v="2"/>
  </r>
  <r>
    <n v="350"/>
    <n v="15576256"/>
    <s v="Yusupova"/>
    <s v="France"/>
    <s v="Male"/>
    <n v="582"/>
    <n v="39"/>
    <x v="8"/>
    <n v="0"/>
    <x v="2"/>
    <x v="0"/>
    <x v="0"/>
    <n v="129892.93"/>
    <x v="1"/>
    <s v="Average"/>
    <s v="Adult"/>
    <x v="0"/>
    <x v="0"/>
  </r>
  <r>
    <n v="351"/>
    <n v="15659420"/>
    <s v="Foley"/>
    <s v="Spain"/>
    <s v="Male"/>
    <n v="659"/>
    <n v="32"/>
    <x v="6"/>
    <n v="107594.11"/>
    <x v="2"/>
    <x v="0"/>
    <x v="0"/>
    <n v="102416.84"/>
    <x v="1"/>
    <s v="Average"/>
    <s v="Adult"/>
    <x v="0"/>
    <x v="2"/>
  </r>
  <r>
    <n v="352"/>
    <n v="15593365"/>
    <s v="Shih"/>
    <s v="Spain"/>
    <s v="Male"/>
    <n v="762"/>
    <n v="39"/>
    <x v="0"/>
    <n v="81273.13"/>
    <x v="0"/>
    <x v="0"/>
    <x v="0"/>
    <n v="18719.669999999998"/>
    <x v="1"/>
    <s v="Good"/>
    <s v="Adult"/>
    <x v="1"/>
    <x v="1"/>
  </r>
  <r>
    <n v="353"/>
    <n v="15777352"/>
    <s v="Ikedinachukwu"/>
    <s v="Spain"/>
    <s v="Female"/>
    <n v="568"/>
    <n v="32"/>
    <x v="3"/>
    <n v="169399.6"/>
    <x v="0"/>
    <x v="0"/>
    <x v="1"/>
    <n v="61936.22"/>
    <x v="1"/>
    <s v="Poor"/>
    <s v="Adult"/>
    <x v="2"/>
    <x v="2"/>
  </r>
  <r>
    <n v="354"/>
    <n v="15812007"/>
    <s v="Power"/>
    <s v="Spain"/>
    <s v="Male"/>
    <n v="670"/>
    <n v="25"/>
    <x v="5"/>
    <n v="0"/>
    <x v="2"/>
    <x v="0"/>
    <x v="0"/>
    <n v="78358.94"/>
    <x v="1"/>
    <s v="Good"/>
    <s v="Young Adult"/>
    <x v="0"/>
    <x v="0"/>
  </r>
  <r>
    <n v="355"/>
    <n v="15625461"/>
    <s v="Amos"/>
    <s v="France"/>
    <s v="Female"/>
    <n v="613"/>
    <n v="45"/>
    <x v="1"/>
    <n v="187841.99"/>
    <x v="2"/>
    <x v="0"/>
    <x v="0"/>
    <n v="147224.26999999999"/>
    <x v="1"/>
    <s v="Average"/>
    <s v="Adult"/>
    <x v="0"/>
    <x v="2"/>
  </r>
  <r>
    <n v="356"/>
    <n v="15739438"/>
    <s v="Reed"/>
    <s v="France"/>
    <s v="Male"/>
    <n v="539"/>
    <n v="30"/>
    <x v="10"/>
    <n v="0"/>
    <x v="2"/>
    <x v="0"/>
    <x v="1"/>
    <n v="160979.66"/>
    <x v="1"/>
    <s v="Poor"/>
    <s v="Young Adult"/>
    <x v="0"/>
    <x v="0"/>
  </r>
  <r>
    <n v="357"/>
    <n v="15611759"/>
    <s v="Simmons"/>
    <s v="Spain"/>
    <s v="Female"/>
    <n v="850"/>
    <n v="57"/>
    <x v="2"/>
    <n v="126776.3"/>
    <x v="2"/>
    <x v="0"/>
    <x v="0"/>
    <n v="132298.49"/>
    <x v="1"/>
    <s v="Good"/>
    <s v="Adult"/>
    <x v="0"/>
    <x v="2"/>
  </r>
  <r>
    <n v="358"/>
    <n v="15661629"/>
    <s v="Ricci"/>
    <s v="Spain"/>
    <s v="Male"/>
    <n v="522"/>
    <n v="34"/>
    <x v="9"/>
    <n v="126436.29"/>
    <x v="0"/>
    <x v="0"/>
    <x v="1"/>
    <n v="174248.52"/>
    <x v="0"/>
    <s v="Poor"/>
    <s v="Adult"/>
    <x v="0"/>
    <x v="2"/>
  </r>
  <r>
    <n v="359"/>
    <n v="15633950"/>
    <s v="Yen"/>
    <s v="France"/>
    <s v="Male"/>
    <n v="737"/>
    <n v="41"/>
    <x v="1"/>
    <n v="101960.74"/>
    <x v="0"/>
    <x v="0"/>
    <x v="0"/>
    <n v="123547.28"/>
    <x v="1"/>
    <s v="Good"/>
    <s v="Adult"/>
    <x v="0"/>
    <x v="2"/>
  </r>
  <r>
    <n v="360"/>
    <n v="15592386"/>
    <s v="Campbell"/>
    <s v="France"/>
    <s v="Male"/>
    <n v="520"/>
    <n v="58"/>
    <x v="6"/>
    <n v="0"/>
    <x v="2"/>
    <x v="1"/>
    <x v="0"/>
    <n v="32790.019999999997"/>
    <x v="1"/>
    <s v="Poor"/>
    <s v="Adult"/>
    <x v="2"/>
    <x v="0"/>
  </r>
  <r>
    <n v="361"/>
    <n v="15803716"/>
    <s v="West"/>
    <s v="Spain"/>
    <s v="Male"/>
    <n v="706"/>
    <n v="28"/>
    <x v="6"/>
    <n v="0"/>
    <x v="2"/>
    <x v="1"/>
    <x v="0"/>
    <n v="181543.67"/>
    <x v="1"/>
    <s v="Good"/>
    <s v="Young Adult"/>
    <x v="0"/>
    <x v="0"/>
  </r>
  <r>
    <n v="362"/>
    <n v="15696674"/>
    <s v="Robinson"/>
    <s v="Germany"/>
    <s v="Female"/>
    <n v="643"/>
    <n v="45"/>
    <x v="0"/>
    <n v="150842.93"/>
    <x v="0"/>
    <x v="1"/>
    <x v="0"/>
    <n v="2319.96"/>
    <x v="0"/>
    <s v="Average"/>
    <s v="Adult"/>
    <x v="1"/>
    <x v="2"/>
  </r>
  <r>
    <n v="363"/>
    <n v="15706365"/>
    <s v="Bianchi"/>
    <s v="France"/>
    <s v="Female"/>
    <n v="648"/>
    <n v="50"/>
    <x v="9"/>
    <n v="102535.57"/>
    <x v="0"/>
    <x v="0"/>
    <x v="0"/>
    <n v="189543.19"/>
    <x v="1"/>
    <s v="Average"/>
    <s v="Adult"/>
    <x v="0"/>
    <x v="2"/>
  </r>
  <r>
    <n v="364"/>
    <n v="15745088"/>
    <s v="Chen"/>
    <s v="Germany"/>
    <s v="Female"/>
    <n v="443"/>
    <n v="29"/>
    <x v="9"/>
    <n v="99027.61"/>
    <x v="2"/>
    <x v="0"/>
    <x v="1"/>
    <n v="10940.4"/>
    <x v="1"/>
    <s v="Poor"/>
    <s v="Young Adult"/>
    <x v="1"/>
    <x v="1"/>
  </r>
  <r>
    <n v="365"/>
    <n v="15676715"/>
    <s v="Madukaego"/>
    <s v="France"/>
    <s v="Male"/>
    <n v="640"/>
    <n v="68"/>
    <x v="9"/>
    <n v="0"/>
    <x v="2"/>
    <x v="0"/>
    <x v="0"/>
    <n v="199493.38"/>
    <x v="1"/>
    <s v="Average"/>
    <s v="Senior"/>
    <x v="0"/>
    <x v="0"/>
  </r>
  <r>
    <n v="366"/>
    <n v="15613085"/>
    <s v="Ibrahimova"/>
    <s v="Spain"/>
    <s v="Female"/>
    <n v="628"/>
    <n v="33"/>
    <x v="6"/>
    <n v="0"/>
    <x v="0"/>
    <x v="0"/>
    <x v="0"/>
    <n v="188193.25"/>
    <x v="1"/>
    <s v="Average"/>
    <s v="Adult"/>
    <x v="0"/>
    <x v="0"/>
  </r>
  <r>
    <n v="367"/>
    <n v="15633537"/>
    <s v="Nolan"/>
    <s v="Germany"/>
    <s v="Female"/>
    <n v="540"/>
    <n v="42"/>
    <x v="9"/>
    <n v="87271.41"/>
    <x v="2"/>
    <x v="0"/>
    <x v="1"/>
    <n v="172572.64"/>
    <x v="1"/>
    <s v="Poor"/>
    <s v="Adult"/>
    <x v="0"/>
    <x v="1"/>
  </r>
  <r>
    <n v="368"/>
    <n v="15594720"/>
    <s v="Scott"/>
    <s v="Germany"/>
    <s v="Female"/>
    <n v="460"/>
    <n v="35"/>
    <x v="2"/>
    <n v="102742.91"/>
    <x v="2"/>
    <x v="0"/>
    <x v="0"/>
    <n v="189339.6"/>
    <x v="1"/>
    <s v="Poor"/>
    <s v="Adult"/>
    <x v="0"/>
    <x v="2"/>
  </r>
  <r>
    <n v="369"/>
    <n v="15684042"/>
    <s v="Blair"/>
    <s v="Germany"/>
    <s v="Male"/>
    <n v="636"/>
    <n v="34"/>
    <x v="0"/>
    <n v="40105.51"/>
    <x v="2"/>
    <x v="1"/>
    <x v="0"/>
    <n v="53512.160000000003"/>
    <x v="1"/>
    <s v="Average"/>
    <s v="Adult"/>
    <x v="2"/>
    <x v="0"/>
  </r>
  <r>
    <n v="370"/>
    <n v="15583303"/>
    <s v="Monaldo"/>
    <s v="France"/>
    <s v="Female"/>
    <n v="593"/>
    <n v="29"/>
    <x v="0"/>
    <n v="152265.43"/>
    <x v="0"/>
    <x v="0"/>
    <x v="1"/>
    <n v="34004.44"/>
    <x v="1"/>
    <s v="Average"/>
    <s v="Young Adult"/>
    <x v="2"/>
    <x v="2"/>
  </r>
  <r>
    <n v="371"/>
    <n v="15611579"/>
    <s v="Sutherland"/>
    <s v="Spain"/>
    <s v="Male"/>
    <n v="801"/>
    <n v="42"/>
    <x v="4"/>
    <n v="141947.67000000001"/>
    <x v="0"/>
    <x v="0"/>
    <x v="0"/>
    <n v="10598.29"/>
    <x v="1"/>
    <s v="Good"/>
    <s v="Adult"/>
    <x v="1"/>
    <x v="2"/>
  </r>
  <r>
    <n v="372"/>
    <n v="15774696"/>
    <s v="Cole"/>
    <s v="Germany"/>
    <s v="Female"/>
    <n v="640"/>
    <n v="75"/>
    <x v="1"/>
    <n v="106307.91"/>
    <x v="2"/>
    <x v="1"/>
    <x v="0"/>
    <n v="113428.77"/>
    <x v="1"/>
    <s v="Average"/>
    <s v="Senior"/>
    <x v="0"/>
    <x v="2"/>
  </r>
  <r>
    <n v="373"/>
    <n v="15694506"/>
    <s v="Briggs"/>
    <s v="Germany"/>
    <s v="Male"/>
    <n v="611"/>
    <n v="31"/>
    <x v="10"/>
    <n v="107884.81"/>
    <x v="2"/>
    <x v="0"/>
    <x v="0"/>
    <n v="183487.98"/>
    <x v="1"/>
    <s v="Average"/>
    <s v="Adult"/>
    <x v="0"/>
    <x v="2"/>
  </r>
  <r>
    <n v="374"/>
    <n v="15688074"/>
    <s v="Gregory"/>
    <s v="Germany"/>
    <s v="Male"/>
    <n v="802"/>
    <n v="31"/>
    <x v="1"/>
    <n v="125013.72"/>
    <x v="0"/>
    <x v="0"/>
    <x v="0"/>
    <n v="187658.09"/>
    <x v="1"/>
    <s v="Good"/>
    <s v="Adult"/>
    <x v="0"/>
    <x v="2"/>
  </r>
  <r>
    <n v="375"/>
    <n v="15759537"/>
    <s v="Bianchi"/>
    <s v="Germany"/>
    <s v="Male"/>
    <n v="717"/>
    <n v="35"/>
    <x v="3"/>
    <n v="58469.37"/>
    <x v="2"/>
    <x v="0"/>
    <x v="0"/>
    <n v="172459.39"/>
    <x v="1"/>
    <s v="Good"/>
    <s v="Adult"/>
    <x v="0"/>
    <x v="1"/>
  </r>
  <r>
    <n v="376"/>
    <n v="15758449"/>
    <s v="Angelo"/>
    <s v="France"/>
    <s v="Female"/>
    <n v="769"/>
    <n v="39"/>
    <x v="2"/>
    <n v="0"/>
    <x v="0"/>
    <x v="1"/>
    <x v="0"/>
    <n v="21016"/>
    <x v="1"/>
    <s v="Good"/>
    <s v="Adult"/>
    <x v="1"/>
    <x v="0"/>
  </r>
  <r>
    <n v="377"/>
    <n v="15583456"/>
    <s v="Gardiner"/>
    <s v="Germany"/>
    <s v="Male"/>
    <n v="745"/>
    <n v="45"/>
    <x v="7"/>
    <n v="117231.63"/>
    <x v="1"/>
    <x v="0"/>
    <x v="0"/>
    <n v="122381.02"/>
    <x v="0"/>
    <s v="Good"/>
    <s v="Adult"/>
    <x v="0"/>
    <x v="2"/>
  </r>
  <r>
    <n v="378"/>
    <n v="15667871"/>
    <s v="Kerr"/>
    <s v="Spain"/>
    <s v="Male"/>
    <n v="572"/>
    <n v="35"/>
    <x v="4"/>
    <n v="152390.26"/>
    <x v="0"/>
    <x v="0"/>
    <x v="1"/>
    <n v="128123.66"/>
    <x v="1"/>
    <s v="Poor"/>
    <s v="Adult"/>
    <x v="0"/>
    <x v="2"/>
  </r>
  <r>
    <n v="379"/>
    <n v="15677371"/>
    <s v="Ko"/>
    <s v="Spain"/>
    <s v="Female"/>
    <n v="629"/>
    <n v="30"/>
    <x v="0"/>
    <n v="34013.629999999997"/>
    <x v="0"/>
    <x v="0"/>
    <x v="1"/>
    <n v="19570.63"/>
    <x v="1"/>
    <s v="Average"/>
    <s v="Young Adult"/>
    <x v="1"/>
    <x v="0"/>
  </r>
  <r>
    <n v="380"/>
    <n v="15629677"/>
    <s v="Distefano"/>
    <s v="Spain"/>
    <s v="Female"/>
    <n v="687"/>
    <n v="39"/>
    <x v="0"/>
    <n v="0"/>
    <x v="1"/>
    <x v="1"/>
    <x v="1"/>
    <n v="188150.6"/>
    <x v="0"/>
    <s v="Good"/>
    <s v="Adult"/>
    <x v="0"/>
    <x v="0"/>
  </r>
  <r>
    <n v="381"/>
    <n v="15713578"/>
    <s v="Farrell"/>
    <s v="France"/>
    <s v="Female"/>
    <n v="483"/>
    <n v="50"/>
    <x v="9"/>
    <n v="0"/>
    <x v="2"/>
    <x v="0"/>
    <x v="0"/>
    <n v="111020.24"/>
    <x v="1"/>
    <s v="Poor"/>
    <s v="Adult"/>
    <x v="0"/>
    <x v="0"/>
  </r>
  <r>
    <n v="382"/>
    <n v="15591509"/>
    <s v="Milano"/>
    <s v="France"/>
    <s v="Male"/>
    <n v="690"/>
    <n v="36"/>
    <x v="3"/>
    <n v="101583.11"/>
    <x v="2"/>
    <x v="0"/>
    <x v="1"/>
    <n v="123775.15"/>
    <x v="1"/>
    <s v="Good"/>
    <s v="Adult"/>
    <x v="0"/>
    <x v="2"/>
  </r>
  <r>
    <n v="383"/>
    <n v="15568240"/>
    <s v="Ting"/>
    <s v="Germany"/>
    <s v="Female"/>
    <n v="492"/>
    <n v="30"/>
    <x v="7"/>
    <n v="77168.87"/>
    <x v="2"/>
    <x v="1"/>
    <x v="0"/>
    <n v="146700.22"/>
    <x v="1"/>
    <s v="Poor"/>
    <s v="Young Adult"/>
    <x v="0"/>
    <x v="1"/>
  </r>
  <r>
    <n v="384"/>
    <n v="15622993"/>
    <s v="Boyd"/>
    <s v="Germany"/>
    <s v="Male"/>
    <n v="709"/>
    <n v="28"/>
    <x v="2"/>
    <n v="124695.72"/>
    <x v="2"/>
    <x v="0"/>
    <x v="1"/>
    <n v="145251.35"/>
    <x v="1"/>
    <s v="Good"/>
    <s v="Young Adult"/>
    <x v="0"/>
    <x v="2"/>
  </r>
  <r>
    <n v="385"/>
    <n v="15689294"/>
    <s v="Onyemaechi"/>
    <s v="Germany"/>
    <s v="Male"/>
    <n v="705"/>
    <n v="44"/>
    <x v="6"/>
    <n v="105934.96"/>
    <x v="0"/>
    <x v="0"/>
    <x v="1"/>
    <n v="82463.69"/>
    <x v="1"/>
    <s v="Good"/>
    <s v="Adult"/>
    <x v="0"/>
    <x v="2"/>
  </r>
  <r>
    <n v="386"/>
    <n v="15720910"/>
    <s v="Black"/>
    <s v="France"/>
    <s v="Female"/>
    <n v="560"/>
    <n v="66"/>
    <x v="9"/>
    <n v="0"/>
    <x v="0"/>
    <x v="0"/>
    <x v="0"/>
    <n v="15928.49"/>
    <x v="1"/>
    <s v="Poor"/>
    <s v="Senior"/>
    <x v="1"/>
    <x v="0"/>
  </r>
  <r>
    <n v="387"/>
    <n v="15721181"/>
    <s v="Oliver"/>
    <s v="Spain"/>
    <s v="Male"/>
    <n v="611"/>
    <n v="46"/>
    <x v="5"/>
    <n v="0"/>
    <x v="2"/>
    <x v="0"/>
    <x v="1"/>
    <n v="45886.33"/>
    <x v="1"/>
    <s v="Average"/>
    <s v="Adult"/>
    <x v="2"/>
    <x v="0"/>
  </r>
  <r>
    <n v="388"/>
    <n v="15776433"/>
    <s v="Greco"/>
    <s v="Spain"/>
    <s v="Male"/>
    <n v="730"/>
    <n v="62"/>
    <x v="0"/>
    <n v="0"/>
    <x v="2"/>
    <x v="0"/>
    <x v="0"/>
    <n v="186489.95"/>
    <x v="1"/>
    <s v="Good"/>
    <s v="Senior"/>
    <x v="0"/>
    <x v="0"/>
  </r>
  <r>
    <n v="389"/>
    <n v="15748936"/>
    <s v="Whitehead"/>
    <s v="Spain"/>
    <s v="Female"/>
    <n v="709"/>
    <n v="45"/>
    <x v="0"/>
    <n v="0"/>
    <x v="2"/>
    <x v="1"/>
    <x v="0"/>
    <n v="162922.65"/>
    <x v="1"/>
    <s v="Good"/>
    <s v="Adult"/>
    <x v="0"/>
    <x v="0"/>
  </r>
  <r>
    <n v="390"/>
    <n v="15717225"/>
    <s v="Ikemefuna"/>
    <s v="France"/>
    <s v="Female"/>
    <n v="544"/>
    <n v="21"/>
    <x v="7"/>
    <n v="161525.96"/>
    <x v="2"/>
    <x v="0"/>
    <x v="1"/>
    <n v="9262.77"/>
    <x v="1"/>
    <s v="Poor"/>
    <s v="Young Adult"/>
    <x v="1"/>
    <x v="2"/>
  </r>
  <r>
    <n v="391"/>
    <n v="15685226"/>
    <s v="Morrison"/>
    <s v="Germany"/>
    <s v="Female"/>
    <n v="712"/>
    <n v="29"/>
    <x v="3"/>
    <n v="147199.07"/>
    <x v="0"/>
    <x v="0"/>
    <x v="0"/>
    <n v="84932.4"/>
    <x v="1"/>
    <s v="Good"/>
    <s v="Young Adult"/>
    <x v="0"/>
    <x v="2"/>
  </r>
  <r>
    <n v="392"/>
    <n v="15785611"/>
    <s v="Onyeoruru"/>
    <s v="Germany"/>
    <s v="Male"/>
    <n v="752"/>
    <n v="38"/>
    <x v="6"/>
    <n v="183102.29"/>
    <x v="0"/>
    <x v="0"/>
    <x v="0"/>
    <n v="71557.119999999995"/>
    <x v="1"/>
    <s v="Good"/>
    <s v="Adult"/>
    <x v="0"/>
    <x v="2"/>
  </r>
  <r>
    <n v="393"/>
    <n v="15573456"/>
    <s v="Cunningham"/>
    <s v="Spain"/>
    <s v="Male"/>
    <n v="648"/>
    <n v="46"/>
    <x v="9"/>
    <n v="127209"/>
    <x v="2"/>
    <x v="0"/>
    <x v="1"/>
    <n v="77405.95"/>
    <x v="0"/>
    <s v="Average"/>
    <s v="Adult"/>
    <x v="0"/>
    <x v="2"/>
  </r>
  <r>
    <n v="394"/>
    <n v="15684548"/>
    <s v="Demidov"/>
    <s v="Spain"/>
    <s v="Male"/>
    <n v="556"/>
    <n v="38"/>
    <x v="2"/>
    <n v="0"/>
    <x v="2"/>
    <x v="1"/>
    <x v="1"/>
    <n v="417.41"/>
    <x v="0"/>
    <s v="Poor"/>
    <s v="Adult"/>
    <x v="1"/>
    <x v="0"/>
  </r>
  <r>
    <n v="395"/>
    <n v="15620505"/>
    <s v="Celis"/>
    <s v="Spain"/>
    <s v="Female"/>
    <n v="594"/>
    <n v="24"/>
    <x v="10"/>
    <n v="97378.54"/>
    <x v="0"/>
    <x v="0"/>
    <x v="0"/>
    <n v="71405.17"/>
    <x v="1"/>
    <s v="Average"/>
    <s v="Young Adult"/>
    <x v="0"/>
    <x v="1"/>
  </r>
  <r>
    <n v="396"/>
    <n v="15807432"/>
    <s v="Cheng"/>
    <s v="Germany"/>
    <s v="Female"/>
    <n v="645"/>
    <n v="37"/>
    <x v="0"/>
    <n v="136925.09"/>
    <x v="2"/>
    <x v="1"/>
    <x v="0"/>
    <n v="153400.24"/>
    <x v="1"/>
    <s v="Average"/>
    <s v="Adult"/>
    <x v="0"/>
    <x v="2"/>
  </r>
  <r>
    <n v="397"/>
    <n v="15584766"/>
    <s v="Knight"/>
    <s v="France"/>
    <s v="Male"/>
    <n v="557"/>
    <n v="33"/>
    <x v="6"/>
    <n v="54503.55"/>
    <x v="0"/>
    <x v="0"/>
    <x v="0"/>
    <n v="371.05"/>
    <x v="1"/>
    <s v="Poor"/>
    <s v="Adult"/>
    <x v="1"/>
    <x v="1"/>
  </r>
  <r>
    <n v="398"/>
    <n v="15612187"/>
    <s v="Morin"/>
    <s v="Germany"/>
    <s v="Male"/>
    <n v="547"/>
    <n v="32"/>
    <x v="2"/>
    <n v="155726.85"/>
    <x v="0"/>
    <x v="0"/>
    <x v="1"/>
    <n v="67789.990000000005"/>
    <x v="1"/>
    <s v="Poor"/>
    <s v="Adult"/>
    <x v="2"/>
    <x v="2"/>
  </r>
  <r>
    <n v="399"/>
    <n v="15762218"/>
    <s v="Mills"/>
    <s v="France"/>
    <s v="Female"/>
    <n v="701"/>
    <n v="39"/>
    <x v="9"/>
    <n v="0"/>
    <x v="2"/>
    <x v="1"/>
    <x v="0"/>
    <n v="145894.9"/>
    <x v="1"/>
    <s v="Good"/>
    <s v="Adult"/>
    <x v="0"/>
    <x v="0"/>
  </r>
  <r>
    <n v="400"/>
    <n v="15646372"/>
    <s v="Outhwaite"/>
    <s v="France"/>
    <s v="Female"/>
    <n v="616"/>
    <n v="66"/>
    <x v="1"/>
    <n v="135842.41"/>
    <x v="0"/>
    <x v="0"/>
    <x v="1"/>
    <n v="183840.51"/>
    <x v="0"/>
    <s v="Average"/>
    <s v="Senior"/>
    <x v="0"/>
    <x v="2"/>
  </r>
  <r>
    <n v="401"/>
    <n v="15690452"/>
    <s v="Tung"/>
    <s v="France"/>
    <s v="Male"/>
    <n v="605"/>
    <n v="52"/>
    <x v="1"/>
    <n v="63349.75"/>
    <x v="0"/>
    <x v="0"/>
    <x v="1"/>
    <n v="108887.44"/>
    <x v="1"/>
    <s v="Average"/>
    <s v="Adult"/>
    <x v="0"/>
    <x v="1"/>
  </r>
  <r>
    <n v="402"/>
    <n v="15747795"/>
    <s v="Pai"/>
    <s v="Germany"/>
    <s v="Female"/>
    <n v="593"/>
    <n v="38"/>
    <x v="4"/>
    <n v="129499.42"/>
    <x v="0"/>
    <x v="0"/>
    <x v="0"/>
    <n v="154071.26999999999"/>
    <x v="1"/>
    <s v="Average"/>
    <s v="Adult"/>
    <x v="0"/>
    <x v="2"/>
  </r>
  <r>
    <n v="403"/>
    <n v="15781589"/>
    <s v="Carpenter"/>
    <s v="Spain"/>
    <s v="Male"/>
    <n v="751"/>
    <n v="52"/>
    <x v="2"/>
    <n v="0"/>
    <x v="2"/>
    <x v="1"/>
    <x v="0"/>
    <n v="179291.85"/>
    <x v="1"/>
    <s v="Good"/>
    <s v="Adult"/>
    <x v="0"/>
    <x v="0"/>
  </r>
  <r>
    <n v="404"/>
    <n v="15732674"/>
    <s v="Fennell"/>
    <s v="Spain"/>
    <s v="Male"/>
    <n v="443"/>
    <n v="36"/>
    <x v="5"/>
    <n v="70438.009999999995"/>
    <x v="2"/>
    <x v="1"/>
    <x v="0"/>
    <n v="56937.43"/>
    <x v="1"/>
    <s v="Poor"/>
    <s v="Adult"/>
    <x v="2"/>
    <x v="1"/>
  </r>
  <r>
    <n v="405"/>
    <n v="15642291"/>
    <s v="Fontaine"/>
    <s v="France"/>
    <s v="Male"/>
    <n v="685"/>
    <n v="23"/>
    <x v="2"/>
    <n v="0"/>
    <x v="2"/>
    <x v="0"/>
    <x v="0"/>
    <n v="112239.03"/>
    <x v="1"/>
    <s v="Good"/>
    <s v="Young Adult"/>
    <x v="0"/>
    <x v="0"/>
  </r>
  <r>
    <n v="406"/>
    <n v="15692761"/>
    <s v="Pratt"/>
    <s v="France"/>
    <s v="Male"/>
    <n v="718"/>
    <n v="36"/>
    <x v="9"/>
    <n v="0"/>
    <x v="0"/>
    <x v="0"/>
    <x v="1"/>
    <n v="45909.87"/>
    <x v="1"/>
    <s v="Good"/>
    <s v="Adult"/>
    <x v="2"/>
    <x v="0"/>
  </r>
  <r>
    <n v="407"/>
    <n v="15578045"/>
    <s v="Mitchell"/>
    <s v="Spain"/>
    <s v="Female"/>
    <n v="538"/>
    <n v="49"/>
    <x v="9"/>
    <n v="141434.04"/>
    <x v="0"/>
    <x v="1"/>
    <x v="1"/>
    <n v="173779.25"/>
    <x v="0"/>
    <s v="Poor"/>
    <s v="Adult"/>
    <x v="0"/>
    <x v="2"/>
  </r>
  <r>
    <n v="408"/>
    <n v="15745354"/>
    <s v="Franklin"/>
    <s v="Spain"/>
    <s v="Female"/>
    <n v="611"/>
    <n v="37"/>
    <x v="4"/>
    <n v="0"/>
    <x v="2"/>
    <x v="0"/>
    <x v="1"/>
    <n v="125696.26"/>
    <x v="1"/>
    <s v="Average"/>
    <s v="Adult"/>
    <x v="0"/>
    <x v="0"/>
  </r>
  <r>
    <n v="409"/>
    <n v="15701376"/>
    <s v="K'ung"/>
    <s v="Germany"/>
    <s v="Male"/>
    <n v="668"/>
    <n v="37"/>
    <x v="7"/>
    <n v="152958.29"/>
    <x v="2"/>
    <x v="0"/>
    <x v="0"/>
    <n v="159585.60999999999"/>
    <x v="1"/>
    <s v="Average"/>
    <s v="Adult"/>
    <x v="0"/>
    <x v="2"/>
  </r>
  <r>
    <n v="410"/>
    <n v="15691625"/>
    <s v="Ko"/>
    <s v="Germany"/>
    <s v="Female"/>
    <n v="537"/>
    <n v="41"/>
    <x v="6"/>
    <n v="138306.34"/>
    <x v="0"/>
    <x v="0"/>
    <x v="1"/>
    <n v="106761.47"/>
    <x v="1"/>
    <s v="Poor"/>
    <s v="Adult"/>
    <x v="0"/>
    <x v="2"/>
  </r>
  <r>
    <n v="411"/>
    <n v="15566594"/>
    <s v="McKenzie"/>
    <s v="Spain"/>
    <s v="Male"/>
    <n v="709"/>
    <n v="23"/>
    <x v="7"/>
    <n v="0"/>
    <x v="2"/>
    <x v="1"/>
    <x v="1"/>
    <n v="129590.18"/>
    <x v="1"/>
    <s v="Good"/>
    <s v="Young Adult"/>
    <x v="0"/>
    <x v="0"/>
  </r>
  <r>
    <n v="412"/>
    <n v="15760431"/>
    <s v="Pino"/>
    <s v="France"/>
    <s v="Male"/>
    <n v="850"/>
    <n v="38"/>
    <x v="1"/>
    <n v="0"/>
    <x v="2"/>
    <x v="0"/>
    <x v="0"/>
    <n v="80006.649999999994"/>
    <x v="1"/>
    <s v="Good"/>
    <s v="Adult"/>
    <x v="0"/>
    <x v="0"/>
  </r>
  <r>
    <n v="413"/>
    <n v="15686302"/>
    <s v="Fisk"/>
    <s v="Spain"/>
    <s v="Female"/>
    <n v="745"/>
    <n v="31"/>
    <x v="6"/>
    <n v="124328.84"/>
    <x v="0"/>
    <x v="0"/>
    <x v="0"/>
    <n v="140451.51999999999"/>
    <x v="1"/>
    <s v="Good"/>
    <s v="Adult"/>
    <x v="0"/>
    <x v="2"/>
  </r>
  <r>
    <n v="414"/>
    <n v="15801559"/>
    <s v="Chiang"/>
    <s v="Germany"/>
    <s v="Female"/>
    <n v="693"/>
    <n v="41"/>
    <x v="9"/>
    <n v="181461.48"/>
    <x v="1"/>
    <x v="0"/>
    <x v="0"/>
    <n v="187929.43"/>
    <x v="0"/>
    <s v="Good"/>
    <s v="Adult"/>
    <x v="0"/>
    <x v="2"/>
  </r>
  <r>
    <n v="415"/>
    <n v="15810432"/>
    <s v="Moseley"/>
    <s v="Spain"/>
    <s v="Male"/>
    <n v="795"/>
    <n v="35"/>
    <x v="2"/>
    <n v="0"/>
    <x v="2"/>
    <x v="0"/>
    <x v="1"/>
    <n v="167155.35999999999"/>
    <x v="1"/>
    <s v="Good"/>
    <s v="Adult"/>
    <x v="0"/>
    <x v="0"/>
  </r>
  <r>
    <n v="416"/>
    <n v="15809616"/>
    <s v="Hsiung"/>
    <s v="Spain"/>
    <s v="Male"/>
    <n v="626"/>
    <n v="26"/>
    <x v="2"/>
    <n v="0"/>
    <x v="2"/>
    <x v="1"/>
    <x v="1"/>
    <n v="191420.71"/>
    <x v="1"/>
    <s v="Average"/>
    <s v="Young Adult"/>
    <x v="0"/>
    <x v="0"/>
  </r>
  <r>
    <n v="417"/>
    <n v="15720559"/>
    <s v="Heath"/>
    <s v="Germany"/>
    <s v="Female"/>
    <n v="487"/>
    <n v="61"/>
    <x v="8"/>
    <n v="110368.03"/>
    <x v="0"/>
    <x v="1"/>
    <x v="1"/>
    <n v="11384.45"/>
    <x v="0"/>
    <s v="Poor"/>
    <s v="Senior"/>
    <x v="1"/>
    <x v="2"/>
  </r>
  <r>
    <n v="418"/>
    <n v="15695632"/>
    <s v="Dellucci"/>
    <s v="France"/>
    <s v="Female"/>
    <n v="556"/>
    <n v="39"/>
    <x v="9"/>
    <n v="89588.35"/>
    <x v="0"/>
    <x v="0"/>
    <x v="0"/>
    <n v="94898.1"/>
    <x v="1"/>
    <s v="Poor"/>
    <s v="Adult"/>
    <x v="0"/>
    <x v="1"/>
  </r>
  <r>
    <n v="419"/>
    <n v="15659843"/>
    <s v="Li"/>
    <s v="France"/>
    <s v="Female"/>
    <n v="643"/>
    <n v="46"/>
    <x v="5"/>
    <n v="0"/>
    <x v="2"/>
    <x v="1"/>
    <x v="1"/>
    <n v="106781.59"/>
    <x v="1"/>
    <s v="Average"/>
    <s v="Adult"/>
    <x v="0"/>
    <x v="0"/>
  </r>
  <r>
    <n v="420"/>
    <n v="15615624"/>
    <s v="De Salis"/>
    <s v="France"/>
    <s v="Female"/>
    <n v="605"/>
    <n v="28"/>
    <x v="5"/>
    <n v="0"/>
    <x v="2"/>
    <x v="1"/>
    <x v="1"/>
    <n v="159508.51999999999"/>
    <x v="1"/>
    <s v="Average"/>
    <s v="Young Adult"/>
    <x v="0"/>
    <x v="0"/>
  </r>
  <r>
    <n v="421"/>
    <n v="15810418"/>
    <s v="T'ang"/>
    <s v="Germany"/>
    <s v="Female"/>
    <n v="756"/>
    <n v="60"/>
    <x v="6"/>
    <n v="115924.89"/>
    <x v="0"/>
    <x v="0"/>
    <x v="1"/>
    <n v="93524.19"/>
    <x v="0"/>
    <s v="Good"/>
    <s v="Adult"/>
    <x v="0"/>
    <x v="2"/>
  </r>
  <r>
    <n v="422"/>
    <n v="15716186"/>
    <s v="Richardson"/>
    <s v="France"/>
    <s v="Female"/>
    <n v="586"/>
    <n v="38"/>
    <x v="0"/>
    <n v="0"/>
    <x v="2"/>
    <x v="0"/>
    <x v="1"/>
    <n v="87168.46"/>
    <x v="1"/>
    <s v="Average"/>
    <s v="Adult"/>
    <x v="0"/>
    <x v="0"/>
  </r>
  <r>
    <n v="423"/>
    <n v="15674551"/>
    <s v="Fitch"/>
    <s v="Germany"/>
    <s v="Male"/>
    <n v="535"/>
    <n v="40"/>
    <x v="3"/>
    <n v="111756.5"/>
    <x v="0"/>
    <x v="0"/>
    <x v="1"/>
    <n v="8128.32"/>
    <x v="0"/>
    <s v="Poor"/>
    <s v="Adult"/>
    <x v="1"/>
    <x v="2"/>
  </r>
  <r>
    <n v="424"/>
    <n v="15622834"/>
    <s v="Stevenson"/>
    <s v="France"/>
    <s v="Female"/>
    <n v="678"/>
    <n v="35"/>
    <x v="4"/>
    <n v="0"/>
    <x v="0"/>
    <x v="0"/>
    <x v="1"/>
    <n v="125518.32"/>
    <x v="1"/>
    <s v="Good"/>
    <s v="Adult"/>
    <x v="0"/>
    <x v="0"/>
  </r>
  <r>
    <n v="425"/>
    <n v="15566111"/>
    <s v="Estes"/>
    <s v="France"/>
    <s v="Male"/>
    <n v="596"/>
    <n v="39"/>
    <x v="9"/>
    <n v="0"/>
    <x v="0"/>
    <x v="0"/>
    <x v="1"/>
    <n v="48963.59"/>
    <x v="1"/>
    <s v="Average"/>
    <s v="Adult"/>
    <x v="2"/>
    <x v="0"/>
  </r>
  <r>
    <n v="426"/>
    <n v="15784597"/>
    <s v="Lattimore"/>
    <s v="France"/>
    <s v="Male"/>
    <n v="648"/>
    <n v="26"/>
    <x v="9"/>
    <n v="162923.85"/>
    <x v="0"/>
    <x v="0"/>
    <x v="1"/>
    <n v="98368.24"/>
    <x v="1"/>
    <s v="Average"/>
    <s v="Young Adult"/>
    <x v="0"/>
    <x v="2"/>
  </r>
  <r>
    <n v="427"/>
    <n v="15652883"/>
    <s v="Chung"/>
    <s v="Germany"/>
    <s v="Male"/>
    <n v="492"/>
    <n v="39"/>
    <x v="7"/>
    <n v="124576.65"/>
    <x v="2"/>
    <x v="0"/>
    <x v="1"/>
    <n v="148584.60999999999"/>
    <x v="1"/>
    <s v="Poor"/>
    <s v="Adult"/>
    <x v="0"/>
    <x v="2"/>
  </r>
  <r>
    <n v="428"/>
    <n v="15806964"/>
    <s v="Utz"/>
    <s v="France"/>
    <s v="Male"/>
    <n v="702"/>
    <n v="45"/>
    <x v="10"/>
    <n v="80793.58"/>
    <x v="0"/>
    <x v="0"/>
    <x v="0"/>
    <n v="27474.81"/>
    <x v="1"/>
    <s v="Good"/>
    <s v="Adult"/>
    <x v="1"/>
    <x v="1"/>
  </r>
  <r>
    <n v="429"/>
    <n v="15576313"/>
    <s v="Wei"/>
    <s v="Germany"/>
    <s v="Female"/>
    <n v="486"/>
    <n v="40"/>
    <x v="9"/>
    <n v="71340.09"/>
    <x v="0"/>
    <x v="0"/>
    <x v="1"/>
    <n v="76192.210000000006"/>
    <x v="1"/>
    <s v="Poor"/>
    <s v="Adult"/>
    <x v="0"/>
    <x v="1"/>
  </r>
  <r>
    <n v="430"/>
    <n v="15806467"/>
    <s v="Boyle"/>
    <s v="Germany"/>
    <s v="Male"/>
    <n v="568"/>
    <n v="40"/>
    <x v="1"/>
    <n v="99282.63"/>
    <x v="0"/>
    <x v="1"/>
    <x v="1"/>
    <n v="134600.94"/>
    <x v="0"/>
    <s v="Poor"/>
    <s v="Adult"/>
    <x v="0"/>
    <x v="1"/>
  </r>
  <r>
    <n v="431"/>
    <n v="15597602"/>
    <s v="Nwachinemelu"/>
    <s v="Germany"/>
    <s v="Male"/>
    <n v="619"/>
    <n v="57"/>
    <x v="6"/>
    <n v="137946.39000000001"/>
    <x v="0"/>
    <x v="0"/>
    <x v="0"/>
    <n v="72467.990000000005"/>
    <x v="0"/>
    <s v="Average"/>
    <s v="Adult"/>
    <x v="0"/>
    <x v="2"/>
  </r>
  <r>
    <n v="432"/>
    <n v="15743040"/>
    <s v="Kuznetsova"/>
    <s v="Germany"/>
    <s v="Male"/>
    <n v="724"/>
    <n v="41"/>
    <x v="0"/>
    <n v="127892.57"/>
    <x v="2"/>
    <x v="1"/>
    <x v="0"/>
    <n v="199645.45"/>
    <x v="1"/>
    <s v="Good"/>
    <s v="Adult"/>
    <x v="0"/>
    <x v="2"/>
  </r>
  <r>
    <n v="433"/>
    <n v="15705521"/>
    <s v="Pisani"/>
    <s v="Germany"/>
    <s v="Female"/>
    <n v="548"/>
    <n v="33"/>
    <x v="10"/>
    <n v="101084.36"/>
    <x v="0"/>
    <x v="0"/>
    <x v="1"/>
    <n v="42749.85"/>
    <x v="1"/>
    <s v="Poor"/>
    <s v="Adult"/>
    <x v="2"/>
    <x v="2"/>
  </r>
  <r>
    <n v="434"/>
    <n v="15595039"/>
    <s v="Manna"/>
    <s v="Germany"/>
    <s v="Female"/>
    <n v="545"/>
    <n v="37"/>
    <x v="2"/>
    <n v="114754.08"/>
    <x v="0"/>
    <x v="0"/>
    <x v="1"/>
    <n v="136050.44"/>
    <x v="0"/>
    <s v="Poor"/>
    <s v="Adult"/>
    <x v="0"/>
    <x v="2"/>
  </r>
  <r>
    <n v="435"/>
    <n v="15799384"/>
    <s v="Collier"/>
    <s v="France"/>
    <s v="Male"/>
    <n v="683"/>
    <n v="33"/>
    <x v="2"/>
    <n v="0"/>
    <x v="0"/>
    <x v="1"/>
    <x v="1"/>
    <n v="73564.44"/>
    <x v="1"/>
    <s v="Good"/>
    <s v="Adult"/>
    <x v="0"/>
    <x v="0"/>
  </r>
  <r>
    <n v="436"/>
    <n v="15581197"/>
    <s v="Ricci"/>
    <s v="France"/>
    <s v="Female"/>
    <n v="762"/>
    <n v="51"/>
    <x v="6"/>
    <n v="99286.98"/>
    <x v="0"/>
    <x v="1"/>
    <x v="0"/>
    <n v="85578.63"/>
    <x v="1"/>
    <s v="Good"/>
    <s v="Adult"/>
    <x v="0"/>
    <x v="1"/>
  </r>
  <r>
    <n v="437"/>
    <n v="15693737"/>
    <s v="Carr"/>
    <s v="Germany"/>
    <s v="Female"/>
    <n v="627"/>
    <n v="30"/>
    <x v="4"/>
    <n v="79871.02"/>
    <x v="2"/>
    <x v="0"/>
    <x v="1"/>
    <n v="129826.89"/>
    <x v="1"/>
    <s v="Average"/>
    <s v="Young Adult"/>
    <x v="0"/>
    <x v="1"/>
  </r>
  <r>
    <n v="438"/>
    <n v="15624623"/>
    <s v="Hs?"/>
    <s v="France"/>
    <s v="Male"/>
    <n v="516"/>
    <n v="35"/>
    <x v="7"/>
    <n v="104088.59"/>
    <x v="2"/>
    <x v="1"/>
    <x v="1"/>
    <n v="119666"/>
    <x v="1"/>
    <s v="Poor"/>
    <s v="Adult"/>
    <x v="0"/>
    <x v="2"/>
  </r>
  <r>
    <n v="439"/>
    <n v="15783501"/>
    <s v="Findlay"/>
    <s v="France"/>
    <s v="Female"/>
    <n v="800"/>
    <n v="38"/>
    <x v="0"/>
    <n v="168190.33"/>
    <x v="2"/>
    <x v="0"/>
    <x v="1"/>
    <n v="68052.08"/>
    <x v="1"/>
    <s v="Good"/>
    <s v="Adult"/>
    <x v="2"/>
    <x v="2"/>
  </r>
  <r>
    <n v="440"/>
    <n v="15690134"/>
    <s v="Hughes"/>
    <s v="Germany"/>
    <s v="Female"/>
    <n v="464"/>
    <n v="42"/>
    <x v="6"/>
    <n v="85679.25"/>
    <x v="0"/>
    <x v="0"/>
    <x v="0"/>
    <n v="164104.74"/>
    <x v="1"/>
    <s v="Poor"/>
    <s v="Adult"/>
    <x v="0"/>
    <x v="1"/>
  </r>
  <r>
    <n v="441"/>
    <n v="15782735"/>
    <s v="Chukwuemeka"/>
    <s v="France"/>
    <s v="Female"/>
    <n v="626"/>
    <n v="35"/>
    <x v="6"/>
    <n v="0"/>
    <x v="0"/>
    <x v="1"/>
    <x v="1"/>
    <n v="80190.36"/>
    <x v="1"/>
    <s v="Average"/>
    <s v="Adult"/>
    <x v="0"/>
    <x v="0"/>
  </r>
  <r>
    <n v="442"/>
    <n v="15611088"/>
    <s v="Genovese"/>
    <s v="France"/>
    <s v="Female"/>
    <n v="790"/>
    <n v="31"/>
    <x v="9"/>
    <n v="0"/>
    <x v="2"/>
    <x v="0"/>
    <x v="1"/>
    <n v="84126.75"/>
    <x v="1"/>
    <s v="Good"/>
    <s v="Adult"/>
    <x v="0"/>
    <x v="0"/>
  </r>
  <r>
    <n v="443"/>
    <n v="15672145"/>
    <s v="Swift"/>
    <s v="France"/>
    <s v="Female"/>
    <n v="534"/>
    <n v="34"/>
    <x v="3"/>
    <n v="121551.58"/>
    <x v="2"/>
    <x v="0"/>
    <x v="0"/>
    <n v="70179"/>
    <x v="1"/>
    <s v="Poor"/>
    <s v="Adult"/>
    <x v="0"/>
    <x v="2"/>
  </r>
  <r>
    <n v="444"/>
    <n v="15732628"/>
    <s v="Ugoji"/>
    <s v="France"/>
    <s v="Male"/>
    <n v="745"/>
    <n v="46"/>
    <x v="0"/>
    <n v="122220.19"/>
    <x v="0"/>
    <x v="0"/>
    <x v="0"/>
    <n v="118024.1"/>
    <x v="1"/>
    <s v="Good"/>
    <s v="Adult"/>
    <x v="0"/>
    <x v="2"/>
  </r>
  <r>
    <n v="445"/>
    <n v="15787470"/>
    <s v="Parkinson"/>
    <s v="Spain"/>
    <s v="Male"/>
    <n v="553"/>
    <n v="47"/>
    <x v="6"/>
    <n v="116528.15"/>
    <x v="0"/>
    <x v="1"/>
    <x v="1"/>
    <n v="145704.19"/>
    <x v="0"/>
    <s v="Poor"/>
    <s v="Adult"/>
    <x v="0"/>
    <x v="2"/>
  </r>
  <r>
    <n v="446"/>
    <n v="15803406"/>
    <s v="Ross"/>
    <s v="France"/>
    <s v="Female"/>
    <n v="748"/>
    <n v="26"/>
    <x v="1"/>
    <n v="77780.289999999994"/>
    <x v="0"/>
    <x v="1"/>
    <x v="0"/>
    <n v="183049.41"/>
    <x v="1"/>
    <s v="Good"/>
    <s v="Young Adult"/>
    <x v="0"/>
    <x v="1"/>
  </r>
  <r>
    <n v="447"/>
    <n v="15730460"/>
    <s v="Oleary"/>
    <s v="France"/>
    <s v="Male"/>
    <n v="722"/>
    <n v="37"/>
    <x v="0"/>
    <n v="0"/>
    <x v="0"/>
    <x v="1"/>
    <x v="1"/>
    <n v="120906.83"/>
    <x v="1"/>
    <s v="Good"/>
    <s v="Adult"/>
    <x v="0"/>
    <x v="0"/>
  </r>
  <r>
    <n v="448"/>
    <n v="15644572"/>
    <s v="Turnbull"/>
    <s v="France"/>
    <s v="Male"/>
    <n v="501"/>
    <n v="40"/>
    <x v="4"/>
    <n v="125832.2"/>
    <x v="0"/>
    <x v="0"/>
    <x v="0"/>
    <n v="100433.83"/>
    <x v="1"/>
    <s v="Poor"/>
    <s v="Adult"/>
    <x v="0"/>
    <x v="2"/>
  </r>
  <r>
    <n v="449"/>
    <n v="15694860"/>
    <s v="Uspensky"/>
    <s v="France"/>
    <s v="Female"/>
    <n v="675"/>
    <n v="38"/>
    <x v="5"/>
    <n v="68065.8"/>
    <x v="0"/>
    <x v="1"/>
    <x v="1"/>
    <n v="138777"/>
    <x v="0"/>
    <s v="Good"/>
    <s v="Adult"/>
    <x v="0"/>
    <x v="1"/>
  </r>
  <r>
    <n v="450"/>
    <n v="15658169"/>
    <s v="Cook"/>
    <s v="Spain"/>
    <s v="Female"/>
    <n v="778"/>
    <n v="47"/>
    <x v="5"/>
    <n v="127299.34"/>
    <x v="2"/>
    <x v="0"/>
    <x v="1"/>
    <n v="124694.99"/>
    <x v="1"/>
    <s v="Good"/>
    <s v="Adult"/>
    <x v="0"/>
    <x v="2"/>
  </r>
  <r>
    <n v="451"/>
    <n v="15794396"/>
    <s v="Newbold"/>
    <s v="Germany"/>
    <s v="Female"/>
    <n v="494"/>
    <n v="38"/>
    <x v="3"/>
    <n v="174937.64"/>
    <x v="0"/>
    <x v="0"/>
    <x v="1"/>
    <n v="40084.32"/>
    <x v="1"/>
    <s v="Poor"/>
    <s v="Adult"/>
    <x v="2"/>
    <x v="2"/>
  </r>
  <r>
    <n v="452"/>
    <n v="15785798"/>
    <s v="Uchechukwu"/>
    <s v="France"/>
    <s v="Male"/>
    <n v="850"/>
    <n v="40"/>
    <x v="9"/>
    <n v="0"/>
    <x v="2"/>
    <x v="1"/>
    <x v="0"/>
    <n v="119232.33"/>
    <x v="1"/>
    <s v="Good"/>
    <s v="Adult"/>
    <x v="0"/>
    <x v="0"/>
  </r>
  <r>
    <n v="453"/>
    <n v="15710825"/>
    <s v="Ch'en"/>
    <s v="Spain"/>
    <s v="Male"/>
    <n v="592"/>
    <n v="31"/>
    <x v="3"/>
    <n v="110071.1"/>
    <x v="0"/>
    <x v="1"/>
    <x v="1"/>
    <n v="43921.36"/>
    <x v="1"/>
    <s v="Average"/>
    <s v="Adult"/>
    <x v="2"/>
    <x v="2"/>
  </r>
  <r>
    <n v="454"/>
    <n v="15668444"/>
    <s v="He"/>
    <s v="Spain"/>
    <s v="Female"/>
    <n v="590"/>
    <n v="44"/>
    <x v="6"/>
    <n v="139432.37"/>
    <x v="0"/>
    <x v="0"/>
    <x v="1"/>
    <n v="62222.81"/>
    <x v="1"/>
    <s v="Average"/>
    <s v="Adult"/>
    <x v="2"/>
    <x v="2"/>
  </r>
  <r>
    <n v="455"/>
    <n v="15726631"/>
    <s v="Hilton"/>
    <s v="France"/>
    <s v="Female"/>
    <n v="758"/>
    <n v="39"/>
    <x v="5"/>
    <n v="127357.75999999999"/>
    <x v="0"/>
    <x v="1"/>
    <x v="0"/>
    <n v="56577"/>
    <x v="1"/>
    <s v="Good"/>
    <s v="Adult"/>
    <x v="2"/>
    <x v="2"/>
  </r>
  <r>
    <n v="456"/>
    <n v="15733797"/>
    <s v="Sal"/>
    <s v="France"/>
    <s v="Male"/>
    <n v="506"/>
    <n v="36"/>
    <x v="8"/>
    <n v="0"/>
    <x v="2"/>
    <x v="0"/>
    <x v="1"/>
    <n v="164253.35"/>
    <x v="1"/>
    <s v="Poor"/>
    <s v="Adult"/>
    <x v="0"/>
    <x v="0"/>
  </r>
  <r>
    <n v="457"/>
    <n v="15747960"/>
    <s v="Eluemuno"/>
    <s v="France"/>
    <s v="Male"/>
    <n v="733"/>
    <n v="33"/>
    <x v="6"/>
    <n v="0"/>
    <x v="0"/>
    <x v="0"/>
    <x v="0"/>
    <n v="7666.73"/>
    <x v="1"/>
    <s v="Good"/>
    <s v="Adult"/>
    <x v="1"/>
    <x v="0"/>
  </r>
  <r>
    <n v="458"/>
    <n v="15634632"/>
    <s v="Titus"/>
    <s v="France"/>
    <s v="Male"/>
    <n v="711"/>
    <n v="38"/>
    <x v="6"/>
    <n v="0"/>
    <x v="2"/>
    <x v="0"/>
    <x v="1"/>
    <n v="68487.509999999995"/>
    <x v="1"/>
    <s v="Good"/>
    <s v="Adult"/>
    <x v="2"/>
    <x v="0"/>
  </r>
  <r>
    <n v="459"/>
    <n v="15707362"/>
    <s v="Yin"/>
    <s v="Germany"/>
    <s v="Male"/>
    <n v="514"/>
    <n v="43"/>
    <x v="1"/>
    <n v="95556.31"/>
    <x v="0"/>
    <x v="1"/>
    <x v="0"/>
    <n v="199273.98"/>
    <x v="0"/>
    <s v="Poor"/>
    <s v="Adult"/>
    <x v="0"/>
    <x v="1"/>
  </r>
  <r>
    <n v="460"/>
    <n v="15662976"/>
    <s v="Lettiere"/>
    <s v="Spain"/>
    <s v="Male"/>
    <n v="637"/>
    <n v="37"/>
    <x v="2"/>
    <n v="0"/>
    <x v="0"/>
    <x v="0"/>
    <x v="0"/>
    <n v="186062.36"/>
    <x v="1"/>
    <s v="Average"/>
    <s v="Adult"/>
    <x v="0"/>
    <x v="0"/>
  </r>
  <r>
    <n v="461"/>
    <n v="15732778"/>
    <s v="Templeman"/>
    <s v="Germany"/>
    <s v="Male"/>
    <n v="468"/>
    <n v="29"/>
    <x v="1"/>
    <n v="111681.98"/>
    <x v="2"/>
    <x v="0"/>
    <x v="0"/>
    <n v="195711.16"/>
    <x v="1"/>
    <s v="Poor"/>
    <s v="Young Adult"/>
    <x v="0"/>
    <x v="2"/>
  </r>
  <r>
    <n v="462"/>
    <n v="15718443"/>
    <s v="Chibuzo"/>
    <s v="France"/>
    <s v="Male"/>
    <n v="539"/>
    <n v="39"/>
    <x v="6"/>
    <n v="0"/>
    <x v="2"/>
    <x v="0"/>
    <x v="1"/>
    <n v="36692.17"/>
    <x v="1"/>
    <s v="Poor"/>
    <s v="Adult"/>
    <x v="2"/>
    <x v="0"/>
  </r>
  <r>
    <n v="463"/>
    <n v="15670039"/>
    <s v="Sun"/>
    <s v="Spain"/>
    <s v="Female"/>
    <n v="509"/>
    <n v="25"/>
    <x v="6"/>
    <n v="108738.71"/>
    <x v="2"/>
    <x v="0"/>
    <x v="1"/>
    <n v="106920.57"/>
    <x v="1"/>
    <s v="Poor"/>
    <s v="Young Adult"/>
    <x v="0"/>
    <x v="2"/>
  </r>
  <r>
    <n v="464"/>
    <n v="15773792"/>
    <s v="Evans"/>
    <s v="France"/>
    <s v="Female"/>
    <n v="662"/>
    <n v="32"/>
    <x v="4"/>
    <n v="133950.37"/>
    <x v="0"/>
    <x v="0"/>
    <x v="0"/>
    <n v="48725.68"/>
    <x v="0"/>
    <s v="Average"/>
    <s v="Adult"/>
    <x v="2"/>
    <x v="2"/>
  </r>
  <r>
    <n v="465"/>
    <n v="15613786"/>
    <s v="Ogbonnaya"/>
    <s v="Spain"/>
    <s v="Male"/>
    <n v="818"/>
    <n v="26"/>
    <x v="4"/>
    <n v="0"/>
    <x v="2"/>
    <x v="0"/>
    <x v="0"/>
    <n v="167036.94"/>
    <x v="1"/>
    <s v="Good"/>
    <s v="Young Adult"/>
    <x v="0"/>
    <x v="0"/>
  </r>
  <r>
    <n v="466"/>
    <n v="15726032"/>
    <s v="Enyinnaya"/>
    <s v="France"/>
    <s v="Male"/>
    <n v="608"/>
    <n v="33"/>
    <x v="9"/>
    <n v="89968.69"/>
    <x v="0"/>
    <x v="0"/>
    <x v="1"/>
    <n v="68777.259999999995"/>
    <x v="1"/>
    <s v="Average"/>
    <s v="Adult"/>
    <x v="2"/>
    <x v="1"/>
  </r>
  <r>
    <n v="467"/>
    <n v="15663252"/>
    <s v="Olisanugo"/>
    <s v="Spain"/>
    <s v="Female"/>
    <n v="850"/>
    <n v="32"/>
    <x v="9"/>
    <n v="0"/>
    <x v="2"/>
    <x v="0"/>
    <x v="0"/>
    <n v="18924.919999999998"/>
    <x v="1"/>
    <s v="Good"/>
    <s v="Adult"/>
    <x v="1"/>
    <x v="0"/>
  </r>
  <r>
    <n v="468"/>
    <n v="15593782"/>
    <s v="Brookes"/>
    <s v="Germany"/>
    <s v="Female"/>
    <n v="816"/>
    <n v="38"/>
    <x v="8"/>
    <n v="130878.75"/>
    <x v="1"/>
    <x v="0"/>
    <x v="1"/>
    <n v="71905.77"/>
    <x v="0"/>
    <s v="Good"/>
    <s v="Adult"/>
    <x v="0"/>
    <x v="2"/>
  </r>
  <r>
    <n v="469"/>
    <n v="15633283"/>
    <s v="Padovano"/>
    <s v="France"/>
    <s v="Male"/>
    <n v="536"/>
    <n v="35"/>
    <x v="2"/>
    <n v="0"/>
    <x v="2"/>
    <x v="0"/>
    <x v="1"/>
    <n v="64833.279999999999"/>
    <x v="1"/>
    <s v="Poor"/>
    <s v="Adult"/>
    <x v="2"/>
    <x v="0"/>
  </r>
  <r>
    <n v="470"/>
    <n v="15749167"/>
    <s v="Fisk"/>
    <s v="France"/>
    <s v="Male"/>
    <n v="753"/>
    <n v="35"/>
    <x v="6"/>
    <n v="0"/>
    <x v="2"/>
    <x v="0"/>
    <x v="0"/>
    <n v="184843.77"/>
    <x v="1"/>
    <s v="Good"/>
    <s v="Adult"/>
    <x v="0"/>
    <x v="0"/>
  </r>
  <r>
    <n v="471"/>
    <n v="15759298"/>
    <s v="Shih"/>
    <s v="Spain"/>
    <s v="Male"/>
    <n v="631"/>
    <n v="27"/>
    <x v="7"/>
    <n v="134169.62"/>
    <x v="0"/>
    <x v="0"/>
    <x v="0"/>
    <n v="176730.02"/>
    <x v="1"/>
    <s v="Average"/>
    <s v="Young Adult"/>
    <x v="0"/>
    <x v="2"/>
  </r>
  <r>
    <n v="472"/>
    <n v="15683625"/>
    <s v="Hare"/>
    <s v="France"/>
    <s v="Male"/>
    <n v="703"/>
    <n v="37"/>
    <x v="1"/>
    <n v="149762.07999999999"/>
    <x v="0"/>
    <x v="0"/>
    <x v="1"/>
    <n v="20629.400000000001"/>
    <x v="0"/>
    <s v="Good"/>
    <s v="Adult"/>
    <x v="1"/>
    <x v="2"/>
  </r>
  <r>
    <n v="473"/>
    <n v="15635367"/>
    <s v="Muir"/>
    <s v="France"/>
    <s v="Male"/>
    <n v="774"/>
    <n v="26"/>
    <x v="0"/>
    <n v="93844.69"/>
    <x v="0"/>
    <x v="0"/>
    <x v="1"/>
    <n v="28415.360000000001"/>
    <x v="1"/>
    <s v="Good"/>
    <s v="Young Adult"/>
    <x v="1"/>
    <x v="1"/>
  </r>
  <r>
    <n v="474"/>
    <n v="15681705"/>
    <s v="Fanucci"/>
    <s v="France"/>
    <s v="Male"/>
    <n v="785"/>
    <n v="28"/>
    <x v="2"/>
    <n v="0"/>
    <x v="2"/>
    <x v="0"/>
    <x v="1"/>
    <n v="77231.27"/>
    <x v="1"/>
    <s v="Good"/>
    <s v="Young Adult"/>
    <x v="0"/>
    <x v="0"/>
  </r>
  <r>
    <n v="475"/>
    <n v="15603156"/>
    <s v="Elewechi"/>
    <s v="France"/>
    <s v="Female"/>
    <n v="571"/>
    <n v="33"/>
    <x v="1"/>
    <n v="0"/>
    <x v="2"/>
    <x v="0"/>
    <x v="1"/>
    <n v="102750.7"/>
    <x v="1"/>
    <s v="Poor"/>
    <s v="Adult"/>
    <x v="0"/>
    <x v="0"/>
  </r>
  <r>
    <n v="476"/>
    <n v="15591986"/>
    <s v="Johnston"/>
    <s v="Germany"/>
    <s v="Male"/>
    <n v="621"/>
    <n v="46"/>
    <x v="5"/>
    <n v="141078.37"/>
    <x v="0"/>
    <x v="1"/>
    <x v="1"/>
    <n v="34580.800000000003"/>
    <x v="0"/>
    <s v="Average"/>
    <s v="Adult"/>
    <x v="2"/>
    <x v="2"/>
  </r>
  <r>
    <n v="477"/>
    <n v="15798888"/>
    <s v="Pisano"/>
    <s v="Germany"/>
    <s v="Female"/>
    <n v="605"/>
    <n v="31"/>
    <x v="1"/>
    <n v="117992.59"/>
    <x v="0"/>
    <x v="0"/>
    <x v="0"/>
    <n v="183598.77"/>
    <x v="1"/>
    <s v="Average"/>
    <s v="Adult"/>
    <x v="0"/>
    <x v="2"/>
  </r>
  <r>
    <n v="478"/>
    <n v="15809722"/>
    <s v="Ankudinov"/>
    <s v="France"/>
    <s v="Female"/>
    <n v="611"/>
    <n v="40"/>
    <x v="2"/>
    <n v="100812.33"/>
    <x v="2"/>
    <x v="0"/>
    <x v="1"/>
    <n v="147358.26999999999"/>
    <x v="1"/>
    <s v="Average"/>
    <s v="Adult"/>
    <x v="0"/>
    <x v="2"/>
  </r>
  <r>
    <n v="479"/>
    <n v="15677538"/>
    <s v="Nwokike"/>
    <s v="France"/>
    <s v="Male"/>
    <n v="569"/>
    <n v="38"/>
    <x v="3"/>
    <n v="0"/>
    <x v="0"/>
    <x v="0"/>
    <x v="0"/>
    <n v="108469.2"/>
    <x v="1"/>
    <s v="Poor"/>
    <s v="Adult"/>
    <x v="0"/>
    <x v="0"/>
  </r>
  <r>
    <n v="480"/>
    <n v="15797736"/>
    <s v="Smith"/>
    <s v="France"/>
    <s v="Male"/>
    <n v="658"/>
    <n v="29"/>
    <x v="4"/>
    <n v="80262.600000000006"/>
    <x v="0"/>
    <x v="0"/>
    <x v="0"/>
    <n v="20612.82"/>
    <x v="1"/>
    <s v="Average"/>
    <s v="Young Adult"/>
    <x v="1"/>
    <x v="1"/>
  </r>
  <r>
    <n v="481"/>
    <n v="15695585"/>
    <s v="Atkins"/>
    <s v="Spain"/>
    <s v="Male"/>
    <n v="788"/>
    <n v="34"/>
    <x v="5"/>
    <n v="156478.62"/>
    <x v="0"/>
    <x v="1"/>
    <x v="0"/>
    <n v="181196.76"/>
    <x v="1"/>
    <s v="Good"/>
    <s v="Adult"/>
    <x v="0"/>
    <x v="2"/>
  </r>
  <r>
    <n v="482"/>
    <n v="15744398"/>
    <s v="Burns"/>
    <s v="France"/>
    <s v="Female"/>
    <n v="525"/>
    <n v="23"/>
    <x v="8"/>
    <n v="0"/>
    <x v="2"/>
    <x v="0"/>
    <x v="1"/>
    <n v="160249.1"/>
    <x v="1"/>
    <s v="Poor"/>
    <s v="Young Adult"/>
    <x v="0"/>
    <x v="0"/>
  </r>
  <r>
    <n v="483"/>
    <n v="15750658"/>
    <s v="Obiuto"/>
    <s v="France"/>
    <s v="Male"/>
    <n v="798"/>
    <n v="37"/>
    <x v="2"/>
    <n v="0"/>
    <x v="1"/>
    <x v="1"/>
    <x v="1"/>
    <n v="110783.28"/>
    <x v="1"/>
    <s v="Good"/>
    <s v="Adult"/>
    <x v="0"/>
    <x v="0"/>
  </r>
  <r>
    <n v="484"/>
    <n v="15578186"/>
    <s v="Pirozzi"/>
    <s v="Germany"/>
    <s v="Male"/>
    <n v="486"/>
    <n v="37"/>
    <x v="9"/>
    <n v="115217.99"/>
    <x v="2"/>
    <x v="0"/>
    <x v="1"/>
    <n v="144995.32999999999"/>
    <x v="1"/>
    <s v="Poor"/>
    <s v="Adult"/>
    <x v="0"/>
    <x v="2"/>
  </r>
  <r>
    <n v="485"/>
    <n v="15676519"/>
    <s v="George"/>
    <s v="Spain"/>
    <s v="Male"/>
    <n v="615"/>
    <n v="61"/>
    <x v="9"/>
    <n v="0"/>
    <x v="2"/>
    <x v="0"/>
    <x v="1"/>
    <n v="150227.85"/>
    <x v="0"/>
    <s v="Average"/>
    <s v="Senior"/>
    <x v="0"/>
    <x v="0"/>
  </r>
  <r>
    <n v="486"/>
    <n v="15637954"/>
    <s v="Lewis"/>
    <s v="France"/>
    <s v="Female"/>
    <n v="730"/>
    <n v="35"/>
    <x v="10"/>
    <n v="155470.54999999999"/>
    <x v="0"/>
    <x v="0"/>
    <x v="0"/>
    <n v="53718.28"/>
    <x v="1"/>
    <s v="Good"/>
    <s v="Adult"/>
    <x v="2"/>
    <x v="2"/>
  </r>
  <r>
    <n v="487"/>
    <n v="15758639"/>
    <s v="Moran"/>
    <s v="France"/>
    <s v="Male"/>
    <n v="641"/>
    <n v="37"/>
    <x v="3"/>
    <n v="0"/>
    <x v="2"/>
    <x v="0"/>
    <x v="1"/>
    <n v="75248.3"/>
    <x v="1"/>
    <s v="Average"/>
    <s v="Adult"/>
    <x v="0"/>
    <x v="0"/>
  </r>
  <r>
    <n v="488"/>
    <n v="15613772"/>
    <s v="Dalrymple"/>
    <s v="France"/>
    <s v="Male"/>
    <n v="542"/>
    <n v="39"/>
    <x v="6"/>
    <n v="135096.76999999999"/>
    <x v="0"/>
    <x v="0"/>
    <x v="0"/>
    <n v="14353.43"/>
    <x v="0"/>
    <s v="Poor"/>
    <s v="Adult"/>
    <x v="1"/>
    <x v="2"/>
  </r>
  <r>
    <n v="489"/>
    <n v="15731744"/>
    <s v="Carslaw"/>
    <s v="France"/>
    <s v="Male"/>
    <n v="692"/>
    <n v="30"/>
    <x v="0"/>
    <n v="0"/>
    <x v="2"/>
    <x v="1"/>
    <x v="0"/>
    <n v="130486.57"/>
    <x v="1"/>
    <s v="Good"/>
    <s v="Young Adult"/>
    <x v="0"/>
    <x v="0"/>
  </r>
  <r>
    <n v="490"/>
    <n v="15807709"/>
    <s v="Kirby"/>
    <s v="Germany"/>
    <s v="Female"/>
    <n v="714"/>
    <n v="55"/>
    <x v="9"/>
    <n v="180075.22"/>
    <x v="0"/>
    <x v="0"/>
    <x v="0"/>
    <n v="100127.71"/>
    <x v="1"/>
    <s v="Good"/>
    <s v="Adult"/>
    <x v="0"/>
    <x v="2"/>
  </r>
  <r>
    <n v="491"/>
    <n v="15714689"/>
    <s v="Houghton"/>
    <s v="Spain"/>
    <s v="Male"/>
    <n v="591"/>
    <n v="29"/>
    <x v="1"/>
    <n v="97541.24"/>
    <x v="0"/>
    <x v="0"/>
    <x v="0"/>
    <n v="196356.17"/>
    <x v="1"/>
    <s v="Average"/>
    <s v="Young Adult"/>
    <x v="0"/>
    <x v="1"/>
  </r>
  <r>
    <n v="492"/>
    <n v="15699005"/>
    <s v="Martin"/>
    <s v="France"/>
    <s v="Female"/>
    <n v="710"/>
    <n v="41"/>
    <x v="0"/>
    <n v="156067.04999999999"/>
    <x v="0"/>
    <x v="0"/>
    <x v="0"/>
    <n v="9983.8799999999992"/>
    <x v="1"/>
    <s v="Good"/>
    <s v="Adult"/>
    <x v="1"/>
    <x v="2"/>
  </r>
  <r>
    <n v="493"/>
    <n v="15624170"/>
    <s v="Tan"/>
    <s v="France"/>
    <s v="Female"/>
    <n v="639"/>
    <n v="38"/>
    <x v="4"/>
    <n v="81550.94"/>
    <x v="2"/>
    <x v="1"/>
    <x v="0"/>
    <n v="118974.77"/>
    <x v="1"/>
    <s v="Average"/>
    <s v="Adult"/>
    <x v="0"/>
    <x v="1"/>
  </r>
  <r>
    <n v="494"/>
    <n v="15725679"/>
    <s v="Hsia"/>
    <s v="France"/>
    <s v="Female"/>
    <n v="531"/>
    <n v="47"/>
    <x v="5"/>
    <n v="0"/>
    <x v="0"/>
    <x v="1"/>
    <x v="1"/>
    <n v="194998.34"/>
    <x v="0"/>
    <s v="Poor"/>
    <s v="Adult"/>
    <x v="0"/>
    <x v="0"/>
  </r>
  <r>
    <n v="495"/>
    <n v="15585865"/>
    <s v="Westerberg"/>
    <s v="France"/>
    <s v="Female"/>
    <n v="673"/>
    <n v="38"/>
    <x v="0"/>
    <n v="170061.92"/>
    <x v="2"/>
    <x v="1"/>
    <x v="1"/>
    <n v="134901.34"/>
    <x v="0"/>
    <s v="Good"/>
    <s v="Adult"/>
    <x v="0"/>
    <x v="2"/>
  </r>
  <r>
    <n v="496"/>
    <n v="15804256"/>
    <s v="Hale"/>
    <s v="Germany"/>
    <s v="Male"/>
    <n v="765"/>
    <n v="36"/>
    <x v="2"/>
    <n v="92310.54"/>
    <x v="2"/>
    <x v="0"/>
    <x v="0"/>
    <n v="72924.56"/>
    <x v="1"/>
    <s v="Good"/>
    <s v="Adult"/>
    <x v="0"/>
    <x v="1"/>
  </r>
  <r>
    <n v="497"/>
    <n v="15662403"/>
    <s v="Kryukova"/>
    <s v="France"/>
    <s v="Female"/>
    <n v="622"/>
    <n v="32"/>
    <x v="5"/>
    <n v="169089.38"/>
    <x v="2"/>
    <x v="0"/>
    <x v="1"/>
    <n v="101057.95"/>
    <x v="1"/>
    <s v="Average"/>
    <s v="Adult"/>
    <x v="0"/>
    <x v="2"/>
  </r>
  <r>
    <n v="498"/>
    <n v="15733616"/>
    <s v="Sopuluchukwu"/>
    <s v="France"/>
    <s v="Male"/>
    <n v="806"/>
    <n v="40"/>
    <x v="8"/>
    <n v="80613.929999999993"/>
    <x v="0"/>
    <x v="0"/>
    <x v="0"/>
    <n v="142838.64000000001"/>
    <x v="1"/>
    <s v="Good"/>
    <s v="Adult"/>
    <x v="0"/>
    <x v="1"/>
  </r>
  <r>
    <n v="499"/>
    <n v="15591995"/>
    <s v="Barry"/>
    <s v="Germany"/>
    <s v="Male"/>
    <n v="757"/>
    <n v="26"/>
    <x v="2"/>
    <n v="121581.56"/>
    <x v="2"/>
    <x v="0"/>
    <x v="0"/>
    <n v="127059.04"/>
    <x v="1"/>
    <s v="Good"/>
    <s v="Young Adult"/>
    <x v="0"/>
    <x v="2"/>
  </r>
  <r>
    <n v="500"/>
    <n v="15677020"/>
    <s v="Selezneva"/>
    <s v="France"/>
    <s v="Female"/>
    <n v="570"/>
    <n v="58"/>
    <x v="2"/>
    <n v="0"/>
    <x v="0"/>
    <x v="1"/>
    <x v="0"/>
    <n v="116503.92"/>
    <x v="0"/>
    <s v="Poor"/>
    <s v="Adult"/>
    <x v="0"/>
    <x v="0"/>
  </r>
  <r>
    <n v="501"/>
    <n v="15727688"/>
    <s v="Chizuoke"/>
    <s v="Spain"/>
    <s v="Male"/>
    <n v="555"/>
    <n v="32"/>
    <x v="4"/>
    <n v="0"/>
    <x v="2"/>
    <x v="0"/>
    <x v="0"/>
    <n v="54405.79"/>
    <x v="1"/>
    <s v="Poor"/>
    <s v="Adult"/>
    <x v="2"/>
    <x v="0"/>
  </r>
  <r>
    <n v="502"/>
    <n v="15715941"/>
    <s v="Lueck"/>
    <s v="France"/>
    <s v="Male"/>
    <n v="692"/>
    <n v="54"/>
    <x v="8"/>
    <n v="0"/>
    <x v="2"/>
    <x v="0"/>
    <x v="0"/>
    <n v="88721.84"/>
    <x v="1"/>
    <s v="Good"/>
    <s v="Adult"/>
    <x v="0"/>
    <x v="0"/>
  </r>
  <r>
    <n v="503"/>
    <n v="15714485"/>
    <s v="Udinese"/>
    <s v="France"/>
    <s v="Male"/>
    <n v="774"/>
    <n v="60"/>
    <x v="8"/>
    <n v="85891.55"/>
    <x v="0"/>
    <x v="0"/>
    <x v="1"/>
    <n v="74135.48"/>
    <x v="0"/>
    <s v="Good"/>
    <s v="Adult"/>
    <x v="0"/>
    <x v="1"/>
  </r>
  <r>
    <n v="504"/>
    <n v="15730059"/>
    <s v="Udobata"/>
    <s v="Spain"/>
    <s v="Male"/>
    <n v="638"/>
    <n v="44"/>
    <x v="9"/>
    <n v="77637.350000000006"/>
    <x v="2"/>
    <x v="0"/>
    <x v="0"/>
    <n v="111346.22"/>
    <x v="1"/>
    <s v="Average"/>
    <s v="Adult"/>
    <x v="0"/>
    <x v="1"/>
  </r>
  <r>
    <n v="505"/>
    <n v="15715527"/>
    <s v="Freeman"/>
    <s v="Spain"/>
    <s v="Female"/>
    <n v="543"/>
    <n v="41"/>
    <x v="4"/>
    <n v="0"/>
    <x v="0"/>
    <x v="1"/>
    <x v="1"/>
    <n v="194902.16"/>
    <x v="1"/>
    <s v="Poor"/>
    <s v="Adult"/>
    <x v="0"/>
    <x v="0"/>
  </r>
  <r>
    <n v="506"/>
    <n v="15576623"/>
    <s v="Outlaw"/>
    <s v="France"/>
    <s v="Male"/>
    <n v="584"/>
    <n v="31"/>
    <x v="8"/>
    <n v="0"/>
    <x v="2"/>
    <x v="0"/>
    <x v="1"/>
    <n v="31474.27"/>
    <x v="1"/>
    <s v="Average"/>
    <s v="Adult"/>
    <x v="2"/>
    <x v="0"/>
  </r>
  <r>
    <n v="507"/>
    <n v="15805565"/>
    <s v="Obiuto"/>
    <s v="Germany"/>
    <s v="Male"/>
    <n v="691"/>
    <n v="30"/>
    <x v="3"/>
    <n v="116927.89"/>
    <x v="0"/>
    <x v="0"/>
    <x v="1"/>
    <n v="21198.39"/>
    <x v="1"/>
    <s v="Good"/>
    <s v="Young Adult"/>
    <x v="1"/>
    <x v="2"/>
  </r>
  <r>
    <n v="508"/>
    <n v="15677307"/>
    <s v="Lo"/>
    <s v="Germany"/>
    <s v="Female"/>
    <n v="684"/>
    <n v="40"/>
    <x v="5"/>
    <n v="137326.65"/>
    <x v="0"/>
    <x v="0"/>
    <x v="1"/>
    <n v="186976.6"/>
    <x v="1"/>
    <s v="Good"/>
    <s v="Adult"/>
    <x v="0"/>
    <x v="2"/>
  </r>
  <r>
    <n v="509"/>
    <n v="15773890"/>
    <s v="Okechukwu"/>
    <s v="France"/>
    <s v="Male"/>
    <n v="733"/>
    <n v="22"/>
    <x v="8"/>
    <n v="0"/>
    <x v="2"/>
    <x v="0"/>
    <x v="0"/>
    <n v="117202.19"/>
    <x v="1"/>
    <s v="Good"/>
    <s v="Young Adult"/>
    <x v="0"/>
    <x v="0"/>
  </r>
  <r>
    <n v="510"/>
    <n v="15598883"/>
    <s v="King"/>
    <s v="Spain"/>
    <s v="Female"/>
    <n v="599"/>
    <n v="37"/>
    <x v="0"/>
    <n v="0"/>
    <x v="2"/>
    <x v="0"/>
    <x v="0"/>
    <n v="143739.29"/>
    <x v="1"/>
    <s v="Average"/>
    <s v="Adult"/>
    <x v="0"/>
    <x v="0"/>
  </r>
  <r>
    <n v="511"/>
    <n v="15568506"/>
    <s v="Forbes"/>
    <s v="Germany"/>
    <s v="Female"/>
    <n v="524"/>
    <n v="31"/>
    <x v="7"/>
    <n v="67238.98"/>
    <x v="2"/>
    <x v="0"/>
    <x v="0"/>
    <n v="161811.23000000001"/>
    <x v="1"/>
    <s v="Poor"/>
    <s v="Adult"/>
    <x v="0"/>
    <x v="1"/>
  </r>
  <r>
    <n v="512"/>
    <n v="15761043"/>
    <s v="Macleod"/>
    <s v="Germany"/>
    <s v="Female"/>
    <n v="632"/>
    <n v="38"/>
    <x v="5"/>
    <n v="86569.76"/>
    <x v="2"/>
    <x v="0"/>
    <x v="1"/>
    <n v="98090.91"/>
    <x v="1"/>
    <s v="Average"/>
    <s v="Adult"/>
    <x v="0"/>
    <x v="1"/>
  </r>
  <r>
    <n v="513"/>
    <n v="15782236"/>
    <s v="Gibbs"/>
    <s v="Spain"/>
    <s v="Male"/>
    <n v="735"/>
    <n v="34"/>
    <x v="8"/>
    <n v="0"/>
    <x v="2"/>
    <x v="1"/>
    <x v="1"/>
    <n v="71095.41"/>
    <x v="1"/>
    <s v="Good"/>
    <s v="Adult"/>
    <x v="0"/>
    <x v="0"/>
  </r>
  <r>
    <n v="514"/>
    <n v="15593601"/>
    <s v="Isayev"/>
    <s v="France"/>
    <s v="Male"/>
    <n v="734"/>
    <n v="34"/>
    <x v="5"/>
    <n v="133598.39999999999"/>
    <x v="0"/>
    <x v="0"/>
    <x v="0"/>
    <n v="13107.24"/>
    <x v="1"/>
    <s v="Good"/>
    <s v="Adult"/>
    <x v="1"/>
    <x v="2"/>
  </r>
  <r>
    <n v="515"/>
    <n v="15682048"/>
    <s v="Pisano"/>
    <s v="France"/>
    <s v="Female"/>
    <n v="605"/>
    <n v="51"/>
    <x v="6"/>
    <n v="136188.78"/>
    <x v="0"/>
    <x v="0"/>
    <x v="0"/>
    <n v="67110.59"/>
    <x v="0"/>
    <s v="Average"/>
    <s v="Adult"/>
    <x v="2"/>
    <x v="2"/>
  </r>
  <r>
    <n v="516"/>
    <n v="15746902"/>
    <s v="Belstead"/>
    <s v="Spain"/>
    <s v="Male"/>
    <n v="793"/>
    <n v="38"/>
    <x v="9"/>
    <n v="0"/>
    <x v="2"/>
    <x v="0"/>
    <x v="1"/>
    <n v="88225.02"/>
    <x v="1"/>
    <s v="Good"/>
    <s v="Adult"/>
    <x v="0"/>
    <x v="0"/>
  </r>
  <r>
    <n v="517"/>
    <n v="15752081"/>
    <s v="Vassiliev"/>
    <s v="France"/>
    <s v="Female"/>
    <n v="468"/>
    <n v="56"/>
    <x v="7"/>
    <n v="0"/>
    <x v="1"/>
    <x v="1"/>
    <x v="0"/>
    <n v="62256.87"/>
    <x v="0"/>
    <s v="Poor"/>
    <s v="Adult"/>
    <x v="2"/>
    <x v="0"/>
  </r>
  <r>
    <n v="518"/>
    <n v="15781307"/>
    <s v="Schneider"/>
    <s v="Germany"/>
    <s v="Male"/>
    <n v="779"/>
    <n v="37"/>
    <x v="3"/>
    <n v="120092.52"/>
    <x v="2"/>
    <x v="0"/>
    <x v="1"/>
    <n v="135925.72"/>
    <x v="1"/>
    <s v="Good"/>
    <s v="Adult"/>
    <x v="0"/>
    <x v="2"/>
  </r>
  <r>
    <n v="519"/>
    <n v="15775912"/>
    <s v="Mazzanti"/>
    <s v="France"/>
    <s v="Male"/>
    <n v="698"/>
    <n v="48"/>
    <x v="4"/>
    <n v="101238.24"/>
    <x v="2"/>
    <x v="1"/>
    <x v="0"/>
    <n v="177815.87"/>
    <x v="0"/>
    <s v="Good"/>
    <s v="Adult"/>
    <x v="0"/>
    <x v="2"/>
  </r>
  <r>
    <n v="520"/>
    <n v="15745417"/>
    <s v="Knipe"/>
    <s v="France"/>
    <s v="Male"/>
    <n v="707"/>
    <n v="58"/>
    <x v="5"/>
    <n v="89685.92"/>
    <x v="0"/>
    <x v="1"/>
    <x v="0"/>
    <n v="126471.13"/>
    <x v="1"/>
    <s v="Good"/>
    <s v="Adult"/>
    <x v="0"/>
    <x v="1"/>
  </r>
  <r>
    <n v="521"/>
    <n v="15671256"/>
    <s v="Macartney"/>
    <s v="France"/>
    <s v="Female"/>
    <n v="850"/>
    <n v="35"/>
    <x v="1"/>
    <n v="211774.31"/>
    <x v="0"/>
    <x v="0"/>
    <x v="1"/>
    <n v="188574.12"/>
    <x v="0"/>
    <s v="Good"/>
    <s v="Adult"/>
    <x v="0"/>
    <x v="2"/>
  </r>
  <r>
    <n v="522"/>
    <n v="15653547"/>
    <s v="Madukwe"/>
    <s v="France"/>
    <s v="Male"/>
    <n v="850"/>
    <n v="56"/>
    <x v="3"/>
    <n v="131317.48000000001"/>
    <x v="0"/>
    <x v="0"/>
    <x v="0"/>
    <n v="119175.45"/>
    <x v="1"/>
    <s v="Good"/>
    <s v="Adult"/>
    <x v="0"/>
    <x v="2"/>
  </r>
  <r>
    <n v="523"/>
    <n v="15595766"/>
    <s v="Watts"/>
    <s v="Spain"/>
    <s v="Male"/>
    <n v="527"/>
    <n v="37"/>
    <x v="8"/>
    <n v="93722.73"/>
    <x v="2"/>
    <x v="0"/>
    <x v="0"/>
    <n v="139093.73000000001"/>
    <x v="1"/>
    <s v="Poor"/>
    <s v="Adult"/>
    <x v="0"/>
    <x v="1"/>
  </r>
  <r>
    <n v="524"/>
    <n v="15742358"/>
    <s v="Humphreys"/>
    <s v="Germany"/>
    <s v="Male"/>
    <n v="696"/>
    <n v="32"/>
    <x v="2"/>
    <n v="101160.99"/>
    <x v="0"/>
    <x v="0"/>
    <x v="0"/>
    <n v="115916.55"/>
    <x v="1"/>
    <s v="Good"/>
    <s v="Adult"/>
    <x v="0"/>
    <x v="2"/>
  </r>
  <r>
    <n v="525"/>
    <n v="15763274"/>
    <s v="Wu"/>
    <s v="France"/>
    <s v="Male"/>
    <n v="661"/>
    <n v="48"/>
    <x v="6"/>
    <n v="120320.54"/>
    <x v="0"/>
    <x v="1"/>
    <x v="1"/>
    <n v="96463.25"/>
    <x v="1"/>
    <s v="Average"/>
    <s v="Adult"/>
    <x v="0"/>
    <x v="2"/>
  </r>
  <r>
    <n v="526"/>
    <n v="15786063"/>
    <s v="Chin"/>
    <s v="France"/>
    <s v="Female"/>
    <n v="776"/>
    <n v="31"/>
    <x v="0"/>
    <n v="0"/>
    <x v="2"/>
    <x v="0"/>
    <x v="0"/>
    <n v="112349.51"/>
    <x v="1"/>
    <s v="Good"/>
    <s v="Adult"/>
    <x v="0"/>
    <x v="0"/>
  </r>
  <r>
    <n v="527"/>
    <n v="15600258"/>
    <s v="Chesnokova"/>
    <s v="France"/>
    <s v="Male"/>
    <n v="701"/>
    <n v="43"/>
    <x v="0"/>
    <n v="0"/>
    <x v="2"/>
    <x v="0"/>
    <x v="0"/>
    <n v="165303.79"/>
    <x v="1"/>
    <s v="Good"/>
    <s v="Adult"/>
    <x v="0"/>
    <x v="0"/>
  </r>
  <r>
    <n v="528"/>
    <n v="15573318"/>
    <s v="Kung"/>
    <s v="France"/>
    <s v="Male"/>
    <n v="610"/>
    <n v="26"/>
    <x v="2"/>
    <n v="0"/>
    <x v="2"/>
    <x v="0"/>
    <x v="1"/>
    <n v="166031.07999999999"/>
    <x v="1"/>
    <s v="Average"/>
    <s v="Young Adult"/>
    <x v="0"/>
    <x v="0"/>
  </r>
  <r>
    <n v="529"/>
    <n v="15653849"/>
    <s v="Lu"/>
    <s v="Germany"/>
    <s v="Female"/>
    <n v="572"/>
    <n v="48"/>
    <x v="6"/>
    <n v="152827.99"/>
    <x v="0"/>
    <x v="0"/>
    <x v="1"/>
    <n v="38411.79"/>
    <x v="0"/>
    <s v="Poor"/>
    <s v="Adult"/>
    <x v="2"/>
    <x v="2"/>
  </r>
  <r>
    <n v="530"/>
    <n v="15694272"/>
    <s v="Nkemakolam"/>
    <s v="France"/>
    <s v="Male"/>
    <n v="673"/>
    <n v="30"/>
    <x v="1"/>
    <n v="64097.75"/>
    <x v="0"/>
    <x v="0"/>
    <x v="0"/>
    <n v="77783.350000000006"/>
    <x v="1"/>
    <s v="Good"/>
    <s v="Young Adult"/>
    <x v="0"/>
    <x v="1"/>
  </r>
  <r>
    <n v="531"/>
    <n v="15736112"/>
    <s v="Walton"/>
    <s v="Spain"/>
    <s v="Female"/>
    <n v="519"/>
    <n v="57"/>
    <x v="0"/>
    <n v="119035.35"/>
    <x v="2"/>
    <x v="0"/>
    <x v="0"/>
    <n v="29871.79"/>
    <x v="1"/>
    <s v="Poor"/>
    <s v="Adult"/>
    <x v="1"/>
    <x v="2"/>
  </r>
  <r>
    <n v="532"/>
    <n v="15749851"/>
    <s v="Brookes"/>
    <s v="Spain"/>
    <s v="Female"/>
    <n v="702"/>
    <n v="26"/>
    <x v="4"/>
    <n v="135219.57"/>
    <x v="0"/>
    <x v="1"/>
    <x v="0"/>
    <n v="59747.63"/>
    <x v="1"/>
    <s v="Good"/>
    <s v="Young Adult"/>
    <x v="2"/>
    <x v="2"/>
  </r>
  <r>
    <n v="533"/>
    <n v="15663478"/>
    <s v="Baldwin"/>
    <s v="France"/>
    <s v="Male"/>
    <n v="729"/>
    <n v="32"/>
    <x v="5"/>
    <n v="93694.42"/>
    <x v="0"/>
    <x v="0"/>
    <x v="0"/>
    <n v="79919.13"/>
    <x v="1"/>
    <s v="Good"/>
    <s v="Adult"/>
    <x v="0"/>
    <x v="1"/>
  </r>
  <r>
    <n v="534"/>
    <n v="15592300"/>
    <s v="Mai"/>
    <s v="Spain"/>
    <s v="Male"/>
    <n v="543"/>
    <n v="35"/>
    <x v="7"/>
    <n v="59408.63"/>
    <x v="0"/>
    <x v="0"/>
    <x v="1"/>
    <n v="76773.53"/>
    <x v="1"/>
    <s v="Poor"/>
    <s v="Adult"/>
    <x v="0"/>
    <x v="1"/>
  </r>
  <r>
    <n v="535"/>
    <n v="15567832"/>
    <s v="Shih"/>
    <s v="France"/>
    <s v="Female"/>
    <n v="550"/>
    <n v="40"/>
    <x v="3"/>
    <n v="114354.95"/>
    <x v="0"/>
    <x v="0"/>
    <x v="1"/>
    <n v="54018.93"/>
    <x v="1"/>
    <s v="Poor"/>
    <s v="Adult"/>
    <x v="2"/>
    <x v="2"/>
  </r>
  <r>
    <n v="536"/>
    <n v="15776780"/>
    <s v="He"/>
    <s v="France"/>
    <s v="Male"/>
    <n v="608"/>
    <n v="59"/>
    <x v="1"/>
    <n v="0"/>
    <x v="0"/>
    <x v="0"/>
    <x v="1"/>
    <n v="70649.64"/>
    <x v="0"/>
    <s v="Average"/>
    <s v="Adult"/>
    <x v="0"/>
    <x v="0"/>
  </r>
  <r>
    <n v="537"/>
    <n v="15592846"/>
    <s v="Fiorentini"/>
    <s v="Germany"/>
    <s v="Male"/>
    <n v="639"/>
    <n v="35"/>
    <x v="7"/>
    <n v="128173.9"/>
    <x v="2"/>
    <x v="0"/>
    <x v="1"/>
    <n v="59093.39"/>
    <x v="1"/>
    <s v="Average"/>
    <s v="Adult"/>
    <x v="2"/>
    <x v="2"/>
  </r>
  <r>
    <n v="538"/>
    <n v="15739803"/>
    <s v="Lucciano"/>
    <s v="Spain"/>
    <s v="Male"/>
    <n v="686"/>
    <n v="34"/>
    <x v="9"/>
    <n v="0"/>
    <x v="2"/>
    <x v="0"/>
    <x v="1"/>
    <n v="127569.8"/>
    <x v="1"/>
    <s v="Good"/>
    <s v="Adult"/>
    <x v="0"/>
    <x v="0"/>
  </r>
  <r>
    <n v="539"/>
    <n v="15794142"/>
    <s v="Ferreira"/>
    <s v="Germany"/>
    <s v="Female"/>
    <n v="564"/>
    <n v="62"/>
    <x v="8"/>
    <n v="114931.35"/>
    <x v="1"/>
    <x v="1"/>
    <x v="0"/>
    <n v="18260.98"/>
    <x v="0"/>
    <s v="Poor"/>
    <s v="Senior"/>
    <x v="1"/>
    <x v="2"/>
  </r>
  <r>
    <n v="540"/>
    <n v="15762729"/>
    <s v="Ukaegbunam"/>
    <s v="Germany"/>
    <s v="Female"/>
    <n v="745"/>
    <n v="28"/>
    <x v="1"/>
    <n v="111071.36"/>
    <x v="0"/>
    <x v="0"/>
    <x v="1"/>
    <n v="73275.960000000006"/>
    <x v="0"/>
    <s v="Good"/>
    <s v="Young Adult"/>
    <x v="0"/>
    <x v="2"/>
  </r>
  <r>
    <n v="541"/>
    <n v="15667896"/>
    <s v="De Luca"/>
    <s v="France"/>
    <s v="Male"/>
    <n v="833"/>
    <n v="37"/>
    <x v="2"/>
    <n v="151226.18"/>
    <x v="2"/>
    <x v="0"/>
    <x v="0"/>
    <n v="136129.49"/>
    <x v="1"/>
    <s v="Good"/>
    <s v="Adult"/>
    <x v="0"/>
    <x v="2"/>
  </r>
  <r>
    <n v="542"/>
    <n v="15626578"/>
    <s v="Milne"/>
    <s v="France"/>
    <s v="Male"/>
    <n v="622"/>
    <n v="26"/>
    <x v="9"/>
    <n v="0"/>
    <x v="2"/>
    <x v="0"/>
    <x v="0"/>
    <n v="153237.59"/>
    <x v="1"/>
    <s v="Average"/>
    <s v="Young Adult"/>
    <x v="0"/>
    <x v="0"/>
  </r>
  <r>
    <n v="543"/>
    <n v="15776223"/>
    <s v="Davide"/>
    <s v="France"/>
    <s v="Female"/>
    <n v="597"/>
    <n v="42"/>
    <x v="4"/>
    <n v="64740.12"/>
    <x v="0"/>
    <x v="0"/>
    <x v="0"/>
    <n v="106841.12"/>
    <x v="1"/>
    <s v="Average"/>
    <s v="Adult"/>
    <x v="0"/>
    <x v="1"/>
  </r>
  <r>
    <n v="544"/>
    <n v="15705953"/>
    <s v="Kodilinyechukwu"/>
    <s v="Spain"/>
    <s v="Male"/>
    <n v="721"/>
    <n v="51"/>
    <x v="10"/>
    <n v="169312.13"/>
    <x v="0"/>
    <x v="0"/>
    <x v="1"/>
    <n v="109078.35"/>
    <x v="0"/>
    <s v="Good"/>
    <s v="Adult"/>
    <x v="0"/>
    <x v="2"/>
  </r>
  <r>
    <n v="545"/>
    <n v="15802593"/>
    <s v="Little"/>
    <s v="France"/>
    <s v="Female"/>
    <n v="504"/>
    <n v="49"/>
    <x v="3"/>
    <n v="0"/>
    <x v="1"/>
    <x v="1"/>
    <x v="0"/>
    <n v="87822.14"/>
    <x v="0"/>
    <s v="Poor"/>
    <s v="Adult"/>
    <x v="0"/>
    <x v="0"/>
  </r>
  <r>
    <n v="546"/>
    <n v="15615457"/>
    <s v="Burns"/>
    <s v="Spain"/>
    <s v="Female"/>
    <n v="842"/>
    <n v="44"/>
    <x v="0"/>
    <n v="112652.08"/>
    <x v="2"/>
    <x v="0"/>
    <x v="1"/>
    <n v="126644.98"/>
    <x v="1"/>
    <s v="Good"/>
    <s v="Adult"/>
    <x v="0"/>
    <x v="2"/>
  </r>
  <r>
    <n v="547"/>
    <n v="15708916"/>
    <s v="Paterson"/>
    <s v="France"/>
    <s v="Male"/>
    <n v="587"/>
    <n v="38"/>
    <x v="10"/>
    <n v="0"/>
    <x v="2"/>
    <x v="0"/>
    <x v="1"/>
    <n v="47414.15"/>
    <x v="1"/>
    <s v="Average"/>
    <s v="Adult"/>
    <x v="2"/>
    <x v="0"/>
  </r>
  <r>
    <n v="548"/>
    <n v="15720187"/>
    <s v="Han"/>
    <s v="Germany"/>
    <s v="Female"/>
    <n v="479"/>
    <n v="30"/>
    <x v="3"/>
    <n v="143964.35999999999"/>
    <x v="2"/>
    <x v="0"/>
    <x v="1"/>
    <n v="41879.99"/>
    <x v="1"/>
    <s v="Poor"/>
    <s v="Young Adult"/>
    <x v="2"/>
    <x v="2"/>
  </r>
  <r>
    <n v="549"/>
    <n v="15595440"/>
    <s v="Kryukova"/>
    <s v="France"/>
    <s v="Male"/>
    <n v="508"/>
    <n v="49"/>
    <x v="3"/>
    <n v="122451.46"/>
    <x v="2"/>
    <x v="0"/>
    <x v="0"/>
    <n v="75808.100000000006"/>
    <x v="1"/>
    <s v="Poor"/>
    <s v="Adult"/>
    <x v="0"/>
    <x v="2"/>
  </r>
  <r>
    <n v="550"/>
    <n v="15600651"/>
    <s v="Ijendu"/>
    <s v="France"/>
    <s v="Male"/>
    <n v="749"/>
    <n v="24"/>
    <x v="1"/>
    <n v="0"/>
    <x v="1"/>
    <x v="0"/>
    <x v="0"/>
    <n v="47911.03"/>
    <x v="1"/>
    <s v="Good"/>
    <s v="Young Adult"/>
    <x v="2"/>
    <x v="0"/>
  </r>
  <r>
    <n v="551"/>
    <n v="15750141"/>
    <s v="Reichard"/>
    <s v="Germany"/>
    <s v="Female"/>
    <n v="721"/>
    <n v="36"/>
    <x v="6"/>
    <n v="65253.07"/>
    <x v="2"/>
    <x v="0"/>
    <x v="1"/>
    <n v="28737.78"/>
    <x v="1"/>
    <s v="Good"/>
    <s v="Adult"/>
    <x v="1"/>
    <x v="1"/>
  </r>
  <r>
    <n v="552"/>
    <n v="15657284"/>
    <s v="Day"/>
    <s v="Germany"/>
    <s v="Male"/>
    <n v="674"/>
    <n v="47"/>
    <x v="5"/>
    <n v="106901.94"/>
    <x v="0"/>
    <x v="0"/>
    <x v="0"/>
    <n v="2079.1999999999998"/>
    <x v="0"/>
    <s v="Good"/>
    <s v="Adult"/>
    <x v="1"/>
    <x v="2"/>
  </r>
  <r>
    <n v="553"/>
    <n v="15763063"/>
    <s v="Price"/>
    <s v="Spain"/>
    <s v="Female"/>
    <n v="685"/>
    <n v="25"/>
    <x v="7"/>
    <n v="128509.63"/>
    <x v="0"/>
    <x v="0"/>
    <x v="1"/>
    <n v="121562.33"/>
    <x v="1"/>
    <s v="Good"/>
    <s v="Young Adult"/>
    <x v="0"/>
    <x v="2"/>
  </r>
  <r>
    <n v="554"/>
    <n v="15709324"/>
    <s v="Bruce"/>
    <s v="France"/>
    <s v="Male"/>
    <n v="417"/>
    <n v="34"/>
    <x v="3"/>
    <n v="0"/>
    <x v="2"/>
    <x v="0"/>
    <x v="1"/>
    <n v="55003.79"/>
    <x v="1"/>
    <s v="Poor"/>
    <s v="Adult"/>
    <x v="2"/>
    <x v="0"/>
  </r>
  <r>
    <n v="555"/>
    <n v="15711309"/>
    <s v="Sumrall"/>
    <s v="Germany"/>
    <s v="Male"/>
    <n v="574"/>
    <n v="33"/>
    <x v="6"/>
    <n v="129834.67"/>
    <x v="0"/>
    <x v="0"/>
    <x v="1"/>
    <n v="193131.42"/>
    <x v="1"/>
    <s v="Poor"/>
    <s v="Adult"/>
    <x v="0"/>
    <x v="2"/>
  </r>
  <r>
    <n v="556"/>
    <n v="15775318"/>
    <s v="Lu"/>
    <s v="Spain"/>
    <s v="Female"/>
    <n v="590"/>
    <n v="51"/>
    <x v="6"/>
    <n v="154962.99"/>
    <x v="1"/>
    <x v="1"/>
    <x v="0"/>
    <n v="191932.27"/>
    <x v="0"/>
    <s v="Average"/>
    <s v="Adult"/>
    <x v="0"/>
    <x v="2"/>
  </r>
  <r>
    <n v="557"/>
    <n v="15705515"/>
    <s v="Lazarev"/>
    <s v="Germany"/>
    <s v="Male"/>
    <n v="587"/>
    <n v="40"/>
    <x v="8"/>
    <n v="138241.9"/>
    <x v="2"/>
    <x v="0"/>
    <x v="1"/>
    <n v="159418.1"/>
    <x v="1"/>
    <s v="Average"/>
    <s v="Adult"/>
    <x v="0"/>
    <x v="2"/>
  </r>
  <r>
    <n v="558"/>
    <n v="15634844"/>
    <s v="Miller"/>
    <s v="Germany"/>
    <s v="Male"/>
    <n v="598"/>
    <n v="41"/>
    <x v="6"/>
    <n v="91536.93"/>
    <x v="0"/>
    <x v="0"/>
    <x v="1"/>
    <n v="191468.78"/>
    <x v="0"/>
    <s v="Average"/>
    <s v="Adult"/>
    <x v="0"/>
    <x v="1"/>
  </r>
  <r>
    <n v="559"/>
    <n v="15717046"/>
    <s v="Wentworth-Shields"/>
    <s v="Spain"/>
    <s v="Male"/>
    <n v="741"/>
    <n v="53"/>
    <x v="6"/>
    <n v="0"/>
    <x v="2"/>
    <x v="0"/>
    <x v="0"/>
    <n v="38913.68"/>
    <x v="1"/>
    <s v="Good"/>
    <s v="Adult"/>
    <x v="2"/>
    <x v="0"/>
  </r>
  <r>
    <n v="560"/>
    <n v="15571816"/>
    <s v="Ritchie"/>
    <s v="Spain"/>
    <s v="Female"/>
    <n v="850"/>
    <n v="70"/>
    <x v="8"/>
    <n v="0"/>
    <x v="0"/>
    <x v="0"/>
    <x v="0"/>
    <n v="705.18"/>
    <x v="1"/>
    <s v="Good"/>
    <s v="Senior"/>
    <x v="1"/>
    <x v="0"/>
  </r>
  <r>
    <n v="561"/>
    <n v="15670080"/>
    <s v="Mackenzie"/>
    <s v="Germany"/>
    <s v="Female"/>
    <n v="584"/>
    <n v="29"/>
    <x v="3"/>
    <n v="105204.01"/>
    <x v="0"/>
    <x v="1"/>
    <x v="0"/>
    <n v="138490.03"/>
    <x v="1"/>
    <s v="Average"/>
    <s v="Young Adult"/>
    <x v="0"/>
    <x v="2"/>
  </r>
  <r>
    <n v="562"/>
    <n v="15800440"/>
    <s v="Power"/>
    <s v="Spain"/>
    <s v="Male"/>
    <n v="650"/>
    <n v="61"/>
    <x v="1"/>
    <n v="152968.73000000001"/>
    <x v="0"/>
    <x v="1"/>
    <x v="0"/>
    <n v="82970.69"/>
    <x v="1"/>
    <s v="Average"/>
    <s v="Senior"/>
    <x v="0"/>
    <x v="2"/>
  </r>
  <r>
    <n v="563"/>
    <n v="15665678"/>
    <s v="Tan"/>
    <s v="Spain"/>
    <s v="Male"/>
    <n v="607"/>
    <n v="36"/>
    <x v="2"/>
    <n v="158261.68"/>
    <x v="0"/>
    <x v="0"/>
    <x v="0"/>
    <n v="76744.72"/>
    <x v="1"/>
    <s v="Average"/>
    <s v="Adult"/>
    <x v="0"/>
    <x v="2"/>
  </r>
  <r>
    <n v="564"/>
    <n v="15665956"/>
    <s v="Pendergrass"/>
    <s v="France"/>
    <s v="Female"/>
    <n v="509"/>
    <n v="46"/>
    <x v="1"/>
    <n v="0"/>
    <x v="0"/>
    <x v="0"/>
    <x v="1"/>
    <n v="71244.59"/>
    <x v="0"/>
    <s v="Poor"/>
    <s v="Adult"/>
    <x v="0"/>
    <x v="0"/>
  </r>
  <r>
    <n v="565"/>
    <n v="15788126"/>
    <s v="Evans"/>
    <s v="Spain"/>
    <s v="Female"/>
    <n v="689"/>
    <n v="38"/>
    <x v="5"/>
    <n v="121021.05"/>
    <x v="0"/>
    <x v="0"/>
    <x v="0"/>
    <n v="12182.15"/>
    <x v="1"/>
    <s v="Good"/>
    <s v="Adult"/>
    <x v="1"/>
    <x v="2"/>
  </r>
  <r>
    <n v="566"/>
    <n v="15811773"/>
    <s v="Hsia"/>
    <s v="France"/>
    <s v="Male"/>
    <n v="543"/>
    <n v="36"/>
    <x v="4"/>
    <n v="0"/>
    <x v="2"/>
    <x v="0"/>
    <x v="0"/>
    <n v="141210.5"/>
    <x v="1"/>
    <s v="Poor"/>
    <s v="Adult"/>
    <x v="0"/>
    <x v="0"/>
  </r>
  <r>
    <n v="567"/>
    <n v="15651674"/>
    <s v="Billson"/>
    <s v="Spain"/>
    <s v="Female"/>
    <n v="438"/>
    <n v="54"/>
    <x v="0"/>
    <n v="0"/>
    <x v="0"/>
    <x v="1"/>
    <x v="1"/>
    <n v="191763.07"/>
    <x v="0"/>
    <s v="Poor"/>
    <s v="Adult"/>
    <x v="0"/>
    <x v="0"/>
  </r>
  <r>
    <n v="568"/>
    <n v="15689614"/>
    <s v="Teng"/>
    <s v="Spain"/>
    <s v="Female"/>
    <n v="687"/>
    <n v="63"/>
    <x v="1"/>
    <n v="137715.66"/>
    <x v="0"/>
    <x v="0"/>
    <x v="0"/>
    <n v="37938.74"/>
    <x v="1"/>
    <s v="Good"/>
    <s v="Senior"/>
    <x v="2"/>
    <x v="2"/>
  </r>
  <r>
    <n v="569"/>
    <n v="15795564"/>
    <s v="Moretti"/>
    <s v="Germany"/>
    <s v="Male"/>
    <n v="737"/>
    <n v="31"/>
    <x v="8"/>
    <n v="121192.22"/>
    <x v="2"/>
    <x v="0"/>
    <x v="0"/>
    <n v="74890.58"/>
    <x v="1"/>
    <s v="Good"/>
    <s v="Adult"/>
    <x v="0"/>
    <x v="2"/>
  </r>
  <r>
    <n v="570"/>
    <n v="15706647"/>
    <s v="Jordan"/>
    <s v="France"/>
    <s v="Male"/>
    <n v="761"/>
    <n v="31"/>
    <x v="3"/>
    <n v="0"/>
    <x v="1"/>
    <x v="0"/>
    <x v="0"/>
    <n v="166698.18"/>
    <x v="1"/>
    <s v="Good"/>
    <s v="Adult"/>
    <x v="0"/>
    <x v="0"/>
  </r>
  <r>
    <n v="571"/>
    <n v="15728505"/>
    <s v="Ts'ao"/>
    <s v="France"/>
    <s v="Male"/>
    <n v="601"/>
    <n v="44"/>
    <x v="1"/>
    <n v="100486.18"/>
    <x v="2"/>
    <x v="0"/>
    <x v="0"/>
    <n v="62678.53"/>
    <x v="1"/>
    <s v="Average"/>
    <s v="Adult"/>
    <x v="2"/>
    <x v="2"/>
  </r>
  <r>
    <n v="572"/>
    <n v="15730076"/>
    <s v="Osborne"/>
    <s v="France"/>
    <s v="Male"/>
    <n v="651"/>
    <n v="45"/>
    <x v="1"/>
    <n v="0"/>
    <x v="0"/>
    <x v="0"/>
    <x v="1"/>
    <n v="67740.08"/>
    <x v="0"/>
    <s v="Average"/>
    <s v="Adult"/>
    <x v="2"/>
    <x v="0"/>
  </r>
  <r>
    <n v="573"/>
    <n v="15622003"/>
    <s v="Carslaw"/>
    <s v="France"/>
    <s v="Male"/>
    <n v="745"/>
    <n v="35"/>
    <x v="9"/>
    <n v="92566.53"/>
    <x v="2"/>
    <x v="0"/>
    <x v="1"/>
    <n v="161519.76999999999"/>
    <x v="1"/>
    <s v="Good"/>
    <s v="Adult"/>
    <x v="0"/>
    <x v="1"/>
  </r>
  <r>
    <n v="574"/>
    <n v="15607312"/>
    <s v="Ch'ang"/>
    <s v="Spain"/>
    <s v="Female"/>
    <n v="648"/>
    <n v="49"/>
    <x v="7"/>
    <n v="0"/>
    <x v="2"/>
    <x v="0"/>
    <x v="0"/>
    <n v="159835.78"/>
    <x v="0"/>
    <s v="Average"/>
    <s v="Adult"/>
    <x v="0"/>
    <x v="0"/>
  </r>
  <r>
    <n v="575"/>
    <n v="15644753"/>
    <s v="Hung"/>
    <s v="Spain"/>
    <s v="Male"/>
    <n v="848"/>
    <n v="40"/>
    <x v="6"/>
    <n v="110929.96"/>
    <x v="0"/>
    <x v="0"/>
    <x v="0"/>
    <n v="30876.84"/>
    <x v="1"/>
    <s v="Good"/>
    <s v="Adult"/>
    <x v="2"/>
    <x v="2"/>
  </r>
  <r>
    <n v="576"/>
    <n v="15653620"/>
    <s v="Gordon"/>
    <s v="France"/>
    <s v="Female"/>
    <n v="546"/>
    <n v="27"/>
    <x v="2"/>
    <n v="0"/>
    <x v="2"/>
    <x v="0"/>
    <x v="0"/>
    <n v="14858.1"/>
    <x v="1"/>
    <s v="Poor"/>
    <s v="Young Adult"/>
    <x v="1"/>
    <x v="0"/>
  </r>
  <r>
    <n v="577"/>
    <n v="15761986"/>
    <s v="Obialo"/>
    <s v="Spain"/>
    <s v="Female"/>
    <n v="439"/>
    <n v="32"/>
    <x v="6"/>
    <n v="138901.60999999999"/>
    <x v="0"/>
    <x v="0"/>
    <x v="1"/>
    <n v="75685.97"/>
    <x v="1"/>
    <s v="Poor"/>
    <s v="Adult"/>
    <x v="0"/>
    <x v="2"/>
  </r>
  <r>
    <n v="578"/>
    <n v="15633922"/>
    <s v="Gray"/>
    <s v="France"/>
    <s v="Male"/>
    <n v="755"/>
    <n v="30"/>
    <x v="4"/>
    <n v="123217.66"/>
    <x v="2"/>
    <x v="1"/>
    <x v="0"/>
    <n v="144183.1"/>
    <x v="1"/>
    <s v="Good"/>
    <s v="Young Adult"/>
    <x v="0"/>
    <x v="2"/>
  </r>
  <r>
    <n v="579"/>
    <n v="15734674"/>
    <s v="Lin"/>
    <s v="France"/>
    <s v="Female"/>
    <n v="593"/>
    <n v="41"/>
    <x v="5"/>
    <n v="0"/>
    <x v="0"/>
    <x v="0"/>
    <x v="1"/>
    <n v="65170.66"/>
    <x v="1"/>
    <s v="Average"/>
    <s v="Adult"/>
    <x v="2"/>
    <x v="0"/>
  </r>
  <r>
    <n v="580"/>
    <n v="15658032"/>
    <s v="Hopkins"/>
    <s v="France"/>
    <s v="Male"/>
    <n v="701"/>
    <n v="39"/>
    <x v="0"/>
    <n v="0"/>
    <x v="2"/>
    <x v="0"/>
    <x v="0"/>
    <n v="82526.92"/>
    <x v="1"/>
    <s v="Good"/>
    <s v="Adult"/>
    <x v="0"/>
    <x v="0"/>
  </r>
  <r>
    <n v="581"/>
    <n v="15692671"/>
    <s v="Dobson"/>
    <s v="Spain"/>
    <s v="Male"/>
    <n v="701"/>
    <n v="36"/>
    <x v="2"/>
    <n v="0"/>
    <x v="2"/>
    <x v="0"/>
    <x v="1"/>
    <n v="169161.46"/>
    <x v="1"/>
    <s v="Good"/>
    <s v="Adult"/>
    <x v="0"/>
    <x v="0"/>
  </r>
  <r>
    <n v="582"/>
    <n v="15737741"/>
    <s v="McKay"/>
    <s v="Spain"/>
    <s v="Female"/>
    <n v="607"/>
    <n v="33"/>
    <x v="0"/>
    <n v="108431.87"/>
    <x v="2"/>
    <x v="1"/>
    <x v="0"/>
    <n v="109291.39"/>
    <x v="0"/>
    <s v="Average"/>
    <s v="Adult"/>
    <x v="0"/>
    <x v="2"/>
  </r>
  <r>
    <n v="583"/>
    <n v="15576352"/>
    <s v="Revell"/>
    <s v="Spain"/>
    <s v="Female"/>
    <n v="586"/>
    <n v="57"/>
    <x v="6"/>
    <n v="0"/>
    <x v="2"/>
    <x v="1"/>
    <x v="0"/>
    <n v="6057.81"/>
    <x v="1"/>
    <s v="Average"/>
    <s v="Adult"/>
    <x v="1"/>
    <x v="0"/>
  </r>
  <r>
    <n v="584"/>
    <n v="15753719"/>
    <s v="Rickards"/>
    <s v="Germany"/>
    <s v="Female"/>
    <n v="547"/>
    <n v="30"/>
    <x v="9"/>
    <n v="72392.41"/>
    <x v="0"/>
    <x v="0"/>
    <x v="1"/>
    <n v="77077.14"/>
    <x v="1"/>
    <s v="Poor"/>
    <s v="Young Adult"/>
    <x v="0"/>
    <x v="1"/>
  </r>
  <r>
    <n v="585"/>
    <n v="15803689"/>
    <s v="Begum"/>
    <s v="Germany"/>
    <s v="Female"/>
    <n v="647"/>
    <n v="51"/>
    <x v="1"/>
    <n v="119741.77"/>
    <x v="2"/>
    <x v="1"/>
    <x v="1"/>
    <n v="54954.51"/>
    <x v="0"/>
    <s v="Average"/>
    <s v="Adult"/>
    <x v="2"/>
    <x v="2"/>
  </r>
  <r>
    <n v="586"/>
    <n v="15718057"/>
    <s v="Onyinyechukwuka"/>
    <s v="France"/>
    <s v="Female"/>
    <n v="760"/>
    <n v="51"/>
    <x v="0"/>
    <n v="100946.71"/>
    <x v="0"/>
    <x v="1"/>
    <x v="1"/>
    <n v="179614.8"/>
    <x v="0"/>
    <s v="Good"/>
    <s v="Adult"/>
    <x v="0"/>
    <x v="2"/>
  </r>
  <r>
    <n v="587"/>
    <n v="15722010"/>
    <s v="Zuyev"/>
    <s v="Spain"/>
    <s v="Male"/>
    <n v="621"/>
    <n v="53"/>
    <x v="9"/>
    <n v="170491.84"/>
    <x v="0"/>
    <x v="0"/>
    <x v="1"/>
    <n v="35588.07"/>
    <x v="0"/>
    <s v="Average"/>
    <s v="Adult"/>
    <x v="2"/>
    <x v="2"/>
  </r>
  <r>
    <n v="588"/>
    <n v="15680998"/>
    <s v="Nwankwo"/>
    <s v="France"/>
    <s v="Male"/>
    <n v="725"/>
    <n v="44"/>
    <x v="8"/>
    <n v="0"/>
    <x v="0"/>
    <x v="0"/>
    <x v="0"/>
    <n v="117356.14"/>
    <x v="1"/>
    <s v="Good"/>
    <s v="Adult"/>
    <x v="0"/>
    <x v="0"/>
  </r>
  <r>
    <n v="589"/>
    <n v="15614782"/>
    <s v="Hao"/>
    <s v="France"/>
    <s v="Male"/>
    <n v="526"/>
    <n v="36"/>
    <x v="1"/>
    <n v="0"/>
    <x v="0"/>
    <x v="0"/>
    <x v="1"/>
    <n v="160696.72"/>
    <x v="1"/>
    <s v="Poor"/>
    <s v="Adult"/>
    <x v="0"/>
    <x v="0"/>
  </r>
  <r>
    <n v="590"/>
    <n v="15591047"/>
    <s v="Ma"/>
    <s v="Spain"/>
    <s v="Female"/>
    <n v="519"/>
    <n v="47"/>
    <x v="5"/>
    <n v="157296.01999999999"/>
    <x v="2"/>
    <x v="1"/>
    <x v="1"/>
    <n v="147278.43"/>
    <x v="0"/>
    <s v="Poor"/>
    <s v="Adult"/>
    <x v="0"/>
    <x v="2"/>
  </r>
  <r>
    <n v="591"/>
    <n v="15788291"/>
    <s v="Okwuadigbo"/>
    <s v="Germany"/>
    <s v="Female"/>
    <n v="713"/>
    <n v="38"/>
    <x v="3"/>
    <n v="144606.22"/>
    <x v="0"/>
    <x v="0"/>
    <x v="0"/>
    <n v="56594.36"/>
    <x v="0"/>
    <s v="Good"/>
    <s v="Adult"/>
    <x v="2"/>
    <x v="2"/>
  </r>
  <r>
    <n v="592"/>
    <n v="15604044"/>
    <s v="Mitchell"/>
    <s v="France"/>
    <s v="Male"/>
    <n v="700"/>
    <n v="38"/>
    <x v="2"/>
    <n v="134811.29999999999"/>
    <x v="0"/>
    <x v="0"/>
    <x v="1"/>
    <n v="1299.75"/>
    <x v="1"/>
    <s v="Good"/>
    <s v="Adult"/>
    <x v="1"/>
    <x v="2"/>
  </r>
  <r>
    <n v="593"/>
    <n v="15679587"/>
    <s v="Chan"/>
    <s v="France"/>
    <s v="Female"/>
    <n v="666"/>
    <n v="34"/>
    <x v="9"/>
    <n v="115897.12"/>
    <x v="0"/>
    <x v="0"/>
    <x v="0"/>
    <n v="25095.03"/>
    <x v="1"/>
    <s v="Average"/>
    <s v="Adult"/>
    <x v="1"/>
    <x v="2"/>
  </r>
  <r>
    <n v="594"/>
    <n v="15775153"/>
    <s v="Buchi"/>
    <s v="Spain"/>
    <s v="Male"/>
    <n v="630"/>
    <n v="32"/>
    <x v="4"/>
    <n v="82034"/>
    <x v="0"/>
    <x v="1"/>
    <x v="1"/>
    <n v="146326.45000000001"/>
    <x v="1"/>
    <s v="Average"/>
    <s v="Adult"/>
    <x v="0"/>
    <x v="1"/>
  </r>
  <r>
    <n v="595"/>
    <n v="15603925"/>
    <s v="Greco"/>
    <s v="Spain"/>
    <s v="Female"/>
    <n v="779"/>
    <n v="26"/>
    <x v="4"/>
    <n v="174318.13"/>
    <x v="2"/>
    <x v="1"/>
    <x v="0"/>
    <n v="38296.21"/>
    <x v="1"/>
    <s v="Good"/>
    <s v="Young Adult"/>
    <x v="2"/>
    <x v="2"/>
  </r>
  <r>
    <n v="596"/>
    <n v="15680970"/>
    <s v="Lombardi"/>
    <s v="Germany"/>
    <s v="Female"/>
    <n v="611"/>
    <n v="41"/>
    <x v="0"/>
    <n v="114206.84"/>
    <x v="0"/>
    <x v="0"/>
    <x v="1"/>
    <n v="164061.6"/>
    <x v="1"/>
    <s v="Average"/>
    <s v="Adult"/>
    <x v="0"/>
    <x v="2"/>
  </r>
  <r>
    <n v="597"/>
    <n v="15697183"/>
    <s v="Uchenna"/>
    <s v="Spain"/>
    <s v="Male"/>
    <n v="685"/>
    <n v="43"/>
    <x v="9"/>
    <n v="0"/>
    <x v="2"/>
    <x v="0"/>
    <x v="1"/>
    <n v="107811.28"/>
    <x v="1"/>
    <s v="Good"/>
    <s v="Adult"/>
    <x v="0"/>
    <x v="0"/>
  </r>
  <r>
    <n v="598"/>
    <n v="15567446"/>
    <s v="Coffman"/>
    <s v="Germany"/>
    <s v="Male"/>
    <n v="646"/>
    <n v="39"/>
    <x v="9"/>
    <n v="111574.41"/>
    <x v="0"/>
    <x v="0"/>
    <x v="0"/>
    <n v="30838.51"/>
    <x v="1"/>
    <s v="Average"/>
    <s v="Adult"/>
    <x v="2"/>
    <x v="2"/>
  </r>
  <r>
    <n v="599"/>
    <n v="15637476"/>
    <s v="Alexandrova"/>
    <s v="Germany"/>
    <s v="Female"/>
    <n v="683"/>
    <n v="57"/>
    <x v="8"/>
    <n v="162448.69"/>
    <x v="0"/>
    <x v="1"/>
    <x v="1"/>
    <n v="9221.7800000000007"/>
    <x v="0"/>
    <s v="Good"/>
    <s v="Adult"/>
    <x v="1"/>
    <x v="2"/>
  </r>
  <r>
    <n v="600"/>
    <n v="15714939"/>
    <s v="Fallaci"/>
    <s v="Germany"/>
    <s v="Female"/>
    <n v="484"/>
    <n v="34"/>
    <x v="4"/>
    <n v="148249.54"/>
    <x v="0"/>
    <x v="1"/>
    <x v="0"/>
    <n v="33738.269999999997"/>
    <x v="1"/>
    <s v="Poor"/>
    <s v="Adult"/>
    <x v="2"/>
    <x v="2"/>
  </r>
  <r>
    <n v="601"/>
    <n v="15683503"/>
    <s v="Hudson"/>
    <s v="France"/>
    <s v="Female"/>
    <n v="601"/>
    <n v="43"/>
    <x v="2"/>
    <n v="0"/>
    <x v="1"/>
    <x v="1"/>
    <x v="0"/>
    <n v="110916.15"/>
    <x v="0"/>
    <s v="Average"/>
    <s v="Adult"/>
    <x v="0"/>
    <x v="0"/>
  </r>
  <r>
    <n v="602"/>
    <n v="15645569"/>
    <s v="Mai"/>
    <s v="Spain"/>
    <s v="Female"/>
    <n v="762"/>
    <n v="26"/>
    <x v="3"/>
    <n v="123709.46"/>
    <x v="2"/>
    <x v="0"/>
    <x v="0"/>
    <n v="169654.57"/>
    <x v="1"/>
    <s v="Good"/>
    <s v="Young Adult"/>
    <x v="0"/>
    <x v="2"/>
  </r>
  <r>
    <n v="603"/>
    <n v="15782569"/>
    <s v="Stout"/>
    <s v="France"/>
    <s v="Female"/>
    <n v="687"/>
    <n v="72"/>
    <x v="9"/>
    <n v="0"/>
    <x v="0"/>
    <x v="1"/>
    <x v="0"/>
    <n v="69829.399999999994"/>
    <x v="1"/>
    <s v="Good"/>
    <s v="Senior"/>
    <x v="2"/>
    <x v="0"/>
  </r>
  <r>
    <n v="604"/>
    <n v="15592387"/>
    <s v="Burke"/>
    <s v="France"/>
    <s v="Male"/>
    <n v="566"/>
    <n v="30"/>
    <x v="8"/>
    <n v="0"/>
    <x v="0"/>
    <x v="0"/>
    <x v="1"/>
    <n v="54926.51"/>
    <x v="0"/>
    <s v="Poor"/>
    <s v="Young Adult"/>
    <x v="2"/>
    <x v="0"/>
  </r>
  <r>
    <n v="605"/>
    <n v="15609286"/>
    <s v="Chadwick"/>
    <s v="France"/>
    <s v="Male"/>
    <n v="702"/>
    <n v="37"/>
    <x v="7"/>
    <n v="150525.79999999999"/>
    <x v="0"/>
    <x v="0"/>
    <x v="0"/>
    <n v="94728.49"/>
    <x v="1"/>
    <s v="Good"/>
    <s v="Adult"/>
    <x v="0"/>
    <x v="2"/>
  </r>
  <r>
    <n v="606"/>
    <n v="15814035"/>
    <s v="Lawrence"/>
    <s v="France"/>
    <s v="Male"/>
    <n v="601"/>
    <n v="29"/>
    <x v="9"/>
    <n v="0"/>
    <x v="0"/>
    <x v="0"/>
    <x v="0"/>
    <n v="80393.27"/>
    <x v="1"/>
    <s v="Average"/>
    <s v="Young Adult"/>
    <x v="0"/>
    <x v="0"/>
  </r>
  <r>
    <n v="607"/>
    <n v="15661249"/>
    <s v="Bellucci"/>
    <s v="France"/>
    <s v="Male"/>
    <n v="699"/>
    <n v="53"/>
    <x v="4"/>
    <n v="0"/>
    <x v="2"/>
    <x v="1"/>
    <x v="0"/>
    <n v="111307.98"/>
    <x v="1"/>
    <s v="Good"/>
    <s v="Adult"/>
    <x v="0"/>
    <x v="0"/>
  </r>
  <r>
    <n v="608"/>
    <n v="15629117"/>
    <s v="Harper"/>
    <s v="France"/>
    <s v="Male"/>
    <n v="584"/>
    <n v="28"/>
    <x v="7"/>
    <n v="0"/>
    <x v="2"/>
    <x v="0"/>
    <x v="1"/>
    <n v="19834.32"/>
    <x v="1"/>
    <s v="Average"/>
    <s v="Young Adult"/>
    <x v="1"/>
    <x v="0"/>
  </r>
  <r>
    <n v="609"/>
    <n v="15607170"/>
    <s v="Boyle"/>
    <s v="France"/>
    <s v="Male"/>
    <n v="699"/>
    <n v="35"/>
    <x v="8"/>
    <n v="0"/>
    <x v="2"/>
    <x v="0"/>
    <x v="0"/>
    <n v="78397.240000000005"/>
    <x v="1"/>
    <s v="Good"/>
    <s v="Adult"/>
    <x v="0"/>
    <x v="0"/>
  </r>
  <r>
    <n v="610"/>
    <n v="15586585"/>
    <s v="Duncan"/>
    <s v="Germany"/>
    <s v="Female"/>
    <n v="698"/>
    <n v="51"/>
    <x v="0"/>
    <n v="111018.98"/>
    <x v="0"/>
    <x v="0"/>
    <x v="1"/>
    <n v="86410.28"/>
    <x v="1"/>
    <s v="Good"/>
    <s v="Adult"/>
    <x v="0"/>
    <x v="2"/>
  </r>
  <r>
    <n v="611"/>
    <n v="15686611"/>
    <s v="Moss"/>
    <s v="France"/>
    <s v="Male"/>
    <n v="495"/>
    <n v="30"/>
    <x v="7"/>
    <n v="129755.99"/>
    <x v="0"/>
    <x v="1"/>
    <x v="1"/>
    <n v="172749.65"/>
    <x v="1"/>
    <s v="Poor"/>
    <s v="Young Adult"/>
    <x v="0"/>
    <x v="2"/>
  </r>
  <r>
    <n v="612"/>
    <n v="15603203"/>
    <s v="Avdeyeva"/>
    <s v="France"/>
    <s v="Female"/>
    <n v="650"/>
    <n v="27"/>
    <x v="5"/>
    <n v="0"/>
    <x v="2"/>
    <x v="0"/>
    <x v="1"/>
    <n v="1002.39"/>
    <x v="1"/>
    <s v="Average"/>
    <s v="Young Adult"/>
    <x v="1"/>
    <x v="0"/>
  </r>
  <r>
    <n v="613"/>
    <n v="15619857"/>
    <s v="Crawford"/>
    <s v="France"/>
    <s v="Female"/>
    <n v="605"/>
    <n v="64"/>
    <x v="0"/>
    <n v="129555.7"/>
    <x v="0"/>
    <x v="0"/>
    <x v="0"/>
    <n v="13601.79"/>
    <x v="1"/>
    <s v="Average"/>
    <s v="Senior"/>
    <x v="1"/>
    <x v="2"/>
  </r>
  <r>
    <n v="614"/>
    <n v="15805062"/>
    <s v="Lynton"/>
    <s v="Spain"/>
    <s v="Male"/>
    <n v="667"/>
    <n v="38"/>
    <x v="1"/>
    <n v="87202.38"/>
    <x v="0"/>
    <x v="0"/>
    <x v="0"/>
    <n v="77866.91"/>
    <x v="1"/>
    <s v="Average"/>
    <s v="Adult"/>
    <x v="0"/>
    <x v="1"/>
  </r>
  <r>
    <n v="615"/>
    <n v="15660271"/>
    <s v="Duncan"/>
    <s v="Germany"/>
    <s v="Male"/>
    <n v="688"/>
    <n v="26"/>
    <x v="2"/>
    <n v="146133.39000000001"/>
    <x v="0"/>
    <x v="0"/>
    <x v="0"/>
    <n v="175296.76"/>
    <x v="1"/>
    <s v="Good"/>
    <s v="Young Adult"/>
    <x v="0"/>
    <x v="2"/>
  </r>
  <r>
    <n v="616"/>
    <n v="15745295"/>
    <s v="Gether"/>
    <s v="Spain"/>
    <s v="Female"/>
    <n v="727"/>
    <n v="31"/>
    <x v="10"/>
    <n v="0"/>
    <x v="0"/>
    <x v="0"/>
    <x v="1"/>
    <n v="121751.03999999999"/>
    <x v="0"/>
    <s v="Good"/>
    <s v="Adult"/>
    <x v="0"/>
    <x v="0"/>
  </r>
  <r>
    <n v="617"/>
    <n v="15719352"/>
    <s v="Davidson"/>
    <s v="Spain"/>
    <s v="Male"/>
    <n v="754"/>
    <n v="39"/>
    <x v="5"/>
    <n v="170184.99"/>
    <x v="2"/>
    <x v="0"/>
    <x v="1"/>
    <n v="89593.26"/>
    <x v="1"/>
    <s v="Good"/>
    <s v="Adult"/>
    <x v="0"/>
    <x v="2"/>
  </r>
  <r>
    <n v="618"/>
    <n v="15766575"/>
    <s v="Larionova"/>
    <s v="Germany"/>
    <s v="Female"/>
    <n v="612"/>
    <n v="62"/>
    <x v="2"/>
    <n v="140745.32999999999"/>
    <x v="0"/>
    <x v="0"/>
    <x v="1"/>
    <n v="193437.89"/>
    <x v="0"/>
    <s v="Average"/>
    <s v="Senior"/>
    <x v="0"/>
    <x v="2"/>
  </r>
  <r>
    <n v="619"/>
    <n v="15594594"/>
    <s v="Loggia"/>
    <s v="Spain"/>
    <s v="Male"/>
    <n v="546"/>
    <n v="42"/>
    <x v="3"/>
    <n v="139070.51"/>
    <x v="0"/>
    <x v="0"/>
    <x v="0"/>
    <n v="86945"/>
    <x v="1"/>
    <s v="Poor"/>
    <s v="Adult"/>
    <x v="0"/>
    <x v="2"/>
  </r>
  <r>
    <n v="620"/>
    <n v="15646161"/>
    <s v="Steinhoff"/>
    <s v="Spain"/>
    <s v="Female"/>
    <n v="673"/>
    <n v="37"/>
    <x v="2"/>
    <n v="0"/>
    <x v="2"/>
    <x v="0"/>
    <x v="0"/>
    <n v="183318.79"/>
    <x v="1"/>
    <s v="Good"/>
    <s v="Adult"/>
    <x v="0"/>
    <x v="0"/>
  </r>
  <r>
    <n v="621"/>
    <n v="15682585"/>
    <s v="Guerra"/>
    <s v="France"/>
    <s v="Male"/>
    <n v="593"/>
    <n v="35"/>
    <x v="9"/>
    <n v="114193.24"/>
    <x v="0"/>
    <x v="0"/>
    <x v="1"/>
    <n v="71154.100000000006"/>
    <x v="1"/>
    <s v="Average"/>
    <s v="Adult"/>
    <x v="0"/>
    <x v="2"/>
  </r>
  <r>
    <n v="622"/>
    <n v="15603134"/>
    <s v="Pai"/>
    <s v="Spain"/>
    <s v="Female"/>
    <n v="656"/>
    <n v="40"/>
    <x v="7"/>
    <n v="167878.5"/>
    <x v="0"/>
    <x v="1"/>
    <x v="0"/>
    <n v="151887.16"/>
    <x v="1"/>
    <s v="Average"/>
    <s v="Adult"/>
    <x v="0"/>
    <x v="2"/>
  </r>
  <r>
    <n v="623"/>
    <n v="15636444"/>
    <s v="Craig"/>
    <s v="Germany"/>
    <s v="Female"/>
    <n v="535"/>
    <n v="53"/>
    <x v="8"/>
    <n v="141616.54999999999"/>
    <x v="2"/>
    <x v="0"/>
    <x v="0"/>
    <n v="75888.649999999994"/>
    <x v="1"/>
    <s v="Poor"/>
    <s v="Adult"/>
    <x v="0"/>
    <x v="2"/>
  </r>
  <r>
    <n v="624"/>
    <n v="15773456"/>
    <s v="Lazareva"/>
    <s v="Germany"/>
    <s v="Male"/>
    <n v="678"/>
    <n v="36"/>
    <x v="6"/>
    <n v="145747.67000000001"/>
    <x v="2"/>
    <x v="1"/>
    <x v="0"/>
    <n v="89566.74"/>
    <x v="1"/>
    <s v="Good"/>
    <s v="Adult"/>
    <x v="0"/>
    <x v="2"/>
  </r>
  <r>
    <n v="625"/>
    <n v="15745307"/>
    <s v="Ch'iu"/>
    <s v="Spain"/>
    <s v="Female"/>
    <n v="477"/>
    <n v="37"/>
    <x v="0"/>
    <n v="129120.64"/>
    <x v="0"/>
    <x v="1"/>
    <x v="0"/>
    <n v="26475.79"/>
    <x v="1"/>
    <s v="Poor"/>
    <s v="Adult"/>
    <x v="1"/>
    <x v="2"/>
  </r>
  <r>
    <n v="626"/>
    <n v="15604119"/>
    <s v="Alderete"/>
    <s v="Spain"/>
    <s v="Male"/>
    <n v="850"/>
    <n v="35"/>
    <x v="3"/>
    <n v="110349.82"/>
    <x v="0"/>
    <x v="1"/>
    <x v="1"/>
    <n v="126355.8"/>
    <x v="1"/>
    <s v="Good"/>
    <s v="Adult"/>
    <x v="0"/>
    <x v="2"/>
  </r>
  <r>
    <n v="627"/>
    <n v="15626900"/>
    <s v="Kung"/>
    <s v="France"/>
    <s v="Male"/>
    <n v="427"/>
    <n v="29"/>
    <x v="1"/>
    <n v="141325.56"/>
    <x v="0"/>
    <x v="0"/>
    <x v="0"/>
    <n v="93839.3"/>
    <x v="1"/>
    <s v="Poor"/>
    <s v="Young Adult"/>
    <x v="0"/>
    <x v="2"/>
  </r>
  <r>
    <n v="628"/>
    <n v="15605447"/>
    <s v="Palermo"/>
    <s v="France"/>
    <s v="Male"/>
    <n v="752"/>
    <n v="49"/>
    <x v="0"/>
    <n v="78653.84"/>
    <x v="0"/>
    <x v="0"/>
    <x v="1"/>
    <n v="7698.6"/>
    <x v="1"/>
    <s v="Good"/>
    <s v="Adult"/>
    <x v="1"/>
    <x v="1"/>
  </r>
  <r>
    <n v="629"/>
    <n v="15589030"/>
    <s v="Ts'ai"/>
    <s v="France"/>
    <s v="Male"/>
    <n v="649"/>
    <n v="47"/>
    <x v="1"/>
    <n v="0"/>
    <x v="2"/>
    <x v="0"/>
    <x v="0"/>
    <n v="145593.85"/>
    <x v="1"/>
    <s v="Average"/>
    <s v="Adult"/>
    <x v="0"/>
    <x v="0"/>
  </r>
  <r>
    <n v="630"/>
    <n v="15692463"/>
    <s v="Rahman"/>
    <s v="Spain"/>
    <s v="Female"/>
    <n v="799"/>
    <n v="37"/>
    <x v="6"/>
    <n v="142253.65"/>
    <x v="0"/>
    <x v="0"/>
    <x v="1"/>
    <n v="45042.559999999998"/>
    <x v="1"/>
    <s v="Good"/>
    <s v="Adult"/>
    <x v="2"/>
    <x v="2"/>
  </r>
  <r>
    <n v="631"/>
    <n v="15712403"/>
    <s v="McMillan"/>
    <s v="France"/>
    <s v="Female"/>
    <n v="589"/>
    <n v="61"/>
    <x v="1"/>
    <n v="0"/>
    <x v="0"/>
    <x v="0"/>
    <x v="1"/>
    <n v="61108.56"/>
    <x v="0"/>
    <s v="Average"/>
    <s v="Senior"/>
    <x v="2"/>
    <x v="0"/>
  </r>
  <r>
    <n v="632"/>
    <n v="15811762"/>
    <s v="Pickering"/>
    <s v="Germany"/>
    <s v="Female"/>
    <n v="583"/>
    <n v="54"/>
    <x v="5"/>
    <n v="115988.86"/>
    <x v="0"/>
    <x v="0"/>
    <x v="1"/>
    <n v="57553.98"/>
    <x v="0"/>
    <s v="Average"/>
    <s v="Adult"/>
    <x v="2"/>
    <x v="2"/>
  </r>
  <r>
    <n v="633"/>
    <n v="15718673"/>
    <s v="Mirams"/>
    <s v="Spain"/>
    <s v="Female"/>
    <n v="839"/>
    <n v="37"/>
    <x v="7"/>
    <n v="75592.429999999993"/>
    <x v="0"/>
    <x v="0"/>
    <x v="1"/>
    <n v="62674.42"/>
    <x v="1"/>
    <s v="Good"/>
    <s v="Adult"/>
    <x v="2"/>
    <x v="1"/>
  </r>
  <r>
    <n v="634"/>
    <n v="15724282"/>
    <s v="Tsao"/>
    <s v="Germany"/>
    <s v="Male"/>
    <n v="540"/>
    <n v="44"/>
    <x v="6"/>
    <n v="164113.04"/>
    <x v="2"/>
    <x v="0"/>
    <x v="0"/>
    <n v="12120.79"/>
    <x v="1"/>
    <s v="Poor"/>
    <s v="Adult"/>
    <x v="1"/>
    <x v="2"/>
  </r>
  <r>
    <n v="635"/>
    <n v="15738181"/>
    <s v="Douglas"/>
    <s v="France"/>
    <s v="Male"/>
    <n v="850"/>
    <n v="31"/>
    <x v="5"/>
    <n v="67996.23"/>
    <x v="2"/>
    <x v="1"/>
    <x v="1"/>
    <n v="50129.87"/>
    <x v="0"/>
    <s v="Good"/>
    <s v="Adult"/>
    <x v="2"/>
    <x v="1"/>
  </r>
  <r>
    <n v="636"/>
    <n v="15633648"/>
    <s v="Jideofor"/>
    <s v="Spain"/>
    <s v="Female"/>
    <n v="696"/>
    <n v="37"/>
    <x v="8"/>
    <n v="0"/>
    <x v="2"/>
    <x v="0"/>
    <x v="1"/>
    <n v="55022.43"/>
    <x v="1"/>
    <s v="Good"/>
    <s v="Adult"/>
    <x v="2"/>
    <x v="0"/>
  </r>
  <r>
    <n v="637"/>
    <n v="15603323"/>
    <s v="Bell"/>
    <s v="Spain"/>
    <s v="Female"/>
    <n v="660"/>
    <n v="37"/>
    <x v="1"/>
    <n v="0"/>
    <x v="2"/>
    <x v="1"/>
    <x v="1"/>
    <n v="117834.91"/>
    <x v="1"/>
    <s v="Average"/>
    <s v="Adult"/>
    <x v="0"/>
    <x v="0"/>
  </r>
  <r>
    <n v="638"/>
    <n v="15583725"/>
    <s v="Mairinger"/>
    <s v="France"/>
    <s v="Male"/>
    <n v="682"/>
    <n v="48"/>
    <x v="1"/>
    <n v="138778.15"/>
    <x v="0"/>
    <x v="1"/>
    <x v="0"/>
    <n v="168840.23"/>
    <x v="1"/>
    <s v="Good"/>
    <s v="Adult"/>
    <x v="0"/>
    <x v="2"/>
  </r>
  <r>
    <n v="639"/>
    <n v="15588350"/>
    <s v="McIntyre"/>
    <s v="France"/>
    <s v="Female"/>
    <n v="744"/>
    <n v="43"/>
    <x v="7"/>
    <n v="147832.15"/>
    <x v="0"/>
    <x v="1"/>
    <x v="0"/>
    <n v="24234.11"/>
    <x v="1"/>
    <s v="Good"/>
    <s v="Adult"/>
    <x v="1"/>
    <x v="2"/>
  </r>
  <r>
    <n v="640"/>
    <n v="15798398"/>
    <s v="Pagnotto"/>
    <s v="France"/>
    <s v="Female"/>
    <n v="785"/>
    <n v="36"/>
    <x v="4"/>
    <n v="135438.39999999999"/>
    <x v="0"/>
    <x v="1"/>
    <x v="1"/>
    <n v="190627.01"/>
    <x v="1"/>
    <s v="Good"/>
    <s v="Adult"/>
    <x v="0"/>
    <x v="2"/>
  </r>
  <r>
    <n v="641"/>
    <n v="15784844"/>
    <s v="K'ung"/>
    <s v="Spain"/>
    <s v="Male"/>
    <n v="752"/>
    <n v="48"/>
    <x v="8"/>
    <n v="116060.08"/>
    <x v="0"/>
    <x v="0"/>
    <x v="1"/>
    <n v="156618.38"/>
    <x v="0"/>
    <s v="Good"/>
    <s v="Adult"/>
    <x v="0"/>
    <x v="2"/>
  </r>
  <r>
    <n v="642"/>
    <n v="15580684"/>
    <s v="Feng"/>
    <s v="France"/>
    <s v="Female"/>
    <n v="706"/>
    <n v="29"/>
    <x v="8"/>
    <n v="112564.62"/>
    <x v="0"/>
    <x v="0"/>
    <x v="1"/>
    <n v="42334.38"/>
    <x v="1"/>
    <s v="Good"/>
    <s v="Young Adult"/>
    <x v="2"/>
    <x v="2"/>
  </r>
  <r>
    <n v="643"/>
    <n v="15809663"/>
    <s v="Donaldson"/>
    <s v="France"/>
    <s v="Female"/>
    <n v="583"/>
    <n v="27"/>
    <x v="1"/>
    <n v="125406.58"/>
    <x v="0"/>
    <x v="0"/>
    <x v="0"/>
    <n v="110784.42"/>
    <x v="1"/>
    <s v="Average"/>
    <s v="Young Adult"/>
    <x v="0"/>
    <x v="2"/>
  </r>
  <r>
    <n v="644"/>
    <n v="15640078"/>
    <s v="Chambers"/>
    <s v="Germany"/>
    <s v="Female"/>
    <n v="660"/>
    <n v="39"/>
    <x v="8"/>
    <n v="135134.99"/>
    <x v="0"/>
    <x v="0"/>
    <x v="1"/>
    <n v="173683"/>
    <x v="0"/>
    <s v="Average"/>
    <s v="Adult"/>
    <x v="0"/>
    <x v="2"/>
  </r>
  <r>
    <n v="645"/>
    <n v="15698786"/>
    <s v="Marcelo"/>
    <s v="France"/>
    <s v="Female"/>
    <n v="819"/>
    <n v="39"/>
    <x v="9"/>
    <n v="133102.92000000001"/>
    <x v="0"/>
    <x v="0"/>
    <x v="1"/>
    <n v="27046.46"/>
    <x v="0"/>
    <s v="Good"/>
    <s v="Adult"/>
    <x v="1"/>
    <x v="2"/>
  </r>
  <r>
    <n v="646"/>
    <n v="15569807"/>
    <s v="Ejimofor"/>
    <s v="France"/>
    <s v="Female"/>
    <n v="673"/>
    <n v="34"/>
    <x v="2"/>
    <n v="42157.08"/>
    <x v="0"/>
    <x v="0"/>
    <x v="1"/>
    <n v="20598.59"/>
    <x v="0"/>
    <s v="Good"/>
    <s v="Adult"/>
    <x v="1"/>
    <x v="0"/>
  </r>
  <r>
    <n v="647"/>
    <n v="15730830"/>
    <s v="Dale"/>
    <s v="France"/>
    <s v="Female"/>
    <n v="752"/>
    <n v="30"/>
    <x v="6"/>
    <n v="0"/>
    <x v="2"/>
    <x v="0"/>
    <x v="0"/>
    <n v="104991.28"/>
    <x v="1"/>
    <s v="Good"/>
    <s v="Young Adult"/>
    <x v="0"/>
    <x v="0"/>
  </r>
  <r>
    <n v="648"/>
    <n v="15805112"/>
    <s v="Pokrovsky"/>
    <s v="France"/>
    <s v="Male"/>
    <n v="578"/>
    <n v="38"/>
    <x v="3"/>
    <n v="82259.289999999994"/>
    <x v="0"/>
    <x v="0"/>
    <x v="1"/>
    <n v="8996.9699999999993"/>
    <x v="1"/>
    <s v="Poor"/>
    <s v="Adult"/>
    <x v="1"/>
    <x v="1"/>
  </r>
  <r>
    <n v="649"/>
    <n v="15633064"/>
    <s v="Stonebraker"/>
    <s v="France"/>
    <s v="Female"/>
    <n v="438"/>
    <n v="36"/>
    <x v="4"/>
    <n v="0"/>
    <x v="2"/>
    <x v="0"/>
    <x v="1"/>
    <n v="64420.5"/>
    <x v="1"/>
    <s v="Poor"/>
    <s v="Adult"/>
    <x v="2"/>
    <x v="0"/>
  </r>
  <r>
    <n v="650"/>
    <n v="15703119"/>
    <s v="Liang"/>
    <s v="France"/>
    <s v="Male"/>
    <n v="652"/>
    <n v="38"/>
    <x v="5"/>
    <n v="0"/>
    <x v="2"/>
    <x v="0"/>
    <x v="0"/>
    <n v="145700.22"/>
    <x v="1"/>
    <s v="Average"/>
    <s v="Adult"/>
    <x v="0"/>
    <x v="0"/>
  </r>
  <r>
    <n v="651"/>
    <n v="15730447"/>
    <s v="Anderson"/>
    <s v="France"/>
    <s v="Female"/>
    <n v="629"/>
    <n v="49"/>
    <x v="4"/>
    <n v="0"/>
    <x v="2"/>
    <x v="0"/>
    <x v="0"/>
    <n v="196335.48"/>
    <x v="1"/>
    <s v="Average"/>
    <s v="Adult"/>
    <x v="0"/>
    <x v="0"/>
  </r>
  <r>
    <n v="652"/>
    <n v="15813850"/>
    <s v="Christian"/>
    <s v="France"/>
    <s v="Male"/>
    <n v="720"/>
    <n v="52"/>
    <x v="3"/>
    <n v="0"/>
    <x v="0"/>
    <x v="0"/>
    <x v="0"/>
    <n v="14781.12"/>
    <x v="1"/>
    <s v="Good"/>
    <s v="Adult"/>
    <x v="1"/>
    <x v="0"/>
  </r>
  <r>
    <n v="653"/>
    <n v="15711889"/>
    <s v="Mao"/>
    <s v="France"/>
    <s v="Male"/>
    <n v="668"/>
    <n v="42"/>
    <x v="6"/>
    <n v="150461.07"/>
    <x v="0"/>
    <x v="0"/>
    <x v="1"/>
    <n v="108139.23"/>
    <x v="1"/>
    <s v="Average"/>
    <s v="Adult"/>
    <x v="0"/>
    <x v="2"/>
  </r>
  <r>
    <n v="654"/>
    <n v="15664610"/>
    <s v="Campbell"/>
    <s v="Germany"/>
    <s v="Male"/>
    <n v="459"/>
    <n v="48"/>
    <x v="4"/>
    <n v="133994.51999999999"/>
    <x v="0"/>
    <x v="0"/>
    <x v="0"/>
    <n v="19287.060000000001"/>
    <x v="0"/>
    <s v="Poor"/>
    <s v="Adult"/>
    <x v="1"/>
    <x v="2"/>
  </r>
  <r>
    <n v="655"/>
    <n v="15751710"/>
    <s v="Ginikanwa"/>
    <s v="Spain"/>
    <s v="Male"/>
    <n v="729"/>
    <n v="31"/>
    <x v="2"/>
    <n v="164870.81"/>
    <x v="2"/>
    <x v="0"/>
    <x v="0"/>
    <n v="9567.39"/>
    <x v="1"/>
    <s v="Good"/>
    <s v="Adult"/>
    <x v="1"/>
    <x v="2"/>
  </r>
  <r>
    <n v="656"/>
    <n v="15692926"/>
    <s v="Toscani"/>
    <s v="Germany"/>
    <s v="Male"/>
    <n v="498"/>
    <n v="25"/>
    <x v="2"/>
    <n v="121702.73"/>
    <x v="0"/>
    <x v="0"/>
    <x v="0"/>
    <n v="132210.49"/>
    <x v="1"/>
    <s v="Poor"/>
    <s v="Young Adult"/>
    <x v="0"/>
    <x v="2"/>
  </r>
  <r>
    <n v="657"/>
    <n v="15813741"/>
    <s v="Nnachetam"/>
    <s v="Spain"/>
    <s v="Male"/>
    <n v="549"/>
    <n v="25"/>
    <x v="5"/>
    <n v="193858.2"/>
    <x v="0"/>
    <x v="1"/>
    <x v="0"/>
    <n v="21600.11"/>
    <x v="1"/>
    <s v="Poor"/>
    <s v="Young Adult"/>
    <x v="1"/>
    <x v="2"/>
  </r>
  <r>
    <n v="658"/>
    <n v="15698474"/>
    <s v="Sagese"/>
    <s v="Germany"/>
    <s v="Female"/>
    <n v="601"/>
    <n v="54"/>
    <x v="1"/>
    <n v="131039.97"/>
    <x v="2"/>
    <x v="0"/>
    <x v="0"/>
    <n v="199661.5"/>
    <x v="1"/>
    <s v="Average"/>
    <s v="Adult"/>
    <x v="0"/>
    <x v="2"/>
  </r>
  <r>
    <n v="659"/>
    <n v="15568595"/>
    <s v="Fleming"/>
    <s v="France"/>
    <s v="Male"/>
    <n v="544"/>
    <n v="64"/>
    <x v="9"/>
    <n v="113829.45"/>
    <x v="0"/>
    <x v="0"/>
    <x v="0"/>
    <n v="124341.49"/>
    <x v="1"/>
    <s v="Poor"/>
    <s v="Senior"/>
    <x v="0"/>
    <x v="2"/>
  </r>
  <r>
    <n v="660"/>
    <n v="15603065"/>
    <s v="Grubb"/>
    <s v="France"/>
    <s v="Female"/>
    <n v="751"/>
    <n v="30"/>
    <x v="5"/>
    <n v="0"/>
    <x v="2"/>
    <x v="0"/>
    <x v="1"/>
    <n v="15766.1"/>
    <x v="1"/>
    <s v="Good"/>
    <s v="Young Adult"/>
    <x v="1"/>
    <x v="0"/>
  </r>
  <r>
    <n v="661"/>
    <n v="15592937"/>
    <s v="Napolitani"/>
    <s v="Germany"/>
    <s v="Female"/>
    <n v="632"/>
    <n v="41"/>
    <x v="6"/>
    <n v="81877.38"/>
    <x v="0"/>
    <x v="0"/>
    <x v="0"/>
    <n v="33642.21"/>
    <x v="1"/>
    <s v="Average"/>
    <s v="Adult"/>
    <x v="2"/>
    <x v="1"/>
  </r>
  <r>
    <n v="662"/>
    <n v="15699637"/>
    <s v="Anenechi"/>
    <s v="Spain"/>
    <s v="Male"/>
    <n v="694"/>
    <n v="57"/>
    <x v="2"/>
    <n v="116326.07"/>
    <x v="0"/>
    <x v="0"/>
    <x v="0"/>
    <n v="117704.65"/>
    <x v="1"/>
    <s v="Good"/>
    <s v="Adult"/>
    <x v="0"/>
    <x v="2"/>
  </r>
  <r>
    <n v="663"/>
    <n v="15667215"/>
    <s v="Chandler"/>
    <s v="France"/>
    <s v="Male"/>
    <n v="678"/>
    <n v="31"/>
    <x v="0"/>
    <n v="0"/>
    <x v="2"/>
    <x v="0"/>
    <x v="0"/>
    <n v="58803.28"/>
    <x v="1"/>
    <s v="Good"/>
    <s v="Adult"/>
    <x v="2"/>
    <x v="0"/>
  </r>
  <r>
    <n v="664"/>
    <n v="15788659"/>
    <s v="Howells"/>
    <s v="France"/>
    <s v="Male"/>
    <n v="695"/>
    <n v="46"/>
    <x v="4"/>
    <n v="0"/>
    <x v="2"/>
    <x v="0"/>
    <x v="0"/>
    <n v="137537.22"/>
    <x v="1"/>
    <s v="Good"/>
    <s v="Adult"/>
    <x v="0"/>
    <x v="0"/>
  </r>
  <r>
    <n v="665"/>
    <n v="15763218"/>
    <s v="Akeroyd"/>
    <s v="France"/>
    <s v="Female"/>
    <n v="661"/>
    <n v="41"/>
    <x v="1"/>
    <n v="0"/>
    <x v="2"/>
    <x v="1"/>
    <x v="0"/>
    <n v="131300.68"/>
    <x v="1"/>
    <s v="Average"/>
    <s v="Adult"/>
    <x v="0"/>
    <x v="0"/>
  </r>
  <r>
    <n v="666"/>
    <n v="15645772"/>
    <s v="Onwumelu"/>
    <s v="France"/>
    <s v="Male"/>
    <n v="661"/>
    <n v="33"/>
    <x v="9"/>
    <n v="0"/>
    <x v="2"/>
    <x v="0"/>
    <x v="0"/>
    <n v="84174.81"/>
    <x v="1"/>
    <s v="Average"/>
    <s v="Adult"/>
    <x v="0"/>
    <x v="0"/>
  </r>
  <r>
    <n v="667"/>
    <n v="15725511"/>
    <s v="Wallace"/>
    <s v="France"/>
    <s v="Female"/>
    <n v="559"/>
    <n v="31"/>
    <x v="6"/>
    <n v="127070.73"/>
    <x v="0"/>
    <x v="1"/>
    <x v="0"/>
    <n v="160941.78"/>
    <x v="1"/>
    <s v="Poor"/>
    <s v="Adult"/>
    <x v="0"/>
    <x v="2"/>
  </r>
  <r>
    <n v="668"/>
    <n v="15575024"/>
    <s v="Uwaezuoke"/>
    <s v="France"/>
    <s v="Male"/>
    <n v="503"/>
    <n v="29"/>
    <x v="6"/>
    <n v="0"/>
    <x v="2"/>
    <x v="0"/>
    <x v="0"/>
    <n v="143954.99"/>
    <x v="1"/>
    <s v="Poor"/>
    <s v="Young Adult"/>
    <x v="0"/>
    <x v="0"/>
  </r>
  <r>
    <n v="669"/>
    <n v="15640825"/>
    <s v="Loyau"/>
    <s v="Spain"/>
    <s v="Male"/>
    <n v="695"/>
    <n v="46"/>
    <x v="6"/>
    <n v="122549.64"/>
    <x v="0"/>
    <x v="0"/>
    <x v="0"/>
    <n v="56297.85"/>
    <x v="1"/>
    <s v="Good"/>
    <s v="Adult"/>
    <x v="2"/>
    <x v="2"/>
  </r>
  <r>
    <n v="670"/>
    <n v="15662397"/>
    <s v="Small"/>
    <s v="France"/>
    <s v="Female"/>
    <n v="640"/>
    <n v="42"/>
    <x v="8"/>
    <n v="176099.13"/>
    <x v="0"/>
    <x v="0"/>
    <x v="0"/>
    <n v="8404.73"/>
    <x v="1"/>
    <s v="Average"/>
    <s v="Adult"/>
    <x v="1"/>
    <x v="2"/>
  </r>
  <r>
    <n v="671"/>
    <n v="15576368"/>
    <s v="Bledsoe"/>
    <s v="Germany"/>
    <s v="Female"/>
    <n v="624"/>
    <n v="48"/>
    <x v="6"/>
    <n v="122388.38"/>
    <x v="2"/>
    <x v="1"/>
    <x v="1"/>
    <n v="30020.09"/>
    <x v="1"/>
    <s v="Average"/>
    <s v="Adult"/>
    <x v="2"/>
    <x v="2"/>
  </r>
  <r>
    <n v="672"/>
    <n v="15674991"/>
    <s v="Kao"/>
    <s v="France"/>
    <s v="Male"/>
    <n v="667"/>
    <n v="42"/>
    <x v="9"/>
    <n v="0"/>
    <x v="2"/>
    <x v="1"/>
    <x v="0"/>
    <n v="58137.42"/>
    <x v="1"/>
    <s v="Average"/>
    <s v="Adult"/>
    <x v="2"/>
    <x v="0"/>
  </r>
  <r>
    <n v="673"/>
    <n v="15721024"/>
    <s v="Wickens"/>
    <s v="France"/>
    <s v="Male"/>
    <n v="642"/>
    <n v="26"/>
    <x v="10"/>
    <n v="0"/>
    <x v="0"/>
    <x v="1"/>
    <x v="1"/>
    <n v="47472.68"/>
    <x v="1"/>
    <s v="Average"/>
    <s v="Young Adult"/>
    <x v="2"/>
    <x v="0"/>
  </r>
  <r>
    <n v="674"/>
    <n v="15745621"/>
    <s v="Wertheim"/>
    <s v="Spain"/>
    <s v="Female"/>
    <n v="640"/>
    <n v="37"/>
    <x v="5"/>
    <n v="118879.35"/>
    <x v="2"/>
    <x v="0"/>
    <x v="0"/>
    <n v="19131.71"/>
    <x v="1"/>
    <s v="Average"/>
    <s v="Adult"/>
    <x v="1"/>
    <x v="2"/>
  </r>
  <r>
    <n v="675"/>
    <n v="15642394"/>
    <s v="He"/>
    <s v="Spain"/>
    <s v="Male"/>
    <n v="529"/>
    <n v="35"/>
    <x v="8"/>
    <n v="0"/>
    <x v="2"/>
    <x v="0"/>
    <x v="0"/>
    <n v="187288.5"/>
    <x v="1"/>
    <s v="Poor"/>
    <s v="Adult"/>
    <x v="0"/>
    <x v="0"/>
  </r>
  <r>
    <n v="676"/>
    <n v="15754605"/>
    <s v="Jarvis"/>
    <s v="France"/>
    <s v="Female"/>
    <n v="563"/>
    <n v="39"/>
    <x v="8"/>
    <n v="0"/>
    <x v="2"/>
    <x v="0"/>
    <x v="0"/>
    <n v="17603.810000000001"/>
    <x v="1"/>
    <s v="Poor"/>
    <s v="Adult"/>
    <x v="1"/>
    <x v="0"/>
  </r>
  <r>
    <n v="677"/>
    <n v="15607040"/>
    <s v="P'an"/>
    <s v="Spain"/>
    <s v="Female"/>
    <n v="593"/>
    <n v="37"/>
    <x v="4"/>
    <n v="88736.44"/>
    <x v="2"/>
    <x v="0"/>
    <x v="1"/>
    <n v="67020.03"/>
    <x v="1"/>
    <s v="Average"/>
    <s v="Adult"/>
    <x v="2"/>
    <x v="1"/>
  </r>
  <r>
    <n v="678"/>
    <n v="15715142"/>
    <s v="Repina"/>
    <s v="Germany"/>
    <s v="Male"/>
    <n v="739"/>
    <n v="45"/>
    <x v="3"/>
    <n v="102703.62"/>
    <x v="0"/>
    <x v="1"/>
    <x v="0"/>
    <n v="147802.94"/>
    <x v="0"/>
    <s v="Good"/>
    <s v="Adult"/>
    <x v="0"/>
    <x v="2"/>
  </r>
  <r>
    <n v="679"/>
    <n v="15810978"/>
    <s v="Pugliesi"/>
    <s v="Spain"/>
    <s v="Female"/>
    <n v="788"/>
    <n v="37"/>
    <x v="1"/>
    <n v="0"/>
    <x v="2"/>
    <x v="0"/>
    <x v="0"/>
    <n v="41610.620000000003"/>
    <x v="1"/>
    <s v="Good"/>
    <s v="Adult"/>
    <x v="2"/>
    <x v="0"/>
  </r>
  <r>
    <n v="680"/>
    <n v="15668886"/>
    <s v="Blakey"/>
    <s v="Spain"/>
    <s v="Female"/>
    <n v="684"/>
    <n v="37"/>
    <x v="6"/>
    <n v="0"/>
    <x v="2"/>
    <x v="0"/>
    <x v="1"/>
    <n v="44255.65"/>
    <x v="1"/>
    <s v="Good"/>
    <s v="Adult"/>
    <x v="2"/>
    <x v="0"/>
  </r>
  <r>
    <n v="681"/>
    <n v="15780804"/>
    <s v="Nucci"/>
    <s v="France"/>
    <s v="Male"/>
    <n v="482"/>
    <n v="55"/>
    <x v="8"/>
    <n v="97318.25"/>
    <x v="0"/>
    <x v="1"/>
    <x v="0"/>
    <n v="78416.14"/>
    <x v="1"/>
    <s v="Poor"/>
    <s v="Adult"/>
    <x v="0"/>
    <x v="1"/>
  </r>
  <r>
    <n v="682"/>
    <n v="15613880"/>
    <s v="Higinbotham"/>
    <s v="Spain"/>
    <s v="Male"/>
    <n v="591"/>
    <n v="58"/>
    <x v="8"/>
    <n v="128468.69"/>
    <x v="0"/>
    <x v="1"/>
    <x v="0"/>
    <n v="137254.54999999999"/>
    <x v="1"/>
    <s v="Average"/>
    <s v="Adult"/>
    <x v="0"/>
    <x v="2"/>
  </r>
  <r>
    <n v="683"/>
    <n v="15775238"/>
    <s v="Achebe"/>
    <s v="Germany"/>
    <s v="Female"/>
    <n v="651"/>
    <n v="41"/>
    <x v="4"/>
    <n v="133432.59"/>
    <x v="0"/>
    <x v="1"/>
    <x v="0"/>
    <n v="151303.48000000001"/>
    <x v="1"/>
    <s v="Average"/>
    <s v="Adult"/>
    <x v="0"/>
    <x v="2"/>
  </r>
  <r>
    <n v="684"/>
    <n v="15786905"/>
    <s v="Russo"/>
    <s v="Germany"/>
    <s v="Female"/>
    <n v="749"/>
    <n v="40"/>
    <x v="2"/>
    <n v="141782.57"/>
    <x v="2"/>
    <x v="1"/>
    <x v="1"/>
    <n v="86333.63"/>
    <x v="1"/>
    <s v="Good"/>
    <s v="Adult"/>
    <x v="0"/>
    <x v="2"/>
  </r>
  <r>
    <n v="685"/>
    <n v="15747867"/>
    <s v="Trevisani"/>
    <s v="France"/>
    <s v="Male"/>
    <n v="583"/>
    <n v="24"/>
    <x v="9"/>
    <n v="135125.28"/>
    <x v="0"/>
    <x v="1"/>
    <x v="1"/>
    <n v="89801.9"/>
    <x v="1"/>
    <s v="Average"/>
    <s v="Young Adult"/>
    <x v="0"/>
    <x v="2"/>
  </r>
  <r>
    <n v="686"/>
    <n v="15600337"/>
    <s v="Dobie"/>
    <s v="Spain"/>
    <s v="Male"/>
    <n v="661"/>
    <n v="42"/>
    <x v="0"/>
    <n v="178820.91"/>
    <x v="0"/>
    <x v="1"/>
    <x v="1"/>
    <n v="29358.57"/>
    <x v="0"/>
    <s v="Average"/>
    <s v="Adult"/>
    <x v="1"/>
    <x v="2"/>
  </r>
  <r>
    <n v="687"/>
    <n v="15801277"/>
    <s v="Maccallum"/>
    <s v="France"/>
    <s v="Female"/>
    <n v="715"/>
    <n v="31"/>
    <x v="0"/>
    <n v="112212.14"/>
    <x v="2"/>
    <x v="0"/>
    <x v="0"/>
    <n v="181600.72"/>
    <x v="1"/>
    <s v="Good"/>
    <s v="Adult"/>
    <x v="0"/>
    <x v="2"/>
  </r>
  <r>
    <n v="688"/>
    <n v="15579334"/>
    <s v="Watkins"/>
    <s v="Germany"/>
    <s v="Female"/>
    <n v="769"/>
    <n v="45"/>
    <x v="8"/>
    <n v="126674.81"/>
    <x v="0"/>
    <x v="0"/>
    <x v="1"/>
    <n v="124118.71"/>
    <x v="0"/>
    <s v="Good"/>
    <s v="Adult"/>
    <x v="0"/>
    <x v="2"/>
  </r>
  <r>
    <n v="689"/>
    <n v="15802741"/>
    <s v="Mitchel"/>
    <s v="France"/>
    <s v="Female"/>
    <n v="625"/>
    <n v="51"/>
    <x v="3"/>
    <n v="136294.97"/>
    <x v="0"/>
    <x v="0"/>
    <x v="1"/>
    <n v="38867.46"/>
    <x v="0"/>
    <s v="Average"/>
    <s v="Adult"/>
    <x v="2"/>
    <x v="2"/>
  </r>
  <r>
    <n v="690"/>
    <n v="15720649"/>
    <s v="Ferdinand"/>
    <s v="France"/>
    <s v="Female"/>
    <n v="641"/>
    <n v="36"/>
    <x v="8"/>
    <n v="66392.639999999999"/>
    <x v="0"/>
    <x v="0"/>
    <x v="1"/>
    <n v="31106.67"/>
    <x v="1"/>
    <s v="Average"/>
    <s v="Adult"/>
    <x v="2"/>
    <x v="1"/>
  </r>
  <r>
    <n v="691"/>
    <n v="15589493"/>
    <s v="Otitodilinna"/>
    <s v="Germany"/>
    <s v="Male"/>
    <n v="716"/>
    <n v="27"/>
    <x v="1"/>
    <n v="122552.34"/>
    <x v="2"/>
    <x v="0"/>
    <x v="1"/>
    <n v="67611.360000000001"/>
    <x v="1"/>
    <s v="Good"/>
    <s v="Young Adult"/>
    <x v="2"/>
    <x v="2"/>
  </r>
  <r>
    <n v="692"/>
    <n v="15688251"/>
    <s v="Mamelu"/>
    <s v="France"/>
    <s v="Male"/>
    <n v="767"/>
    <n v="43"/>
    <x v="1"/>
    <n v="76408.850000000006"/>
    <x v="2"/>
    <x v="0"/>
    <x v="1"/>
    <n v="77837.63"/>
    <x v="1"/>
    <s v="Good"/>
    <s v="Adult"/>
    <x v="0"/>
    <x v="1"/>
  </r>
  <r>
    <n v="693"/>
    <n v="15665238"/>
    <s v="Beneventi"/>
    <s v="Germany"/>
    <s v="Male"/>
    <n v="745"/>
    <n v="36"/>
    <x v="2"/>
    <n v="145071.24"/>
    <x v="0"/>
    <x v="1"/>
    <x v="1"/>
    <n v="6078.46"/>
    <x v="1"/>
    <s v="Good"/>
    <s v="Adult"/>
    <x v="1"/>
    <x v="2"/>
  </r>
  <r>
    <n v="694"/>
    <n v="15740900"/>
    <s v="Perrodin"/>
    <s v="France"/>
    <s v="Male"/>
    <n v="589"/>
    <n v="34"/>
    <x v="5"/>
    <n v="0"/>
    <x v="2"/>
    <x v="0"/>
    <x v="0"/>
    <n v="177896.92"/>
    <x v="1"/>
    <s v="Average"/>
    <s v="Adult"/>
    <x v="0"/>
    <x v="0"/>
  </r>
  <r>
    <n v="695"/>
    <n v="15681068"/>
    <s v="Chinagorom"/>
    <s v="France"/>
    <s v="Female"/>
    <n v="796"/>
    <n v="45"/>
    <x v="0"/>
    <n v="109730.22"/>
    <x v="0"/>
    <x v="0"/>
    <x v="0"/>
    <n v="123882.73"/>
    <x v="1"/>
    <s v="Good"/>
    <s v="Adult"/>
    <x v="0"/>
    <x v="2"/>
  </r>
  <r>
    <n v="696"/>
    <n v="15748625"/>
    <s v="Napolitano"/>
    <s v="France"/>
    <s v="Male"/>
    <n v="664"/>
    <n v="57"/>
    <x v="5"/>
    <n v="0"/>
    <x v="2"/>
    <x v="0"/>
    <x v="0"/>
    <n v="15304.08"/>
    <x v="1"/>
    <s v="Average"/>
    <s v="Adult"/>
    <x v="1"/>
    <x v="0"/>
  </r>
  <r>
    <n v="697"/>
    <n v="15727299"/>
    <s v="Edgar"/>
    <s v="Spain"/>
    <s v="Male"/>
    <n v="445"/>
    <n v="62"/>
    <x v="1"/>
    <n v="64119.38"/>
    <x v="0"/>
    <x v="0"/>
    <x v="0"/>
    <n v="76569.64"/>
    <x v="0"/>
    <s v="Poor"/>
    <s v="Senior"/>
    <x v="0"/>
    <x v="1"/>
  </r>
  <r>
    <n v="698"/>
    <n v="15620204"/>
    <s v="Walker"/>
    <s v="Germany"/>
    <s v="Female"/>
    <n v="543"/>
    <n v="57"/>
    <x v="1"/>
    <n v="106138.33"/>
    <x v="2"/>
    <x v="0"/>
    <x v="0"/>
    <n v="120657.32"/>
    <x v="0"/>
    <s v="Poor"/>
    <s v="Adult"/>
    <x v="0"/>
    <x v="2"/>
  </r>
  <r>
    <n v="699"/>
    <n v="15669516"/>
    <s v="Steele"/>
    <s v="Spain"/>
    <s v="Male"/>
    <n v="746"/>
    <n v="36"/>
    <x v="0"/>
    <n v="0"/>
    <x v="2"/>
    <x v="0"/>
    <x v="0"/>
    <n v="16436.560000000001"/>
    <x v="1"/>
    <s v="Good"/>
    <s v="Adult"/>
    <x v="1"/>
    <x v="0"/>
  </r>
  <r>
    <n v="700"/>
    <n v="15736534"/>
    <s v="Elkins"/>
    <s v="Germany"/>
    <s v="Male"/>
    <n v="742"/>
    <n v="33"/>
    <x v="10"/>
    <n v="181656.51"/>
    <x v="0"/>
    <x v="0"/>
    <x v="0"/>
    <n v="107667.91"/>
    <x v="1"/>
    <s v="Good"/>
    <s v="Adult"/>
    <x v="0"/>
    <x v="2"/>
  </r>
  <r>
    <n v="701"/>
    <n v="15803457"/>
    <s v="Hao"/>
    <s v="France"/>
    <s v="Female"/>
    <n v="750"/>
    <n v="32"/>
    <x v="8"/>
    <n v="0"/>
    <x v="2"/>
    <x v="0"/>
    <x v="1"/>
    <n v="95611.47"/>
    <x v="1"/>
    <s v="Good"/>
    <s v="Adult"/>
    <x v="0"/>
    <x v="0"/>
  </r>
  <r>
    <n v="702"/>
    <n v="15659098"/>
    <s v="Toscano"/>
    <s v="France"/>
    <s v="Male"/>
    <n v="669"/>
    <n v="30"/>
    <x v="3"/>
    <n v="95128.86"/>
    <x v="0"/>
    <x v="1"/>
    <x v="1"/>
    <n v="19799.259999999998"/>
    <x v="1"/>
    <s v="Average"/>
    <s v="Young Adult"/>
    <x v="1"/>
    <x v="1"/>
  </r>
  <r>
    <n v="703"/>
    <n v="15603436"/>
    <s v="Savage"/>
    <s v="Spain"/>
    <s v="Female"/>
    <n v="594"/>
    <n v="37"/>
    <x v="0"/>
    <n v="126615.94"/>
    <x v="2"/>
    <x v="1"/>
    <x v="0"/>
    <n v="123214.74"/>
    <x v="1"/>
    <s v="Average"/>
    <s v="Adult"/>
    <x v="0"/>
    <x v="2"/>
  </r>
  <r>
    <n v="704"/>
    <n v="15566292"/>
    <s v="Okwuadigbo"/>
    <s v="Spain"/>
    <s v="Male"/>
    <n v="574"/>
    <n v="36"/>
    <x v="1"/>
    <n v="0"/>
    <x v="2"/>
    <x v="1"/>
    <x v="0"/>
    <n v="71709.119999999995"/>
    <x v="1"/>
    <s v="Poor"/>
    <s v="Adult"/>
    <x v="0"/>
    <x v="0"/>
  </r>
  <r>
    <n v="705"/>
    <n v="15808621"/>
    <s v="Mordvinova"/>
    <s v="Germany"/>
    <s v="Male"/>
    <n v="659"/>
    <n v="36"/>
    <x v="0"/>
    <n v="76190.48"/>
    <x v="2"/>
    <x v="0"/>
    <x v="0"/>
    <n v="149066.14000000001"/>
    <x v="1"/>
    <s v="Average"/>
    <s v="Adult"/>
    <x v="0"/>
    <x v="1"/>
  </r>
  <r>
    <n v="706"/>
    <n v="15580148"/>
    <s v="Welch"/>
    <s v="Germany"/>
    <s v="Male"/>
    <n v="750"/>
    <n v="40"/>
    <x v="8"/>
    <n v="168286.81"/>
    <x v="1"/>
    <x v="0"/>
    <x v="1"/>
    <n v="20451.990000000002"/>
    <x v="0"/>
    <s v="Good"/>
    <s v="Adult"/>
    <x v="1"/>
    <x v="2"/>
  </r>
  <r>
    <n v="707"/>
    <n v="15776231"/>
    <s v="Kent"/>
    <s v="Germany"/>
    <s v="Male"/>
    <n v="626"/>
    <n v="35"/>
    <x v="4"/>
    <n v="88109.81"/>
    <x v="0"/>
    <x v="0"/>
    <x v="0"/>
    <n v="32825.5"/>
    <x v="1"/>
    <s v="Average"/>
    <s v="Adult"/>
    <x v="2"/>
    <x v="1"/>
  </r>
  <r>
    <n v="708"/>
    <n v="15773809"/>
    <s v="Campbell"/>
    <s v="France"/>
    <s v="Male"/>
    <n v="620"/>
    <n v="42"/>
    <x v="4"/>
    <n v="0"/>
    <x v="2"/>
    <x v="0"/>
    <x v="1"/>
    <n v="6232.31"/>
    <x v="1"/>
    <s v="Average"/>
    <s v="Adult"/>
    <x v="1"/>
    <x v="0"/>
  </r>
  <r>
    <n v="709"/>
    <n v="15649423"/>
    <s v="Cooper"/>
    <s v="France"/>
    <s v="Female"/>
    <n v="580"/>
    <n v="35"/>
    <x v="2"/>
    <n v="0"/>
    <x v="2"/>
    <x v="1"/>
    <x v="0"/>
    <n v="10357.030000000001"/>
    <x v="1"/>
    <s v="Average"/>
    <s v="Adult"/>
    <x v="1"/>
    <x v="0"/>
  </r>
  <r>
    <n v="710"/>
    <n v="15734886"/>
    <s v="Mazzi"/>
    <s v="France"/>
    <s v="Female"/>
    <n v="686"/>
    <n v="34"/>
    <x v="6"/>
    <n v="123971.51"/>
    <x v="2"/>
    <x v="0"/>
    <x v="1"/>
    <n v="147794.63"/>
    <x v="1"/>
    <s v="Good"/>
    <s v="Adult"/>
    <x v="0"/>
    <x v="2"/>
  </r>
  <r>
    <n v="711"/>
    <n v="15722548"/>
    <s v="Fisher"/>
    <s v="France"/>
    <s v="Male"/>
    <n v="540"/>
    <n v="48"/>
    <x v="10"/>
    <n v="148116.48000000001"/>
    <x v="0"/>
    <x v="1"/>
    <x v="1"/>
    <n v="116973.48"/>
    <x v="1"/>
    <s v="Poor"/>
    <s v="Adult"/>
    <x v="0"/>
    <x v="2"/>
  </r>
  <r>
    <n v="712"/>
    <n v="15650288"/>
    <s v="Summers"/>
    <s v="Germany"/>
    <s v="Male"/>
    <n v="634"/>
    <n v="35"/>
    <x v="5"/>
    <n v="116269.01"/>
    <x v="0"/>
    <x v="0"/>
    <x v="1"/>
    <n v="129964.94"/>
    <x v="1"/>
    <s v="Average"/>
    <s v="Adult"/>
    <x v="0"/>
    <x v="2"/>
  </r>
  <r>
    <n v="713"/>
    <n v="15629448"/>
    <s v="Brady"/>
    <s v="Spain"/>
    <s v="Male"/>
    <n v="632"/>
    <n v="38"/>
    <x v="1"/>
    <n v="120599.21"/>
    <x v="0"/>
    <x v="0"/>
    <x v="1"/>
    <n v="92816.86"/>
    <x v="1"/>
    <s v="Average"/>
    <s v="Adult"/>
    <x v="0"/>
    <x v="2"/>
  </r>
  <r>
    <n v="714"/>
    <n v="15716164"/>
    <s v="Nicholls"/>
    <s v="France"/>
    <s v="Female"/>
    <n v="501"/>
    <n v="41"/>
    <x v="6"/>
    <n v="144260.5"/>
    <x v="0"/>
    <x v="0"/>
    <x v="1"/>
    <n v="172114.67"/>
    <x v="1"/>
    <s v="Poor"/>
    <s v="Adult"/>
    <x v="0"/>
    <x v="2"/>
  </r>
  <r>
    <n v="715"/>
    <n v="15807609"/>
    <s v="Yuan"/>
    <s v="Spain"/>
    <s v="Female"/>
    <n v="650"/>
    <n v="37"/>
    <x v="6"/>
    <n v="86605.5"/>
    <x v="1"/>
    <x v="0"/>
    <x v="1"/>
    <n v="16649.310000000001"/>
    <x v="0"/>
    <s v="Average"/>
    <s v="Adult"/>
    <x v="1"/>
    <x v="1"/>
  </r>
  <r>
    <n v="716"/>
    <n v="15578977"/>
    <s v="Robinson"/>
    <s v="France"/>
    <s v="Male"/>
    <n v="786"/>
    <n v="34"/>
    <x v="9"/>
    <n v="0"/>
    <x v="2"/>
    <x v="0"/>
    <x v="1"/>
    <n v="144517.19"/>
    <x v="1"/>
    <s v="Good"/>
    <s v="Adult"/>
    <x v="0"/>
    <x v="0"/>
  </r>
  <r>
    <n v="717"/>
    <n v="15677369"/>
    <s v="Golubov"/>
    <s v="Germany"/>
    <s v="Female"/>
    <n v="554"/>
    <n v="37"/>
    <x v="4"/>
    <n v="58629.97"/>
    <x v="0"/>
    <x v="1"/>
    <x v="1"/>
    <n v="182038.6"/>
    <x v="1"/>
    <s v="Poor"/>
    <s v="Adult"/>
    <x v="0"/>
    <x v="1"/>
  </r>
  <r>
    <n v="718"/>
    <n v="15804072"/>
    <s v="Chen"/>
    <s v="Spain"/>
    <s v="Female"/>
    <n v="701"/>
    <n v="42"/>
    <x v="8"/>
    <n v="0"/>
    <x v="2"/>
    <x v="1"/>
    <x v="1"/>
    <n v="24210.560000000001"/>
    <x v="1"/>
    <s v="Good"/>
    <s v="Adult"/>
    <x v="1"/>
    <x v="0"/>
  </r>
  <r>
    <n v="719"/>
    <n v="15696859"/>
    <s v="Oldham"/>
    <s v="France"/>
    <s v="Male"/>
    <n v="474"/>
    <n v="45"/>
    <x v="7"/>
    <n v="0"/>
    <x v="2"/>
    <x v="1"/>
    <x v="1"/>
    <n v="172175.9"/>
    <x v="1"/>
    <s v="Poor"/>
    <s v="Adult"/>
    <x v="0"/>
    <x v="0"/>
  </r>
  <r>
    <n v="720"/>
    <n v="15653780"/>
    <s v="Kambinachi"/>
    <s v="France"/>
    <s v="Female"/>
    <n v="621"/>
    <n v="43"/>
    <x v="8"/>
    <n v="0"/>
    <x v="0"/>
    <x v="0"/>
    <x v="0"/>
    <n v="47578.45"/>
    <x v="1"/>
    <s v="Average"/>
    <s v="Adult"/>
    <x v="2"/>
    <x v="0"/>
  </r>
  <r>
    <n v="721"/>
    <n v="15721658"/>
    <s v="Fleming"/>
    <s v="Spain"/>
    <s v="Female"/>
    <n v="672"/>
    <n v="56"/>
    <x v="0"/>
    <n v="209767.31"/>
    <x v="2"/>
    <x v="0"/>
    <x v="0"/>
    <n v="150694.42000000001"/>
    <x v="0"/>
    <s v="Good"/>
    <s v="Adult"/>
    <x v="0"/>
    <x v="2"/>
  </r>
  <r>
    <n v="722"/>
    <n v="15578761"/>
    <s v="Cunningham"/>
    <s v="Spain"/>
    <s v="Female"/>
    <n v="459"/>
    <n v="42"/>
    <x v="5"/>
    <n v="129634.25"/>
    <x v="2"/>
    <x v="0"/>
    <x v="0"/>
    <n v="177683.02"/>
    <x v="0"/>
    <s v="Poor"/>
    <s v="Adult"/>
    <x v="0"/>
    <x v="2"/>
  </r>
  <r>
    <n v="723"/>
    <n v="15736879"/>
    <s v="Obinna"/>
    <s v="France"/>
    <s v="Male"/>
    <n v="669"/>
    <n v="23"/>
    <x v="1"/>
    <n v="0"/>
    <x v="2"/>
    <x v="1"/>
    <x v="1"/>
    <n v="66088.83"/>
    <x v="1"/>
    <s v="Average"/>
    <s v="Young Adult"/>
    <x v="2"/>
    <x v="0"/>
  </r>
  <r>
    <n v="724"/>
    <n v="15571973"/>
    <s v="Chinwemma"/>
    <s v="France"/>
    <s v="Female"/>
    <n v="776"/>
    <n v="38"/>
    <x v="0"/>
    <n v="169824.46"/>
    <x v="0"/>
    <x v="0"/>
    <x v="1"/>
    <n v="169291.7"/>
    <x v="1"/>
    <s v="Good"/>
    <s v="Adult"/>
    <x v="0"/>
    <x v="2"/>
  </r>
  <r>
    <n v="725"/>
    <n v="15626742"/>
    <s v="Carpenter"/>
    <s v="France"/>
    <s v="Male"/>
    <n v="694"/>
    <n v="36"/>
    <x v="6"/>
    <n v="97530.25"/>
    <x v="0"/>
    <x v="0"/>
    <x v="0"/>
    <n v="117140.41"/>
    <x v="1"/>
    <s v="Good"/>
    <s v="Adult"/>
    <x v="0"/>
    <x v="1"/>
  </r>
  <r>
    <n v="726"/>
    <n v="15672692"/>
    <s v="Yin"/>
    <s v="France"/>
    <s v="Female"/>
    <n v="787"/>
    <n v="42"/>
    <x v="7"/>
    <n v="145988.65"/>
    <x v="2"/>
    <x v="0"/>
    <x v="0"/>
    <n v="79510.37"/>
    <x v="1"/>
    <s v="Good"/>
    <s v="Adult"/>
    <x v="0"/>
    <x v="2"/>
  </r>
  <r>
    <n v="727"/>
    <n v="15673570"/>
    <s v="Olsen"/>
    <s v="France"/>
    <s v="Male"/>
    <n v="580"/>
    <n v="37"/>
    <x v="9"/>
    <n v="0"/>
    <x v="2"/>
    <x v="1"/>
    <x v="0"/>
    <n v="77108.66"/>
    <x v="1"/>
    <s v="Average"/>
    <s v="Adult"/>
    <x v="0"/>
    <x v="0"/>
  </r>
  <r>
    <n v="728"/>
    <n v="15767432"/>
    <s v="Ts'ai"/>
    <s v="France"/>
    <s v="Female"/>
    <n v="711"/>
    <n v="25"/>
    <x v="3"/>
    <n v="0"/>
    <x v="1"/>
    <x v="0"/>
    <x v="0"/>
    <n v="9679.2800000000007"/>
    <x v="1"/>
    <s v="Good"/>
    <s v="Young Adult"/>
    <x v="1"/>
    <x v="0"/>
  </r>
  <r>
    <n v="729"/>
    <n v="15654238"/>
    <s v="Jen"/>
    <s v="France"/>
    <s v="Female"/>
    <n v="673"/>
    <n v="40"/>
    <x v="8"/>
    <n v="137494.28"/>
    <x v="0"/>
    <x v="0"/>
    <x v="1"/>
    <n v="81753.919999999998"/>
    <x v="1"/>
    <s v="Good"/>
    <s v="Adult"/>
    <x v="0"/>
    <x v="2"/>
  </r>
  <r>
    <n v="730"/>
    <n v="15612525"/>
    <s v="Preston"/>
    <s v="France"/>
    <s v="Female"/>
    <n v="499"/>
    <n v="57"/>
    <x v="1"/>
    <n v="0"/>
    <x v="0"/>
    <x v="1"/>
    <x v="1"/>
    <n v="131372.38"/>
    <x v="0"/>
    <s v="Poor"/>
    <s v="Adult"/>
    <x v="0"/>
    <x v="0"/>
  </r>
  <r>
    <n v="731"/>
    <n v="15812750"/>
    <s v="Ozioma"/>
    <s v="France"/>
    <s v="Male"/>
    <n v="591"/>
    <n v="24"/>
    <x v="5"/>
    <n v="147360"/>
    <x v="0"/>
    <x v="0"/>
    <x v="0"/>
    <n v="25310.82"/>
    <x v="1"/>
    <s v="Average"/>
    <s v="Young Adult"/>
    <x v="1"/>
    <x v="2"/>
  </r>
  <r>
    <n v="732"/>
    <n v="15790757"/>
    <s v="Cody"/>
    <s v="France"/>
    <s v="Female"/>
    <n v="769"/>
    <n v="25"/>
    <x v="7"/>
    <n v="0"/>
    <x v="2"/>
    <x v="1"/>
    <x v="1"/>
    <n v="187925.75"/>
    <x v="1"/>
    <s v="Good"/>
    <s v="Young Adult"/>
    <x v="0"/>
    <x v="0"/>
  </r>
  <r>
    <n v="733"/>
    <n v="15723873"/>
    <s v="Ponomarev"/>
    <s v="Spain"/>
    <s v="Male"/>
    <n v="657"/>
    <n v="31"/>
    <x v="6"/>
    <n v="125167.02"/>
    <x v="0"/>
    <x v="1"/>
    <x v="1"/>
    <n v="98820.39"/>
    <x v="1"/>
    <s v="Average"/>
    <s v="Adult"/>
    <x v="0"/>
    <x v="2"/>
  </r>
  <r>
    <n v="734"/>
    <n v="15744607"/>
    <s v="Martin"/>
    <s v="Germany"/>
    <s v="Male"/>
    <n v="738"/>
    <n v="43"/>
    <x v="9"/>
    <n v="121152.05"/>
    <x v="2"/>
    <x v="0"/>
    <x v="1"/>
    <n v="64166.7"/>
    <x v="0"/>
    <s v="Good"/>
    <s v="Adult"/>
    <x v="2"/>
    <x v="2"/>
  </r>
  <r>
    <n v="735"/>
    <n v="15612966"/>
    <s v="Milani"/>
    <s v="Germany"/>
    <s v="Female"/>
    <n v="545"/>
    <n v="60"/>
    <x v="3"/>
    <n v="128981.07"/>
    <x v="0"/>
    <x v="1"/>
    <x v="0"/>
    <n v="176924.21"/>
    <x v="0"/>
    <s v="Poor"/>
    <s v="Adult"/>
    <x v="0"/>
    <x v="2"/>
  </r>
  <r>
    <n v="736"/>
    <n v="15784209"/>
    <s v="Tang"/>
    <s v="France"/>
    <s v="Male"/>
    <n v="497"/>
    <n v="47"/>
    <x v="5"/>
    <n v="0"/>
    <x v="0"/>
    <x v="0"/>
    <x v="0"/>
    <n v="90055.08"/>
    <x v="1"/>
    <s v="Poor"/>
    <s v="Adult"/>
    <x v="0"/>
    <x v="0"/>
  </r>
  <r>
    <n v="737"/>
    <n v="15794278"/>
    <s v="Romani"/>
    <s v="Spain"/>
    <s v="Male"/>
    <n v="816"/>
    <n v="67"/>
    <x v="5"/>
    <n v="151858.98000000001"/>
    <x v="0"/>
    <x v="0"/>
    <x v="0"/>
    <n v="72814.31"/>
    <x v="1"/>
    <s v="Good"/>
    <s v="Senior"/>
    <x v="0"/>
    <x v="2"/>
  </r>
  <r>
    <n v="738"/>
    <n v="15766741"/>
    <s v="McIntyre"/>
    <s v="France"/>
    <s v="Male"/>
    <n v="525"/>
    <n v="36"/>
    <x v="0"/>
    <n v="114628.4"/>
    <x v="0"/>
    <x v="1"/>
    <x v="0"/>
    <n v="168290.06"/>
    <x v="1"/>
    <s v="Poor"/>
    <s v="Adult"/>
    <x v="0"/>
    <x v="2"/>
  </r>
  <r>
    <n v="739"/>
    <n v="15661036"/>
    <s v="Davis"/>
    <s v="France"/>
    <s v="Male"/>
    <n v="725"/>
    <n v="46"/>
    <x v="5"/>
    <n v="0"/>
    <x v="2"/>
    <x v="0"/>
    <x v="1"/>
    <n v="161767.38"/>
    <x v="1"/>
    <s v="Good"/>
    <s v="Adult"/>
    <x v="0"/>
    <x v="0"/>
  </r>
  <r>
    <n v="740"/>
    <n v="15705639"/>
    <s v="Onyemauchechukwu"/>
    <s v="France"/>
    <s v="Female"/>
    <n v="692"/>
    <n v="28"/>
    <x v="2"/>
    <n v="95059.02"/>
    <x v="2"/>
    <x v="0"/>
    <x v="1"/>
    <n v="44420.18"/>
    <x v="1"/>
    <s v="Good"/>
    <s v="Young Adult"/>
    <x v="2"/>
    <x v="1"/>
  </r>
  <r>
    <n v="741"/>
    <n v="15637414"/>
    <s v="Gell"/>
    <s v="France"/>
    <s v="Female"/>
    <n v="618"/>
    <n v="24"/>
    <x v="3"/>
    <n v="128736.39"/>
    <x v="0"/>
    <x v="1"/>
    <x v="0"/>
    <n v="37147.61"/>
    <x v="1"/>
    <s v="Average"/>
    <s v="Young Adult"/>
    <x v="2"/>
    <x v="2"/>
  </r>
  <r>
    <n v="742"/>
    <n v="15716835"/>
    <s v="Rossi"/>
    <s v="France"/>
    <s v="Male"/>
    <n v="546"/>
    <n v="24"/>
    <x v="2"/>
    <n v="156325.38"/>
    <x v="0"/>
    <x v="0"/>
    <x v="0"/>
    <n v="125381.02"/>
    <x v="1"/>
    <s v="Poor"/>
    <s v="Young Adult"/>
    <x v="0"/>
    <x v="2"/>
  </r>
  <r>
    <n v="743"/>
    <n v="15696231"/>
    <s v="Chiwetelu"/>
    <s v="France"/>
    <s v="Male"/>
    <n v="635"/>
    <n v="29"/>
    <x v="3"/>
    <n v="105405.97"/>
    <x v="0"/>
    <x v="0"/>
    <x v="0"/>
    <n v="149853.89000000001"/>
    <x v="1"/>
    <s v="Average"/>
    <s v="Young Adult"/>
    <x v="0"/>
    <x v="2"/>
  </r>
  <r>
    <n v="744"/>
    <n v="15641675"/>
    <s v="Kirillova"/>
    <s v="France"/>
    <s v="Female"/>
    <n v="611"/>
    <n v="49"/>
    <x v="0"/>
    <n v="88915.37"/>
    <x v="1"/>
    <x v="1"/>
    <x v="1"/>
    <n v="161435.01999999999"/>
    <x v="0"/>
    <s v="Average"/>
    <s v="Adult"/>
    <x v="0"/>
    <x v="1"/>
  </r>
  <r>
    <n v="745"/>
    <n v="15670755"/>
    <s v="Shaw"/>
    <s v="France"/>
    <s v="Male"/>
    <n v="650"/>
    <n v="60"/>
    <x v="2"/>
    <n v="0"/>
    <x v="2"/>
    <x v="0"/>
    <x v="0"/>
    <n v="102925.75999999999"/>
    <x v="1"/>
    <s v="Average"/>
    <s v="Adult"/>
    <x v="0"/>
    <x v="0"/>
  </r>
  <r>
    <n v="746"/>
    <n v="15640059"/>
    <s v="Smith"/>
    <s v="France"/>
    <s v="Male"/>
    <n v="606"/>
    <n v="40"/>
    <x v="8"/>
    <n v="0"/>
    <x v="2"/>
    <x v="0"/>
    <x v="0"/>
    <n v="70899.27"/>
    <x v="1"/>
    <s v="Average"/>
    <s v="Adult"/>
    <x v="0"/>
    <x v="0"/>
  </r>
  <r>
    <n v="747"/>
    <n v="15787619"/>
    <s v="Hsieh"/>
    <s v="France"/>
    <s v="Male"/>
    <n v="844"/>
    <n v="18"/>
    <x v="0"/>
    <n v="160980.03"/>
    <x v="0"/>
    <x v="1"/>
    <x v="1"/>
    <n v="145936.28"/>
    <x v="1"/>
    <s v="Good"/>
    <s v="Young Adult"/>
    <x v="0"/>
    <x v="2"/>
  </r>
  <r>
    <n v="748"/>
    <n v="15587535"/>
    <s v="Onyemauchechukwu"/>
    <s v="Spain"/>
    <s v="Female"/>
    <n v="450"/>
    <n v="46"/>
    <x v="8"/>
    <n v="177619.71"/>
    <x v="0"/>
    <x v="0"/>
    <x v="1"/>
    <n v="54227.06"/>
    <x v="1"/>
    <s v="Poor"/>
    <s v="Adult"/>
    <x v="2"/>
    <x v="2"/>
  </r>
  <r>
    <n v="749"/>
    <n v="15813034"/>
    <s v="Martin"/>
    <s v="Spain"/>
    <s v="Male"/>
    <n v="727"/>
    <n v="38"/>
    <x v="0"/>
    <n v="62276.99"/>
    <x v="0"/>
    <x v="0"/>
    <x v="0"/>
    <n v="59280.79"/>
    <x v="1"/>
    <s v="Good"/>
    <s v="Adult"/>
    <x v="2"/>
    <x v="1"/>
  </r>
  <r>
    <n v="750"/>
    <n v="15698839"/>
    <s v="Okwudilichukwu"/>
    <s v="Germany"/>
    <s v="Male"/>
    <n v="460"/>
    <n v="46"/>
    <x v="4"/>
    <n v="127559.97"/>
    <x v="2"/>
    <x v="0"/>
    <x v="0"/>
    <n v="126952.5"/>
    <x v="1"/>
    <s v="Poor"/>
    <s v="Adult"/>
    <x v="0"/>
    <x v="2"/>
  </r>
  <r>
    <n v="751"/>
    <n v="15790314"/>
    <s v="Onuoha"/>
    <s v="France"/>
    <s v="Male"/>
    <n v="649"/>
    <n v="41"/>
    <x v="10"/>
    <n v="0"/>
    <x v="2"/>
    <x v="1"/>
    <x v="0"/>
    <n v="130567.02"/>
    <x v="1"/>
    <s v="Average"/>
    <s v="Adult"/>
    <x v="0"/>
    <x v="0"/>
  </r>
  <r>
    <n v="752"/>
    <n v="15634245"/>
    <s v="Muecke"/>
    <s v="Germany"/>
    <s v="Female"/>
    <n v="758"/>
    <n v="47"/>
    <x v="9"/>
    <n v="95523.16"/>
    <x v="0"/>
    <x v="0"/>
    <x v="1"/>
    <n v="73294.48"/>
    <x v="1"/>
    <s v="Good"/>
    <s v="Adult"/>
    <x v="0"/>
    <x v="1"/>
  </r>
  <r>
    <n v="753"/>
    <n v="15677305"/>
    <s v="Hsieh"/>
    <s v="France"/>
    <s v="Female"/>
    <n v="490"/>
    <n v="35"/>
    <x v="3"/>
    <n v="107749.03"/>
    <x v="0"/>
    <x v="0"/>
    <x v="0"/>
    <n v="3937.37"/>
    <x v="1"/>
    <s v="Poor"/>
    <s v="Adult"/>
    <x v="1"/>
    <x v="2"/>
  </r>
  <r>
    <n v="754"/>
    <n v="15661526"/>
    <s v="Anderson"/>
    <s v="Germany"/>
    <s v="Male"/>
    <n v="815"/>
    <n v="37"/>
    <x v="0"/>
    <n v="110777.26"/>
    <x v="2"/>
    <x v="0"/>
    <x v="1"/>
    <n v="2383.59"/>
    <x v="1"/>
    <s v="Good"/>
    <s v="Adult"/>
    <x v="1"/>
    <x v="2"/>
  </r>
  <r>
    <n v="755"/>
    <n v="15685997"/>
    <s v="Azubuike"/>
    <s v="Spain"/>
    <s v="Female"/>
    <n v="838"/>
    <n v="39"/>
    <x v="8"/>
    <n v="166733.92000000001"/>
    <x v="2"/>
    <x v="0"/>
    <x v="1"/>
    <n v="14279.44"/>
    <x v="1"/>
    <s v="Good"/>
    <s v="Adult"/>
    <x v="1"/>
    <x v="2"/>
  </r>
  <r>
    <n v="756"/>
    <n v="15660101"/>
    <s v="Nnonso"/>
    <s v="France"/>
    <s v="Male"/>
    <n v="803"/>
    <n v="31"/>
    <x v="9"/>
    <n v="157120.85999999999"/>
    <x v="2"/>
    <x v="0"/>
    <x v="1"/>
    <n v="141300.53"/>
    <x v="1"/>
    <s v="Good"/>
    <s v="Adult"/>
    <x v="0"/>
    <x v="2"/>
  </r>
  <r>
    <n v="757"/>
    <n v="15637979"/>
    <s v="Fuller"/>
    <s v="Germany"/>
    <s v="Female"/>
    <n v="664"/>
    <n v="36"/>
    <x v="0"/>
    <n v="127160.78"/>
    <x v="2"/>
    <x v="0"/>
    <x v="1"/>
    <n v="78140.75"/>
    <x v="1"/>
    <s v="Average"/>
    <s v="Adult"/>
    <x v="0"/>
    <x v="2"/>
  </r>
  <r>
    <n v="758"/>
    <n v="15815364"/>
    <s v="Ashley"/>
    <s v="Spain"/>
    <s v="Female"/>
    <n v="736"/>
    <n v="28"/>
    <x v="0"/>
    <n v="0"/>
    <x v="2"/>
    <x v="0"/>
    <x v="0"/>
    <n v="117431.1"/>
    <x v="1"/>
    <s v="Good"/>
    <s v="Young Adult"/>
    <x v="0"/>
    <x v="0"/>
  </r>
  <r>
    <n v="759"/>
    <n v="15647099"/>
    <s v="Ts'ui"/>
    <s v="France"/>
    <s v="Female"/>
    <n v="633"/>
    <n v="37"/>
    <x v="9"/>
    <n v="156091.97"/>
    <x v="0"/>
    <x v="0"/>
    <x v="1"/>
    <n v="72008.61"/>
    <x v="1"/>
    <s v="Average"/>
    <s v="Adult"/>
    <x v="0"/>
    <x v="2"/>
  </r>
  <r>
    <n v="760"/>
    <n v="15625944"/>
    <s v="Buccho"/>
    <s v="France"/>
    <s v="Male"/>
    <n v="664"/>
    <n v="58"/>
    <x v="8"/>
    <n v="98668.18"/>
    <x v="0"/>
    <x v="0"/>
    <x v="0"/>
    <n v="60887.58"/>
    <x v="1"/>
    <s v="Average"/>
    <s v="Adult"/>
    <x v="2"/>
    <x v="1"/>
  </r>
  <r>
    <n v="761"/>
    <n v="15583212"/>
    <s v="Chidozie"/>
    <s v="France"/>
    <s v="Female"/>
    <n v="600"/>
    <n v="43"/>
    <x v="8"/>
    <n v="134022.06"/>
    <x v="0"/>
    <x v="0"/>
    <x v="1"/>
    <n v="194764.83"/>
    <x v="1"/>
    <s v="Average"/>
    <s v="Adult"/>
    <x v="0"/>
    <x v="2"/>
  </r>
  <r>
    <n v="762"/>
    <n v="15582741"/>
    <s v="Maclean"/>
    <s v="France"/>
    <s v="Female"/>
    <n v="693"/>
    <n v="35"/>
    <x v="8"/>
    <n v="124151.09"/>
    <x v="0"/>
    <x v="0"/>
    <x v="1"/>
    <n v="88705.14"/>
    <x v="0"/>
    <s v="Good"/>
    <s v="Adult"/>
    <x v="0"/>
    <x v="2"/>
  </r>
  <r>
    <n v="763"/>
    <n v="15637876"/>
    <s v="Burns"/>
    <s v="Germany"/>
    <s v="Female"/>
    <n v="663"/>
    <n v="36"/>
    <x v="5"/>
    <n v="77253.5"/>
    <x v="0"/>
    <x v="1"/>
    <x v="1"/>
    <n v="35817.97"/>
    <x v="0"/>
    <s v="Average"/>
    <s v="Adult"/>
    <x v="2"/>
    <x v="1"/>
  </r>
  <r>
    <n v="764"/>
    <n v="15622750"/>
    <s v="Chu"/>
    <s v="Germany"/>
    <s v="Female"/>
    <n v="742"/>
    <n v="21"/>
    <x v="1"/>
    <n v="114292.48"/>
    <x v="0"/>
    <x v="0"/>
    <x v="1"/>
    <n v="31520.400000000001"/>
    <x v="1"/>
    <s v="Good"/>
    <s v="Young Adult"/>
    <x v="2"/>
    <x v="2"/>
  </r>
  <r>
    <n v="765"/>
    <n v="15672056"/>
    <s v="Kenenna"/>
    <s v="Germany"/>
    <s v="Male"/>
    <n v="710"/>
    <n v="43"/>
    <x v="0"/>
    <n v="140080.32000000001"/>
    <x v="1"/>
    <x v="0"/>
    <x v="0"/>
    <n v="157908.19"/>
    <x v="0"/>
    <s v="Good"/>
    <s v="Adult"/>
    <x v="0"/>
    <x v="2"/>
  </r>
  <r>
    <n v="766"/>
    <n v="15812351"/>
    <s v="Beluchi"/>
    <s v="Spain"/>
    <s v="Female"/>
    <n v="710"/>
    <n v="27"/>
    <x v="0"/>
    <n v="135277.96"/>
    <x v="0"/>
    <x v="0"/>
    <x v="1"/>
    <n v="142200.15"/>
    <x v="1"/>
    <s v="Good"/>
    <s v="Young Adult"/>
    <x v="0"/>
    <x v="2"/>
  </r>
  <r>
    <n v="767"/>
    <n v="15810864"/>
    <s v="Williamson"/>
    <s v="France"/>
    <s v="Female"/>
    <n v="700"/>
    <n v="82"/>
    <x v="0"/>
    <n v="0"/>
    <x v="2"/>
    <x v="1"/>
    <x v="0"/>
    <n v="182055.36"/>
    <x v="1"/>
    <s v="Good"/>
    <s v="Senior"/>
    <x v="0"/>
    <x v="0"/>
  </r>
  <r>
    <n v="768"/>
    <n v="15677921"/>
    <s v="Bobrov"/>
    <s v="Germany"/>
    <s v="Male"/>
    <n v="720"/>
    <n v="60"/>
    <x v="9"/>
    <n v="115920.62"/>
    <x v="2"/>
    <x v="1"/>
    <x v="1"/>
    <n v="157552.07999999999"/>
    <x v="0"/>
    <s v="Good"/>
    <s v="Adult"/>
    <x v="0"/>
    <x v="2"/>
  </r>
  <r>
    <n v="769"/>
    <n v="15724296"/>
    <s v="Kerr"/>
    <s v="Spain"/>
    <s v="Male"/>
    <n v="684"/>
    <n v="41"/>
    <x v="0"/>
    <n v="119782.72"/>
    <x v="2"/>
    <x v="1"/>
    <x v="1"/>
    <n v="120284.67"/>
    <x v="1"/>
    <s v="Good"/>
    <s v="Adult"/>
    <x v="0"/>
    <x v="2"/>
  </r>
  <r>
    <n v="770"/>
    <n v="15685329"/>
    <s v="McKenzie"/>
    <s v="France"/>
    <s v="Female"/>
    <n v="531"/>
    <n v="63"/>
    <x v="1"/>
    <n v="114715.71"/>
    <x v="0"/>
    <x v="1"/>
    <x v="0"/>
    <n v="24506.95"/>
    <x v="0"/>
    <s v="Poor"/>
    <s v="Senior"/>
    <x v="1"/>
    <x v="2"/>
  </r>
  <r>
    <n v="771"/>
    <n v="15584091"/>
    <s v="Pitts"/>
    <s v="Germany"/>
    <s v="Female"/>
    <n v="742"/>
    <n v="36"/>
    <x v="0"/>
    <n v="129748.54"/>
    <x v="2"/>
    <x v="1"/>
    <x v="1"/>
    <n v="47271.61"/>
    <x v="0"/>
    <s v="Good"/>
    <s v="Adult"/>
    <x v="2"/>
    <x v="2"/>
  </r>
  <r>
    <n v="772"/>
    <n v="15640442"/>
    <s v="Standish"/>
    <s v="France"/>
    <s v="Male"/>
    <n v="717"/>
    <n v="31"/>
    <x v="4"/>
    <n v="129722.57"/>
    <x v="0"/>
    <x v="1"/>
    <x v="1"/>
    <n v="41176.6"/>
    <x v="1"/>
    <s v="Good"/>
    <s v="Adult"/>
    <x v="2"/>
    <x v="2"/>
  </r>
  <r>
    <n v="773"/>
    <n v="15639314"/>
    <s v="Cartwright"/>
    <s v="France"/>
    <s v="Male"/>
    <n v="589"/>
    <n v="32"/>
    <x v="0"/>
    <n v="0"/>
    <x v="2"/>
    <x v="1"/>
    <x v="0"/>
    <n v="9468.64"/>
    <x v="1"/>
    <s v="Average"/>
    <s v="Adult"/>
    <x v="1"/>
    <x v="0"/>
  </r>
  <r>
    <n v="774"/>
    <n v="15685320"/>
    <s v="Johnstone"/>
    <s v="France"/>
    <s v="Male"/>
    <n v="767"/>
    <n v="36"/>
    <x v="6"/>
    <n v="139180.20000000001"/>
    <x v="0"/>
    <x v="1"/>
    <x v="1"/>
    <n v="123880.19"/>
    <x v="1"/>
    <s v="Good"/>
    <s v="Adult"/>
    <x v="0"/>
    <x v="2"/>
  </r>
  <r>
    <n v="775"/>
    <n v="15789158"/>
    <s v="Nikitina"/>
    <s v="Germany"/>
    <s v="Male"/>
    <n v="636"/>
    <n v="49"/>
    <x v="5"/>
    <n v="113599.74"/>
    <x v="2"/>
    <x v="0"/>
    <x v="1"/>
    <n v="158887.09"/>
    <x v="0"/>
    <s v="Average"/>
    <s v="Adult"/>
    <x v="0"/>
    <x v="2"/>
  </r>
  <r>
    <n v="776"/>
    <n v="15752137"/>
    <s v="McElroy"/>
    <s v="France"/>
    <s v="Male"/>
    <n v="648"/>
    <n v="33"/>
    <x v="3"/>
    <n v="134944"/>
    <x v="0"/>
    <x v="0"/>
    <x v="0"/>
    <n v="117036.38"/>
    <x v="1"/>
    <s v="Average"/>
    <s v="Adult"/>
    <x v="0"/>
    <x v="2"/>
  </r>
  <r>
    <n v="777"/>
    <n v="15712551"/>
    <s v="Shen"/>
    <s v="Germany"/>
    <s v="Female"/>
    <n v="622"/>
    <n v="58"/>
    <x v="3"/>
    <n v="116922.25"/>
    <x v="0"/>
    <x v="0"/>
    <x v="1"/>
    <n v="120415.61"/>
    <x v="0"/>
    <s v="Average"/>
    <s v="Adult"/>
    <x v="0"/>
    <x v="2"/>
  </r>
  <r>
    <n v="778"/>
    <n v="15628936"/>
    <s v="Archer"/>
    <s v="Spain"/>
    <s v="Male"/>
    <n v="692"/>
    <n v="28"/>
    <x v="9"/>
    <n v="118945.09"/>
    <x v="0"/>
    <x v="1"/>
    <x v="1"/>
    <n v="16064.25"/>
    <x v="0"/>
    <s v="Good"/>
    <s v="Young Adult"/>
    <x v="1"/>
    <x v="2"/>
  </r>
  <r>
    <n v="779"/>
    <n v="15797227"/>
    <s v="Otutodilinna"/>
    <s v="France"/>
    <s v="Male"/>
    <n v="754"/>
    <n v="28"/>
    <x v="2"/>
    <n v="0"/>
    <x v="2"/>
    <x v="0"/>
    <x v="0"/>
    <n v="52615.62"/>
    <x v="1"/>
    <s v="Good"/>
    <s v="Young Adult"/>
    <x v="2"/>
    <x v="0"/>
  </r>
  <r>
    <n v="780"/>
    <n v="15769974"/>
    <s v="Shih"/>
    <s v="Spain"/>
    <s v="Female"/>
    <n v="679"/>
    <n v="35"/>
    <x v="2"/>
    <n v="119182.73"/>
    <x v="0"/>
    <x v="1"/>
    <x v="1"/>
    <n v="121210.09"/>
    <x v="1"/>
    <s v="Good"/>
    <s v="Adult"/>
    <x v="0"/>
    <x v="2"/>
  </r>
  <r>
    <n v="781"/>
    <n v="15737051"/>
    <s v="Denisov"/>
    <s v="France"/>
    <s v="Male"/>
    <n v="639"/>
    <n v="27"/>
    <x v="2"/>
    <n v="0"/>
    <x v="2"/>
    <x v="0"/>
    <x v="1"/>
    <n v="192247.35"/>
    <x v="1"/>
    <s v="Average"/>
    <s v="Young Adult"/>
    <x v="0"/>
    <x v="0"/>
  </r>
  <r>
    <n v="782"/>
    <n v="15585595"/>
    <s v="Owens"/>
    <s v="France"/>
    <s v="Female"/>
    <n v="774"/>
    <n v="28"/>
    <x v="1"/>
    <n v="71264.02"/>
    <x v="2"/>
    <x v="1"/>
    <x v="0"/>
    <n v="68759.570000000007"/>
    <x v="1"/>
    <s v="Good"/>
    <s v="Young Adult"/>
    <x v="2"/>
    <x v="1"/>
  </r>
  <r>
    <n v="783"/>
    <n v="15654060"/>
    <s v="P'eng"/>
    <s v="France"/>
    <s v="Male"/>
    <n v="517"/>
    <n v="41"/>
    <x v="0"/>
    <n v="0"/>
    <x v="2"/>
    <x v="1"/>
    <x v="0"/>
    <n v="75937.47"/>
    <x v="1"/>
    <s v="Poor"/>
    <s v="Adult"/>
    <x v="0"/>
    <x v="0"/>
  </r>
  <r>
    <n v="784"/>
    <n v="15745196"/>
    <s v="Verco"/>
    <s v="France"/>
    <s v="Female"/>
    <n v="571"/>
    <n v="35"/>
    <x v="2"/>
    <n v="0"/>
    <x v="2"/>
    <x v="1"/>
    <x v="1"/>
    <n v="84569.13"/>
    <x v="1"/>
    <s v="Poor"/>
    <s v="Adult"/>
    <x v="0"/>
    <x v="0"/>
  </r>
  <r>
    <n v="785"/>
    <n v="15571221"/>
    <s v="Bergamaschi"/>
    <s v="Germany"/>
    <s v="Male"/>
    <n v="747"/>
    <n v="58"/>
    <x v="3"/>
    <n v="116313.57"/>
    <x v="0"/>
    <x v="0"/>
    <x v="0"/>
    <n v="190696.35"/>
    <x v="0"/>
    <s v="Good"/>
    <s v="Adult"/>
    <x v="0"/>
    <x v="2"/>
  </r>
  <r>
    <n v="786"/>
    <n v="15660155"/>
    <s v="Lorenzo"/>
    <s v="Spain"/>
    <s v="Male"/>
    <n v="792"/>
    <n v="36"/>
    <x v="8"/>
    <n v="92140.15"/>
    <x v="0"/>
    <x v="1"/>
    <x v="0"/>
    <n v="67468.67"/>
    <x v="1"/>
    <s v="Good"/>
    <s v="Adult"/>
    <x v="2"/>
    <x v="1"/>
  </r>
  <r>
    <n v="787"/>
    <n v="15605284"/>
    <s v="Outtrim"/>
    <s v="France"/>
    <s v="Male"/>
    <n v="688"/>
    <n v="26"/>
    <x v="1"/>
    <n v="0"/>
    <x v="2"/>
    <x v="0"/>
    <x v="0"/>
    <n v="104435.94"/>
    <x v="1"/>
    <s v="Good"/>
    <s v="Young Adult"/>
    <x v="0"/>
    <x v="0"/>
  </r>
  <r>
    <n v="788"/>
    <n v="15694366"/>
    <s v="Hou"/>
    <s v="Germany"/>
    <s v="Male"/>
    <n v="714"/>
    <n v="42"/>
    <x v="0"/>
    <n v="177640.09"/>
    <x v="0"/>
    <x v="1"/>
    <x v="0"/>
    <n v="47166.55"/>
    <x v="1"/>
    <s v="Good"/>
    <s v="Adult"/>
    <x v="2"/>
    <x v="2"/>
  </r>
  <r>
    <n v="789"/>
    <n v="15600739"/>
    <s v="Galkin"/>
    <s v="Spain"/>
    <s v="Female"/>
    <n v="562"/>
    <n v="35"/>
    <x v="10"/>
    <n v="0"/>
    <x v="2"/>
    <x v="0"/>
    <x v="1"/>
    <n v="119899.52"/>
    <x v="1"/>
    <s v="Poor"/>
    <s v="Adult"/>
    <x v="0"/>
    <x v="0"/>
  </r>
  <r>
    <n v="790"/>
    <n v="15653253"/>
    <s v="Pagnotto"/>
    <s v="Spain"/>
    <s v="Male"/>
    <n v="704"/>
    <n v="48"/>
    <x v="2"/>
    <n v="167997.6"/>
    <x v="0"/>
    <x v="0"/>
    <x v="0"/>
    <n v="173498.45"/>
    <x v="1"/>
    <s v="Good"/>
    <s v="Adult"/>
    <x v="0"/>
    <x v="2"/>
  </r>
  <r>
    <n v="791"/>
    <n v="15763431"/>
    <s v="Echezonachukwu"/>
    <s v="France"/>
    <s v="Male"/>
    <n v="698"/>
    <n v="36"/>
    <x v="0"/>
    <n v="82275.350000000006"/>
    <x v="2"/>
    <x v="0"/>
    <x v="0"/>
    <n v="93249.26"/>
    <x v="1"/>
    <s v="Good"/>
    <s v="Adult"/>
    <x v="0"/>
    <x v="1"/>
  </r>
  <r>
    <n v="792"/>
    <n v="15643696"/>
    <s v="Young"/>
    <s v="France"/>
    <s v="Male"/>
    <n v="611"/>
    <n v="49"/>
    <x v="6"/>
    <n v="0"/>
    <x v="2"/>
    <x v="0"/>
    <x v="0"/>
    <n v="142917.54"/>
    <x v="1"/>
    <s v="Average"/>
    <s v="Adult"/>
    <x v="0"/>
    <x v="0"/>
  </r>
  <r>
    <n v="793"/>
    <n v="15707473"/>
    <s v="Summers"/>
    <s v="Germany"/>
    <s v="Female"/>
    <n v="850"/>
    <n v="48"/>
    <x v="5"/>
    <n v="111962.99"/>
    <x v="0"/>
    <x v="0"/>
    <x v="1"/>
    <n v="111755.8"/>
    <x v="1"/>
    <s v="Good"/>
    <s v="Adult"/>
    <x v="0"/>
    <x v="2"/>
  </r>
  <r>
    <n v="794"/>
    <n v="15769504"/>
    <s v="Munro"/>
    <s v="Germany"/>
    <s v="Female"/>
    <n v="743"/>
    <n v="34"/>
    <x v="1"/>
    <n v="131736.88"/>
    <x v="0"/>
    <x v="0"/>
    <x v="0"/>
    <n v="108543.21"/>
    <x v="1"/>
    <s v="Good"/>
    <s v="Adult"/>
    <x v="0"/>
    <x v="2"/>
  </r>
  <r>
    <n v="795"/>
    <n v="15776807"/>
    <s v="Brennan"/>
    <s v="France"/>
    <s v="Male"/>
    <n v="654"/>
    <n v="29"/>
    <x v="1"/>
    <n v="0"/>
    <x v="0"/>
    <x v="0"/>
    <x v="1"/>
    <n v="180345.44"/>
    <x v="1"/>
    <s v="Average"/>
    <s v="Young Adult"/>
    <x v="0"/>
    <x v="0"/>
  </r>
  <r>
    <n v="796"/>
    <n v="15686870"/>
    <s v="Ball"/>
    <s v="Germany"/>
    <s v="Male"/>
    <n v="761"/>
    <n v="36"/>
    <x v="2"/>
    <n v="108239.11"/>
    <x v="2"/>
    <x v="1"/>
    <x v="1"/>
    <n v="99444.02"/>
    <x v="1"/>
    <s v="Good"/>
    <s v="Adult"/>
    <x v="0"/>
    <x v="2"/>
  </r>
  <r>
    <n v="797"/>
    <n v="15668747"/>
    <s v="Virgo"/>
    <s v="France"/>
    <s v="Female"/>
    <n v="702"/>
    <n v="46"/>
    <x v="9"/>
    <n v="98444.19"/>
    <x v="0"/>
    <x v="1"/>
    <x v="0"/>
    <n v="109563.28"/>
    <x v="1"/>
    <s v="Good"/>
    <s v="Adult"/>
    <x v="0"/>
    <x v="1"/>
  </r>
  <r>
    <n v="798"/>
    <n v="15766908"/>
    <s v="Trevisani"/>
    <s v="Germany"/>
    <s v="Male"/>
    <n v="488"/>
    <n v="32"/>
    <x v="6"/>
    <n v="114540.38"/>
    <x v="0"/>
    <x v="0"/>
    <x v="1"/>
    <n v="92568.07"/>
    <x v="1"/>
    <s v="Poor"/>
    <s v="Adult"/>
    <x v="0"/>
    <x v="2"/>
  </r>
  <r>
    <n v="799"/>
    <n v="15570134"/>
    <s v="Padovano"/>
    <s v="France"/>
    <s v="Female"/>
    <n v="683"/>
    <n v="35"/>
    <x v="5"/>
    <n v="187530.66"/>
    <x v="2"/>
    <x v="0"/>
    <x v="0"/>
    <n v="37976.36"/>
    <x v="1"/>
    <s v="Good"/>
    <s v="Adult"/>
    <x v="2"/>
    <x v="2"/>
  </r>
  <r>
    <n v="800"/>
    <n v="15567367"/>
    <s v="Tao"/>
    <s v="Germany"/>
    <s v="Female"/>
    <n v="601"/>
    <n v="42"/>
    <x v="9"/>
    <n v="133636.16"/>
    <x v="0"/>
    <x v="1"/>
    <x v="0"/>
    <n v="103315.74"/>
    <x v="1"/>
    <s v="Average"/>
    <s v="Adult"/>
    <x v="0"/>
    <x v="2"/>
  </r>
  <r>
    <n v="801"/>
    <n v="15747542"/>
    <s v="Perez"/>
    <s v="France"/>
    <s v="Male"/>
    <n v="605"/>
    <n v="52"/>
    <x v="3"/>
    <n v="0"/>
    <x v="2"/>
    <x v="0"/>
    <x v="0"/>
    <n v="173952.5"/>
    <x v="1"/>
    <s v="Average"/>
    <s v="Adult"/>
    <x v="0"/>
    <x v="0"/>
  </r>
  <r>
    <n v="802"/>
    <n v="15762238"/>
    <s v="Fraser"/>
    <s v="Germany"/>
    <s v="Female"/>
    <n v="671"/>
    <n v="44"/>
    <x v="10"/>
    <n v="84745.03"/>
    <x v="2"/>
    <x v="1"/>
    <x v="0"/>
    <n v="34673.980000000003"/>
    <x v="1"/>
    <s v="Good"/>
    <s v="Adult"/>
    <x v="2"/>
    <x v="1"/>
  </r>
  <r>
    <n v="803"/>
    <n v="15681554"/>
    <s v="Alley"/>
    <s v="Germany"/>
    <s v="Female"/>
    <n v="614"/>
    <n v="31"/>
    <x v="3"/>
    <n v="120599.38"/>
    <x v="2"/>
    <x v="0"/>
    <x v="0"/>
    <n v="46163.44"/>
    <x v="1"/>
    <s v="Average"/>
    <s v="Adult"/>
    <x v="2"/>
    <x v="2"/>
  </r>
  <r>
    <n v="804"/>
    <n v="15712825"/>
    <s v="Howells"/>
    <s v="Spain"/>
    <s v="Female"/>
    <n v="511"/>
    <n v="29"/>
    <x v="9"/>
    <n v="0"/>
    <x v="2"/>
    <x v="1"/>
    <x v="0"/>
    <n v="140676.98000000001"/>
    <x v="1"/>
    <s v="Poor"/>
    <s v="Young Adult"/>
    <x v="0"/>
    <x v="0"/>
  </r>
  <r>
    <n v="805"/>
    <n v="15640280"/>
    <s v="Cameron"/>
    <s v="France"/>
    <s v="Male"/>
    <n v="850"/>
    <n v="39"/>
    <x v="4"/>
    <n v="127771.35"/>
    <x v="2"/>
    <x v="1"/>
    <x v="0"/>
    <n v="151738.54"/>
    <x v="1"/>
    <s v="Good"/>
    <s v="Adult"/>
    <x v="0"/>
    <x v="2"/>
  </r>
  <r>
    <n v="806"/>
    <n v="15756026"/>
    <s v="Hooper"/>
    <s v="Spain"/>
    <s v="Female"/>
    <n v="790"/>
    <n v="46"/>
    <x v="9"/>
    <n v="0"/>
    <x v="0"/>
    <x v="1"/>
    <x v="1"/>
    <n v="14679.81"/>
    <x v="0"/>
    <s v="Good"/>
    <s v="Adult"/>
    <x v="1"/>
    <x v="0"/>
  </r>
  <r>
    <n v="807"/>
    <n v="15613319"/>
    <s v="Rice"/>
    <s v="France"/>
    <s v="Female"/>
    <n v="793"/>
    <n v="33"/>
    <x v="10"/>
    <n v="0"/>
    <x v="0"/>
    <x v="1"/>
    <x v="1"/>
    <n v="175544.02"/>
    <x v="1"/>
    <s v="Good"/>
    <s v="Adult"/>
    <x v="0"/>
    <x v="0"/>
  </r>
  <r>
    <n v="808"/>
    <n v="15798906"/>
    <s v="Cox"/>
    <s v="France"/>
    <s v="Male"/>
    <n v="628"/>
    <n v="69"/>
    <x v="8"/>
    <n v="0"/>
    <x v="2"/>
    <x v="0"/>
    <x v="0"/>
    <n v="181964.6"/>
    <x v="1"/>
    <s v="Average"/>
    <s v="Senior"/>
    <x v="0"/>
    <x v="0"/>
  </r>
  <r>
    <n v="809"/>
    <n v="15708917"/>
    <s v="Martin"/>
    <s v="Germany"/>
    <s v="Male"/>
    <n v="598"/>
    <n v="53"/>
    <x v="7"/>
    <n v="167772.96"/>
    <x v="0"/>
    <x v="0"/>
    <x v="0"/>
    <n v="136886.85999999999"/>
    <x v="1"/>
    <s v="Average"/>
    <s v="Adult"/>
    <x v="0"/>
    <x v="2"/>
  </r>
  <r>
    <n v="810"/>
    <n v="15778463"/>
    <s v="Ikenna"/>
    <s v="France"/>
    <s v="Female"/>
    <n v="657"/>
    <n v="37"/>
    <x v="5"/>
    <n v="95845.6"/>
    <x v="0"/>
    <x v="0"/>
    <x v="1"/>
    <n v="122218.23"/>
    <x v="1"/>
    <s v="Average"/>
    <s v="Adult"/>
    <x v="0"/>
    <x v="1"/>
  </r>
  <r>
    <n v="811"/>
    <n v="15699430"/>
    <s v="Davide"/>
    <s v="France"/>
    <s v="Female"/>
    <n v="618"/>
    <n v="35"/>
    <x v="7"/>
    <n v="0"/>
    <x v="2"/>
    <x v="0"/>
    <x v="1"/>
    <n v="180439.75"/>
    <x v="1"/>
    <s v="Average"/>
    <s v="Adult"/>
    <x v="0"/>
    <x v="0"/>
  </r>
  <r>
    <n v="812"/>
    <n v="15649992"/>
    <s v="Alexander"/>
    <s v="Spain"/>
    <s v="Male"/>
    <n v="681"/>
    <n v="65"/>
    <x v="3"/>
    <n v="134714.70000000001"/>
    <x v="2"/>
    <x v="1"/>
    <x v="0"/>
    <n v="190419.81"/>
    <x v="1"/>
    <s v="Good"/>
    <s v="Senior"/>
    <x v="0"/>
    <x v="2"/>
  </r>
  <r>
    <n v="813"/>
    <n v="15578980"/>
    <s v="Piazza"/>
    <s v="Spain"/>
    <s v="Female"/>
    <n v="516"/>
    <n v="33"/>
    <x v="6"/>
    <n v="0"/>
    <x v="2"/>
    <x v="0"/>
    <x v="0"/>
    <n v="58685.59"/>
    <x v="1"/>
    <s v="Poor"/>
    <s v="Adult"/>
    <x v="2"/>
    <x v="0"/>
  </r>
  <r>
    <n v="814"/>
    <n v="15775306"/>
    <s v="Ni"/>
    <s v="Germany"/>
    <s v="Male"/>
    <n v="421"/>
    <n v="28"/>
    <x v="2"/>
    <n v="122384.22"/>
    <x v="1"/>
    <x v="0"/>
    <x v="0"/>
    <n v="89017.38"/>
    <x v="0"/>
    <s v="Poor"/>
    <s v="Young Adult"/>
    <x v="0"/>
    <x v="2"/>
  </r>
  <r>
    <n v="815"/>
    <n v="15641655"/>
    <s v="Black"/>
    <s v="France"/>
    <s v="Female"/>
    <n v="700"/>
    <n v="26"/>
    <x v="0"/>
    <n v="0"/>
    <x v="2"/>
    <x v="1"/>
    <x v="1"/>
    <n v="50051.42"/>
    <x v="1"/>
    <s v="Good"/>
    <s v="Young Adult"/>
    <x v="2"/>
    <x v="0"/>
  </r>
  <r>
    <n v="816"/>
    <n v="15619708"/>
    <s v="Harker"/>
    <s v="France"/>
    <s v="Male"/>
    <n v="745"/>
    <n v="25"/>
    <x v="8"/>
    <n v="157993.15"/>
    <x v="2"/>
    <x v="0"/>
    <x v="1"/>
    <n v="146041.45000000001"/>
    <x v="1"/>
    <s v="Good"/>
    <s v="Young Adult"/>
    <x v="0"/>
    <x v="2"/>
  </r>
  <r>
    <n v="817"/>
    <n v="15734565"/>
    <s v="Hughes"/>
    <s v="France"/>
    <s v="Male"/>
    <n v="696"/>
    <n v="29"/>
    <x v="2"/>
    <n v="0"/>
    <x v="2"/>
    <x v="0"/>
    <x v="1"/>
    <n v="191166.09"/>
    <x v="1"/>
    <s v="Good"/>
    <s v="Young Adult"/>
    <x v="0"/>
    <x v="0"/>
  </r>
  <r>
    <n v="818"/>
    <n v="15806438"/>
    <s v="Chiabuotu"/>
    <s v="Germany"/>
    <s v="Female"/>
    <n v="580"/>
    <n v="42"/>
    <x v="0"/>
    <n v="123331.36"/>
    <x v="0"/>
    <x v="1"/>
    <x v="1"/>
    <n v="103516.08"/>
    <x v="0"/>
    <s v="Average"/>
    <s v="Adult"/>
    <x v="0"/>
    <x v="2"/>
  </r>
  <r>
    <n v="819"/>
    <n v="15591969"/>
    <s v="Kuo"/>
    <s v="Spain"/>
    <s v="Male"/>
    <n v="497"/>
    <n v="27"/>
    <x v="9"/>
    <n v="75263.16"/>
    <x v="0"/>
    <x v="0"/>
    <x v="0"/>
    <n v="164825.04"/>
    <x v="1"/>
    <s v="Poor"/>
    <s v="Young Adult"/>
    <x v="0"/>
    <x v="1"/>
  </r>
  <r>
    <n v="820"/>
    <n v="15747807"/>
    <s v="Gallagher"/>
    <s v="France"/>
    <s v="Female"/>
    <n v="720"/>
    <n v="43"/>
    <x v="5"/>
    <n v="137824.03"/>
    <x v="2"/>
    <x v="0"/>
    <x v="1"/>
    <n v="172557.77"/>
    <x v="1"/>
    <s v="Good"/>
    <s v="Adult"/>
    <x v="0"/>
    <x v="2"/>
  </r>
  <r>
    <n v="821"/>
    <n v="15596939"/>
    <s v="Calabresi"/>
    <s v="Germany"/>
    <s v="Male"/>
    <n v="659"/>
    <n v="36"/>
    <x v="4"/>
    <n v="132578.92000000001"/>
    <x v="2"/>
    <x v="0"/>
    <x v="1"/>
    <n v="84320.94"/>
    <x v="1"/>
    <s v="Average"/>
    <s v="Adult"/>
    <x v="0"/>
    <x v="2"/>
  </r>
  <r>
    <n v="822"/>
    <n v="15716155"/>
    <s v="Shaw"/>
    <s v="France"/>
    <s v="Female"/>
    <n v="841"/>
    <n v="36"/>
    <x v="8"/>
    <n v="156021.31"/>
    <x v="0"/>
    <x v="1"/>
    <x v="1"/>
    <n v="122662.98"/>
    <x v="1"/>
    <s v="Good"/>
    <s v="Adult"/>
    <x v="0"/>
    <x v="2"/>
  </r>
  <r>
    <n v="823"/>
    <n v="15765311"/>
    <s v="Zhirov"/>
    <s v="Spain"/>
    <s v="Male"/>
    <n v="642"/>
    <n v="34"/>
    <x v="2"/>
    <n v="0"/>
    <x v="0"/>
    <x v="0"/>
    <x v="1"/>
    <n v="72085.100000000006"/>
    <x v="1"/>
    <s v="Average"/>
    <s v="Adult"/>
    <x v="0"/>
    <x v="0"/>
  </r>
  <r>
    <n v="824"/>
    <n v="15757811"/>
    <s v="Lloyd"/>
    <s v="Spain"/>
    <s v="Female"/>
    <n v="732"/>
    <n v="69"/>
    <x v="9"/>
    <n v="137453.43"/>
    <x v="0"/>
    <x v="1"/>
    <x v="0"/>
    <n v="110932.24"/>
    <x v="0"/>
    <s v="Good"/>
    <s v="Senior"/>
    <x v="0"/>
    <x v="2"/>
  </r>
  <r>
    <n v="825"/>
    <n v="15603830"/>
    <s v="Palmer"/>
    <s v="Spain"/>
    <s v="Male"/>
    <n v="600"/>
    <n v="36"/>
    <x v="4"/>
    <n v="0"/>
    <x v="2"/>
    <x v="0"/>
    <x v="1"/>
    <n v="143635.35999999999"/>
    <x v="1"/>
    <s v="Average"/>
    <s v="Adult"/>
    <x v="0"/>
    <x v="0"/>
  </r>
  <r>
    <n v="826"/>
    <n v="15660602"/>
    <s v="Ch'eng"/>
    <s v="Germany"/>
    <s v="Male"/>
    <n v="464"/>
    <n v="33"/>
    <x v="2"/>
    <n v="164284.72"/>
    <x v="2"/>
    <x v="0"/>
    <x v="0"/>
    <n v="3710.34"/>
    <x v="1"/>
    <s v="Poor"/>
    <s v="Adult"/>
    <x v="1"/>
    <x v="2"/>
  </r>
  <r>
    <n v="827"/>
    <n v="15660535"/>
    <s v="Avent"/>
    <s v="France"/>
    <s v="Female"/>
    <n v="680"/>
    <n v="47"/>
    <x v="8"/>
    <n v="0"/>
    <x v="2"/>
    <x v="0"/>
    <x v="0"/>
    <n v="179843.33"/>
    <x v="1"/>
    <s v="Good"/>
    <s v="Adult"/>
    <x v="0"/>
    <x v="0"/>
  </r>
  <r>
    <n v="828"/>
    <n v="15666633"/>
    <s v="Huang"/>
    <s v="Spain"/>
    <s v="Male"/>
    <n v="758"/>
    <n v="56"/>
    <x v="1"/>
    <n v="0"/>
    <x v="2"/>
    <x v="0"/>
    <x v="0"/>
    <n v="10643.38"/>
    <x v="1"/>
    <s v="Good"/>
    <s v="Adult"/>
    <x v="1"/>
    <x v="0"/>
  </r>
  <r>
    <n v="829"/>
    <n v="15596914"/>
    <s v="Shaw"/>
    <s v="Germany"/>
    <s v="Female"/>
    <n v="630"/>
    <n v="31"/>
    <x v="0"/>
    <n v="112373.49"/>
    <x v="2"/>
    <x v="0"/>
    <x v="0"/>
    <n v="131167.98000000001"/>
    <x v="1"/>
    <s v="Average"/>
    <s v="Adult"/>
    <x v="0"/>
    <x v="2"/>
  </r>
  <r>
    <n v="830"/>
    <n v="15639788"/>
    <s v="Yuan"/>
    <s v="France"/>
    <s v="Female"/>
    <n v="577"/>
    <n v="39"/>
    <x v="7"/>
    <n v="0"/>
    <x v="2"/>
    <x v="0"/>
    <x v="1"/>
    <n v="10553.31"/>
    <x v="1"/>
    <s v="Poor"/>
    <s v="Adult"/>
    <x v="1"/>
    <x v="0"/>
  </r>
  <r>
    <n v="831"/>
    <n v="15695846"/>
    <s v="Hawkins"/>
    <s v="France"/>
    <s v="Female"/>
    <n v="684"/>
    <n v="34"/>
    <x v="5"/>
    <n v="0"/>
    <x v="2"/>
    <x v="0"/>
    <x v="0"/>
    <n v="130928.22"/>
    <x v="1"/>
    <s v="Good"/>
    <s v="Adult"/>
    <x v="0"/>
    <x v="0"/>
  </r>
  <r>
    <n v="832"/>
    <n v="15726234"/>
    <s v="Trentini"/>
    <s v="Spain"/>
    <s v="Female"/>
    <n v="708"/>
    <n v="41"/>
    <x v="8"/>
    <n v="0"/>
    <x v="0"/>
    <x v="1"/>
    <x v="0"/>
    <n v="157003.99"/>
    <x v="1"/>
    <s v="Good"/>
    <s v="Adult"/>
    <x v="0"/>
    <x v="0"/>
  </r>
  <r>
    <n v="833"/>
    <n v="15797964"/>
    <s v="Cameron"/>
    <s v="Germany"/>
    <s v="Female"/>
    <n v="732"/>
    <n v="29"/>
    <x v="1"/>
    <n v="154333.82"/>
    <x v="0"/>
    <x v="0"/>
    <x v="0"/>
    <n v="138527.56"/>
    <x v="1"/>
    <s v="Good"/>
    <s v="Young Adult"/>
    <x v="0"/>
    <x v="2"/>
  </r>
  <r>
    <n v="834"/>
    <n v="15625881"/>
    <s v="Koehler"/>
    <s v="Germany"/>
    <s v="Male"/>
    <n v="634"/>
    <n v="37"/>
    <x v="6"/>
    <n v="111432.77"/>
    <x v="2"/>
    <x v="0"/>
    <x v="0"/>
    <n v="167032.49"/>
    <x v="1"/>
    <s v="Average"/>
    <s v="Adult"/>
    <x v="0"/>
    <x v="2"/>
  </r>
  <r>
    <n v="835"/>
    <n v="15780628"/>
    <s v="Wu"/>
    <s v="France"/>
    <s v="Female"/>
    <n v="633"/>
    <n v="30"/>
    <x v="5"/>
    <n v="0"/>
    <x v="2"/>
    <x v="1"/>
    <x v="1"/>
    <n v="41642.29"/>
    <x v="1"/>
    <s v="Average"/>
    <s v="Young Adult"/>
    <x v="2"/>
    <x v="0"/>
  </r>
  <r>
    <n v="836"/>
    <n v="15575883"/>
    <s v="Manna"/>
    <s v="France"/>
    <s v="Male"/>
    <n v="559"/>
    <n v="34"/>
    <x v="0"/>
    <n v="137390.10999999999"/>
    <x v="2"/>
    <x v="0"/>
    <x v="1"/>
    <n v="9677"/>
    <x v="1"/>
    <s v="Poor"/>
    <s v="Adult"/>
    <x v="1"/>
    <x v="2"/>
  </r>
  <r>
    <n v="837"/>
    <n v="15585036"/>
    <s v="Okoli"/>
    <s v="Spain"/>
    <s v="Female"/>
    <n v="694"/>
    <n v="37"/>
    <x v="6"/>
    <n v="0"/>
    <x v="2"/>
    <x v="0"/>
    <x v="0"/>
    <n v="147012.22"/>
    <x v="1"/>
    <s v="Good"/>
    <s v="Adult"/>
    <x v="0"/>
    <x v="0"/>
  </r>
  <r>
    <n v="838"/>
    <n v="15589488"/>
    <s v="Ch'eng"/>
    <s v="Germany"/>
    <s v="Female"/>
    <n v="686"/>
    <n v="56"/>
    <x v="8"/>
    <n v="111642.08"/>
    <x v="0"/>
    <x v="0"/>
    <x v="0"/>
    <n v="80553.87"/>
    <x v="1"/>
    <s v="Good"/>
    <s v="Adult"/>
    <x v="0"/>
    <x v="2"/>
  </r>
  <r>
    <n v="839"/>
    <n v="15585888"/>
    <s v="Nwokezuike"/>
    <s v="Spain"/>
    <s v="Female"/>
    <n v="553"/>
    <n v="48"/>
    <x v="6"/>
    <n v="0"/>
    <x v="0"/>
    <x v="1"/>
    <x v="0"/>
    <n v="30730.95"/>
    <x v="0"/>
    <s v="Poor"/>
    <s v="Adult"/>
    <x v="2"/>
    <x v="0"/>
  </r>
  <r>
    <n v="840"/>
    <n v="15727915"/>
    <s v="Artemiev"/>
    <s v="France"/>
    <s v="Male"/>
    <n v="507"/>
    <n v="36"/>
    <x v="4"/>
    <n v="83543.37"/>
    <x v="0"/>
    <x v="1"/>
    <x v="1"/>
    <n v="140134.43"/>
    <x v="1"/>
    <s v="Poor"/>
    <s v="Adult"/>
    <x v="0"/>
    <x v="1"/>
  </r>
  <r>
    <n v="841"/>
    <n v="15707567"/>
    <s v="Esposito"/>
    <s v="Germany"/>
    <s v="Male"/>
    <n v="732"/>
    <n v="50"/>
    <x v="5"/>
    <n v="145338.76"/>
    <x v="0"/>
    <x v="1"/>
    <x v="1"/>
    <n v="91936.1"/>
    <x v="0"/>
    <s v="Good"/>
    <s v="Adult"/>
    <x v="0"/>
    <x v="2"/>
  </r>
  <r>
    <n v="842"/>
    <n v="15737792"/>
    <s v="Abbie"/>
    <s v="France"/>
    <s v="Female"/>
    <n v="818"/>
    <n v="31"/>
    <x v="1"/>
    <n v="186796.37"/>
    <x v="0"/>
    <x v="1"/>
    <x v="1"/>
    <n v="178252.63"/>
    <x v="1"/>
    <s v="Good"/>
    <s v="Adult"/>
    <x v="0"/>
    <x v="2"/>
  </r>
  <r>
    <n v="843"/>
    <n v="15599433"/>
    <s v="Fanucci"/>
    <s v="Germany"/>
    <s v="Male"/>
    <n v="660"/>
    <n v="35"/>
    <x v="2"/>
    <n v="58641.43"/>
    <x v="0"/>
    <x v="1"/>
    <x v="0"/>
    <n v="198674.08"/>
    <x v="1"/>
    <s v="Average"/>
    <s v="Adult"/>
    <x v="0"/>
    <x v="1"/>
  </r>
  <r>
    <n v="844"/>
    <n v="15672012"/>
    <s v="Jen"/>
    <s v="Spain"/>
    <s v="Female"/>
    <n v="773"/>
    <n v="41"/>
    <x v="8"/>
    <n v="0"/>
    <x v="0"/>
    <x v="0"/>
    <x v="1"/>
    <n v="28266.9"/>
    <x v="0"/>
    <s v="Good"/>
    <s v="Adult"/>
    <x v="1"/>
    <x v="0"/>
  </r>
  <r>
    <n v="845"/>
    <n v="15806983"/>
    <s v="Moss"/>
    <s v="France"/>
    <s v="Male"/>
    <n v="640"/>
    <n v="44"/>
    <x v="6"/>
    <n v="137148.68"/>
    <x v="0"/>
    <x v="0"/>
    <x v="1"/>
    <n v="92381.01"/>
    <x v="1"/>
    <s v="Average"/>
    <s v="Adult"/>
    <x v="0"/>
    <x v="2"/>
  </r>
  <r>
    <n v="846"/>
    <n v="15592222"/>
    <s v="Lo"/>
    <s v="France"/>
    <s v="Male"/>
    <n v="505"/>
    <n v="49"/>
    <x v="3"/>
    <n v="80001.23"/>
    <x v="0"/>
    <x v="1"/>
    <x v="1"/>
    <n v="135180.10999999999"/>
    <x v="1"/>
    <s v="Poor"/>
    <s v="Adult"/>
    <x v="0"/>
    <x v="1"/>
  </r>
  <r>
    <n v="847"/>
    <n v="15608968"/>
    <s v="Averyanov"/>
    <s v="Germany"/>
    <s v="Male"/>
    <n v="714"/>
    <n v="21"/>
    <x v="5"/>
    <n v="86402.52"/>
    <x v="2"/>
    <x v="1"/>
    <x v="1"/>
    <n v="27330.59"/>
    <x v="1"/>
    <s v="Good"/>
    <s v="Young Adult"/>
    <x v="1"/>
    <x v="1"/>
  </r>
  <r>
    <n v="848"/>
    <n v="15586959"/>
    <s v="Unaipon"/>
    <s v="France"/>
    <s v="Female"/>
    <n v="468"/>
    <n v="42"/>
    <x v="8"/>
    <n v="0"/>
    <x v="2"/>
    <x v="0"/>
    <x v="1"/>
    <n v="125305.34"/>
    <x v="1"/>
    <s v="Poor"/>
    <s v="Adult"/>
    <x v="0"/>
    <x v="0"/>
  </r>
  <r>
    <n v="849"/>
    <n v="15646558"/>
    <s v="Clamp"/>
    <s v="Spain"/>
    <s v="Male"/>
    <n v="611"/>
    <n v="51"/>
    <x v="1"/>
    <n v="122874.74"/>
    <x v="0"/>
    <x v="0"/>
    <x v="0"/>
    <n v="149648.45000000001"/>
    <x v="1"/>
    <s v="Average"/>
    <s v="Adult"/>
    <x v="0"/>
    <x v="2"/>
  </r>
  <r>
    <n v="850"/>
    <n v="15725811"/>
    <s v="Lim"/>
    <s v="France"/>
    <s v="Male"/>
    <n v="705"/>
    <n v="25"/>
    <x v="10"/>
    <n v="97544.29"/>
    <x v="0"/>
    <x v="1"/>
    <x v="0"/>
    <n v="59887.15"/>
    <x v="1"/>
    <s v="Good"/>
    <s v="Young Adult"/>
    <x v="2"/>
    <x v="1"/>
  </r>
  <r>
    <n v="851"/>
    <n v="15572265"/>
    <s v="Wu"/>
    <s v="Germany"/>
    <s v="Male"/>
    <n v="646"/>
    <n v="46"/>
    <x v="1"/>
    <n v="170826.55"/>
    <x v="2"/>
    <x v="0"/>
    <x v="1"/>
    <n v="45041.32"/>
    <x v="1"/>
    <s v="Average"/>
    <s v="Adult"/>
    <x v="2"/>
    <x v="2"/>
  </r>
  <r>
    <n v="852"/>
    <n v="15794048"/>
    <s v="Wan"/>
    <s v="Germany"/>
    <s v="Female"/>
    <n v="667"/>
    <n v="48"/>
    <x v="1"/>
    <n v="97133.92"/>
    <x v="2"/>
    <x v="1"/>
    <x v="1"/>
    <n v="113316.77"/>
    <x v="0"/>
    <s v="Average"/>
    <s v="Adult"/>
    <x v="0"/>
    <x v="1"/>
  </r>
  <r>
    <n v="853"/>
    <n v="15677610"/>
    <s v="Chambers"/>
    <s v="Germany"/>
    <s v="Female"/>
    <n v="511"/>
    <n v="41"/>
    <x v="2"/>
    <n v="153895.65"/>
    <x v="0"/>
    <x v="0"/>
    <x v="0"/>
    <n v="39087.42"/>
    <x v="1"/>
    <s v="Poor"/>
    <s v="Adult"/>
    <x v="2"/>
    <x v="2"/>
  </r>
  <r>
    <n v="854"/>
    <n v="15745012"/>
    <s v="Pettit"/>
    <s v="France"/>
    <s v="Female"/>
    <n v="653"/>
    <n v="43"/>
    <x v="5"/>
    <n v="0"/>
    <x v="2"/>
    <x v="0"/>
    <x v="0"/>
    <n v="7330.59"/>
    <x v="1"/>
    <s v="Average"/>
    <s v="Adult"/>
    <x v="1"/>
    <x v="0"/>
  </r>
  <r>
    <n v="855"/>
    <n v="15601589"/>
    <s v="Baresi"/>
    <s v="France"/>
    <s v="Female"/>
    <n v="675"/>
    <n v="57"/>
    <x v="2"/>
    <n v="0"/>
    <x v="2"/>
    <x v="1"/>
    <x v="0"/>
    <n v="95463.29"/>
    <x v="1"/>
    <s v="Good"/>
    <s v="Adult"/>
    <x v="0"/>
    <x v="0"/>
  </r>
  <r>
    <n v="856"/>
    <n v="15686436"/>
    <s v="Newbery"/>
    <s v="Spain"/>
    <s v="Male"/>
    <n v="523"/>
    <n v="32"/>
    <x v="4"/>
    <n v="0"/>
    <x v="2"/>
    <x v="0"/>
    <x v="1"/>
    <n v="167848.02"/>
    <x v="1"/>
    <s v="Poor"/>
    <s v="Adult"/>
    <x v="0"/>
    <x v="0"/>
  </r>
  <r>
    <n v="857"/>
    <n v="15693864"/>
    <s v="Iheanacho"/>
    <s v="Germany"/>
    <s v="Female"/>
    <n v="567"/>
    <n v="49"/>
    <x v="8"/>
    <n v="134956.01999999999"/>
    <x v="0"/>
    <x v="0"/>
    <x v="1"/>
    <n v="93953.84"/>
    <x v="0"/>
    <s v="Poor"/>
    <s v="Adult"/>
    <x v="0"/>
    <x v="2"/>
  </r>
  <r>
    <n v="858"/>
    <n v="15760550"/>
    <s v="Duncan"/>
    <s v="Spain"/>
    <s v="Male"/>
    <n v="741"/>
    <n v="39"/>
    <x v="3"/>
    <n v="143637.57999999999"/>
    <x v="2"/>
    <x v="1"/>
    <x v="0"/>
    <n v="174227.66"/>
    <x v="1"/>
    <s v="Good"/>
    <s v="Adult"/>
    <x v="0"/>
    <x v="2"/>
  </r>
  <r>
    <n v="859"/>
    <n v="15686137"/>
    <s v="Barry"/>
    <s v="Spain"/>
    <s v="Male"/>
    <n v="456"/>
    <n v="32"/>
    <x v="9"/>
    <n v="147506.25"/>
    <x v="0"/>
    <x v="0"/>
    <x v="0"/>
    <n v="135399.21"/>
    <x v="1"/>
    <s v="Poor"/>
    <s v="Adult"/>
    <x v="0"/>
    <x v="2"/>
  </r>
  <r>
    <n v="860"/>
    <n v="15809087"/>
    <s v="Landry"/>
    <s v="France"/>
    <s v="Male"/>
    <n v="598"/>
    <n v="64"/>
    <x v="1"/>
    <n v="0"/>
    <x v="2"/>
    <x v="0"/>
    <x v="1"/>
    <n v="195635.3"/>
    <x v="0"/>
    <s v="Average"/>
    <s v="Senior"/>
    <x v="0"/>
    <x v="0"/>
  </r>
  <r>
    <n v="861"/>
    <n v="15807663"/>
    <s v="McGregor"/>
    <s v="France"/>
    <s v="Male"/>
    <n v="667"/>
    <n v="43"/>
    <x v="2"/>
    <n v="190227.46"/>
    <x v="0"/>
    <x v="0"/>
    <x v="1"/>
    <n v="97508.04"/>
    <x v="0"/>
    <s v="Average"/>
    <s v="Adult"/>
    <x v="0"/>
    <x v="2"/>
  </r>
  <r>
    <n v="862"/>
    <n v="15809100"/>
    <s v="Nucci"/>
    <s v="France"/>
    <s v="Female"/>
    <n v="548"/>
    <n v="32"/>
    <x v="0"/>
    <n v="172448.77"/>
    <x v="0"/>
    <x v="0"/>
    <x v="1"/>
    <n v="188083.77"/>
    <x v="0"/>
    <s v="Poor"/>
    <s v="Adult"/>
    <x v="0"/>
    <x v="2"/>
  </r>
  <r>
    <n v="863"/>
    <n v="15794916"/>
    <s v="Pirogov"/>
    <s v="France"/>
    <s v="Male"/>
    <n v="725"/>
    <n v="41"/>
    <x v="3"/>
    <n v="113980.21"/>
    <x v="0"/>
    <x v="0"/>
    <x v="0"/>
    <n v="116704.25"/>
    <x v="1"/>
    <s v="Good"/>
    <s v="Adult"/>
    <x v="0"/>
    <x v="2"/>
  </r>
  <r>
    <n v="864"/>
    <n v="15614215"/>
    <s v="Oguejiofor"/>
    <s v="France"/>
    <s v="Male"/>
    <n v="717"/>
    <n v="53"/>
    <x v="5"/>
    <n v="0"/>
    <x v="2"/>
    <x v="1"/>
    <x v="0"/>
    <n v="97614.87"/>
    <x v="1"/>
    <s v="Good"/>
    <s v="Adult"/>
    <x v="0"/>
    <x v="0"/>
  </r>
  <r>
    <n v="865"/>
    <n v="15805449"/>
    <s v="Ugochukwu"/>
    <s v="France"/>
    <s v="Male"/>
    <n v="594"/>
    <n v="38"/>
    <x v="4"/>
    <n v="0"/>
    <x v="2"/>
    <x v="1"/>
    <x v="1"/>
    <n v="186884.04"/>
    <x v="1"/>
    <s v="Average"/>
    <s v="Adult"/>
    <x v="0"/>
    <x v="0"/>
  </r>
  <r>
    <n v="866"/>
    <n v="15686983"/>
    <s v="Rohu"/>
    <s v="Germany"/>
    <s v="Female"/>
    <n v="678"/>
    <n v="25"/>
    <x v="7"/>
    <n v="76968.12"/>
    <x v="2"/>
    <x v="1"/>
    <x v="0"/>
    <n v="131501.72"/>
    <x v="1"/>
    <s v="Good"/>
    <s v="Young Adult"/>
    <x v="0"/>
    <x v="1"/>
  </r>
  <r>
    <n v="867"/>
    <n v="15808017"/>
    <s v="Cary"/>
    <s v="France"/>
    <s v="Male"/>
    <n v="545"/>
    <n v="38"/>
    <x v="1"/>
    <n v="88293.13"/>
    <x v="2"/>
    <x v="0"/>
    <x v="0"/>
    <n v="24302.95"/>
    <x v="1"/>
    <s v="Poor"/>
    <s v="Adult"/>
    <x v="1"/>
    <x v="1"/>
  </r>
  <r>
    <n v="868"/>
    <n v="15756804"/>
    <s v="O'Loghlen"/>
    <s v="France"/>
    <s v="Female"/>
    <n v="636"/>
    <n v="48"/>
    <x v="1"/>
    <n v="170833.46"/>
    <x v="0"/>
    <x v="0"/>
    <x v="1"/>
    <n v="110510.28"/>
    <x v="0"/>
    <s v="Average"/>
    <s v="Adult"/>
    <x v="0"/>
    <x v="2"/>
  </r>
  <r>
    <n v="869"/>
    <n v="15646810"/>
    <s v="Quinn"/>
    <s v="Germany"/>
    <s v="Male"/>
    <n v="603"/>
    <n v="44"/>
    <x v="5"/>
    <n v="108122.39"/>
    <x v="2"/>
    <x v="0"/>
    <x v="1"/>
    <n v="108488.33"/>
    <x v="0"/>
    <s v="Average"/>
    <s v="Adult"/>
    <x v="0"/>
    <x v="2"/>
  </r>
  <r>
    <n v="870"/>
    <n v="15710424"/>
    <s v="Page"/>
    <s v="France"/>
    <s v="Male"/>
    <n v="435"/>
    <n v="36"/>
    <x v="4"/>
    <n v="0"/>
    <x v="0"/>
    <x v="0"/>
    <x v="0"/>
    <n v="197015.2"/>
    <x v="1"/>
    <s v="Poor"/>
    <s v="Adult"/>
    <x v="0"/>
    <x v="0"/>
  </r>
  <r>
    <n v="871"/>
    <n v="15799422"/>
    <s v="Evans"/>
    <s v="France"/>
    <s v="Female"/>
    <n v="535"/>
    <n v="40"/>
    <x v="2"/>
    <n v="0"/>
    <x v="0"/>
    <x v="0"/>
    <x v="0"/>
    <n v="27689.77"/>
    <x v="1"/>
    <s v="Poor"/>
    <s v="Adult"/>
    <x v="1"/>
    <x v="0"/>
  </r>
  <r>
    <n v="872"/>
    <n v="15692750"/>
    <s v="McGregor"/>
    <s v="Germany"/>
    <s v="Female"/>
    <n v="629"/>
    <n v="45"/>
    <x v="3"/>
    <n v="129818.39"/>
    <x v="1"/>
    <x v="0"/>
    <x v="1"/>
    <n v="9217.5499999999993"/>
    <x v="0"/>
    <s v="Average"/>
    <s v="Adult"/>
    <x v="1"/>
    <x v="2"/>
  </r>
  <r>
    <n v="873"/>
    <n v="15794549"/>
    <s v="Andrews"/>
    <s v="France"/>
    <s v="Female"/>
    <n v="722"/>
    <n v="35"/>
    <x v="0"/>
    <n v="163943.89000000001"/>
    <x v="2"/>
    <x v="0"/>
    <x v="0"/>
    <n v="15068.18"/>
    <x v="1"/>
    <s v="Good"/>
    <s v="Adult"/>
    <x v="1"/>
    <x v="2"/>
  </r>
  <r>
    <n v="874"/>
    <n v="15803764"/>
    <s v="Stanley"/>
    <s v="France"/>
    <s v="Male"/>
    <n v="561"/>
    <n v="28"/>
    <x v="3"/>
    <n v="0"/>
    <x v="2"/>
    <x v="0"/>
    <x v="1"/>
    <n v="7797.01"/>
    <x v="1"/>
    <s v="Poor"/>
    <s v="Young Adult"/>
    <x v="1"/>
    <x v="0"/>
  </r>
  <r>
    <n v="875"/>
    <n v="15674840"/>
    <s v="Chiazagomekpere"/>
    <s v="France"/>
    <s v="Female"/>
    <n v="645"/>
    <n v="38"/>
    <x v="8"/>
    <n v="101430.3"/>
    <x v="2"/>
    <x v="1"/>
    <x v="0"/>
    <n v="4400.32"/>
    <x v="1"/>
    <s v="Average"/>
    <s v="Adult"/>
    <x v="1"/>
    <x v="2"/>
  </r>
  <r>
    <n v="876"/>
    <n v="15653762"/>
    <s v="Chidiebele"/>
    <s v="France"/>
    <s v="Female"/>
    <n v="501"/>
    <n v="39"/>
    <x v="9"/>
    <n v="117301.66"/>
    <x v="0"/>
    <x v="1"/>
    <x v="1"/>
    <n v="182025.95"/>
    <x v="1"/>
    <s v="Poor"/>
    <s v="Adult"/>
    <x v="0"/>
    <x v="2"/>
  </r>
  <r>
    <n v="877"/>
    <n v="15581229"/>
    <s v="Gregory"/>
    <s v="Germany"/>
    <s v="Female"/>
    <n v="502"/>
    <n v="32"/>
    <x v="1"/>
    <n v="173340.83"/>
    <x v="0"/>
    <x v="1"/>
    <x v="0"/>
    <n v="122763.95"/>
    <x v="1"/>
    <s v="Poor"/>
    <s v="Adult"/>
    <x v="0"/>
    <x v="2"/>
  </r>
  <r>
    <n v="878"/>
    <n v="15800228"/>
    <s v="Bednall"/>
    <s v="Spain"/>
    <s v="Female"/>
    <n v="652"/>
    <n v="42"/>
    <x v="4"/>
    <n v="0"/>
    <x v="2"/>
    <x v="0"/>
    <x v="0"/>
    <n v="38152.01"/>
    <x v="1"/>
    <s v="Average"/>
    <s v="Adult"/>
    <x v="2"/>
    <x v="0"/>
  </r>
  <r>
    <n v="879"/>
    <n v="15656333"/>
    <s v="Jen"/>
    <s v="France"/>
    <s v="Female"/>
    <n v="574"/>
    <n v="33"/>
    <x v="6"/>
    <n v="134348.57"/>
    <x v="0"/>
    <x v="0"/>
    <x v="1"/>
    <n v="63163.99"/>
    <x v="1"/>
    <s v="Poor"/>
    <s v="Adult"/>
    <x v="2"/>
    <x v="2"/>
  </r>
  <r>
    <n v="880"/>
    <n v="15697497"/>
    <s v="She"/>
    <s v="France"/>
    <s v="Female"/>
    <n v="518"/>
    <n v="45"/>
    <x v="9"/>
    <n v="105525.65"/>
    <x v="2"/>
    <x v="0"/>
    <x v="0"/>
    <n v="73418.289999999994"/>
    <x v="1"/>
    <s v="Poor"/>
    <s v="Adult"/>
    <x v="0"/>
    <x v="2"/>
  </r>
  <r>
    <n v="881"/>
    <n v="15585362"/>
    <s v="Simmons"/>
    <s v="France"/>
    <s v="Female"/>
    <n v="749"/>
    <n v="60"/>
    <x v="5"/>
    <n v="0"/>
    <x v="0"/>
    <x v="0"/>
    <x v="1"/>
    <n v="17978.68"/>
    <x v="0"/>
    <s v="Good"/>
    <s v="Adult"/>
    <x v="1"/>
    <x v="0"/>
  </r>
  <r>
    <n v="882"/>
    <n v="15571928"/>
    <s v="Fraser"/>
    <s v="France"/>
    <s v="Female"/>
    <n v="679"/>
    <n v="43"/>
    <x v="4"/>
    <n v="0"/>
    <x v="1"/>
    <x v="0"/>
    <x v="1"/>
    <n v="115136.51"/>
    <x v="0"/>
    <s v="Good"/>
    <s v="Adult"/>
    <x v="0"/>
    <x v="0"/>
  </r>
  <r>
    <n v="883"/>
    <n v="15785519"/>
    <s v="May"/>
    <s v="France"/>
    <s v="Male"/>
    <n v="565"/>
    <n v="36"/>
    <x v="5"/>
    <n v="106192.1"/>
    <x v="0"/>
    <x v="0"/>
    <x v="1"/>
    <n v="149575.59"/>
    <x v="1"/>
    <s v="Poor"/>
    <s v="Adult"/>
    <x v="0"/>
    <x v="2"/>
  </r>
  <r>
    <n v="884"/>
    <n v="15743007"/>
    <s v="Seabrook"/>
    <s v="France"/>
    <s v="Female"/>
    <n v="643"/>
    <n v="45"/>
    <x v="4"/>
    <n v="45144.43"/>
    <x v="0"/>
    <x v="0"/>
    <x v="1"/>
    <n v="60917.24"/>
    <x v="0"/>
    <s v="Average"/>
    <s v="Adult"/>
    <x v="2"/>
    <x v="0"/>
  </r>
  <r>
    <n v="885"/>
    <n v="15777211"/>
    <s v="Herrera"/>
    <s v="France"/>
    <s v="Male"/>
    <n v="515"/>
    <n v="65"/>
    <x v="3"/>
    <n v="92113.61"/>
    <x v="0"/>
    <x v="0"/>
    <x v="0"/>
    <n v="142548.32999999999"/>
    <x v="1"/>
    <s v="Poor"/>
    <s v="Senior"/>
    <x v="0"/>
    <x v="1"/>
  </r>
  <r>
    <n v="886"/>
    <n v="15721935"/>
    <s v="Kincaid"/>
    <s v="France"/>
    <s v="Male"/>
    <n v="521"/>
    <n v="25"/>
    <x v="3"/>
    <n v="0"/>
    <x v="2"/>
    <x v="0"/>
    <x v="0"/>
    <n v="157878.67000000001"/>
    <x v="1"/>
    <s v="Poor"/>
    <s v="Young Adult"/>
    <x v="0"/>
    <x v="0"/>
  </r>
  <r>
    <n v="887"/>
    <n v="15591711"/>
    <s v="Sleeman"/>
    <s v="Spain"/>
    <s v="Male"/>
    <n v="739"/>
    <n v="38"/>
    <x v="10"/>
    <n v="128366.44"/>
    <x v="0"/>
    <x v="0"/>
    <x v="1"/>
    <n v="12796.43"/>
    <x v="1"/>
    <s v="Good"/>
    <s v="Adult"/>
    <x v="1"/>
    <x v="2"/>
  </r>
  <r>
    <n v="888"/>
    <n v="15625021"/>
    <s v="Hung"/>
    <s v="France"/>
    <s v="Male"/>
    <n v="585"/>
    <n v="42"/>
    <x v="0"/>
    <n v="0"/>
    <x v="2"/>
    <x v="0"/>
    <x v="0"/>
    <n v="18657.77"/>
    <x v="1"/>
    <s v="Average"/>
    <s v="Adult"/>
    <x v="1"/>
    <x v="0"/>
  </r>
  <r>
    <n v="889"/>
    <n v="15702968"/>
    <s v="Artemieva"/>
    <s v="Germany"/>
    <s v="Male"/>
    <n v="733"/>
    <n v="74"/>
    <x v="6"/>
    <n v="106545.53"/>
    <x v="0"/>
    <x v="0"/>
    <x v="0"/>
    <n v="134589.57999999999"/>
    <x v="1"/>
    <s v="Good"/>
    <s v="Senior"/>
    <x v="0"/>
    <x v="2"/>
  </r>
  <r>
    <n v="890"/>
    <n v="15600462"/>
    <s v="Barwell"/>
    <s v="France"/>
    <s v="Female"/>
    <n v="542"/>
    <n v="43"/>
    <x v="2"/>
    <n v="145618.37"/>
    <x v="0"/>
    <x v="1"/>
    <x v="0"/>
    <n v="10350.74"/>
    <x v="1"/>
    <s v="Poor"/>
    <s v="Adult"/>
    <x v="1"/>
    <x v="2"/>
  </r>
  <r>
    <n v="891"/>
    <n v="15768104"/>
    <s v="Wright"/>
    <s v="Spain"/>
    <s v="Male"/>
    <n v="788"/>
    <n v="37"/>
    <x v="2"/>
    <n v="141541.25"/>
    <x v="0"/>
    <x v="1"/>
    <x v="1"/>
    <n v="66013.27"/>
    <x v="1"/>
    <s v="Good"/>
    <s v="Adult"/>
    <x v="2"/>
    <x v="2"/>
  </r>
  <r>
    <n v="892"/>
    <n v="15780140"/>
    <s v="Bellucci"/>
    <s v="Germany"/>
    <s v="Male"/>
    <n v="435"/>
    <n v="32"/>
    <x v="0"/>
    <n v="57017.06"/>
    <x v="2"/>
    <x v="0"/>
    <x v="0"/>
    <n v="5907.11"/>
    <x v="1"/>
    <s v="Poor"/>
    <s v="Adult"/>
    <x v="1"/>
    <x v="1"/>
  </r>
  <r>
    <n v="893"/>
    <n v="15585255"/>
    <s v="Moore"/>
    <s v="France"/>
    <s v="Male"/>
    <n v="577"/>
    <n v="42"/>
    <x v="9"/>
    <n v="0"/>
    <x v="0"/>
    <x v="0"/>
    <x v="1"/>
    <n v="74077.91"/>
    <x v="1"/>
    <s v="Poor"/>
    <s v="Adult"/>
    <x v="0"/>
    <x v="0"/>
  </r>
  <r>
    <n v="894"/>
    <n v="15772781"/>
    <s v="Ball"/>
    <s v="France"/>
    <s v="Female"/>
    <n v="703"/>
    <n v="51"/>
    <x v="6"/>
    <n v="0"/>
    <x v="1"/>
    <x v="0"/>
    <x v="0"/>
    <n v="77294.559999999998"/>
    <x v="0"/>
    <s v="Good"/>
    <s v="Adult"/>
    <x v="0"/>
    <x v="0"/>
  </r>
  <r>
    <n v="895"/>
    <n v="15669987"/>
    <s v="Sung"/>
    <s v="Germany"/>
    <s v="Female"/>
    <n v="728"/>
    <n v="35"/>
    <x v="2"/>
    <n v="125884.95"/>
    <x v="2"/>
    <x v="0"/>
    <x v="1"/>
    <n v="54359.02"/>
    <x v="0"/>
    <s v="Good"/>
    <s v="Adult"/>
    <x v="2"/>
    <x v="2"/>
  </r>
  <r>
    <n v="896"/>
    <n v="15697000"/>
    <s v="Mello"/>
    <s v="Germany"/>
    <s v="Male"/>
    <n v="728"/>
    <n v="32"/>
    <x v="8"/>
    <n v="61825.5"/>
    <x v="0"/>
    <x v="0"/>
    <x v="0"/>
    <n v="156124.93"/>
    <x v="1"/>
    <s v="Good"/>
    <s v="Adult"/>
    <x v="0"/>
    <x v="1"/>
  </r>
  <r>
    <n v="897"/>
    <n v="15733119"/>
    <s v="Mistry"/>
    <s v="France"/>
    <s v="Male"/>
    <n v="718"/>
    <n v="35"/>
    <x v="2"/>
    <n v="0"/>
    <x v="2"/>
    <x v="0"/>
    <x v="1"/>
    <n v="94820.85"/>
    <x v="1"/>
    <s v="Good"/>
    <s v="Adult"/>
    <x v="0"/>
    <x v="0"/>
  </r>
  <r>
    <n v="898"/>
    <n v="15782390"/>
    <s v="T'ien"/>
    <s v="France"/>
    <s v="Female"/>
    <n v="621"/>
    <n v="40"/>
    <x v="5"/>
    <n v="0"/>
    <x v="0"/>
    <x v="0"/>
    <x v="1"/>
    <n v="155155.25"/>
    <x v="1"/>
    <s v="Average"/>
    <s v="Adult"/>
    <x v="0"/>
    <x v="0"/>
  </r>
  <r>
    <n v="899"/>
    <n v="15654700"/>
    <s v="Fallaci"/>
    <s v="France"/>
    <s v="Female"/>
    <n v="523"/>
    <n v="40"/>
    <x v="0"/>
    <n v="102967.41"/>
    <x v="0"/>
    <x v="0"/>
    <x v="1"/>
    <n v="128702.1"/>
    <x v="0"/>
    <s v="Poor"/>
    <s v="Adult"/>
    <x v="0"/>
    <x v="2"/>
  </r>
  <r>
    <n v="900"/>
    <n v="15632210"/>
    <s v="Hill"/>
    <s v="Germany"/>
    <s v="Male"/>
    <n v="657"/>
    <n v="25"/>
    <x v="0"/>
    <n v="171770.55"/>
    <x v="0"/>
    <x v="0"/>
    <x v="1"/>
    <n v="22745.5"/>
    <x v="1"/>
    <s v="Average"/>
    <s v="Young Adult"/>
    <x v="1"/>
    <x v="2"/>
  </r>
  <r>
    <n v="901"/>
    <n v="15642041"/>
    <s v="Burns"/>
    <s v="Germany"/>
    <s v="Male"/>
    <n v="727"/>
    <n v="40"/>
    <x v="1"/>
    <n v="93051.64"/>
    <x v="2"/>
    <x v="0"/>
    <x v="1"/>
    <n v="71865.31"/>
    <x v="0"/>
    <s v="Good"/>
    <s v="Adult"/>
    <x v="0"/>
    <x v="1"/>
  </r>
  <r>
    <n v="902"/>
    <n v="15709737"/>
    <s v="Hunter"/>
    <s v="France"/>
    <s v="Male"/>
    <n v="643"/>
    <n v="36"/>
    <x v="3"/>
    <n v="161064.64000000001"/>
    <x v="2"/>
    <x v="1"/>
    <x v="0"/>
    <n v="84294.82"/>
    <x v="1"/>
    <s v="Average"/>
    <s v="Adult"/>
    <x v="0"/>
    <x v="2"/>
  </r>
  <r>
    <n v="903"/>
    <n v="15792388"/>
    <s v="Li"/>
    <s v="France"/>
    <s v="Female"/>
    <n v="645"/>
    <n v="48"/>
    <x v="3"/>
    <n v="90612.34"/>
    <x v="0"/>
    <x v="0"/>
    <x v="0"/>
    <n v="149139.13"/>
    <x v="1"/>
    <s v="Average"/>
    <s v="Adult"/>
    <x v="0"/>
    <x v="1"/>
  </r>
  <r>
    <n v="904"/>
    <n v="15786014"/>
    <s v="Ku"/>
    <s v="France"/>
    <s v="Male"/>
    <n v="568"/>
    <n v="28"/>
    <x v="8"/>
    <n v="145105.64000000001"/>
    <x v="2"/>
    <x v="0"/>
    <x v="1"/>
    <n v="185489.11"/>
    <x v="1"/>
    <s v="Poor"/>
    <s v="Young Adult"/>
    <x v="0"/>
    <x v="2"/>
  </r>
  <r>
    <n v="905"/>
    <n v="15794580"/>
    <s v="Ch'en"/>
    <s v="France"/>
    <s v="Male"/>
    <n v="599"/>
    <n v="58"/>
    <x v="4"/>
    <n v="0"/>
    <x v="0"/>
    <x v="1"/>
    <x v="1"/>
    <n v="176407.15"/>
    <x v="0"/>
    <s v="Average"/>
    <s v="Adult"/>
    <x v="0"/>
    <x v="0"/>
  </r>
  <r>
    <n v="906"/>
    <n v="15675964"/>
    <s v="Chukwukadibia"/>
    <s v="France"/>
    <s v="Female"/>
    <n v="672"/>
    <n v="45"/>
    <x v="9"/>
    <n v="0"/>
    <x v="0"/>
    <x v="0"/>
    <x v="0"/>
    <n v="92027.69"/>
    <x v="0"/>
    <s v="Good"/>
    <s v="Adult"/>
    <x v="0"/>
    <x v="0"/>
  </r>
  <r>
    <n v="907"/>
    <n v="15814275"/>
    <s v="Zikoranachidimma"/>
    <s v="France"/>
    <s v="Male"/>
    <n v="685"/>
    <n v="33"/>
    <x v="5"/>
    <n v="174912.72"/>
    <x v="0"/>
    <x v="0"/>
    <x v="0"/>
    <n v="43932.54"/>
    <x v="1"/>
    <s v="Good"/>
    <s v="Adult"/>
    <x v="2"/>
    <x v="2"/>
  </r>
  <r>
    <n v="908"/>
    <n v="15724848"/>
    <s v="Oluchukwu"/>
    <s v="France"/>
    <s v="Female"/>
    <n v="516"/>
    <n v="46"/>
    <x v="1"/>
    <n v="104947.72"/>
    <x v="0"/>
    <x v="0"/>
    <x v="1"/>
    <n v="115789.25"/>
    <x v="0"/>
    <s v="Poor"/>
    <s v="Adult"/>
    <x v="0"/>
    <x v="2"/>
  </r>
  <r>
    <n v="909"/>
    <n v="15754713"/>
    <s v="Rivera"/>
    <s v="Spain"/>
    <s v="Male"/>
    <n v="685"/>
    <n v="31"/>
    <x v="7"/>
    <n v="135213.71"/>
    <x v="0"/>
    <x v="0"/>
    <x v="0"/>
    <n v="125777.28"/>
    <x v="1"/>
    <s v="Good"/>
    <s v="Adult"/>
    <x v="0"/>
    <x v="2"/>
  </r>
  <r>
    <n v="910"/>
    <n v="15693814"/>
    <s v="Niu"/>
    <s v="Spain"/>
    <s v="Male"/>
    <n v="806"/>
    <n v="25"/>
    <x v="3"/>
    <n v="0"/>
    <x v="2"/>
    <x v="0"/>
    <x v="1"/>
    <n v="18461.900000000001"/>
    <x v="1"/>
    <s v="Good"/>
    <s v="Young Adult"/>
    <x v="1"/>
    <x v="0"/>
  </r>
  <r>
    <n v="911"/>
    <n v="15599660"/>
    <s v="Bennett"/>
    <s v="France"/>
    <s v="Male"/>
    <n v="604"/>
    <n v="36"/>
    <x v="5"/>
    <n v="116229.85"/>
    <x v="2"/>
    <x v="0"/>
    <x v="0"/>
    <n v="79633.38"/>
    <x v="1"/>
    <s v="Average"/>
    <s v="Adult"/>
    <x v="0"/>
    <x v="2"/>
  </r>
  <r>
    <n v="912"/>
    <n v="15746490"/>
    <s v="Wollstonecraft"/>
    <s v="Spain"/>
    <s v="Female"/>
    <n v="648"/>
    <n v="53"/>
    <x v="5"/>
    <n v="111201.41"/>
    <x v="0"/>
    <x v="0"/>
    <x v="0"/>
    <n v="121542.29"/>
    <x v="1"/>
    <s v="Average"/>
    <s v="Adult"/>
    <x v="0"/>
    <x v="2"/>
  </r>
  <r>
    <n v="913"/>
    <n v="15566091"/>
    <s v="Thomsen"/>
    <s v="Spain"/>
    <s v="Female"/>
    <n v="545"/>
    <n v="32"/>
    <x v="4"/>
    <n v="0"/>
    <x v="0"/>
    <x v="0"/>
    <x v="1"/>
    <n v="94739.199999999997"/>
    <x v="1"/>
    <s v="Poor"/>
    <s v="Adult"/>
    <x v="0"/>
    <x v="0"/>
  </r>
  <r>
    <n v="914"/>
    <n v="15655961"/>
    <s v="Palermo"/>
    <s v="Germany"/>
    <s v="Male"/>
    <n v="756"/>
    <n v="27"/>
    <x v="1"/>
    <n v="131899"/>
    <x v="0"/>
    <x v="0"/>
    <x v="1"/>
    <n v="93302.29"/>
    <x v="1"/>
    <s v="Good"/>
    <s v="Young Adult"/>
    <x v="0"/>
    <x v="2"/>
  </r>
  <r>
    <n v="915"/>
    <n v="15710404"/>
    <s v="Chinwendu"/>
    <s v="France"/>
    <s v="Male"/>
    <n v="569"/>
    <n v="35"/>
    <x v="7"/>
    <n v="124525.52"/>
    <x v="0"/>
    <x v="0"/>
    <x v="0"/>
    <n v="193793.78"/>
    <x v="1"/>
    <s v="Poor"/>
    <s v="Adult"/>
    <x v="0"/>
    <x v="2"/>
  </r>
  <r>
    <n v="916"/>
    <n v="15775625"/>
    <s v="McKenzie"/>
    <s v="France"/>
    <s v="Male"/>
    <n v="596"/>
    <n v="47"/>
    <x v="5"/>
    <n v="0"/>
    <x v="0"/>
    <x v="0"/>
    <x v="1"/>
    <n v="74835.649999999994"/>
    <x v="1"/>
    <s v="Average"/>
    <s v="Adult"/>
    <x v="0"/>
    <x v="0"/>
  </r>
  <r>
    <n v="917"/>
    <n v="15792328"/>
    <s v="James"/>
    <s v="France"/>
    <s v="Male"/>
    <n v="475"/>
    <n v="39"/>
    <x v="5"/>
    <n v="0"/>
    <x v="0"/>
    <x v="0"/>
    <x v="0"/>
    <n v="56999.9"/>
    <x v="0"/>
    <s v="Poor"/>
    <s v="Adult"/>
    <x v="2"/>
    <x v="0"/>
  </r>
  <r>
    <n v="918"/>
    <n v="15719856"/>
    <s v="Lamb"/>
    <s v="France"/>
    <s v="Female"/>
    <n v="646"/>
    <n v="45"/>
    <x v="6"/>
    <n v="47134.75"/>
    <x v="0"/>
    <x v="0"/>
    <x v="0"/>
    <n v="57236.44"/>
    <x v="1"/>
    <s v="Average"/>
    <s v="Adult"/>
    <x v="2"/>
    <x v="0"/>
  </r>
  <r>
    <n v="919"/>
    <n v="15593773"/>
    <s v="Olejuru"/>
    <s v="Spain"/>
    <s v="Male"/>
    <n v="784"/>
    <n v="35"/>
    <x v="6"/>
    <n v="0"/>
    <x v="2"/>
    <x v="1"/>
    <x v="1"/>
    <n v="81483.64"/>
    <x v="1"/>
    <s v="Good"/>
    <s v="Adult"/>
    <x v="0"/>
    <x v="0"/>
  </r>
  <r>
    <n v="920"/>
    <n v="15733114"/>
    <s v="Hay"/>
    <s v="Spain"/>
    <s v="Male"/>
    <n v="552"/>
    <n v="45"/>
    <x v="9"/>
    <n v="0"/>
    <x v="2"/>
    <x v="0"/>
    <x v="1"/>
    <n v="26752.560000000001"/>
    <x v="1"/>
    <s v="Poor"/>
    <s v="Adult"/>
    <x v="1"/>
    <x v="0"/>
  </r>
  <r>
    <n v="921"/>
    <n v="15797748"/>
    <s v="Lu"/>
    <s v="France"/>
    <s v="Male"/>
    <n v="729"/>
    <n v="44"/>
    <x v="8"/>
    <n v="0"/>
    <x v="2"/>
    <x v="1"/>
    <x v="0"/>
    <n v="9200.5400000000009"/>
    <x v="1"/>
    <s v="Good"/>
    <s v="Adult"/>
    <x v="1"/>
    <x v="0"/>
  </r>
  <r>
    <n v="922"/>
    <n v="15743411"/>
    <s v="Chiawuotu"/>
    <s v="Spain"/>
    <s v="Male"/>
    <n v="609"/>
    <n v="61"/>
    <x v="1"/>
    <n v="0"/>
    <x v="0"/>
    <x v="0"/>
    <x v="1"/>
    <n v="22447.85"/>
    <x v="0"/>
    <s v="Average"/>
    <s v="Senior"/>
    <x v="1"/>
    <x v="0"/>
  </r>
  <r>
    <n v="923"/>
    <n v="15753337"/>
    <s v="Yeates"/>
    <s v="France"/>
    <s v="Male"/>
    <n v="555"/>
    <n v="51"/>
    <x v="8"/>
    <n v="0"/>
    <x v="1"/>
    <x v="0"/>
    <x v="1"/>
    <n v="189122.89"/>
    <x v="0"/>
    <s v="Poor"/>
    <s v="Adult"/>
    <x v="0"/>
    <x v="0"/>
  </r>
  <r>
    <n v="924"/>
    <n v="15601026"/>
    <s v="Gallagher"/>
    <s v="Germany"/>
    <s v="Female"/>
    <n v="572"/>
    <n v="19"/>
    <x v="1"/>
    <n v="138657.07999999999"/>
    <x v="0"/>
    <x v="0"/>
    <x v="0"/>
    <n v="16161.82"/>
    <x v="1"/>
    <s v="Poor"/>
    <s v="Young Adult"/>
    <x v="1"/>
    <x v="2"/>
  </r>
  <r>
    <n v="925"/>
    <n v="15658485"/>
    <s v="Heath"/>
    <s v="France"/>
    <s v="Female"/>
    <n v="785"/>
    <n v="34"/>
    <x v="9"/>
    <n v="70302.48"/>
    <x v="0"/>
    <x v="0"/>
    <x v="0"/>
    <n v="68600.36"/>
    <x v="1"/>
    <s v="Good"/>
    <s v="Adult"/>
    <x v="2"/>
    <x v="1"/>
  </r>
  <r>
    <n v="926"/>
    <n v="15636731"/>
    <s v="Ts'ai"/>
    <s v="Germany"/>
    <s v="Female"/>
    <n v="714"/>
    <n v="36"/>
    <x v="1"/>
    <n v="101609.01"/>
    <x v="2"/>
    <x v="0"/>
    <x v="0"/>
    <n v="447.73"/>
    <x v="1"/>
    <s v="Good"/>
    <s v="Adult"/>
    <x v="1"/>
    <x v="2"/>
  </r>
  <r>
    <n v="927"/>
    <n v="15628303"/>
    <s v="Thurgood"/>
    <s v="Spain"/>
    <s v="Male"/>
    <n v="738"/>
    <n v="35"/>
    <x v="6"/>
    <n v="0"/>
    <x v="0"/>
    <x v="0"/>
    <x v="0"/>
    <n v="15650.73"/>
    <x v="1"/>
    <s v="Good"/>
    <s v="Adult"/>
    <x v="1"/>
    <x v="0"/>
  </r>
  <r>
    <n v="928"/>
    <n v="15633461"/>
    <s v="Pai"/>
    <s v="Germany"/>
    <s v="Male"/>
    <n v="639"/>
    <n v="38"/>
    <x v="8"/>
    <n v="130170.82"/>
    <x v="0"/>
    <x v="0"/>
    <x v="0"/>
    <n v="149599.62"/>
    <x v="1"/>
    <s v="Average"/>
    <s v="Adult"/>
    <x v="0"/>
    <x v="2"/>
  </r>
  <r>
    <n v="929"/>
    <n v="15677135"/>
    <s v="Lorenzo"/>
    <s v="Germany"/>
    <s v="Male"/>
    <n v="520"/>
    <n v="61"/>
    <x v="2"/>
    <n v="133802.29"/>
    <x v="2"/>
    <x v="0"/>
    <x v="0"/>
    <n v="90304.01"/>
    <x v="1"/>
    <s v="Poor"/>
    <s v="Senior"/>
    <x v="0"/>
    <x v="2"/>
  </r>
  <r>
    <n v="930"/>
    <n v="15590876"/>
    <s v="Knupp"/>
    <s v="France"/>
    <s v="Female"/>
    <n v="764"/>
    <n v="24"/>
    <x v="3"/>
    <n v="106234.02"/>
    <x v="0"/>
    <x v="1"/>
    <x v="1"/>
    <n v="115676.38"/>
    <x v="1"/>
    <s v="Good"/>
    <s v="Young Adult"/>
    <x v="0"/>
    <x v="2"/>
  </r>
  <r>
    <n v="931"/>
    <n v="15790782"/>
    <s v="Baryshnikov"/>
    <s v="Spain"/>
    <s v="Male"/>
    <n v="661"/>
    <n v="39"/>
    <x v="5"/>
    <n v="132628.98000000001"/>
    <x v="0"/>
    <x v="1"/>
    <x v="1"/>
    <n v="38812.67"/>
    <x v="1"/>
    <s v="Average"/>
    <s v="Adult"/>
    <x v="2"/>
    <x v="2"/>
  </r>
  <r>
    <n v="932"/>
    <n v="15700476"/>
    <s v="Azubuike"/>
    <s v="Germany"/>
    <s v="Male"/>
    <n v="564"/>
    <n v="41"/>
    <x v="9"/>
    <n v="103522.75"/>
    <x v="2"/>
    <x v="0"/>
    <x v="0"/>
    <n v="34338.21"/>
    <x v="1"/>
    <s v="Poor"/>
    <s v="Adult"/>
    <x v="2"/>
    <x v="2"/>
  </r>
  <r>
    <n v="933"/>
    <n v="15634141"/>
    <s v="Shephard"/>
    <s v="Germany"/>
    <s v="Female"/>
    <n v="708"/>
    <n v="42"/>
    <x v="2"/>
    <n v="192390.52"/>
    <x v="2"/>
    <x v="0"/>
    <x v="1"/>
    <n v="823.36"/>
    <x v="1"/>
    <s v="Good"/>
    <s v="Adult"/>
    <x v="1"/>
    <x v="2"/>
  </r>
  <r>
    <n v="934"/>
    <n v="15737795"/>
    <s v="Scott"/>
    <s v="Spain"/>
    <s v="Male"/>
    <n v="512"/>
    <n v="36"/>
    <x v="1"/>
    <n v="0"/>
    <x v="0"/>
    <x v="1"/>
    <x v="0"/>
    <n v="135482.26"/>
    <x v="0"/>
    <s v="Poor"/>
    <s v="Adult"/>
    <x v="0"/>
    <x v="0"/>
  </r>
  <r>
    <n v="935"/>
    <n v="15790299"/>
    <s v="Williamson"/>
    <s v="Spain"/>
    <s v="Male"/>
    <n v="592"/>
    <n v="37"/>
    <x v="9"/>
    <n v="0"/>
    <x v="1"/>
    <x v="0"/>
    <x v="0"/>
    <n v="10656.89"/>
    <x v="1"/>
    <s v="Average"/>
    <s v="Adult"/>
    <x v="1"/>
    <x v="0"/>
  </r>
  <r>
    <n v="936"/>
    <n v="15675316"/>
    <s v="Avdeeva"/>
    <s v="France"/>
    <s v="Female"/>
    <n v="619"/>
    <n v="38"/>
    <x v="6"/>
    <n v="0"/>
    <x v="2"/>
    <x v="1"/>
    <x v="0"/>
    <n v="116467.35"/>
    <x v="1"/>
    <s v="Average"/>
    <s v="Adult"/>
    <x v="0"/>
    <x v="0"/>
  </r>
  <r>
    <n v="937"/>
    <n v="15613630"/>
    <s v="Tang"/>
    <s v="France"/>
    <s v="Male"/>
    <n v="775"/>
    <n v="52"/>
    <x v="2"/>
    <n v="109922.61"/>
    <x v="0"/>
    <x v="0"/>
    <x v="0"/>
    <n v="96823.32"/>
    <x v="0"/>
    <s v="Good"/>
    <s v="Adult"/>
    <x v="0"/>
    <x v="2"/>
  </r>
  <r>
    <n v="938"/>
    <n v="15662100"/>
    <s v="Hsu"/>
    <s v="Germany"/>
    <s v="Female"/>
    <n v="850"/>
    <n v="44"/>
    <x v="8"/>
    <n v="128605.32"/>
    <x v="0"/>
    <x v="1"/>
    <x v="0"/>
    <n v="171096.2"/>
    <x v="1"/>
    <s v="Good"/>
    <s v="Adult"/>
    <x v="0"/>
    <x v="2"/>
  </r>
  <r>
    <n v="939"/>
    <n v="15668032"/>
    <s v="Buchanan"/>
    <s v="France"/>
    <s v="Female"/>
    <n v="577"/>
    <n v="37"/>
    <x v="4"/>
    <n v="0"/>
    <x v="0"/>
    <x v="0"/>
    <x v="0"/>
    <n v="79881.39"/>
    <x v="1"/>
    <s v="Poor"/>
    <s v="Adult"/>
    <x v="0"/>
    <x v="0"/>
  </r>
  <r>
    <n v="940"/>
    <n v="15599289"/>
    <s v="Yeh"/>
    <s v="France"/>
    <s v="Female"/>
    <n v="724"/>
    <n v="37"/>
    <x v="7"/>
    <n v="68598.559999999998"/>
    <x v="0"/>
    <x v="0"/>
    <x v="1"/>
    <n v="157862.82"/>
    <x v="1"/>
    <s v="Good"/>
    <s v="Adult"/>
    <x v="0"/>
    <x v="1"/>
  </r>
  <r>
    <n v="941"/>
    <n v="15754084"/>
    <s v="Palazzi"/>
    <s v="Spain"/>
    <s v="Male"/>
    <n v="710"/>
    <n v="35"/>
    <x v="1"/>
    <n v="106518.52"/>
    <x v="0"/>
    <x v="0"/>
    <x v="0"/>
    <n v="127951.81"/>
    <x v="1"/>
    <s v="Good"/>
    <s v="Adult"/>
    <x v="0"/>
    <x v="2"/>
  </r>
  <r>
    <n v="942"/>
    <n v="15676521"/>
    <s v="Y?an"/>
    <s v="France"/>
    <s v="Female"/>
    <n v="696"/>
    <n v="31"/>
    <x v="2"/>
    <n v="0"/>
    <x v="2"/>
    <x v="1"/>
    <x v="1"/>
    <n v="191074.11"/>
    <x v="1"/>
    <s v="Good"/>
    <s v="Adult"/>
    <x v="0"/>
    <x v="0"/>
  </r>
  <r>
    <n v="943"/>
    <n v="15804586"/>
    <s v="Lin"/>
    <s v="France"/>
    <s v="Female"/>
    <n v="376"/>
    <n v="46"/>
    <x v="5"/>
    <n v="0"/>
    <x v="0"/>
    <x v="0"/>
    <x v="1"/>
    <n v="157333.69"/>
    <x v="0"/>
    <s v="Poor"/>
    <s v="Adult"/>
    <x v="0"/>
    <x v="0"/>
  </r>
  <r>
    <n v="944"/>
    <n v="15781465"/>
    <s v="Schofield"/>
    <s v="Germany"/>
    <s v="Female"/>
    <n v="675"/>
    <n v="29"/>
    <x v="2"/>
    <n v="121326.42"/>
    <x v="0"/>
    <x v="0"/>
    <x v="1"/>
    <n v="133457.51999999999"/>
    <x v="1"/>
    <s v="Good"/>
    <s v="Young Adult"/>
    <x v="0"/>
    <x v="2"/>
  </r>
  <r>
    <n v="945"/>
    <n v="15729362"/>
    <s v="Lombardi"/>
    <s v="France"/>
    <s v="Male"/>
    <n v="745"/>
    <n v="36"/>
    <x v="2"/>
    <n v="67226.37"/>
    <x v="0"/>
    <x v="0"/>
    <x v="1"/>
    <n v="130789.6"/>
    <x v="1"/>
    <s v="Good"/>
    <s v="Adult"/>
    <x v="0"/>
    <x v="1"/>
  </r>
  <r>
    <n v="946"/>
    <n v="15709295"/>
    <s v="Wall"/>
    <s v="Spain"/>
    <s v="Female"/>
    <n v="697"/>
    <n v="25"/>
    <x v="8"/>
    <n v="82931.850000000006"/>
    <x v="2"/>
    <x v="0"/>
    <x v="0"/>
    <n v="128373.88"/>
    <x v="1"/>
    <s v="Good"/>
    <s v="Young Adult"/>
    <x v="0"/>
    <x v="1"/>
  </r>
  <r>
    <n v="947"/>
    <n v="15745324"/>
    <s v="Milani"/>
    <s v="Spain"/>
    <s v="Female"/>
    <n v="599"/>
    <n v="39"/>
    <x v="4"/>
    <n v="0"/>
    <x v="0"/>
    <x v="0"/>
    <x v="1"/>
    <n v="194273.2"/>
    <x v="0"/>
    <s v="Average"/>
    <s v="Adult"/>
    <x v="0"/>
    <x v="0"/>
  </r>
  <r>
    <n v="948"/>
    <n v="15741336"/>
    <s v="Ejimofor"/>
    <s v="France"/>
    <s v="Female"/>
    <n v="715"/>
    <n v="38"/>
    <x v="8"/>
    <n v="118590.41"/>
    <x v="0"/>
    <x v="0"/>
    <x v="0"/>
    <n v="5684.17"/>
    <x v="0"/>
    <s v="Good"/>
    <s v="Adult"/>
    <x v="1"/>
    <x v="2"/>
  </r>
  <r>
    <n v="949"/>
    <n v="15783659"/>
    <s v="Blackburn"/>
    <s v="France"/>
    <s v="Male"/>
    <n v="659"/>
    <n v="67"/>
    <x v="4"/>
    <n v="145981.87"/>
    <x v="0"/>
    <x v="0"/>
    <x v="0"/>
    <n v="131043.2"/>
    <x v="1"/>
    <s v="Average"/>
    <s v="Senior"/>
    <x v="0"/>
    <x v="2"/>
  </r>
  <r>
    <n v="950"/>
    <n v="15620981"/>
    <s v="Wickham"/>
    <s v="France"/>
    <s v="Female"/>
    <n v="684"/>
    <n v="48"/>
    <x v="6"/>
    <n v="73309.38"/>
    <x v="0"/>
    <x v="1"/>
    <x v="1"/>
    <n v="21228.34"/>
    <x v="0"/>
    <s v="Good"/>
    <s v="Adult"/>
    <x v="1"/>
    <x v="1"/>
  </r>
  <r>
    <n v="951"/>
    <n v="15630328"/>
    <s v="Bird"/>
    <s v="France"/>
    <s v="Female"/>
    <n v="635"/>
    <n v="48"/>
    <x v="2"/>
    <n v="130796.33"/>
    <x v="2"/>
    <x v="0"/>
    <x v="0"/>
    <n v="43250.3"/>
    <x v="1"/>
    <s v="Average"/>
    <s v="Adult"/>
    <x v="2"/>
    <x v="2"/>
  </r>
  <r>
    <n v="952"/>
    <n v="15785899"/>
    <s v="Ch'en"/>
    <s v="Germany"/>
    <s v="Male"/>
    <n v="789"/>
    <n v="33"/>
    <x v="2"/>
    <n v="151607.56"/>
    <x v="0"/>
    <x v="0"/>
    <x v="1"/>
    <n v="4389.3999999999996"/>
    <x v="1"/>
    <s v="Good"/>
    <s v="Adult"/>
    <x v="1"/>
    <x v="2"/>
  </r>
  <r>
    <n v="953"/>
    <n v="15606149"/>
    <s v="Wood"/>
    <s v="Germany"/>
    <s v="Female"/>
    <n v="571"/>
    <n v="66"/>
    <x v="9"/>
    <n v="111577.01"/>
    <x v="0"/>
    <x v="1"/>
    <x v="0"/>
    <n v="189271.9"/>
    <x v="1"/>
    <s v="Poor"/>
    <s v="Senior"/>
    <x v="0"/>
    <x v="2"/>
  </r>
  <r>
    <n v="954"/>
    <n v="15671139"/>
    <s v="Brizendine"/>
    <s v="Spain"/>
    <s v="Male"/>
    <n v="694"/>
    <n v="39"/>
    <x v="10"/>
    <n v="107042.74"/>
    <x v="0"/>
    <x v="0"/>
    <x v="0"/>
    <n v="102284.2"/>
    <x v="1"/>
    <s v="Good"/>
    <s v="Adult"/>
    <x v="0"/>
    <x v="2"/>
  </r>
  <r>
    <n v="955"/>
    <n v="15660429"/>
    <s v="Ch'in"/>
    <s v="Spain"/>
    <s v="Female"/>
    <n v="665"/>
    <n v="42"/>
    <x v="0"/>
    <n v="156371.60999999999"/>
    <x v="2"/>
    <x v="1"/>
    <x v="0"/>
    <n v="156774.94"/>
    <x v="0"/>
    <s v="Average"/>
    <s v="Adult"/>
    <x v="0"/>
    <x v="2"/>
  </r>
  <r>
    <n v="956"/>
    <n v="15571002"/>
    <s v="Yusupov"/>
    <s v="France"/>
    <s v="Female"/>
    <n v="706"/>
    <n v="44"/>
    <x v="4"/>
    <n v="129605.99"/>
    <x v="0"/>
    <x v="1"/>
    <x v="1"/>
    <n v="69865.490000000005"/>
    <x v="1"/>
    <s v="Good"/>
    <s v="Adult"/>
    <x v="2"/>
    <x v="2"/>
  </r>
  <r>
    <n v="957"/>
    <n v="15631681"/>
    <s v="Jibunoh"/>
    <s v="Spain"/>
    <s v="Female"/>
    <n v="807"/>
    <n v="43"/>
    <x v="10"/>
    <n v="0"/>
    <x v="2"/>
    <x v="1"/>
    <x v="0"/>
    <n v="85523.24"/>
    <x v="1"/>
    <s v="Good"/>
    <s v="Adult"/>
    <x v="0"/>
    <x v="0"/>
  </r>
  <r>
    <n v="958"/>
    <n v="15731522"/>
    <s v="Ts'ui"/>
    <s v="Spain"/>
    <s v="Female"/>
    <n v="771"/>
    <n v="67"/>
    <x v="2"/>
    <n v="0"/>
    <x v="2"/>
    <x v="0"/>
    <x v="0"/>
    <n v="51219.8"/>
    <x v="1"/>
    <s v="Good"/>
    <s v="Senior"/>
    <x v="2"/>
    <x v="0"/>
  </r>
  <r>
    <n v="959"/>
    <n v="15619529"/>
    <s v="Ndukaku"/>
    <s v="Spain"/>
    <s v="Male"/>
    <n v="531"/>
    <n v="27"/>
    <x v="2"/>
    <n v="132576.25"/>
    <x v="0"/>
    <x v="1"/>
    <x v="1"/>
    <n v="7222.92"/>
    <x v="1"/>
    <s v="Poor"/>
    <s v="Young Adult"/>
    <x v="1"/>
    <x v="2"/>
  </r>
  <r>
    <n v="960"/>
    <n v="15628034"/>
    <s v="Wilder"/>
    <s v="France"/>
    <s v="Female"/>
    <n v="629"/>
    <n v="37"/>
    <x v="5"/>
    <n v="129101.3"/>
    <x v="0"/>
    <x v="0"/>
    <x v="0"/>
    <n v="23971.33"/>
    <x v="1"/>
    <s v="Average"/>
    <s v="Adult"/>
    <x v="1"/>
    <x v="2"/>
  </r>
  <r>
    <n v="961"/>
    <n v="15686164"/>
    <s v="Maclean"/>
    <s v="Germany"/>
    <s v="Female"/>
    <n v="850"/>
    <n v="31"/>
    <x v="1"/>
    <n v="108822.39999999999"/>
    <x v="0"/>
    <x v="0"/>
    <x v="0"/>
    <n v="132173.31"/>
    <x v="1"/>
    <s v="Good"/>
    <s v="Adult"/>
    <x v="0"/>
    <x v="2"/>
  </r>
  <r>
    <n v="962"/>
    <n v="15582797"/>
    <s v="Ch'iu"/>
    <s v="Spain"/>
    <s v="Male"/>
    <n v="685"/>
    <n v="35"/>
    <x v="4"/>
    <n v="137948.51"/>
    <x v="0"/>
    <x v="0"/>
    <x v="1"/>
    <n v="113639.64"/>
    <x v="1"/>
    <s v="Good"/>
    <s v="Adult"/>
    <x v="0"/>
    <x v="2"/>
  </r>
  <r>
    <n v="963"/>
    <n v="15753831"/>
    <s v="Cox"/>
    <s v="Spain"/>
    <s v="Male"/>
    <n v="642"/>
    <n v="32"/>
    <x v="3"/>
    <n v="100433.8"/>
    <x v="0"/>
    <x v="0"/>
    <x v="0"/>
    <n v="39768.589999999997"/>
    <x v="1"/>
    <s v="Average"/>
    <s v="Adult"/>
    <x v="2"/>
    <x v="2"/>
  </r>
  <r>
    <n v="964"/>
    <n v="15731815"/>
    <s v="Nepean"/>
    <s v="Spain"/>
    <s v="Male"/>
    <n v="529"/>
    <n v="63"/>
    <x v="4"/>
    <n v="96134.11"/>
    <x v="1"/>
    <x v="0"/>
    <x v="1"/>
    <n v="108732.96"/>
    <x v="0"/>
    <s v="Poor"/>
    <s v="Senior"/>
    <x v="0"/>
    <x v="1"/>
  </r>
  <r>
    <n v="965"/>
    <n v="15580956"/>
    <s v="McNess"/>
    <s v="Germany"/>
    <s v="Female"/>
    <n v="683"/>
    <n v="43"/>
    <x v="4"/>
    <n v="115888.04"/>
    <x v="0"/>
    <x v="0"/>
    <x v="0"/>
    <n v="117349.19"/>
    <x v="0"/>
    <s v="Good"/>
    <s v="Adult"/>
    <x v="0"/>
    <x v="2"/>
  </r>
  <r>
    <n v="966"/>
    <n v="15602084"/>
    <s v="Coles"/>
    <s v="France"/>
    <s v="Female"/>
    <n v="663"/>
    <n v="42"/>
    <x v="8"/>
    <n v="124626.07"/>
    <x v="0"/>
    <x v="0"/>
    <x v="0"/>
    <n v="78004.5"/>
    <x v="1"/>
    <s v="Average"/>
    <s v="Adult"/>
    <x v="0"/>
    <x v="2"/>
  </r>
  <r>
    <n v="967"/>
    <n v="15589805"/>
    <s v="Benson"/>
    <s v="France"/>
    <s v="Female"/>
    <n v="563"/>
    <n v="34"/>
    <x v="5"/>
    <n v="139810.34"/>
    <x v="0"/>
    <x v="0"/>
    <x v="0"/>
    <n v="152417.79"/>
    <x v="1"/>
    <s v="Poor"/>
    <s v="Adult"/>
    <x v="0"/>
    <x v="2"/>
  </r>
  <r>
    <n v="968"/>
    <n v="15720893"/>
    <s v="Gilbert"/>
    <s v="Spain"/>
    <s v="Female"/>
    <n v="637"/>
    <n v="34"/>
    <x v="9"/>
    <n v="0"/>
    <x v="2"/>
    <x v="1"/>
    <x v="1"/>
    <n v="26057.08"/>
    <x v="1"/>
    <s v="Average"/>
    <s v="Adult"/>
    <x v="1"/>
    <x v="0"/>
  </r>
  <r>
    <n v="969"/>
    <n v="15641009"/>
    <s v="Wilhelm"/>
    <s v="France"/>
    <s v="Male"/>
    <n v="544"/>
    <n v="37"/>
    <x v="6"/>
    <n v="84496.71"/>
    <x v="0"/>
    <x v="1"/>
    <x v="1"/>
    <n v="79972.09"/>
    <x v="1"/>
    <s v="Poor"/>
    <s v="Adult"/>
    <x v="0"/>
    <x v="1"/>
  </r>
  <r>
    <n v="970"/>
    <n v="15605926"/>
    <s v="Sinclair"/>
    <s v="Germany"/>
    <s v="Male"/>
    <n v="649"/>
    <n v="70"/>
    <x v="9"/>
    <n v="116854.71"/>
    <x v="2"/>
    <x v="1"/>
    <x v="0"/>
    <n v="107125.79"/>
    <x v="1"/>
    <s v="Average"/>
    <s v="Senior"/>
    <x v="0"/>
    <x v="2"/>
  </r>
  <r>
    <n v="971"/>
    <n v="15805955"/>
    <s v="L?"/>
    <s v="France"/>
    <s v="Female"/>
    <n v="638"/>
    <n v="48"/>
    <x v="7"/>
    <n v="138333.03"/>
    <x v="0"/>
    <x v="0"/>
    <x v="0"/>
    <n v="47679.14"/>
    <x v="1"/>
    <s v="Average"/>
    <s v="Adult"/>
    <x v="2"/>
    <x v="2"/>
  </r>
  <r>
    <n v="972"/>
    <n v="15801488"/>
    <s v="Buckner"/>
    <s v="France"/>
    <s v="Male"/>
    <n v="723"/>
    <n v="25"/>
    <x v="6"/>
    <n v="0"/>
    <x v="2"/>
    <x v="0"/>
    <x v="0"/>
    <n v="134509.47"/>
    <x v="1"/>
    <s v="Good"/>
    <s v="Young Adult"/>
    <x v="0"/>
    <x v="0"/>
  </r>
  <r>
    <n v="973"/>
    <n v="15605918"/>
    <s v="Padovesi"/>
    <s v="Germany"/>
    <s v="Male"/>
    <n v="635"/>
    <n v="43"/>
    <x v="8"/>
    <n v="78992.75"/>
    <x v="2"/>
    <x v="1"/>
    <x v="1"/>
    <n v="153265.31"/>
    <x v="1"/>
    <s v="Average"/>
    <s v="Adult"/>
    <x v="0"/>
    <x v="1"/>
  </r>
  <r>
    <n v="974"/>
    <n v="15779711"/>
    <s v="Gray"/>
    <s v="Spain"/>
    <s v="Female"/>
    <n v="750"/>
    <n v="38"/>
    <x v="3"/>
    <n v="97257.41"/>
    <x v="2"/>
    <x v="1"/>
    <x v="0"/>
    <n v="179883.04"/>
    <x v="1"/>
    <s v="Good"/>
    <s v="Adult"/>
    <x v="0"/>
    <x v="1"/>
  </r>
  <r>
    <n v="975"/>
    <n v="15705620"/>
    <s v="Lu"/>
    <s v="France"/>
    <s v="Male"/>
    <n v="730"/>
    <n v="34"/>
    <x v="8"/>
    <n v="122453.37"/>
    <x v="2"/>
    <x v="0"/>
    <x v="1"/>
    <n v="138882.98000000001"/>
    <x v="1"/>
    <s v="Good"/>
    <s v="Adult"/>
    <x v="0"/>
    <x v="2"/>
  </r>
  <r>
    <n v="976"/>
    <n v="15685357"/>
    <s v="Wright"/>
    <s v="Spain"/>
    <s v="Female"/>
    <n v="750"/>
    <n v="36"/>
    <x v="2"/>
    <n v="112940.07"/>
    <x v="0"/>
    <x v="1"/>
    <x v="0"/>
    <n v="9855.81"/>
    <x v="1"/>
    <s v="Good"/>
    <s v="Adult"/>
    <x v="1"/>
    <x v="2"/>
  </r>
  <r>
    <n v="977"/>
    <n v="15570060"/>
    <s v="Palerma"/>
    <s v="France"/>
    <s v="Female"/>
    <n v="653.5"/>
    <n v="43"/>
    <x v="2"/>
    <n v="132558.26"/>
    <x v="0"/>
    <x v="0"/>
    <x v="1"/>
    <n v="67046.83"/>
    <x v="0"/>
    <s v="Average"/>
    <s v="Adult"/>
    <x v="2"/>
    <x v="2"/>
  </r>
  <r>
    <n v="978"/>
    <n v="15582616"/>
    <s v="Y?an"/>
    <s v="France"/>
    <s v="Female"/>
    <n v="520"/>
    <n v="38"/>
    <x v="4"/>
    <n v="0"/>
    <x v="2"/>
    <x v="0"/>
    <x v="1"/>
    <n v="56388.63"/>
    <x v="1"/>
    <s v="Poor"/>
    <s v="Adult"/>
    <x v="2"/>
    <x v="0"/>
  </r>
  <r>
    <n v="979"/>
    <n v="15799515"/>
    <s v="Wei"/>
    <s v="France"/>
    <s v="Female"/>
    <n v="652"/>
    <n v="48"/>
    <x v="2"/>
    <n v="133297.24"/>
    <x v="0"/>
    <x v="0"/>
    <x v="1"/>
    <n v="77764.37"/>
    <x v="1"/>
    <s v="Average"/>
    <s v="Adult"/>
    <x v="0"/>
    <x v="2"/>
  </r>
  <r>
    <n v="980"/>
    <n v="15642937"/>
    <s v="Padovesi"/>
    <s v="France"/>
    <s v="Female"/>
    <n v="550"/>
    <n v="46"/>
    <x v="3"/>
    <n v="0"/>
    <x v="2"/>
    <x v="0"/>
    <x v="1"/>
    <n v="130590.35"/>
    <x v="1"/>
    <s v="Poor"/>
    <s v="Adult"/>
    <x v="0"/>
    <x v="0"/>
  </r>
  <r>
    <n v="981"/>
    <n v="15624729"/>
    <s v="Tsao"/>
    <s v="France"/>
    <s v="Male"/>
    <n v="594"/>
    <n v="27"/>
    <x v="10"/>
    <n v="197041.8"/>
    <x v="0"/>
    <x v="1"/>
    <x v="1"/>
    <n v="151912.49"/>
    <x v="1"/>
    <s v="Average"/>
    <s v="Young Adult"/>
    <x v="0"/>
    <x v="2"/>
  </r>
  <r>
    <n v="982"/>
    <n v="15566156"/>
    <s v="Franklin"/>
    <s v="Germany"/>
    <s v="Female"/>
    <n v="749"/>
    <n v="44"/>
    <x v="10"/>
    <n v="71497.789999999994"/>
    <x v="2"/>
    <x v="1"/>
    <x v="1"/>
    <n v="151083.79999999999"/>
    <x v="1"/>
    <s v="Good"/>
    <s v="Adult"/>
    <x v="0"/>
    <x v="1"/>
  </r>
  <r>
    <n v="983"/>
    <n v="15792360"/>
    <s v="Clark"/>
    <s v="France"/>
    <s v="Male"/>
    <n v="668"/>
    <n v="32"/>
    <x v="3"/>
    <n v="0"/>
    <x v="2"/>
    <x v="0"/>
    <x v="0"/>
    <n v="777.37"/>
    <x v="1"/>
    <s v="Average"/>
    <s v="Adult"/>
    <x v="1"/>
    <x v="0"/>
  </r>
  <r>
    <n v="984"/>
    <n v="15807008"/>
    <s v="McGregor"/>
    <s v="Germany"/>
    <s v="Female"/>
    <n v="614"/>
    <n v="35"/>
    <x v="5"/>
    <n v="128100.28"/>
    <x v="0"/>
    <x v="1"/>
    <x v="1"/>
    <n v="69454.240000000005"/>
    <x v="0"/>
    <s v="Average"/>
    <s v="Adult"/>
    <x v="2"/>
    <x v="2"/>
  </r>
  <r>
    <n v="985"/>
    <n v="15704770"/>
    <s v="Pan"/>
    <s v="France"/>
    <s v="Male"/>
    <n v="773"/>
    <n v="25"/>
    <x v="1"/>
    <n v="124532.78"/>
    <x v="2"/>
    <x v="1"/>
    <x v="0"/>
    <n v="11723.57"/>
    <x v="1"/>
    <s v="Good"/>
    <s v="Young Adult"/>
    <x v="1"/>
    <x v="2"/>
  </r>
  <r>
    <n v="986"/>
    <n v="15756475"/>
    <s v="Kenniff"/>
    <s v="Germany"/>
    <s v="Male"/>
    <n v="551"/>
    <n v="31"/>
    <x v="9"/>
    <n v="82293.820000000007"/>
    <x v="2"/>
    <x v="0"/>
    <x v="0"/>
    <n v="91565.25"/>
    <x v="1"/>
    <s v="Poor"/>
    <s v="Adult"/>
    <x v="0"/>
    <x v="1"/>
  </r>
  <r>
    <n v="987"/>
    <n v="15655339"/>
    <s v="Spencer"/>
    <s v="France"/>
    <s v="Male"/>
    <n v="566"/>
    <n v="36"/>
    <x v="1"/>
    <n v="142120.91"/>
    <x v="0"/>
    <x v="0"/>
    <x v="1"/>
    <n v="79616.37"/>
    <x v="1"/>
    <s v="Poor"/>
    <s v="Adult"/>
    <x v="0"/>
    <x v="2"/>
  </r>
  <r>
    <n v="988"/>
    <n v="15613749"/>
    <s v="Lees"/>
    <s v="Spain"/>
    <s v="Male"/>
    <n v="569"/>
    <n v="34"/>
    <x v="10"/>
    <n v="151839.26"/>
    <x v="0"/>
    <x v="0"/>
    <x v="1"/>
    <n v="102299.81"/>
    <x v="0"/>
    <s v="Poor"/>
    <s v="Adult"/>
    <x v="0"/>
    <x v="2"/>
  </r>
  <r>
    <n v="989"/>
    <n v="15664521"/>
    <s v="David"/>
    <s v="Spain"/>
    <s v="Male"/>
    <n v="659"/>
    <n v="31"/>
    <x v="3"/>
    <n v="149620.88"/>
    <x v="2"/>
    <x v="0"/>
    <x v="0"/>
    <n v="104533.51"/>
    <x v="1"/>
    <s v="Average"/>
    <s v="Adult"/>
    <x v="0"/>
    <x v="2"/>
  </r>
  <r>
    <n v="990"/>
    <n v="15681206"/>
    <s v="Hsing"/>
    <s v="France"/>
    <s v="Female"/>
    <n v="722"/>
    <n v="49"/>
    <x v="6"/>
    <n v="168197.66"/>
    <x v="0"/>
    <x v="0"/>
    <x v="1"/>
    <n v="140765.57"/>
    <x v="0"/>
    <s v="Good"/>
    <s v="Adult"/>
    <x v="0"/>
    <x v="2"/>
  </r>
  <r>
    <n v="991"/>
    <n v="15745527"/>
    <s v="Burke"/>
    <s v="France"/>
    <s v="Male"/>
    <n v="655"/>
    <n v="37"/>
    <x v="8"/>
    <n v="93147"/>
    <x v="2"/>
    <x v="0"/>
    <x v="1"/>
    <n v="66214.13"/>
    <x v="1"/>
    <s v="Average"/>
    <s v="Adult"/>
    <x v="2"/>
    <x v="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1">
  <r>
    <n v="1"/>
    <n v="15634602"/>
    <s v="Hargrave"/>
    <x v="0"/>
    <s v="Female"/>
    <n v="619"/>
    <n v="42"/>
    <n v="2"/>
    <n v="0"/>
    <n v="1"/>
    <n v="1"/>
    <n v="1"/>
    <n v="101348.88"/>
    <x v="0"/>
    <x v="0"/>
    <x v="0"/>
    <s v="High Salary"/>
  </r>
  <r>
    <n v="2"/>
    <n v="15647311"/>
    <s v="Hill"/>
    <x v="1"/>
    <s v="Female"/>
    <n v="608"/>
    <n v="41"/>
    <n v="1"/>
    <n v="83807.86"/>
    <n v="1"/>
    <n v="0"/>
    <n v="1"/>
    <n v="112542.58"/>
    <x v="1"/>
    <x v="0"/>
    <x v="0"/>
    <s v="High Salary"/>
  </r>
  <r>
    <n v="3"/>
    <n v="15619304"/>
    <s v="Onio"/>
    <x v="0"/>
    <s v="Female"/>
    <n v="502"/>
    <n v="42"/>
    <n v="8"/>
    <n v="159660.79999999999"/>
    <n v="3"/>
    <n v="1"/>
    <n v="0"/>
    <n v="113931.57"/>
    <x v="0"/>
    <x v="1"/>
    <x v="0"/>
    <s v="High Salary"/>
  </r>
  <r>
    <n v="4"/>
    <n v="15701354"/>
    <s v="Boni"/>
    <x v="0"/>
    <s v="Female"/>
    <n v="699"/>
    <n v="39"/>
    <n v="1"/>
    <n v="0"/>
    <n v="2"/>
    <n v="0"/>
    <n v="0"/>
    <n v="93826.63"/>
    <x v="1"/>
    <x v="2"/>
    <x v="0"/>
    <s v="High Salary"/>
  </r>
  <r>
    <n v="5"/>
    <n v="15737888"/>
    <s v="Mitchell"/>
    <x v="1"/>
    <s v="Female"/>
    <n v="850"/>
    <n v="43"/>
    <n v="2"/>
    <n v="125510.82"/>
    <n v="1"/>
    <n v="1"/>
    <n v="1"/>
    <n v="79084.100000000006"/>
    <x v="1"/>
    <x v="2"/>
    <x v="0"/>
    <s v="High Salary"/>
  </r>
  <r>
    <n v="6"/>
    <n v="15574012"/>
    <s v="Chu"/>
    <x v="1"/>
    <s v="Male"/>
    <n v="645"/>
    <n v="44"/>
    <n v="8"/>
    <n v="113755.78"/>
    <n v="2"/>
    <n v="1"/>
    <n v="0"/>
    <n v="149756.71"/>
    <x v="0"/>
    <x v="0"/>
    <x v="0"/>
    <s v="High Salary"/>
  </r>
  <r>
    <n v="7"/>
    <n v="15592531"/>
    <s v="Bartlett"/>
    <x v="0"/>
    <s v="Male"/>
    <n v="822"/>
    <n v="50"/>
    <n v="7"/>
    <n v="0"/>
    <n v="2"/>
    <n v="1"/>
    <n v="1"/>
    <n v="10062.799999999999"/>
    <x v="1"/>
    <x v="2"/>
    <x v="0"/>
    <s v="Low Salary"/>
  </r>
  <r>
    <n v="8"/>
    <n v="15656148"/>
    <s v="Obinna"/>
    <x v="2"/>
    <s v="Female"/>
    <n v="376"/>
    <n v="29"/>
    <n v="4"/>
    <n v="115046.74"/>
    <n v="4"/>
    <n v="1"/>
    <n v="0"/>
    <n v="119346.88"/>
    <x v="0"/>
    <x v="1"/>
    <x v="1"/>
    <s v="High Salary"/>
  </r>
  <r>
    <n v="9"/>
    <n v="15792365"/>
    <s v="He"/>
    <x v="0"/>
    <s v="Male"/>
    <n v="501"/>
    <n v="44"/>
    <n v="4"/>
    <n v="142051.07"/>
    <n v="2"/>
    <n v="0"/>
    <n v="1"/>
    <n v="74940.5"/>
    <x v="1"/>
    <x v="1"/>
    <x v="0"/>
    <s v="High Salary"/>
  </r>
  <r>
    <n v="10"/>
    <n v="15592389"/>
    <s v="H?"/>
    <x v="0"/>
    <s v="Male"/>
    <n v="684"/>
    <n v="27"/>
    <n v="2"/>
    <n v="134603.88"/>
    <n v="1"/>
    <n v="1"/>
    <n v="1"/>
    <n v="71725.73"/>
    <x v="1"/>
    <x v="2"/>
    <x v="1"/>
    <s v="High Salary"/>
  </r>
  <r>
    <n v="11"/>
    <n v="15767821"/>
    <s v="Bearce"/>
    <x v="0"/>
    <s v="Male"/>
    <n v="528"/>
    <n v="31"/>
    <n v="6"/>
    <n v="102016.72"/>
    <n v="2"/>
    <n v="0"/>
    <n v="0"/>
    <n v="80181.119999999995"/>
    <x v="1"/>
    <x v="1"/>
    <x v="0"/>
    <s v="High Salary"/>
  </r>
  <r>
    <n v="12"/>
    <n v="15737173"/>
    <s v="Andrews"/>
    <x v="1"/>
    <s v="Male"/>
    <n v="497"/>
    <n v="24"/>
    <n v="3"/>
    <n v="0"/>
    <n v="2"/>
    <n v="1"/>
    <n v="0"/>
    <n v="76390.009999999995"/>
    <x v="1"/>
    <x v="1"/>
    <x v="1"/>
    <s v="High Salary"/>
  </r>
  <r>
    <n v="13"/>
    <n v="15632264"/>
    <s v="Kay"/>
    <x v="0"/>
    <s v="Female"/>
    <n v="476"/>
    <n v="34"/>
    <n v="10"/>
    <n v="0"/>
    <n v="2"/>
    <n v="1"/>
    <n v="0"/>
    <n v="26260.98"/>
    <x v="1"/>
    <x v="1"/>
    <x v="0"/>
    <s v="Low Salary"/>
  </r>
  <r>
    <n v="14"/>
    <n v="15691483"/>
    <s v="Chin"/>
    <x v="0"/>
    <s v="Female"/>
    <n v="549"/>
    <n v="25"/>
    <n v="5"/>
    <n v="0"/>
    <n v="2"/>
    <n v="0"/>
    <n v="0"/>
    <n v="190857.79"/>
    <x v="1"/>
    <x v="1"/>
    <x v="1"/>
    <s v="High Salary"/>
  </r>
  <r>
    <n v="15"/>
    <n v="15600882"/>
    <s v="Scott"/>
    <x v="1"/>
    <s v="Female"/>
    <n v="635"/>
    <n v="35"/>
    <n v="7"/>
    <n v="0"/>
    <n v="2"/>
    <n v="1"/>
    <n v="1"/>
    <n v="65951.649999999994"/>
    <x v="1"/>
    <x v="0"/>
    <x v="0"/>
    <s v="Medium Salary"/>
  </r>
  <r>
    <n v="16"/>
    <n v="15643966"/>
    <s v="Goforth"/>
    <x v="2"/>
    <s v="Male"/>
    <n v="616"/>
    <n v="45"/>
    <n v="3"/>
    <n v="143129.41"/>
    <n v="2"/>
    <n v="0"/>
    <n v="1"/>
    <n v="64327.26"/>
    <x v="1"/>
    <x v="0"/>
    <x v="0"/>
    <s v="Medium Salary"/>
  </r>
  <r>
    <n v="17"/>
    <n v="15737452"/>
    <s v="Romeo"/>
    <x v="2"/>
    <s v="Male"/>
    <n v="653"/>
    <n v="58"/>
    <n v="1"/>
    <n v="132602.88"/>
    <n v="1"/>
    <n v="1"/>
    <n v="0"/>
    <n v="5097.67"/>
    <x v="0"/>
    <x v="0"/>
    <x v="2"/>
    <s v="Low Salary"/>
  </r>
  <r>
    <n v="18"/>
    <n v="15788218"/>
    <s v="Henderson"/>
    <x v="1"/>
    <s v="Female"/>
    <n v="549"/>
    <n v="24"/>
    <n v="9"/>
    <n v="0"/>
    <n v="2"/>
    <n v="1"/>
    <n v="1"/>
    <n v="14406.41"/>
    <x v="1"/>
    <x v="1"/>
    <x v="1"/>
    <s v="Low Salary"/>
  </r>
  <r>
    <n v="19"/>
    <n v="15661507"/>
    <s v="Muldrow"/>
    <x v="1"/>
    <s v="Male"/>
    <n v="587"/>
    <n v="45"/>
    <n v="6"/>
    <n v="0"/>
    <n v="1"/>
    <n v="0"/>
    <n v="0"/>
    <n v="158684.81"/>
    <x v="1"/>
    <x v="0"/>
    <x v="0"/>
    <s v="High Salary"/>
  </r>
  <r>
    <n v="20"/>
    <n v="15568982"/>
    <s v="Hao"/>
    <x v="0"/>
    <s v="Female"/>
    <n v="726"/>
    <n v="24"/>
    <n v="6"/>
    <n v="0"/>
    <n v="2"/>
    <n v="1"/>
    <n v="1"/>
    <n v="54724.03"/>
    <x v="1"/>
    <x v="2"/>
    <x v="1"/>
    <s v="Medium Salary"/>
  </r>
  <r>
    <n v="21"/>
    <n v="15577657"/>
    <s v="McDonald"/>
    <x v="0"/>
    <s v="Male"/>
    <n v="732"/>
    <n v="41"/>
    <n v="8"/>
    <n v="0"/>
    <n v="2"/>
    <n v="1"/>
    <n v="1"/>
    <n v="170886.17"/>
    <x v="1"/>
    <x v="2"/>
    <x v="0"/>
    <s v="High Salary"/>
  </r>
  <r>
    <n v="22"/>
    <n v="15597945"/>
    <s v="Dellucci"/>
    <x v="1"/>
    <s v="Female"/>
    <n v="636"/>
    <n v="32"/>
    <n v="8"/>
    <n v="0"/>
    <n v="2"/>
    <n v="1"/>
    <n v="0"/>
    <n v="98368.24"/>
    <x v="1"/>
    <x v="0"/>
    <x v="0"/>
    <s v="High Salary"/>
  </r>
  <r>
    <n v="23"/>
    <n v="15699309"/>
    <s v="Gerasimov"/>
    <x v="1"/>
    <s v="Female"/>
    <n v="510"/>
    <n v="37"/>
    <n v="4"/>
    <n v="0"/>
    <n v="1"/>
    <n v="1"/>
    <n v="0"/>
    <n v="118913.53"/>
    <x v="0"/>
    <x v="1"/>
    <x v="0"/>
    <s v="High Salary"/>
  </r>
  <r>
    <n v="24"/>
    <n v="15725737"/>
    <s v="Mosman"/>
    <x v="0"/>
    <s v="Male"/>
    <n v="669"/>
    <n v="46"/>
    <n v="3"/>
    <n v="0"/>
    <n v="2"/>
    <n v="0"/>
    <n v="1"/>
    <n v="8487.75"/>
    <x v="1"/>
    <x v="0"/>
    <x v="0"/>
    <s v="Low Salary"/>
  </r>
  <r>
    <n v="25"/>
    <n v="15625047"/>
    <s v="Yen"/>
    <x v="0"/>
    <s v="Female"/>
    <n v="846"/>
    <n v="38"/>
    <n v="5"/>
    <n v="0"/>
    <n v="1"/>
    <n v="1"/>
    <n v="1"/>
    <n v="187616.16"/>
    <x v="1"/>
    <x v="2"/>
    <x v="0"/>
    <s v="High Salary"/>
  </r>
  <r>
    <n v="26"/>
    <n v="15738191"/>
    <s v="Maclean"/>
    <x v="0"/>
    <s v="Male"/>
    <n v="577"/>
    <n v="25"/>
    <n v="3"/>
    <n v="0"/>
    <n v="2"/>
    <n v="0"/>
    <n v="1"/>
    <n v="124508.29"/>
    <x v="1"/>
    <x v="1"/>
    <x v="1"/>
    <s v="High Salary"/>
  </r>
  <r>
    <n v="27"/>
    <n v="15736816"/>
    <s v="Young"/>
    <x v="2"/>
    <s v="Male"/>
    <n v="756"/>
    <n v="36"/>
    <n v="2"/>
    <n v="136815.64000000001"/>
    <n v="1"/>
    <n v="1"/>
    <n v="1"/>
    <n v="170041.95"/>
    <x v="1"/>
    <x v="2"/>
    <x v="0"/>
    <s v="High Salary"/>
  </r>
  <r>
    <n v="28"/>
    <n v="15700772"/>
    <s v="Nebechi"/>
    <x v="0"/>
    <s v="Male"/>
    <n v="571"/>
    <n v="44"/>
    <n v="9"/>
    <n v="0"/>
    <n v="2"/>
    <n v="0"/>
    <n v="0"/>
    <n v="38433.35"/>
    <x v="1"/>
    <x v="1"/>
    <x v="0"/>
    <s v="Medium Salary"/>
  </r>
  <r>
    <n v="29"/>
    <n v="15728693"/>
    <s v="McWilliams"/>
    <x v="2"/>
    <s v="Female"/>
    <n v="574"/>
    <n v="43"/>
    <n v="3"/>
    <n v="141349.43"/>
    <n v="1"/>
    <n v="1"/>
    <n v="1"/>
    <n v="100187.43"/>
    <x v="1"/>
    <x v="1"/>
    <x v="0"/>
    <s v="High Salary"/>
  </r>
  <r>
    <n v="30"/>
    <n v="15656300"/>
    <s v="Lucciano"/>
    <x v="0"/>
    <s v="Male"/>
    <n v="411"/>
    <n v="29"/>
    <n v="0"/>
    <n v="59697.17"/>
    <n v="2"/>
    <n v="1"/>
    <n v="1"/>
    <n v="53483.21"/>
    <x v="1"/>
    <x v="1"/>
    <x v="1"/>
    <s v="Medium Salary"/>
  </r>
  <r>
    <n v="31"/>
    <n v="15589475"/>
    <s v="Azikiwe"/>
    <x v="1"/>
    <s v="Female"/>
    <n v="591"/>
    <n v="39"/>
    <n v="3"/>
    <n v="0"/>
    <n v="3"/>
    <n v="1"/>
    <n v="0"/>
    <n v="140469.38"/>
    <x v="0"/>
    <x v="0"/>
    <x v="0"/>
    <s v="High Salary"/>
  </r>
  <r>
    <n v="32"/>
    <n v="15706552"/>
    <s v="Odinakachukwu"/>
    <x v="0"/>
    <s v="Male"/>
    <n v="533"/>
    <n v="36"/>
    <n v="7"/>
    <n v="85311.7"/>
    <n v="1"/>
    <n v="0"/>
    <n v="1"/>
    <n v="156731.91"/>
    <x v="1"/>
    <x v="1"/>
    <x v="0"/>
    <s v="High Salary"/>
  </r>
  <r>
    <n v="33"/>
    <n v="15750181"/>
    <s v="Sanderson"/>
    <x v="2"/>
    <s v="Male"/>
    <n v="553"/>
    <n v="41"/>
    <n v="9"/>
    <n v="110112.54"/>
    <n v="2"/>
    <n v="0"/>
    <n v="0"/>
    <n v="81898.81"/>
    <x v="1"/>
    <x v="1"/>
    <x v="0"/>
    <s v="High Salary"/>
  </r>
  <r>
    <n v="34"/>
    <n v="15659428"/>
    <s v="Maggard"/>
    <x v="1"/>
    <s v="Female"/>
    <n v="520"/>
    <n v="42"/>
    <n v="6"/>
    <n v="0"/>
    <n v="2"/>
    <n v="1"/>
    <n v="1"/>
    <n v="34410.550000000003"/>
    <x v="1"/>
    <x v="1"/>
    <x v="0"/>
    <s v="Medium Salary"/>
  </r>
  <r>
    <n v="35"/>
    <n v="15732963"/>
    <s v="Clements"/>
    <x v="1"/>
    <s v="Female"/>
    <n v="722"/>
    <n v="29"/>
    <n v="9"/>
    <n v="0"/>
    <n v="2"/>
    <n v="1"/>
    <n v="1"/>
    <n v="142033.07"/>
    <x v="1"/>
    <x v="2"/>
    <x v="1"/>
    <s v="High Salary"/>
  </r>
  <r>
    <n v="36"/>
    <n v="15794171"/>
    <s v="Lombardo"/>
    <x v="0"/>
    <s v="Female"/>
    <n v="475"/>
    <n v="45"/>
    <n v="0"/>
    <n v="134264.04"/>
    <n v="1"/>
    <n v="1"/>
    <n v="0"/>
    <n v="27822.99"/>
    <x v="0"/>
    <x v="1"/>
    <x v="0"/>
    <s v="Low Salary"/>
  </r>
  <r>
    <n v="37"/>
    <n v="15788448"/>
    <s v="Watson"/>
    <x v="1"/>
    <s v="Male"/>
    <n v="490"/>
    <n v="31"/>
    <n v="3"/>
    <n v="145260.23000000001"/>
    <n v="1"/>
    <n v="0"/>
    <n v="1"/>
    <n v="114066.77"/>
    <x v="1"/>
    <x v="1"/>
    <x v="0"/>
    <s v="High Salary"/>
  </r>
  <r>
    <n v="38"/>
    <n v="15729599"/>
    <s v="Lorenzo"/>
    <x v="1"/>
    <s v="Male"/>
    <n v="804"/>
    <n v="33"/>
    <n v="7"/>
    <n v="76548.600000000006"/>
    <n v="1"/>
    <n v="0"/>
    <n v="1"/>
    <n v="98453.45"/>
    <x v="1"/>
    <x v="2"/>
    <x v="0"/>
    <s v="High Salary"/>
  </r>
  <r>
    <n v="39"/>
    <n v="15717426"/>
    <s v="Armstrong"/>
    <x v="0"/>
    <s v="Male"/>
    <n v="850"/>
    <n v="36"/>
    <n v="7"/>
    <n v="0"/>
    <n v="1"/>
    <n v="1"/>
    <n v="1"/>
    <n v="40812.9"/>
    <x v="1"/>
    <x v="2"/>
    <x v="0"/>
    <s v="Medium Salary"/>
  </r>
  <r>
    <n v="40"/>
    <n v="15585768"/>
    <s v="Cameron"/>
    <x v="2"/>
    <s v="Male"/>
    <n v="582"/>
    <n v="41"/>
    <n v="6"/>
    <n v="70349.48"/>
    <n v="2"/>
    <n v="0"/>
    <n v="1"/>
    <n v="178074.04"/>
    <x v="1"/>
    <x v="0"/>
    <x v="0"/>
    <s v="High Salary"/>
  </r>
  <r>
    <n v="41"/>
    <n v="15619360"/>
    <s v="Hsiao"/>
    <x v="1"/>
    <s v="Male"/>
    <n v="472"/>
    <n v="40"/>
    <n v="4"/>
    <n v="0"/>
    <n v="1"/>
    <n v="1"/>
    <n v="0"/>
    <n v="70154.22"/>
    <x v="1"/>
    <x v="1"/>
    <x v="0"/>
    <s v="High Salary"/>
  </r>
  <r>
    <n v="42"/>
    <n v="15738148"/>
    <s v="Clarke"/>
    <x v="0"/>
    <s v="Female"/>
    <n v="465"/>
    <n v="51"/>
    <n v="8"/>
    <n v="122522.32"/>
    <n v="1"/>
    <n v="0"/>
    <n v="0"/>
    <n v="181297.65"/>
    <x v="0"/>
    <x v="1"/>
    <x v="2"/>
    <s v="High Salary"/>
  </r>
  <r>
    <n v="43"/>
    <n v="15687946"/>
    <s v="Osborne"/>
    <x v="0"/>
    <s v="Female"/>
    <n v="556"/>
    <n v="61"/>
    <n v="2"/>
    <n v="117419.35"/>
    <n v="1"/>
    <n v="1"/>
    <n v="1"/>
    <n v="94153.83"/>
    <x v="1"/>
    <x v="1"/>
    <x v="2"/>
    <s v="High Salary"/>
  </r>
  <r>
    <n v="44"/>
    <n v="15755196"/>
    <s v="Lavine"/>
    <x v="0"/>
    <s v="Female"/>
    <n v="834"/>
    <n v="49"/>
    <n v="2"/>
    <n v="131394.56"/>
    <n v="1"/>
    <n v="0"/>
    <n v="0"/>
    <n v="194365.76"/>
    <x v="0"/>
    <x v="2"/>
    <x v="0"/>
    <s v="High Salary"/>
  </r>
  <r>
    <n v="45"/>
    <n v="15684171"/>
    <s v="Bianchi"/>
    <x v="1"/>
    <s v="Female"/>
    <n v="660"/>
    <n v="61"/>
    <n v="5"/>
    <n v="155931.10999999999"/>
    <n v="1"/>
    <n v="1"/>
    <n v="1"/>
    <n v="158338.39000000001"/>
    <x v="1"/>
    <x v="0"/>
    <x v="2"/>
    <s v="High Salary"/>
  </r>
  <r>
    <n v="46"/>
    <n v="15754849"/>
    <s v="Tyler"/>
    <x v="2"/>
    <s v="Female"/>
    <n v="776"/>
    <n v="32"/>
    <n v="4"/>
    <n v="109421.13"/>
    <n v="2"/>
    <n v="1"/>
    <n v="1"/>
    <n v="126517.46"/>
    <x v="1"/>
    <x v="2"/>
    <x v="0"/>
    <s v="High Salary"/>
  </r>
  <r>
    <n v="47"/>
    <n v="15602280"/>
    <s v="Martin"/>
    <x v="2"/>
    <s v="Female"/>
    <n v="829"/>
    <n v="27"/>
    <n v="9"/>
    <n v="112045.67"/>
    <n v="1"/>
    <n v="1"/>
    <n v="1"/>
    <n v="119708.21"/>
    <x v="0"/>
    <x v="2"/>
    <x v="1"/>
    <s v="High Salary"/>
  </r>
  <r>
    <n v="48"/>
    <n v="15771573"/>
    <s v="Okagbue"/>
    <x v="2"/>
    <s v="Female"/>
    <n v="637"/>
    <n v="39"/>
    <n v="9"/>
    <n v="137843.79999999999"/>
    <n v="1"/>
    <n v="1"/>
    <n v="1"/>
    <n v="117622.8"/>
    <x v="0"/>
    <x v="0"/>
    <x v="0"/>
    <s v="High Salary"/>
  </r>
  <r>
    <n v="49"/>
    <n v="15766205"/>
    <s v="Yin"/>
    <x v="2"/>
    <s v="Male"/>
    <n v="550"/>
    <n v="38"/>
    <n v="2"/>
    <n v="103391.38"/>
    <n v="1"/>
    <n v="0"/>
    <n v="1"/>
    <n v="90878.13"/>
    <x v="1"/>
    <x v="1"/>
    <x v="0"/>
    <s v="High Salary"/>
  </r>
  <r>
    <n v="50"/>
    <n v="15771873"/>
    <s v="Buccho"/>
    <x v="2"/>
    <s v="Female"/>
    <n v="776"/>
    <n v="37"/>
    <n v="2"/>
    <n v="103769.22"/>
    <n v="2"/>
    <n v="1"/>
    <n v="0"/>
    <n v="194099.12"/>
    <x v="1"/>
    <x v="2"/>
    <x v="0"/>
    <s v="High Salary"/>
  </r>
  <r>
    <n v="51"/>
    <n v="15616550"/>
    <s v="Chidiebele"/>
    <x v="2"/>
    <s v="Male"/>
    <n v="698"/>
    <n v="44"/>
    <n v="10"/>
    <n v="116363.37"/>
    <n v="2"/>
    <n v="1"/>
    <n v="0"/>
    <n v="198059.16"/>
    <x v="1"/>
    <x v="2"/>
    <x v="0"/>
    <s v="High Salary"/>
  </r>
  <r>
    <n v="52"/>
    <n v="15768193"/>
    <s v="Trevisani"/>
    <x v="2"/>
    <s v="Male"/>
    <n v="585"/>
    <n v="36"/>
    <n v="5"/>
    <n v="146050.97"/>
    <n v="2"/>
    <n v="0"/>
    <n v="0"/>
    <n v="86424.57"/>
    <x v="1"/>
    <x v="0"/>
    <x v="0"/>
    <s v="High Salary"/>
  </r>
  <r>
    <n v="53"/>
    <n v="15683553"/>
    <s v="O'Brien"/>
    <x v="0"/>
    <s v="Female"/>
    <n v="788"/>
    <n v="33"/>
    <n v="5"/>
    <n v="0"/>
    <n v="2"/>
    <n v="0"/>
    <n v="0"/>
    <n v="116978.19"/>
    <x v="1"/>
    <x v="2"/>
    <x v="0"/>
    <s v="High Salary"/>
  </r>
  <r>
    <n v="54"/>
    <n v="15702298"/>
    <s v="Parkhill"/>
    <x v="2"/>
    <s v="Male"/>
    <n v="655"/>
    <n v="41"/>
    <n v="8"/>
    <n v="125561.97"/>
    <n v="1"/>
    <n v="0"/>
    <n v="0"/>
    <n v="164040.94"/>
    <x v="0"/>
    <x v="0"/>
    <x v="0"/>
    <s v="High Salary"/>
  </r>
  <r>
    <n v="55"/>
    <n v="15569590"/>
    <s v="Yoo"/>
    <x v="2"/>
    <s v="Male"/>
    <n v="601"/>
    <n v="42"/>
    <n v="1"/>
    <n v="98495.72"/>
    <n v="1"/>
    <n v="1"/>
    <n v="0"/>
    <n v="40014.76"/>
    <x v="0"/>
    <x v="0"/>
    <x v="0"/>
    <s v="Medium Salary"/>
  </r>
  <r>
    <n v="56"/>
    <n v="15760861"/>
    <s v="Phillipps"/>
    <x v="0"/>
    <s v="Male"/>
    <n v="619"/>
    <n v="43"/>
    <n v="1"/>
    <n v="125211.92"/>
    <n v="1"/>
    <n v="1"/>
    <n v="1"/>
    <n v="113410.49"/>
    <x v="1"/>
    <x v="0"/>
    <x v="0"/>
    <s v="High Salary"/>
  </r>
  <r>
    <n v="57"/>
    <n v="15630053"/>
    <s v="Tsao"/>
    <x v="0"/>
    <s v="Male"/>
    <n v="656"/>
    <n v="45"/>
    <n v="5"/>
    <n v="127864.4"/>
    <n v="1"/>
    <n v="1"/>
    <n v="0"/>
    <n v="87107.57"/>
    <x v="1"/>
    <x v="0"/>
    <x v="0"/>
    <s v="High Salary"/>
  </r>
  <r>
    <n v="58"/>
    <n v="15647091"/>
    <s v="Endrizzi"/>
    <x v="2"/>
    <s v="Male"/>
    <n v="725"/>
    <n v="19"/>
    <n v="0"/>
    <n v="75888.2"/>
    <n v="1"/>
    <n v="0"/>
    <n v="0"/>
    <n v="45613.75"/>
    <x v="1"/>
    <x v="2"/>
    <x v="1"/>
    <s v="Medium Salary"/>
  </r>
  <r>
    <n v="59"/>
    <n v="15623944"/>
    <s v="T'ien"/>
    <x v="1"/>
    <s v="Female"/>
    <n v="511"/>
    <n v="66"/>
    <n v="4"/>
    <n v="0"/>
    <n v="1"/>
    <n v="1"/>
    <n v="0"/>
    <n v="1643.11"/>
    <x v="0"/>
    <x v="1"/>
    <x v="2"/>
    <s v="Low Salary"/>
  </r>
  <r>
    <n v="60"/>
    <n v="15804771"/>
    <s v="Velazquez"/>
    <x v="0"/>
    <s v="Male"/>
    <n v="614"/>
    <n v="51"/>
    <n v="4"/>
    <n v="40685.919999999998"/>
    <n v="1"/>
    <n v="1"/>
    <n v="1"/>
    <n v="46775.28"/>
    <x v="1"/>
    <x v="0"/>
    <x v="2"/>
    <s v="Medium Salary"/>
  </r>
  <r>
    <n v="61"/>
    <n v="15651280"/>
    <s v="Hunter"/>
    <x v="2"/>
    <s v="Male"/>
    <n v="742"/>
    <n v="35"/>
    <n v="5"/>
    <n v="136857"/>
    <n v="1"/>
    <n v="0"/>
    <n v="0"/>
    <n v="84509.57"/>
    <x v="1"/>
    <x v="2"/>
    <x v="0"/>
    <s v="High Salary"/>
  </r>
  <r>
    <n v="62"/>
    <n v="15773469"/>
    <s v="Clark"/>
    <x v="2"/>
    <s v="Female"/>
    <n v="687"/>
    <n v="27"/>
    <n v="9"/>
    <n v="152328.88"/>
    <n v="2"/>
    <n v="0"/>
    <n v="0"/>
    <n v="126494.82"/>
    <x v="1"/>
    <x v="2"/>
    <x v="1"/>
    <s v="High Salary"/>
  </r>
  <r>
    <n v="63"/>
    <n v="15702014"/>
    <s v="Jeffrey"/>
    <x v="1"/>
    <s v="Male"/>
    <n v="555"/>
    <n v="33"/>
    <n v="1"/>
    <n v="56084.69"/>
    <n v="2"/>
    <n v="0"/>
    <n v="0"/>
    <n v="178798.13"/>
    <x v="1"/>
    <x v="1"/>
    <x v="0"/>
    <s v="High Salary"/>
  </r>
  <r>
    <n v="64"/>
    <n v="15751208"/>
    <s v="Pirozzi"/>
    <x v="1"/>
    <s v="Male"/>
    <n v="684"/>
    <n v="56"/>
    <n v="8"/>
    <n v="78707.16"/>
    <n v="1"/>
    <n v="1"/>
    <n v="1"/>
    <n v="99398.36"/>
    <x v="1"/>
    <x v="2"/>
    <x v="2"/>
    <s v="High Salary"/>
  </r>
  <r>
    <n v="65"/>
    <n v="15592461"/>
    <s v="Jackson"/>
    <x v="2"/>
    <s v="Male"/>
    <n v="603"/>
    <n v="26"/>
    <n v="4"/>
    <n v="109166.37"/>
    <n v="1"/>
    <n v="1"/>
    <n v="1"/>
    <n v="92840.67"/>
    <x v="1"/>
    <x v="0"/>
    <x v="1"/>
    <s v="High Salary"/>
  </r>
  <r>
    <n v="66"/>
    <n v="15789484"/>
    <s v="Hammond"/>
    <x v="2"/>
    <s v="Female"/>
    <n v="751"/>
    <n v="36"/>
    <n v="6"/>
    <n v="169831.46"/>
    <n v="2"/>
    <n v="1"/>
    <n v="1"/>
    <n v="27758.36"/>
    <x v="1"/>
    <x v="2"/>
    <x v="0"/>
    <s v="Low Salary"/>
  </r>
  <r>
    <n v="67"/>
    <n v="15696061"/>
    <s v="Brownless"/>
    <x v="2"/>
    <s v="Female"/>
    <n v="581"/>
    <n v="34"/>
    <n v="1"/>
    <n v="101633.04"/>
    <n v="1"/>
    <n v="1"/>
    <n v="0"/>
    <n v="110431.51"/>
    <x v="1"/>
    <x v="0"/>
    <x v="0"/>
    <s v="High Salary"/>
  </r>
  <r>
    <n v="68"/>
    <n v="15641582"/>
    <s v="Chibugo"/>
    <x v="2"/>
    <s v="Male"/>
    <n v="735"/>
    <n v="43"/>
    <n v="10"/>
    <n v="123180.01"/>
    <n v="2"/>
    <n v="1"/>
    <n v="1"/>
    <n v="196673.28"/>
    <x v="1"/>
    <x v="2"/>
    <x v="0"/>
    <s v="High Salary"/>
  </r>
  <r>
    <n v="69"/>
    <n v="15638424"/>
    <s v="Glauert"/>
    <x v="2"/>
    <s v="Female"/>
    <n v="661"/>
    <n v="35"/>
    <n v="5"/>
    <n v="150725.53"/>
    <n v="2"/>
    <n v="0"/>
    <n v="1"/>
    <n v="113656.85"/>
    <x v="1"/>
    <x v="0"/>
    <x v="0"/>
    <s v="High Salary"/>
  </r>
  <r>
    <n v="70"/>
    <n v="15755648"/>
    <s v="Pisano"/>
    <x v="0"/>
    <s v="Female"/>
    <n v="675"/>
    <n v="21"/>
    <n v="8"/>
    <n v="98373.26"/>
    <n v="1"/>
    <n v="1"/>
    <n v="0"/>
    <n v="18203"/>
    <x v="1"/>
    <x v="2"/>
    <x v="1"/>
    <s v="Low Salary"/>
  </r>
  <r>
    <n v="71"/>
    <n v="15703793"/>
    <s v="Konovalova"/>
    <x v="2"/>
    <s v="Male"/>
    <n v="738"/>
    <n v="58"/>
    <n v="2"/>
    <n v="133745.44"/>
    <n v="4"/>
    <n v="1"/>
    <n v="0"/>
    <n v="28373.86"/>
    <x v="0"/>
    <x v="2"/>
    <x v="2"/>
    <s v="Low Salary"/>
  </r>
  <r>
    <n v="72"/>
    <n v="15620344"/>
    <s v="McKee"/>
    <x v="0"/>
    <s v="Male"/>
    <n v="813"/>
    <n v="29"/>
    <n v="6"/>
    <n v="0"/>
    <n v="1"/>
    <n v="1"/>
    <n v="0"/>
    <n v="33953.870000000003"/>
    <x v="1"/>
    <x v="2"/>
    <x v="1"/>
    <s v="Medium Salary"/>
  </r>
  <r>
    <n v="73"/>
    <n v="15812518"/>
    <s v="Palermo"/>
    <x v="1"/>
    <s v="Female"/>
    <n v="657"/>
    <n v="37"/>
    <n v="0"/>
    <n v="163607.18"/>
    <n v="1"/>
    <n v="0"/>
    <n v="1"/>
    <n v="44203.55"/>
    <x v="1"/>
    <x v="0"/>
    <x v="0"/>
    <s v="Medium Salary"/>
  </r>
  <r>
    <n v="74"/>
    <n v="15779052"/>
    <s v="Ballard"/>
    <x v="2"/>
    <s v="Female"/>
    <n v="604"/>
    <n v="25"/>
    <n v="5"/>
    <n v="157780.84"/>
    <n v="2"/>
    <n v="1"/>
    <n v="1"/>
    <n v="58426.81"/>
    <x v="1"/>
    <x v="0"/>
    <x v="1"/>
    <s v="Medium Salary"/>
  </r>
  <r>
    <n v="75"/>
    <n v="15770811"/>
    <s v="Wallace"/>
    <x v="0"/>
    <s v="Male"/>
    <n v="519"/>
    <n v="36"/>
    <n v="9"/>
    <n v="0"/>
    <n v="2"/>
    <n v="0"/>
    <n v="1"/>
    <n v="145562.4"/>
    <x v="1"/>
    <x v="1"/>
    <x v="0"/>
    <s v="High Salary"/>
  </r>
  <r>
    <n v="76"/>
    <n v="15780961"/>
    <s v="Cavenagh"/>
    <x v="0"/>
    <s v="Female"/>
    <n v="735"/>
    <n v="21"/>
    <n v="1"/>
    <n v="178718.19"/>
    <n v="2"/>
    <n v="1"/>
    <n v="0"/>
    <n v="22388"/>
    <x v="1"/>
    <x v="2"/>
    <x v="1"/>
    <s v="Low Salary"/>
  </r>
  <r>
    <n v="77"/>
    <n v="15614049"/>
    <s v="Hu"/>
    <x v="0"/>
    <s v="Male"/>
    <n v="664"/>
    <n v="55"/>
    <n v="8"/>
    <n v="0"/>
    <n v="2"/>
    <n v="1"/>
    <n v="1"/>
    <n v="139161.64000000001"/>
    <x v="1"/>
    <x v="0"/>
    <x v="2"/>
    <s v="High Salary"/>
  </r>
  <r>
    <n v="78"/>
    <n v="15662085"/>
    <s v="Read"/>
    <x v="0"/>
    <s v="Female"/>
    <n v="678"/>
    <n v="32"/>
    <n v="9"/>
    <n v="0"/>
    <n v="1"/>
    <n v="1"/>
    <n v="1"/>
    <n v="148210.64000000001"/>
    <x v="1"/>
    <x v="2"/>
    <x v="0"/>
    <s v="High Salary"/>
  </r>
  <r>
    <n v="79"/>
    <n v="15575185"/>
    <s v="Bushell"/>
    <x v="1"/>
    <s v="Male"/>
    <n v="757"/>
    <n v="33"/>
    <n v="5"/>
    <n v="77253.22"/>
    <n v="1"/>
    <n v="0"/>
    <n v="1"/>
    <n v="194239.63"/>
    <x v="1"/>
    <x v="2"/>
    <x v="0"/>
    <s v="High Salary"/>
  </r>
  <r>
    <n v="80"/>
    <n v="15803136"/>
    <s v="Postle"/>
    <x v="2"/>
    <s v="Female"/>
    <n v="416"/>
    <n v="41"/>
    <n v="10"/>
    <n v="122189.66"/>
    <n v="2"/>
    <n v="1"/>
    <n v="0"/>
    <n v="98301.61"/>
    <x v="1"/>
    <x v="1"/>
    <x v="0"/>
    <s v="High Salary"/>
  </r>
  <r>
    <n v="81"/>
    <n v="15706021"/>
    <s v="Buley"/>
    <x v="0"/>
    <s v="Female"/>
    <n v="665"/>
    <n v="34"/>
    <n v="1"/>
    <n v="96645.54"/>
    <n v="2"/>
    <n v="0"/>
    <n v="0"/>
    <n v="171413.66"/>
    <x v="1"/>
    <x v="0"/>
    <x v="0"/>
    <s v="High Salary"/>
  </r>
  <r>
    <n v="82"/>
    <n v="15663706"/>
    <s v="Leonard"/>
    <x v="0"/>
    <s v="Female"/>
    <n v="777"/>
    <n v="32"/>
    <n v="2"/>
    <n v="0"/>
    <n v="1"/>
    <n v="1"/>
    <n v="0"/>
    <n v="136458.19"/>
    <x v="0"/>
    <x v="2"/>
    <x v="0"/>
    <s v="High Salary"/>
  </r>
  <r>
    <n v="83"/>
    <n v="15641732"/>
    <s v="Mills"/>
    <x v="0"/>
    <s v="Female"/>
    <n v="543"/>
    <n v="36"/>
    <n v="3"/>
    <n v="0"/>
    <n v="2"/>
    <n v="0"/>
    <n v="0"/>
    <n v="26019.59"/>
    <x v="1"/>
    <x v="1"/>
    <x v="0"/>
    <s v="Low Salary"/>
  </r>
  <r>
    <n v="84"/>
    <n v="15701164"/>
    <s v="Onyeorulu"/>
    <x v="0"/>
    <s v="Female"/>
    <n v="506"/>
    <n v="34"/>
    <n v="4"/>
    <n v="90307.62"/>
    <n v="1"/>
    <n v="1"/>
    <n v="1"/>
    <n v="159235.29"/>
    <x v="1"/>
    <x v="1"/>
    <x v="0"/>
    <s v="High Salary"/>
  </r>
  <r>
    <n v="85"/>
    <n v="15738751"/>
    <s v="Beit"/>
    <x v="0"/>
    <s v="Female"/>
    <n v="493"/>
    <n v="46"/>
    <n v="4"/>
    <n v="0"/>
    <n v="2"/>
    <n v="1"/>
    <n v="0"/>
    <n v="1907.66"/>
    <x v="1"/>
    <x v="1"/>
    <x v="0"/>
    <s v="Low Salary"/>
  </r>
  <r>
    <n v="86"/>
    <n v="15805254"/>
    <s v="Ndukaku"/>
    <x v="1"/>
    <s v="Female"/>
    <n v="652"/>
    <n v="75"/>
    <n v="10"/>
    <n v="0"/>
    <n v="2"/>
    <n v="1"/>
    <n v="1"/>
    <n v="114675.75"/>
    <x v="1"/>
    <x v="0"/>
    <x v="2"/>
    <s v="High Salary"/>
  </r>
  <r>
    <n v="87"/>
    <n v="15762418"/>
    <s v="Gant"/>
    <x v="1"/>
    <s v="Male"/>
    <n v="750"/>
    <n v="22"/>
    <n v="3"/>
    <n v="121681.82"/>
    <n v="1"/>
    <n v="1"/>
    <n v="0"/>
    <n v="128643.35"/>
    <x v="0"/>
    <x v="2"/>
    <x v="1"/>
    <s v="High Salary"/>
  </r>
  <r>
    <n v="88"/>
    <n v="15625759"/>
    <s v="Rowley"/>
    <x v="0"/>
    <s v="Male"/>
    <n v="729"/>
    <n v="30"/>
    <n v="9"/>
    <n v="0"/>
    <n v="2"/>
    <n v="1"/>
    <n v="0"/>
    <n v="151869.35"/>
    <x v="1"/>
    <x v="2"/>
    <x v="1"/>
    <s v="High Salary"/>
  </r>
  <r>
    <n v="89"/>
    <n v="15622897"/>
    <s v="Sharpe"/>
    <x v="0"/>
    <s v="Female"/>
    <n v="646"/>
    <n v="46"/>
    <n v="4"/>
    <n v="0"/>
    <n v="3"/>
    <n v="1"/>
    <n v="0"/>
    <n v="93251.42"/>
    <x v="0"/>
    <x v="0"/>
    <x v="0"/>
    <s v="High Salary"/>
  </r>
  <r>
    <n v="90"/>
    <n v="15767954"/>
    <s v="Osborne"/>
    <x v="2"/>
    <s v="Female"/>
    <n v="635"/>
    <n v="28"/>
    <n v="3"/>
    <n v="81623.67"/>
    <n v="2"/>
    <n v="1"/>
    <n v="1"/>
    <n v="156791.35999999999"/>
    <x v="1"/>
    <x v="0"/>
    <x v="1"/>
    <s v="High Salary"/>
  </r>
  <r>
    <n v="91"/>
    <n v="15757535"/>
    <s v="Heap"/>
    <x v="1"/>
    <s v="Female"/>
    <n v="647"/>
    <n v="44"/>
    <n v="5"/>
    <n v="0"/>
    <n v="3"/>
    <n v="1"/>
    <n v="1"/>
    <n v="174205.22"/>
    <x v="0"/>
    <x v="0"/>
    <x v="0"/>
    <s v="High Salary"/>
  </r>
  <r>
    <n v="92"/>
    <n v="15731511"/>
    <s v="Ritchie"/>
    <x v="0"/>
    <s v="Male"/>
    <n v="808"/>
    <n v="45"/>
    <n v="7"/>
    <n v="118626.55"/>
    <n v="2"/>
    <n v="1"/>
    <n v="0"/>
    <n v="147132.46"/>
    <x v="1"/>
    <x v="2"/>
    <x v="0"/>
    <s v="High Salary"/>
  </r>
  <r>
    <n v="93"/>
    <n v="15809248"/>
    <s v="Cole"/>
    <x v="0"/>
    <s v="Female"/>
    <n v="524"/>
    <n v="36"/>
    <n v="10"/>
    <n v="0"/>
    <n v="2"/>
    <n v="1"/>
    <n v="0"/>
    <n v="109614.57"/>
    <x v="1"/>
    <x v="1"/>
    <x v="0"/>
    <s v="High Salary"/>
  </r>
  <r>
    <n v="94"/>
    <n v="15640635"/>
    <s v="Capon"/>
    <x v="0"/>
    <s v="Male"/>
    <n v="769"/>
    <n v="29"/>
    <n v="8"/>
    <n v="0"/>
    <n v="2"/>
    <n v="1"/>
    <n v="1"/>
    <n v="172290.61"/>
    <x v="1"/>
    <x v="2"/>
    <x v="1"/>
    <s v="High Salary"/>
  </r>
  <r>
    <n v="95"/>
    <n v="15676966"/>
    <s v="Capon"/>
    <x v="1"/>
    <s v="Male"/>
    <n v="730"/>
    <n v="42"/>
    <n v="4"/>
    <n v="0"/>
    <n v="2"/>
    <n v="0"/>
    <n v="1"/>
    <n v="85982.47"/>
    <x v="1"/>
    <x v="2"/>
    <x v="0"/>
    <s v="High Salary"/>
  </r>
  <r>
    <n v="96"/>
    <n v="15699461"/>
    <s v="Fiorentini"/>
    <x v="1"/>
    <s v="Male"/>
    <n v="515"/>
    <n v="35"/>
    <n v="10"/>
    <n v="176273.95"/>
    <n v="1"/>
    <n v="0"/>
    <n v="1"/>
    <n v="121277.78"/>
    <x v="1"/>
    <x v="1"/>
    <x v="0"/>
    <s v="High Salary"/>
  </r>
  <r>
    <n v="97"/>
    <n v="15738721"/>
    <s v="Graham"/>
    <x v="1"/>
    <s v="Male"/>
    <n v="773"/>
    <n v="41"/>
    <n v="9"/>
    <n v="102827.44"/>
    <n v="1"/>
    <n v="0"/>
    <n v="1"/>
    <n v="64595.25"/>
    <x v="1"/>
    <x v="2"/>
    <x v="0"/>
    <s v="Medium Salary"/>
  </r>
  <r>
    <n v="98"/>
    <n v="15693683"/>
    <s v="Yuille"/>
    <x v="2"/>
    <s v="Male"/>
    <n v="814"/>
    <n v="29"/>
    <n v="8"/>
    <n v="97086.399999999994"/>
    <n v="2"/>
    <n v="1"/>
    <n v="1"/>
    <n v="197276.13"/>
    <x v="1"/>
    <x v="2"/>
    <x v="1"/>
    <s v="High Salary"/>
  </r>
  <r>
    <n v="99"/>
    <n v="15604348"/>
    <s v="Allard"/>
    <x v="1"/>
    <s v="Male"/>
    <n v="710"/>
    <n v="22"/>
    <n v="8"/>
    <n v="0"/>
    <n v="2"/>
    <n v="0"/>
    <n v="0"/>
    <n v="99645.04"/>
    <x v="1"/>
    <x v="2"/>
    <x v="1"/>
    <s v="High Salary"/>
  </r>
  <r>
    <n v="100"/>
    <n v="15633059"/>
    <s v="Fanucci"/>
    <x v="0"/>
    <s v="Male"/>
    <n v="413"/>
    <n v="34"/>
    <n v="9"/>
    <n v="0"/>
    <n v="2"/>
    <n v="0"/>
    <n v="0"/>
    <n v="6534.18"/>
    <x v="1"/>
    <x v="1"/>
    <x v="0"/>
    <s v="Low Salary"/>
  </r>
  <r>
    <n v="101"/>
    <n v="15808582"/>
    <s v="Fu"/>
    <x v="0"/>
    <s v="Female"/>
    <n v="665"/>
    <n v="40"/>
    <n v="6"/>
    <n v="0"/>
    <n v="1"/>
    <n v="1"/>
    <n v="1"/>
    <n v="161848.03"/>
    <x v="1"/>
    <x v="0"/>
    <x v="0"/>
    <s v="High Salary"/>
  </r>
  <r>
    <n v="102"/>
    <n v="15743192"/>
    <s v="Hung"/>
    <x v="0"/>
    <s v="Female"/>
    <n v="623"/>
    <n v="44"/>
    <n v="6"/>
    <n v="0"/>
    <n v="2"/>
    <n v="0"/>
    <n v="0"/>
    <n v="167162.43"/>
    <x v="1"/>
    <x v="0"/>
    <x v="0"/>
    <s v="High Salary"/>
  </r>
  <r>
    <n v="103"/>
    <n v="15580146"/>
    <s v="Hung"/>
    <x v="0"/>
    <s v="Male"/>
    <n v="738"/>
    <n v="31"/>
    <n v="9"/>
    <n v="82674.149999999994"/>
    <n v="1"/>
    <n v="1"/>
    <n v="0"/>
    <n v="41970.720000000001"/>
    <x v="1"/>
    <x v="2"/>
    <x v="0"/>
    <s v="Medium Salary"/>
  </r>
  <r>
    <n v="104"/>
    <n v="15776605"/>
    <s v="Bradley"/>
    <x v="1"/>
    <s v="Male"/>
    <n v="528"/>
    <n v="36"/>
    <n v="7"/>
    <n v="0"/>
    <n v="2"/>
    <n v="1"/>
    <n v="0"/>
    <n v="60536.56"/>
    <x v="1"/>
    <x v="1"/>
    <x v="0"/>
    <s v="Medium Salary"/>
  </r>
  <r>
    <n v="105"/>
    <n v="15804919"/>
    <s v="Dunbabin"/>
    <x v="1"/>
    <s v="Female"/>
    <n v="670"/>
    <n v="65"/>
    <n v="1"/>
    <n v="0"/>
    <n v="1"/>
    <n v="1"/>
    <n v="1"/>
    <n v="177655.67999999999"/>
    <x v="0"/>
    <x v="2"/>
    <x v="2"/>
    <s v="High Salary"/>
  </r>
  <r>
    <n v="106"/>
    <n v="15613854"/>
    <s v="Mauldon"/>
    <x v="1"/>
    <s v="Female"/>
    <n v="622"/>
    <n v="46"/>
    <n v="4"/>
    <n v="107073.27"/>
    <n v="2"/>
    <n v="1"/>
    <n v="1"/>
    <n v="30984.59"/>
    <x v="0"/>
    <x v="0"/>
    <x v="0"/>
    <s v="Medium Salary"/>
  </r>
  <r>
    <n v="107"/>
    <n v="15599195"/>
    <s v="Stiger"/>
    <x v="2"/>
    <s v="Male"/>
    <n v="582"/>
    <n v="32"/>
    <n v="1"/>
    <n v="88938.62"/>
    <n v="1"/>
    <n v="1"/>
    <n v="1"/>
    <n v="10054.530000000001"/>
    <x v="1"/>
    <x v="0"/>
    <x v="0"/>
    <s v="Low Salary"/>
  </r>
  <r>
    <n v="108"/>
    <n v="15812878"/>
    <s v="Parsons"/>
    <x v="2"/>
    <s v="Female"/>
    <n v="785"/>
    <n v="36"/>
    <n v="2"/>
    <n v="99806.85"/>
    <n v="1"/>
    <n v="0"/>
    <n v="1"/>
    <n v="36976.519999999997"/>
    <x v="1"/>
    <x v="2"/>
    <x v="0"/>
    <s v="Medium Salary"/>
  </r>
  <r>
    <n v="109"/>
    <n v="15602312"/>
    <s v="Walkom"/>
    <x v="1"/>
    <s v="Male"/>
    <n v="605"/>
    <n v="33"/>
    <n v="5"/>
    <n v="150092.79999999999"/>
    <n v="1"/>
    <n v="0"/>
    <n v="0"/>
    <n v="71862.789999999994"/>
    <x v="1"/>
    <x v="0"/>
    <x v="0"/>
    <s v="High Salary"/>
  </r>
  <r>
    <n v="110"/>
    <n v="15744689"/>
    <s v="T'ang"/>
    <x v="2"/>
    <s v="Male"/>
    <n v="479"/>
    <n v="35"/>
    <n v="9"/>
    <n v="92833.89"/>
    <n v="1"/>
    <n v="1"/>
    <n v="0"/>
    <n v="99449.86"/>
    <x v="0"/>
    <x v="1"/>
    <x v="0"/>
    <s v="High Salary"/>
  </r>
  <r>
    <n v="111"/>
    <n v="15803526"/>
    <s v="Eremenko"/>
    <x v="2"/>
    <s v="Male"/>
    <n v="685"/>
    <n v="30"/>
    <n v="3"/>
    <n v="90536.81"/>
    <n v="1"/>
    <n v="0"/>
    <n v="1"/>
    <n v="63082.879999999997"/>
    <x v="1"/>
    <x v="2"/>
    <x v="1"/>
    <s v="Medium Salary"/>
  </r>
  <r>
    <n v="112"/>
    <n v="15665790"/>
    <s v="Rowntree"/>
    <x v="2"/>
    <s v="Male"/>
    <n v="538"/>
    <n v="39"/>
    <n v="7"/>
    <n v="108055.1"/>
    <n v="2"/>
    <n v="1"/>
    <n v="0"/>
    <n v="27231.26"/>
    <x v="1"/>
    <x v="1"/>
    <x v="0"/>
    <s v="Low Salary"/>
  </r>
  <r>
    <n v="113"/>
    <n v="15715951"/>
    <s v="Thorpe"/>
    <x v="0"/>
    <s v="Male"/>
    <n v="562"/>
    <n v="42"/>
    <n v="2"/>
    <n v="100238.35"/>
    <n v="1"/>
    <n v="0"/>
    <n v="0"/>
    <n v="86797.41"/>
    <x v="1"/>
    <x v="1"/>
    <x v="0"/>
    <s v="High Salary"/>
  </r>
  <r>
    <n v="114"/>
    <n v="15591100"/>
    <s v="Chiemela"/>
    <x v="1"/>
    <s v="Male"/>
    <n v="675"/>
    <n v="36"/>
    <n v="9"/>
    <n v="106190.55"/>
    <n v="1"/>
    <n v="0"/>
    <n v="1"/>
    <n v="22994.32"/>
    <x v="1"/>
    <x v="2"/>
    <x v="0"/>
    <s v="Low Salary"/>
  </r>
  <r>
    <n v="115"/>
    <n v="15609618"/>
    <s v="Fanucci"/>
    <x v="2"/>
    <s v="Male"/>
    <n v="721"/>
    <n v="28"/>
    <n v="9"/>
    <n v="154475.54"/>
    <n v="2"/>
    <n v="0"/>
    <n v="1"/>
    <n v="101300.94"/>
    <x v="0"/>
    <x v="2"/>
    <x v="1"/>
    <s v="High Salary"/>
  </r>
  <r>
    <n v="116"/>
    <n v="15675522"/>
    <s v="Ko"/>
    <x v="2"/>
    <s v="Female"/>
    <n v="628"/>
    <n v="30"/>
    <n v="9"/>
    <n v="132351.29"/>
    <n v="2"/>
    <n v="1"/>
    <n v="1"/>
    <n v="74169.13"/>
    <x v="1"/>
    <x v="0"/>
    <x v="1"/>
    <s v="High Salary"/>
  </r>
  <r>
    <n v="117"/>
    <n v="15705512"/>
    <s v="Welch"/>
    <x v="2"/>
    <s v="Female"/>
    <n v="668"/>
    <n v="37"/>
    <n v="6"/>
    <n v="167864.4"/>
    <n v="1"/>
    <n v="1"/>
    <n v="0"/>
    <n v="115638.29"/>
    <x v="1"/>
    <x v="0"/>
    <x v="0"/>
    <s v="High Salary"/>
  </r>
  <r>
    <n v="118"/>
    <n v="15698028"/>
    <s v="Duncan"/>
    <x v="0"/>
    <s v="Female"/>
    <n v="506"/>
    <n v="41"/>
    <n v="1"/>
    <n v="0"/>
    <n v="2"/>
    <n v="1"/>
    <n v="0"/>
    <n v="31766.3"/>
    <x v="1"/>
    <x v="1"/>
    <x v="0"/>
    <s v="Medium Salary"/>
  </r>
  <r>
    <n v="119"/>
    <n v="15661670"/>
    <s v="Chidozie"/>
    <x v="2"/>
    <s v="Female"/>
    <n v="524"/>
    <n v="31"/>
    <n v="8"/>
    <n v="107818.63"/>
    <n v="1"/>
    <n v="1"/>
    <n v="0"/>
    <n v="199725.39"/>
    <x v="0"/>
    <x v="1"/>
    <x v="0"/>
    <s v="High Salary"/>
  </r>
  <r>
    <n v="120"/>
    <n v="15600781"/>
    <s v="Wu"/>
    <x v="2"/>
    <s v="Male"/>
    <n v="699"/>
    <n v="34"/>
    <n v="4"/>
    <n v="185173.81"/>
    <n v="2"/>
    <n v="1"/>
    <n v="0"/>
    <n v="120834.48"/>
    <x v="1"/>
    <x v="2"/>
    <x v="0"/>
    <s v="High Salary"/>
  </r>
  <r>
    <n v="121"/>
    <n v="15682472"/>
    <s v="Culbreth"/>
    <x v="0"/>
    <s v="Male"/>
    <n v="828"/>
    <n v="34"/>
    <n v="8"/>
    <n v="129433.34"/>
    <n v="2"/>
    <n v="0"/>
    <n v="0"/>
    <n v="38131.769999999997"/>
    <x v="1"/>
    <x v="2"/>
    <x v="0"/>
    <s v="Medium Salary"/>
  </r>
  <r>
    <n v="122"/>
    <n v="15580203"/>
    <s v="Kennedy"/>
    <x v="1"/>
    <s v="Male"/>
    <n v="674"/>
    <n v="39"/>
    <n v="6"/>
    <n v="120193.42"/>
    <n v="1"/>
    <n v="0"/>
    <n v="0"/>
    <n v="100130.95"/>
    <x v="1"/>
    <x v="2"/>
    <x v="0"/>
    <s v="High Salary"/>
  </r>
  <r>
    <n v="123"/>
    <n v="15690673"/>
    <s v="Cameron"/>
    <x v="0"/>
    <s v="Female"/>
    <n v="656"/>
    <n v="39"/>
    <n v="6"/>
    <n v="0"/>
    <n v="2"/>
    <n v="1"/>
    <n v="0"/>
    <n v="141069.88"/>
    <x v="1"/>
    <x v="0"/>
    <x v="0"/>
    <s v="High Salary"/>
  </r>
  <r>
    <n v="124"/>
    <n v="15760085"/>
    <s v="Calabresi"/>
    <x v="2"/>
    <s v="Female"/>
    <n v="684"/>
    <n v="48"/>
    <n v="10"/>
    <n v="126384.42"/>
    <n v="1"/>
    <n v="1"/>
    <n v="1"/>
    <n v="198129.36"/>
    <x v="1"/>
    <x v="2"/>
    <x v="0"/>
    <s v="High Salary"/>
  </r>
  <r>
    <n v="125"/>
    <n v="15779659"/>
    <s v="Zetticci"/>
    <x v="0"/>
    <s v="Female"/>
    <n v="625"/>
    <n v="28"/>
    <n v="3"/>
    <n v="0"/>
    <n v="1"/>
    <n v="0"/>
    <n v="0"/>
    <n v="183646.41"/>
    <x v="1"/>
    <x v="0"/>
    <x v="1"/>
    <s v="High Salary"/>
  </r>
  <r>
    <n v="126"/>
    <n v="15627360"/>
    <s v="Fuller"/>
    <x v="0"/>
    <s v="Male"/>
    <n v="432"/>
    <n v="42"/>
    <n v="9"/>
    <n v="152603.45000000001"/>
    <n v="1"/>
    <n v="1"/>
    <n v="0"/>
    <n v="110265.24"/>
    <x v="0"/>
    <x v="1"/>
    <x v="0"/>
    <s v="High Salary"/>
  </r>
  <r>
    <n v="127"/>
    <n v="15671137"/>
    <s v="MacDonald"/>
    <x v="0"/>
    <s v="Female"/>
    <n v="549"/>
    <n v="52"/>
    <n v="1"/>
    <n v="0"/>
    <n v="1"/>
    <n v="0"/>
    <n v="1"/>
    <n v="8636.0499999999993"/>
    <x v="0"/>
    <x v="1"/>
    <x v="2"/>
    <s v="Low Salary"/>
  </r>
  <r>
    <n v="128"/>
    <n v="15782688"/>
    <s v="Piccio"/>
    <x v="2"/>
    <s v="Male"/>
    <n v="625"/>
    <n v="56"/>
    <n v="0"/>
    <n v="148507.24"/>
    <n v="1"/>
    <n v="1"/>
    <n v="0"/>
    <n v="46824.08"/>
    <x v="0"/>
    <x v="0"/>
    <x v="2"/>
    <s v="Medium Salary"/>
  </r>
  <r>
    <n v="129"/>
    <n v="15575492"/>
    <s v="Kennedy"/>
    <x v="0"/>
    <s v="Female"/>
    <n v="828"/>
    <n v="41"/>
    <n v="7"/>
    <n v="0"/>
    <n v="2"/>
    <n v="1"/>
    <n v="0"/>
    <n v="171378.77"/>
    <x v="1"/>
    <x v="2"/>
    <x v="0"/>
    <s v="High Salary"/>
  </r>
  <r>
    <n v="130"/>
    <n v="15591607"/>
    <s v="Fernie"/>
    <x v="0"/>
    <s v="Male"/>
    <n v="770"/>
    <n v="24"/>
    <n v="9"/>
    <n v="101827.07"/>
    <n v="1"/>
    <n v="1"/>
    <n v="0"/>
    <n v="167256.35"/>
    <x v="1"/>
    <x v="2"/>
    <x v="1"/>
    <s v="High Salary"/>
  </r>
  <r>
    <n v="131"/>
    <n v="15740404"/>
    <s v="He"/>
    <x v="0"/>
    <s v="Female"/>
    <n v="758"/>
    <n v="34"/>
    <n v="3"/>
    <n v="0"/>
    <n v="2"/>
    <n v="1"/>
    <n v="1"/>
    <n v="124226.16"/>
    <x v="1"/>
    <x v="2"/>
    <x v="0"/>
    <s v="High Salary"/>
  </r>
  <r>
    <n v="132"/>
    <n v="15718369"/>
    <s v="Kaodilinakachukwu"/>
    <x v="2"/>
    <s v="Female"/>
    <n v="795"/>
    <n v="33"/>
    <n v="9"/>
    <n v="130862.43"/>
    <n v="1"/>
    <n v="1"/>
    <n v="1"/>
    <n v="114935.21"/>
    <x v="1"/>
    <x v="2"/>
    <x v="0"/>
    <s v="High Salary"/>
  </r>
  <r>
    <n v="133"/>
    <n v="15677871"/>
    <s v="Cocci"/>
    <x v="0"/>
    <s v="Male"/>
    <n v="687"/>
    <n v="38"/>
    <n v="9"/>
    <n v="122570.87"/>
    <n v="1"/>
    <n v="1"/>
    <n v="1"/>
    <n v="35608.879999999997"/>
    <x v="1"/>
    <x v="2"/>
    <x v="0"/>
    <s v="Medium Salary"/>
  </r>
  <r>
    <n v="134"/>
    <n v="15642004"/>
    <s v="Alekseeva"/>
    <x v="0"/>
    <s v="Male"/>
    <n v="686"/>
    <n v="25"/>
    <n v="1"/>
    <n v="0"/>
    <n v="2"/>
    <n v="0"/>
    <n v="1"/>
    <n v="16459.37"/>
    <x v="1"/>
    <x v="2"/>
    <x v="1"/>
    <s v="Low Salary"/>
  </r>
  <r>
    <n v="135"/>
    <n v="15712543"/>
    <s v="Chinweike"/>
    <x v="2"/>
    <s v="Male"/>
    <n v="789"/>
    <n v="39"/>
    <n v="7"/>
    <n v="124828.46"/>
    <n v="2"/>
    <n v="1"/>
    <n v="1"/>
    <n v="124411.08"/>
    <x v="1"/>
    <x v="2"/>
    <x v="0"/>
    <s v="High Salary"/>
  </r>
  <r>
    <n v="136"/>
    <n v="15584518"/>
    <s v="Arthur"/>
    <x v="2"/>
    <s v="Female"/>
    <n v="589"/>
    <n v="50"/>
    <n v="5"/>
    <n v="144895.04999999999"/>
    <n v="2"/>
    <n v="1"/>
    <n v="1"/>
    <n v="34941.230000000003"/>
    <x v="1"/>
    <x v="0"/>
    <x v="0"/>
    <s v="Medium Salary"/>
  </r>
  <r>
    <n v="137"/>
    <n v="15802381"/>
    <s v="Li"/>
    <x v="2"/>
    <s v="Female"/>
    <n v="461"/>
    <n v="34"/>
    <n v="5"/>
    <n v="63663.93"/>
    <n v="1"/>
    <n v="0"/>
    <n v="1"/>
    <n v="167784.28"/>
    <x v="1"/>
    <x v="1"/>
    <x v="0"/>
    <s v="High Salary"/>
  </r>
  <r>
    <n v="138"/>
    <n v="15610156"/>
    <s v="Ma"/>
    <x v="0"/>
    <s v="Male"/>
    <n v="637"/>
    <n v="40"/>
    <n v="2"/>
    <n v="133463.1"/>
    <n v="1"/>
    <n v="0"/>
    <n v="1"/>
    <n v="93165.34"/>
    <x v="1"/>
    <x v="0"/>
    <x v="0"/>
    <s v="High Salary"/>
  </r>
  <r>
    <n v="139"/>
    <n v="15594408"/>
    <s v="Chia"/>
    <x v="1"/>
    <s v="Female"/>
    <n v="584"/>
    <n v="48"/>
    <n v="2"/>
    <n v="213146.2"/>
    <n v="1"/>
    <n v="1"/>
    <n v="0"/>
    <n v="75161.25"/>
    <x v="0"/>
    <x v="0"/>
    <x v="0"/>
    <s v="High Salary"/>
  </r>
  <r>
    <n v="140"/>
    <n v="15640905"/>
    <s v="Vasin"/>
    <x v="1"/>
    <s v="Female"/>
    <n v="579"/>
    <n v="35"/>
    <n v="1"/>
    <n v="129490.36"/>
    <n v="2"/>
    <n v="0"/>
    <n v="1"/>
    <n v="8590.83"/>
    <x v="0"/>
    <x v="1"/>
    <x v="0"/>
    <s v="Low Salary"/>
  </r>
  <r>
    <n v="141"/>
    <n v="15698932"/>
    <s v="Groves"/>
    <x v="2"/>
    <s v="Male"/>
    <n v="756"/>
    <n v="44"/>
    <n v="10"/>
    <n v="137452.09"/>
    <n v="1"/>
    <n v="1"/>
    <n v="0"/>
    <n v="189543.9"/>
    <x v="1"/>
    <x v="2"/>
    <x v="0"/>
    <s v="High Salary"/>
  </r>
  <r>
    <n v="142"/>
    <n v="15724944"/>
    <s v="Tien"/>
    <x v="0"/>
    <s v="Male"/>
    <n v="663"/>
    <n v="34"/>
    <n v="7"/>
    <n v="0"/>
    <n v="2"/>
    <n v="1"/>
    <n v="1"/>
    <n v="180427.24"/>
    <x v="1"/>
    <x v="0"/>
    <x v="0"/>
    <s v="High Salary"/>
  </r>
  <r>
    <n v="143"/>
    <n v="15628145"/>
    <s v="Forwood"/>
    <x v="0"/>
    <s v="Female"/>
    <n v="682"/>
    <n v="43"/>
    <n v="5"/>
    <n v="125851.93"/>
    <n v="1"/>
    <n v="1"/>
    <n v="1"/>
    <n v="193318.33"/>
    <x v="1"/>
    <x v="2"/>
    <x v="0"/>
    <s v="High Salary"/>
  </r>
  <r>
    <n v="144"/>
    <n v="15713483"/>
    <s v="Greeves"/>
    <x v="1"/>
    <s v="Male"/>
    <n v="793"/>
    <n v="52"/>
    <n v="2"/>
    <n v="0"/>
    <n v="1"/>
    <n v="1"/>
    <n v="0"/>
    <n v="159123.82"/>
    <x v="0"/>
    <x v="2"/>
    <x v="2"/>
    <s v="High Salary"/>
  </r>
  <r>
    <n v="145"/>
    <n v="15612350"/>
    <s v="Taylor"/>
    <x v="0"/>
    <s v="Female"/>
    <n v="691"/>
    <n v="31"/>
    <n v="5"/>
    <n v="40915.550000000003"/>
    <n v="1"/>
    <n v="1"/>
    <n v="0"/>
    <n v="126213.84"/>
    <x v="0"/>
    <x v="2"/>
    <x v="0"/>
    <s v="High Salary"/>
  </r>
  <r>
    <n v="146"/>
    <n v="15800703"/>
    <s v="Madukwe"/>
    <x v="1"/>
    <s v="Female"/>
    <n v="485"/>
    <n v="21"/>
    <n v="5"/>
    <n v="113157.22"/>
    <n v="1"/>
    <n v="1"/>
    <n v="1"/>
    <n v="54141.5"/>
    <x v="1"/>
    <x v="1"/>
    <x v="1"/>
    <s v="Medium Salary"/>
  </r>
  <r>
    <n v="147"/>
    <n v="15705707"/>
    <s v="Bennelong"/>
    <x v="1"/>
    <s v="Female"/>
    <n v="635"/>
    <n v="29"/>
    <n v="8"/>
    <n v="138296.94"/>
    <n v="2"/>
    <n v="1"/>
    <n v="0"/>
    <n v="141075.51"/>
    <x v="1"/>
    <x v="0"/>
    <x v="1"/>
    <s v="High Salary"/>
  </r>
  <r>
    <n v="148"/>
    <n v="15754105"/>
    <s v="Olisanugo"/>
    <x v="0"/>
    <s v="Male"/>
    <n v="650"/>
    <n v="37"/>
    <n v="5"/>
    <n v="106967.18"/>
    <n v="1"/>
    <n v="0"/>
    <n v="0"/>
    <n v="24495.03"/>
    <x v="1"/>
    <x v="0"/>
    <x v="0"/>
    <s v="Low Salary"/>
  </r>
  <r>
    <n v="149"/>
    <n v="15703264"/>
    <s v="Chukwufumnanya"/>
    <x v="0"/>
    <s v="Male"/>
    <n v="735"/>
    <n v="44"/>
    <n v="9"/>
    <n v="120681.63"/>
    <n v="1"/>
    <n v="1"/>
    <n v="0"/>
    <n v="74836.34"/>
    <x v="1"/>
    <x v="2"/>
    <x v="0"/>
    <s v="High Salary"/>
  </r>
  <r>
    <n v="150"/>
    <n v="15794413"/>
    <s v="Harris"/>
    <x v="0"/>
    <s v="Male"/>
    <n v="416"/>
    <n v="32"/>
    <n v="0"/>
    <n v="0"/>
    <n v="2"/>
    <n v="0"/>
    <n v="1"/>
    <n v="878.87"/>
    <x v="1"/>
    <x v="1"/>
    <x v="0"/>
    <s v="Low Salary"/>
  </r>
  <r>
    <n v="151"/>
    <n v="15650237"/>
    <s v="Morgan"/>
    <x v="1"/>
    <s v="Female"/>
    <n v="754"/>
    <n v="32"/>
    <n v="7"/>
    <n v="0"/>
    <n v="2"/>
    <n v="1"/>
    <n v="0"/>
    <n v="89520.75"/>
    <x v="1"/>
    <x v="2"/>
    <x v="0"/>
    <s v="High Salary"/>
  </r>
  <r>
    <n v="152"/>
    <n v="15759618"/>
    <s v="Alexeeva"/>
    <x v="0"/>
    <s v="Female"/>
    <n v="535"/>
    <n v="48"/>
    <n v="9"/>
    <n v="0"/>
    <n v="1"/>
    <n v="1"/>
    <n v="0"/>
    <n v="149892.79"/>
    <x v="0"/>
    <x v="1"/>
    <x v="0"/>
    <s v="High Salary"/>
  </r>
  <r>
    <n v="153"/>
    <n v="15811589"/>
    <s v="Metcalfe"/>
    <x v="1"/>
    <s v="Male"/>
    <n v="716"/>
    <n v="42"/>
    <n v="8"/>
    <n v="0"/>
    <n v="2"/>
    <n v="1"/>
    <n v="0"/>
    <n v="180800.42"/>
    <x v="1"/>
    <x v="2"/>
    <x v="0"/>
    <s v="High Salary"/>
  </r>
  <r>
    <n v="154"/>
    <n v="15689044"/>
    <s v="Humphries"/>
    <x v="0"/>
    <s v="Male"/>
    <n v="539"/>
    <n v="37"/>
    <n v="2"/>
    <n v="127609.59"/>
    <n v="1"/>
    <n v="1"/>
    <n v="0"/>
    <n v="98646.22"/>
    <x v="1"/>
    <x v="1"/>
    <x v="0"/>
    <s v="High Salary"/>
  </r>
  <r>
    <n v="155"/>
    <n v="15709368"/>
    <s v="Milne"/>
    <x v="0"/>
    <s v="Female"/>
    <n v="614"/>
    <n v="43"/>
    <n v="6"/>
    <n v="0"/>
    <n v="2"/>
    <n v="1"/>
    <n v="1"/>
    <n v="109041.53"/>
    <x v="1"/>
    <x v="0"/>
    <x v="0"/>
    <s v="High Salary"/>
  </r>
  <r>
    <n v="156"/>
    <n v="15679145"/>
    <s v="Chou"/>
    <x v="1"/>
    <s v="Male"/>
    <n v="706"/>
    <n v="57"/>
    <n v="7"/>
    <n v="0"/>
    <n v="1"/>
    <n v="1"/>
    <n v="0"/>
    <n v="17941.16"/>
    <x v="0"/>
    <x v="2"/>
    <x v="2"/>
    <s v="Low Salary"/>
  </r>
  <r>
    <n v="157"/>
    <n v="15655007"/>
    <s v="Li"/>
    <x v="0"/>
    <s v="Female"/>
    <n v="758"/>
    <n v="33"/>
    <n v="7"/>
    <n v="0"/>
    <n v="2"/>
    <n v="0"/>
    <n v="0"/>
    <n v="82996.47"/>
    <x v="1"/>
    <x v="2"/>
    <x v="0"/>
    <s v="High Salary"/>
  </r>
  <r>
    <n v="158"/>
    <n v="15623595"/>
    <s v="Clayton"/>
    <x v="1"/>
    <s v="Female"/>
    <n v="586"/>
    <n v="28"/>
    <n v="2"/>
    <n v="0"/>
    <n v="2"/>
    <n v="1"/>
    <n v="1"/>
    <n v="92067.35"/>
    <x v="1"/>
    <x v="0"/>
    <x v="1"/>
    <s v="High Salary"/>
  </r>
  <r>
    <n v="159"/>
    <n v="15589975"/>
    <s v="Maclean"/>
    <x v="0"/>
    <s v="Female"/>
    <n v="646"/>
    <n v="73"/>
    <n v="6"/>
    <n v="97259.25"/>
    <n v="1"/>
    <n v="0"/>
    <n v="1"/>
    <n v="104719.66"/>
    <x v="1"/>
    <x v="0"/>
    <x v="2"/>
    <s v="High Salary"/>
  </r>
  <r>
    <n v="160"/>
    <n v="15804017"/>
    <s v="Chigolum"/>
    <x v="2"/>
    <s v="Female"/>
    <n v="631"/>
    <n v="33"/>
    <n v="4"/>
    <n v="123246.7"/>
    <n v="1"/>
    <n v="0"/>
    <n v="0"/>
    <n v="112687.57"/>
    <x v="1"/>
    <x v="0"/>
    <x v="0"/>
    <s v="High Salary"/>
  </r>
  <r>
    <n v="161"/>
    <n v="15692132"/>
    <s v="Wilkinson"/>
    <x v="1"/>
    <s v="Female"/>
    <n v="717"/>
    <n v="22"/>
    <n v="6"/>
    <n v="101060.25"/>
    <n v="1"/>
    <n v="0"/>
    <n v="1"/>
    <n v="84699.56"/>
    <x v="1"/>
    <x v="2"/>
    <x v="1"/>
    <s v="High Salary"/>
  </r>
  <r>
    <n v="162"/>
    <n v="15641122"/>
    <s v="Wei"/>
    <x v="0"/>
    <s v="Male"/>
    <n v="684"/>
    <n v="30"/>
    <n v="2"/>
    <n v="0"/>
    <n v="2"/>
    <n v="1"/>
    <n v="0"/>
    <n v="83473.820000000007"/>
    <x v="1"/>
    <x v="2"/>
    <x v="1"/>
    <s v="High Salary"/>
  </r>
  <r>
    <n v="163"/>
    <n v="15630910"/>
    <s v="Treacy"/>
    <x v="0"/>
    <s v="Female"/>
    <n v="800"/>
    <n v="49"/>
    <n v="7"/>
    <n v="108007.36"/>
    <n v="1"/>
    <n v="0"/>
    <n v="0"/>
    <n v="47125.11"/>
    <x v="1"/>
    <x v="2"/>
    <x v="0"/>
    <s v="Medium Salary"/>
  </r>
  <r>
    <n v="164"/>
    <n v="15680772"/>
    <s v="Hu"/>
    <x v="1"/>
    <s v="Female"/>
    <n v="721"/>
    <n v="36"/>
    <n v="2"/>
    <n v="0"/>
    <n v="2"/>
    <n v="1"/>
    <n v="1"/>
    <n v="106977.8"/>
    <x v="1"/>
    <x v="2"/>
    <x v="0"/>
    <s v="High Salary"/>
  </r>
  <r>
    <n v="165"/>
    <n v="15658929"/>
    <s v="Taverner"/>
    <x v="1"/>
    <s v="Male"/>
    <n v="683"/>
    <n v="29"/>
    <n v="0"/>
    <n v="133702.89000000001"/>
    <n v="1"/>
    <n v="1"/>
    <n v="0"/>
    <n v="55582.54"/>
    <x v="0"/>
    <x v="2"/>
    <x v="1"/>
    <s v="Medium Salary"/>
  </r>
  <r>
    <n v="166"/>
    <n v="15585388"/>
    <s v="Sherman"/>
    <x v="2"/>
    <s v="Male"/>
    <n v="660"/>
    <n v="31"/>
    <n v="9"/>
    <n v="125189.75"/>
    <n v="2"/>
    <n v="1"/>
    <n v="1"/>
    <n v="139874.43"/>
    <x v="1"/>
    <x v="0"/>
    <x v="0"/>
    <s v="High Salary"/>
  </r>
  <r>
    <n v="167"/>
    <n v="15724623"/>
    <s v="Taubman"/>
    <x v="2"/>
    <s v="Female"/>
    <n v="704"/>
    <n v="24"/>
    <n v="7"/>
    <n v="113034.22"/>
    <n v="1"/>
    <n v="1"/>
    <n v="0"/>
    <n v="162503.48000000001"/>
    <x v="0"/>
    <x v="2"/>
    <x v="1"/>
    <s v="High Salary"/>
  </r>
  <r>
    <n v="168"/>
    <n v="15588537"/>
    <s v="Robinson"/>
    <x v="1"/>
    <s v="Female"/>
    <n v="615"/>
    <n v="41"/>
    <n v="9"/>
    <n v="109013.23"/>
    <n v="1"/>
    <n v="1"/>
    <n v="0"/>
    <n v="196499.96"/>
    <x v="1"/>
    <x v="0"/>
    <x v="0"/>
    <s v="High Salary"/>
  </r>
  <r>
    <n v="169"/>
    <n v="15574692"/>
    <s v="Pinto"/>
    <x v="1"/>
    <s v="Female"/>
    <n v="667"/>
    <n v="39"/>
    <n v="2"/>
    <n v="0"/>
    <n v="2"/>
    <n v="1"/>
    <n v="0"/>
    <n v="40721.24"/>
    <x v="0"/>
    <x v="0"/>
    <x v="0"/>
    <s v="Medium Salary"/>
  </r>
  <r>
    <n v="170"/>
    <n v="15611325"/>
    <s v="Wood"/>
    <x v="2"/>
    <s v="Male"/>
    <n v="682"/>
    <n v="24"/>
    <n v="9"/>
    <n v="57929.81"/>
    <n v="2"/>
    <n v="0"/>
    <n v="0"/>
    <n v="53134.3"/>
    <x v="1"/>
    <x v="2"/>
    <x v="1"/>
    <s v="Medium Salary"/>
  </r>
  <r>
    <n v="171"/>
    <n v="15587562"/>
    <s v="Hawkins"/>
    <x v="0"/>
    <s v="Female"/>
    <n v="484"/>
    <n v="29"/>
    <n v="4"/>
    <n v="130114.39"/>
    <n v="1"/>
    <n v="1"/>
    <n v="0"/>
    <n v="164017.89000000001"/>
    <x v="1"/>
    <x v="1"/>
    <x v="1"/>
    <s v="High Salary"/>
  </r>
  <r>
    <n v="172"/>
    <n v="15613172"/>
    <s v="Sun"/>
    <x v="2"/>
    <s v="Male"/>
    <n v="628"/>
    <n v="27"/>
    <n v="5"/>
    <n v="95826.49"/>
    <n v="2"/>
    <n v="1"/>
    <n v="0"/>
    <n v="155996.96"/>
    <x v="1"/>
    <x v="0"/>
    <x v="1"/>
    <s v="High Salary"/>
  </r>
  <r>
    <n v="173"/>
    <n v="15651022"/>
    <s v="Yost"/>
    <x v="2"/>
    <s v="Male"/>
    <n v="480"/>
    <n v="44"/>
    <n v="10"/>
    <n v="129608.57"/>
    <n v="1"/>
    <n v="1"/>
    <n v="0"/>
    <n v="5472.7"/>
    <x v="0"/>
    <x v="1"/>
    <x v="0"/>
    <s v="Low Salary"/>
  </r>
  <r>
    <n v="174"/>
    <n v="15586310"/>
    <s v="Ting"/>
    <x v="0"/>
    <s v="Male"/>
    <n v="578"/>
    <n v="30"/>
    <n v="4"/>
    <n v="169462.09"/>
    <n v="1"/>
    <n v="1"/>
    <n v="0"/>
    <n v="112187.11"/>
    <x v="1"/>
    <x v="1"/>
    <x v="1"/>
    <s v="High Salary"/>
  </r>
  <r>
    <n v="175"/>
    <n v="15625524"/>
    <s v="Rowe"/>
    <x v="0"/>
    <s v="Male"/>
    <n v="512"/>
    <n v="40"/>
    <n v="5"/>
    <n v="0"/>
    <n v="2"/>
    <n v="1"/>
    <n v="1"/>
    <n v="146457.82999999999"/>
    <x v="1"/>
    <x v="1"/>
    <x v="0"/>
    <s v="High Salary"/>
  </r>
  <r>
    <n v="176"/>
    <n v="15755209"/>
    <s v="Fu"/>
    <x v="1"/>
    <s v="Female"/>
    <n v="484"/>
    <n v="35"/>
    <n v="7"/>
    <n v="133868.21"/>
    <n v="1"/>
    <n v="1"/>
    <n v="1"/>
    <n v="27286.1"/>
    <x v="1"/>
    <x v="1"/>
    <x v="0"/>
    <s v="Low Salary"/>
  </r>
  <r>
    <n v="177"/>
    <n v="15645248"/>
    <s v="Ho"/>
    <x v="0"/>
    <s v="Female"/>
    <n v="510"/>
    <n v="30"/>
    <n v="0"/>
    <n v="0"/>
    <n v="2"/>
    <n v="1"/>
    <n v="1"/>
    <n v="130553.47"/>
    <x v="1"/>
    <x v="1"/>
    <x v="1"/>
    <s v="High Salary"/>
  </r>
  <r>
    <n v="178"/>
    <n v="15790355"/>
    <s v="Okechukwu"/>
    <x v="2"/>
    <s v="Male"/>
    <n v="606"/>
    <n v="36"/>
    <n v="5"/>
    <n v="190479.48"/>
    <n v="2"/>
    <n v="0"/>
    <n v="0"/>
    <n v="179351.89"/>
    <x v="1"/>
    <x v="0"/>
    <x v="0"/>
    <s v="High Salary"/>
  </r>
  <r>
    <n v="179"/>
    <n v="15762615"/>
    <s v="Campbell"/>
    <x v="1"/>
    <s v="Female"/>
    <n v="597"/>
    <n v="40"/>
    <n v="8"/>
    <n v="101993.12"/>
    <n v="1"/>
    <n v="0"/>
    <n v="1"/>
    <n v="94774.12"/>
    <x v="1"/>
    <x v="0"/>
    <x v="0"/>
    <s v="High Salary"/>
  </r>
  <r>
    <n v="180"/>
    <n v="15625426"/>
    <s v="Ashbolt"/>
    <x v="2"/>
    <s v="Female"/>
    <n v="754"/>
    <n v="55"/>
    <n v="3"/>
    <n v="161608.81"/>
    <n v="1"/>
    <n v="1"/>
    <n v="0"/>
    <n v="8080.85"/>
    <x v="0"/>
    <x v="2"/>
    <x v="2"/>
    <s v="Low Salary"/>
  </r>
  <r>
    <n v="181"/>
    <n v="15716334"/>
    <s v="Rozier"/>
    <x v="1"/>
    <s v="Female"/>
    <n v="850"/>
    <n v="45"/>
    <n v="2"/>
    <n v="122311.21"/>
    <n v="1"/>
    <n v="1"/>
    <n v="1"/>
    <n v="19482.5"/>
    <x v="1"/>
    <x v="2"/>
    <x v="0"/>
    <s v="Low Salary"/>
  </r>
  <r>
    <n v="182"/>
    <n v="15789669"/>
    <s v="Hsia"/>
    <x v="0"/>
    <s v="Male"/>
    <n v="510"/>
    <n v="65"/>
    <n v="2"/>
    <n v="0"/>
    <n v="2"/>
    <n v="1"/>
    <n v="1"/>
    <n v="48071.61"/>
    <x v="1"/>
    <x v="1"/>
    <x v="2"/>
    <s v="Medium Salary"/>
  </r>
  <r>
    <n v="183"/>
    <n v="15621075"/>
    <s v="Ogbonnaya"/>
    <x v="2"/>
    <s v="Female"/>
    <n v="778"/>
    <n v="45"/>
    <n v="1"/>
    <n v="162150.42000000001"/>
    <n v="2"/>
    <n v="1"/>
    <n v="0"/>
    <n v="174531.27"/>
    <x v="1"/>
    <x v="2"/>
    <x v="0"/>
    <s v="High Salary"/>
  </r>
  <r>
    <n v="184"/>
    <n v="15810845"/>
    <s v="T'ang"/>
    <x v="0"/>
    <s v="Male"/>
    <n v="636"/>
    <n v="42"/>
    <n v="2"/>
    <n v="0"/>
    <n v="2"/>
    <n v="1"/>
    <n v="1"/>
    <n v="55470.78"/>
    <x v="1"/>
    <x v="0"/>
    <x v="0"/>
    <s v="Medium Salary"/>
  </r>
  <r>
    <n v="185"/>
    <n v="15719377"/>
    <s v="Cocci"/>
    <x v="0"/>
    <s v="Female"/>
    <n v="804"/>
    <n v="50"/>
    <n v="4"/>
    <n v="0"/>
    <n v="1"/>
    <n v="1"/>
    <n v="1"/>
    <n v="8546.8700000000008"/>
    <x v="0"/>
    <x v="2"/>
    <x v="0"/>
    <s v="Low Salary"/>
  </r>
  <r>
    <n v="186"/>
    <n v="15654506"/>
    <s v="Chang"/>
    <x v="0"/>
    <s v="Male"/>
    <n v="514"/>
    <n v="32"/>
    <n v="8"/>
    <n v="0"/>
    <n v="2"/>
    <n v="1"/>
    <n v="0"/>
    <n v="95857.18"/>
    <x v="1"/>
    <x v="1"/>
    <x v="0"/>
    <s v="High Salary"/>
  </r>
  <r>
    <n v="187"/>
    <n v="15771977"/>
    <s v="T'ao"/>
    <x v="0"/>
    <s v="Female"/>
    <n v="730"/>
    <n v="39"/>
    <n v="1"/>
    <n v="99010.67"/>
    <n v="1"/>
    <n v="1"/>
    <n v="0"/>
    <n v="194945.8"/>
    <x v="1"/>
    <x v="2"/>
    <x v="0"/>
    <s v="High Salary"/>
  </r>
  <r>
    <n v="188"/>
    <n v="15708710"/>
    <s v="Ford"/>
    <x v="1"/>
    <s v="Female"/>
    <n v="525"/>
    <n v="37"/>
    <n v="0"/>
    <n v="0"/>
    <n v="1"/>
    <n v="0"/>
    <n v="1"/>
    <n v="131521.72"/>
    <x v="1"/>
    <x v="1"/>
    <x v="0"/>
    <s v="High Salary"/>
  </r>
  <r>
    <n v="189"/>
    <n v="15726676"/>
    <s v="Marshall"/>
    <x v="1"/>
    <s v="Male"/>
    <n v="616"/>
    <n v="30"/>
    <n v="5"/>
    <n v="0"/>
    <n v="2"/>
    <n v="0"/>
    <n v="1"/>
    <n v="196108.51"/>
    <x v="1"/>
    <x v="0"/>
    <x v="1"/>
    <s v="High Salary"/>
  </r>
  <r>
    <n v="190"/>
    <n v="15587421"/>
    <s v="Tsai"/>
    <x v="2"/>
    <s v="Female"/>
    <n v="687"/>
    <n v="34"/>
    <n v="7"/>
    <n v="111388.18"/>
    <n v="2"/>
    <n v="1"/>
    <n v="0"/>
    <n v="148564.76"/>
    <x v="1"/>
    <x v="2"/>
    <x v="0"/>
    <s v="High Salary"/>
  </r>
  <r>
    <n v="191"/>
    <n v="15726931"/>
    <s v="Onwumelu"/>
    <x v="0"/>
    <s v="Female"/>
    <n v="715"/>
    <n v="41"/>
    <n v="8"/>
    <n v="56214.85"/>
    <n v="2"/>
    <n v="0"/>
    <n v="0"/>
    <n v="92982.61"/>
    <x v="0"/>
    <x v="2"/>
    <x v="0"/>
    <s v="High Salary"/>
  </r>
  <r>
    <n v="192"/>
    <n v="15771086"/>
    <s v="Graham"/>
    <x v="0"/>
    <s v="Female"/>
    <n v="512"/>
    <n v="36"/>
    <n v="3"/>
    <n v="84327.77"/>
    <n v="2"/>
    <n v="1"/>
    <n v="0"/>
    <n v="17675.36"/>
    <x v="1"/>
    <x v="1"/>
    <x v="0"/>
    <s v="Low Salary"/>
  </r>
  <r>
    <n v="193"/>
    <n v="15756850"/>
    <s v="Golovanov"/>
    <x v="0"/>
    <s v="Male"/>
    <n v="479"/>
    <n v="40"/>
    <n v="1"/>
    <n v="0"/>
    <n v="2"/>
    <n v="0"/>
    <n v="0"/>
    <n v="114996.43"/>
    <x v="1"/>
    <x v="1"/>
    <x v="0"/>
    <s v="High Salary"/>
  </r>
  <r>
    <n v="194"/>
    <n v="15702741"/>
    <s v="Potts"/>
    <x v="0"/>
    <s v="Male"/>
    <n v="601"/>
    <n v="32"/>
    <n v="8"/>
    <n v="93012.89"/>
    <n v="1"/>
    <n v="1"/>
    <n v="0"/>
    <n v="86957.42"/>
    <x v="1"/>
    <x v="0"/>
    <x v="0"/>
    <s v="High Salary"/>
  </r>
  <r>
    <n v="195"/>
    <n v="15679200"/>
    <s v="Crawford"/>
    <x v="1"/>
    <s v="Male"/>
    <n v="580"/>
    <n v="29"/>
    <n v="9"/>
    <n v="61710.44"/>
    <n v="2"/>
    <n v="1"/>
    <n v="0"/>
    <n v="128077.8"/>
    <x v="1"/>
    <x v="0"/>
    <x v="1"/>
    <s v="High Salary"/>
  </r>
  <r>
    <n v="196"/>
    <n v="15594815"/>
    <s v="Aleshire"/>
    <x v="0"/>
    <s v="Male"/>
    <n v="807"/>
    <n v="35"/>
    <n v="3"/>
    <n v="174790.15"/>
    <n v="1"/>
    <n v="1"/>
    <n v="1"/>
    <n v="600.36"/>
    <x v="1"/>
    <x v="2"/>
    <x v="0"/>
    <s v="Low Salary"/>
  </r>
  <r>
    <n v="197"/>
    <n v="15635905"/>
    <s v="Moran"/>
    <x v="1"/>
    <s v="Female"/>
    <n v="616"/>
    <n v="32"/>
    <n v="6"/>
    <n v="0"/>
    <n v="2"/>
    <n v="1"/>
    <n v="1"/>
    <n v="43001.46"/>
    <x v="1"/>
    <x v="0"/>
    <x v="0"/>
    <s v="Medium Salary"/>
  </r>
  <r>
    <n v="198"/>
    <n v="15777892"/>
    <s v="Samsonova"/>
    <x v="2"/>
    <s v="Male"/>
    <n v="721"/>
    <n v="37"/>
    <n v="3"/>
    <n v="107720.64"/>
    <n v="1"/>
    <n v="1"/>
    <n v="1"/>
    <n v="158591.12"/>
    <x v="1"/>
    <x v="2"/>
    <x v="0"/>
    <s v="High Salary"/>
  </r>
  <r>
    <n v="199"/>
    <n v="15656176"/>
    <s v="Jenkins"/>
    <x v="0"/>
    <s v="Male"/>
    <n v="501"/>
    <n v="57"/>
    <n v="10"/>
    <n v="0"/>
    <n v="2"/>
    <n v="1"/>
    <n v="1"/>
    <n v="47847.19"/>
    <x v="1"/>
    <x v="1"/>
    <x v="2"/>
    <s v="Medium Salary"/>
  </r>
  <r>
    <n v="200"/>
    <n v="15811127"/>
    <s v="Volkov"/>
    <x v="0"/>
    <s v="Male"/>
    <n v="521"/>
    <n v="35"/>
    <n v="6"/>
    <n v="96423.84"/>
    <n v="1"/>
    <n v="1"/>
    <n v="0"/>
    <n v="10488.44"/>
    <x v="1"/>
    <x v="1"/>
    <x v="0"/>
    <s v="Low Salary"/>
  </r>
  <r>
    <n v="201"/>
    <n v="15604482"/>
    <s v="Chiemezie"/>
    <x v="1"/>
    <s v="Male"/>
    <n v="850"/>
    <n v="30"/>
    <n v="2"/>
    <n v="141040.01"/>
    <n v="1"/>
    <n v="1"/>
    <n v="1"/>
    <n v="5978.2"/>
    <x v="1"/>
    <x v="2"/>
    <x v="1"/>
    <s v="Low Salary"/>
  </r>
  <r>
    <n v="202"/>
    <n v="15622911"/>
    <s v="Jude"/>
    <x v="0"/>
    <s v="Male"/>
    <n v="759"/>
    <n v="42"/>
    <n v="4"/>
    <n v="105420.18"/>
    <n v="1"/>
    <n v="0"/>
    <n v="1"/>
    <n v="121409.06"/>
    <x v="1"/>
    <x v="2"/>
    <x v="0"/>
    <s v="High Salary"/>
  </r>
  <r>
    <n v="203"/>
    <n v="15600974"/>
    <s v="He"/>
    <x v="1"/>
    <s v="Male"/>
    <n v="516"/>
    <n v="50"/>
    <n v="5"/>
    <n v="0"/>
    <n v="1"/>
    <n v="0"/>
    <n v="1"/>
    <n v="146145.93"/>
    <x v="0"/>
    <x v="1"/>
    <x v="0"/>
    <s v="High Salary"/>
  </r>
  <r>
    <n v="204"/>
    <n v="15727868"/>
    <s v="Onuora"/>
    <x v="0"/>
    <s v="Female"/>
    <n v="711"/>
    <n v="38"/>
    <n v="2"/>
    <n v="129022.06"/>
    <n v="2"/>
    <n v="1"/>
    <n v="1"/>
    <n v="14374.86"/>
    <x v="0"/>
    <x v="2"/>
    <x v="0"/>
    <s v="Low Salary"/>
  </r>
  <r>
    <n v="205"/>
    <n v="15627801"/>
    <s v="Ginikanwa"/>
    <x v="1"/>
    <s v="Male"/>
    <n v="653.5"/>
    <n v="33"/>
    <n v="3"/>
    <n v="176666.62"/>
    <n v="1"/>
    <n v="1"/>
    <n v="0"/>
    <n v="94670.77"/>
    <x v="1"/>
    <x v="0"/>
    <x v="0"/>
    <s v="High Salary"/>
  </r>
  <r>
    <n v="206"/>
    <n v="15773039"/>
    <s v="Ku"/>
    <x v="0"/>
    <s v="Male"/>
    <n v="550"/>
    <n v="37"/>
    <n v="3"/>
    <n v="0"/>
    <n v="1"/>
    <n v="1"/>
    <n v="1"/>
    <n v="179670.31"/>
    <x v="1"/>
    <x v="1"/>
    <x v="0"/>
    <s v="High Salary"/>
  </r>
  <r>
    <n v="207"/>
    <n v="15755262"/>
    <s v="McDonald"/>
    <x v="1"/>
    <s v="Female"/>
    <n v="608"/>
    <n v="41"/>
    <n v="3"/>
    <n v="89763.839999999997"/>
    <n v="1"/>
    <n v="0"/>
    <n v="0"/>
    <n v="199304.74"/>
    <x v="0"/>
    <x v="0"/>
    <x v="0"/>
    <s v="High Salary"/>
  </r>
  <r>
    <n v="208"/>
    <n v="15679531"/>
    <s v="Collins"/>
    <x v="0"/>
    <s v="Male"/>
    <n v="618"/>
    <n v="34"/>
    <n v="5"/>
    <n v="134954.53"/>
    <n v="1"/>
    <n v="1"/>
    <n v="1"/>
    <n v="151954.39000000001"/>
    <x v="1"/>
    <x v="0"/>
    <x v="0"/>
    <s v="High Salary"/>
  </r>
  <r>
    <n v="209"/>
    <n v="15684181"/>
    <s v="Hackett"/>
    <x v="0"/>
    <s v="Male"/>
    <n v="643"/>
    <n v="45"/>
    <n v="5"/>
    <n v="0"/>
    <n v="1"/>
    <n v="1"/>
    <n v="0"/>
    <n v="142513.5"/>
    <x v="0"/>
    <x v="0"/>
    <x v="0"/>
    <s v="High Salary"/>
  </r>
  <r>
    <n v="210"/>
    <n v="15612087"/>
    <s v="Dike"/>
    <x v="0"/>
    <s v="Male"/>
    <n v="671"/>
    <n v="45"/>
    <n v="2"/>
    <n v="106376.85"/>
    <n v="1"/>
    <n v="0"/>
    <n v="1"/>
    <n v="158264.62"/>
    <x v="1"/>
    <x v="2"/>
    <x v="0"/>
    <s v="High Salary"/>
  </r>
  <r>
    <n v="211"/>
    <n v="15752047"/>
    <s v="He"/>
    <x v="2"/>
    <s v="Male"/>
    <n v="689"/>
    <n v="33"/>
    <n v="2"/>
    <n v="161814.64000000001"/>
    <n v="2"/>
    <n v="1"/>
    <n v="0"/>
    <n v="169381.9"/>
    <x v="1"/>
    <x v="2"/>
    <x v="0"/>
    <s v="High Salary"/>
  </r>
  <r>
    <n v="212"/>
    <n v="15624592"/>
    <s v="Tan"/>
    <x v="0"/>
    <s v="Male"/>
    <n v="603"/>
    <n v="31"/>
    <n v="8"/>
    <n v="0"/>
    <n v="2"/>
    <n v="1"/>
    <n v="1"/>
    <n v="169915.02"/>
    <x v="1"/>
    <x v="0"/>
    <x v="0"/>
    <s v="High Salary"/>
  </r>
  <r>
    <n v="213"/>
    <n v="15573152"/>
    <s v="Glassman"/>
    <x v="0"/>
    <s v="Female"/>
    <n v="620"/>
    <n v="41"/>
    <n v="9"/>
    <n v="0"/>
    <n v="2"/>
    <n v="0"/>
    <n v="0"/>
    <n v="88852.47"/>
    <x v="1"/>
    <x v="0"/>
    <x v="0"/>
    <s v="High Salary"/>
  </r>
  <r>
    <n v="214"/>
    <n v="15594917"/>
    <s v="Miller"/>
    <x v="0"/>
    <s v="Female"/>
    <n v="676"/>
    <n v="34"/>
    <n v="1"/>
    <n v="63095.01"/>
    <n v="1"/>
    <n v="1"/>
    <n v="1"/>
    <n v="40645.81"/>
    <x v="1"/>
    <x v="2"/>
    <x v="0"/>
    <s v="Medium Salary"/>
  </r>
  <r>
    <n v="215"/>
    <n v="15785542"/>
    <s v="Kornilova"/>
    <x v="2"/>
    <s v="Male"/>
    <n v="653.5"/>
    <n v="26"/>
    <n v="4"/>
    <n v="118287.01"/>
    <n v="2"/>
    <n v="0"/>
    <n v="0"/>
    <n v="98368.24"/>
    <x v="1"/>
    <x v="0"/>
    <x v="1"/>
    <s v="High Salary"/>
  </r>
  <r>
    <n v="216"/>
    <n v="15723488"/>
    <s v="Watson"/>
    <x v="2"/>
    <s v="Male"/>
    <n v="668"/>
    <n v="47"/>
    <n v="7"/>
    <n v="106854.21"/>
    <n v="1"/>
    <n v="0"/>
    <n v="1"/>
    <n v="157959.01999999999"/>
    <x v="0"/>
    <x v="0"/>
    <x v="0"/>
    <s v="High Salary"/>
  </r>
  <r>
    <n v="217"/>
    <n v="15680920"/>
    <s v="Marchesi"/>
    <x v="0"/>
    <s v="Male"/>
    <n v="695"/>
    <n v="46"/>
    <n v="7"/>
    <n v="49512.55"/>
    <n v="1"/>
    <n v="1"/>
    <n v="0"/>
    <n v="133007.34"/>
    <x v="1"/>
    <x v="2"/>
    <x v="0"/>
    <s v="High Salary"/>
  </r>
  <r>
    <n v="218"/>
    <n v="15786308"/>
    <s v="Millar"/>
    <x v="1"/>
    <s v="Female"/>
    <n v="730"/>
    <n v="33"/>
    <n v="9"/>
    <n v="0"/>
    <n v="2"/>
    <n v="0"/>
    <n v="0"/>
    <n v="176576.62"/>
    <x v="1"/>
    <x v="2"/>
    <x v="0"/>
    <s v="High Salary"/>
  </r>
  <r>
    <n v="219"/>
    <n v="15659366"/>
    <s v="Shih"/>
    <x v="0"/>
    <s v="Male"/>
    <n v="807"/>
    <n v="43"/>
    <n v="1"/>
    <n v="105799.32"/>
    <n v="2"/>
    <n v="1"/>
    <n v="0"/>
    <n v="34888.04"/>
    <x v="0"/>
    <x v="2"/>
    <x v="0"/>
    <s v="Medium Salary"/>
  </r>
  <r>
    <n v="220"/>
    <n v="15774854"/>
    <s v="Fuller"/>
    <x v="0"/>
    <s v="Male"/>
    <n v="592"/>
    <n v="54"/>
    <n v="8"/>
    <n v="0"/>
    <n v="1"/>
    <n v="1"/>
    <n v="1"/>
    <n v="28737.71"/>
    <x v="0"/>
    <x v="0"/>
    <x v="2"/>
    <s v="Low Salary"/>
  </r>
  <r>
    <n v="221"/>
    <n v="15725311"/>
    <s v="Hay"/>
    <x v="0"/>
    <s v="Female"/>
    <n v="726"/>
    <n v="31"/>
    <n v="9"/>
    <n v="114722.05"/>
    <n v="2"/>
    <n v="1"/>
    <n v="1"/>
    <n v="98178.57"/>
    <x v="1"/>
    <x v="2"/>
    <x v="0"/>
    <s v="High Salary"/>
  </r>
  <r>
    <n v="222"/>
    <n v="15787155"/>
    <s v="Yang"/>
    <x v="1"/>
    <s v="Male"/>
    <n v="514"/>
    <n v="30"/>
    <n v="7"/>
    <n v="0"/>
    <n v="1"/>
    <n v="0"/>
    <n v="1"/>
    <n v="125010.24000000001"/>
    <x v="1"/>
    <x v="1"/>
    <x v="1"/>
    <s v="High Salary"/>
  </r>
  <r>
    <n v="223"/>
    <n v="15727829"/>
    <s v="McIntyre"/>
    <x v="0"/>
    <s v="Male"/>
    <n v="567"/>
    <n v="42"/>
    <n v="2"/>
    <n v="0"/>
    <n v="2"/>
    <n v="1"/>
    <n v="1"/>
    <n v="167984.61"/>
    <x v="1"/>
    <x v="1"/>
    <x v="0"/>
    <s v="High Salary"/>
  </r>
  <r>
    <n v="224"/>
    <n v="15733247"/>
    <s v="Stevenson"/>
    <x v="0"/>
    <s v="Male"/>
    <n v="850"/>
    <n v="33"/>
    <n v="10"/>
    <n v="0"/>
    <n v="1"/>
    <n v="1"/>
    <n v="0"/>
    <n v="4861.72"/>
    <x v="0"/>
    <x v="2"/>
    <x v="0"/>
    <s v="Low Salary"/>
  </r>
  <r>
    <n v="225"/>
    <n v="15568748"/>
    <s v="Poole"/>
    <x v="2"/>
    <s v="Male"/>
    <n v="671"/>
    <n v="45"/>
    <n v="6"/>
    <n v="99564.22"/>
    <n v="1"/>
    <n v="1"/>
    <n v="1"/>
    <n v="108872.45"/>
    <x v="0"/>
    <x v="2"/>
    <x v="0"/>
    <s v="High Salary"/>
  </r>
  <r>
    <n v="226"/>
    <n v="15699029"/>
    <s v="Bagley"/>
    <x v="0"/>
    <s v="Male"/>
    <n v="670"/>
    <n v="37"/>
    <n v="4"/>
    <n v="170557.91"/>
    <n v="2"/>
    <n v="1"/>
    <n v="0"/>
    <n v="198252.88"/>
    <x v="1"/>
    <x v="2"/>
    <x v="0"/>
    <s v="High Salary"/>
  </r>
  <r>
    <n v="227"/>
    <n v="15774393"/>
    <s v="Ch'ien"/>
    <x v="0"/>
    <s v="Female"/>
    <n v="694"/>
    <n v="30"/>
    <n v="9"/>
    <n v="0"/>
    <n v="2"/>
    <n v="1"/>
    <n v="1"/>
    <n v="26960.31"/>
    <x v="1"/>
    <x v="2"/>
    <x v="1"/>
    <s v="Low Salary"/>
  </r>
  <r>
    <n v="228"/>
    <n v="15676895"/>
    <s v="Cattaneo"/>
    <x v="2"/>
    <s v="Female"/>
    <n v="547"/>
    <n v="39"/>
    <n v="6"/>
    <n v="74596.149999999994"/>
    <n v="3"/>
    <n v="1"/>
    <n v="1"/>
    <n v="85746.52"/>
    <x v="0"/>
    <x v="1"/>
    <x v="0"/>
    <s v="High Salary"/>
  </r>
  <r>
    <n v="229"/>
    <n v="15637753"/>
    <s v="O'Sullivan"/>
    <x v="2"/>
    <s v="Male"/>
    <n v="751"/>
    <n v="50"/>
    <n v="2"/>
    <n v="96888.39"/>
    <n v="1"/>
    <n v="1"/>
    <n v="0"/>
    <n v="77206.25"/>
    <x v="0"/>
    <x v="2"/>
    <x v="0"/>
    <s v="High Salary"/>
  </r>
  <r>
    <n v="230"/>
    <n v="15605461"/>
    <s v="Lucas"/>
    <x v="2"/>
    <s v="Female"/>
    <n v="594"/>
    <n v="29"/>
    <n v="3"/>
    <n v="130830.22"/>
    <n v="1"/>
    <n v="1"/>
    <n v="0"/>
    <n v="61048.53"/>
    <x v="1"/>
    <x v="0"/>
    <x v="1"/>
    <s v="Medium Salary"/>
  </r>
  <r>
    <n v="231"/>
    <n v="15808473"/>
    <s v="Ringrose"/>
    <x v="0"/>
    <s v="Male"/>
    <n v="673"/>
    <n v="72"/>
    <n v="1"/>
    <n v="0"/>
    <n v="2"/>
    <n v="0"/>
    <n v="1"/>
    <n v="111981.19"/>
    <x v="1"/>
    <x v="2"/>
    <x v="2"/>
    <s v="High Salary"/>
  </r>
  <r>
    <n v="232"/>
    <n v="15627000"/>
    <s v="Freeman"/>
    <x v="0"/>
    <s v="Male"/>
    <n v="610"/>
    <n v="40"/>
    <n v="0"/>
    <n v="0"/>
    <n v="2"/>
    <n v="1"/>
    <n v="0"/>
    <n v="62232.6"/>
    <x v="1"/>
    <x v="0"/>
    <x v="0"/>
    <s v="Medium Salary"/>
  </r>
  <r>
    <n v="233"/>
    <n v="15787174"/>
    <s v="Sergeyev"/>
    <x v="0"/>
    <s v="Female"/>
    <n v="512"/>
    <n v="37"/>
    <n v="1"/>
    <n v="0"/>
    <n v="2"/>
    <n v="0"/>
    <n v="1"/>
    <n v="156105.03"/>
    <x v="1"/>
    <x v="1"/>
    <x v="0"/>
    <s v="High Salary"/>
  </r>
  <r>
    <n v="234"/>
    <n v="15723886"/>
    <s v="Fiore"/>
    <x v="2"/>
    <s v="Male"/>
    <n v="767"/>
    <n v="20"/>
    <n v="3"/>
    <n v="119714.25"/>
    <n v="2"/>
    <n v="0"/>
    <n v="1"/>
    <n v="150135.38"/>
    <x v="1"/>
    <x v="2"/>
    <x v="1"/>
    <s v="High Salary"/>
  </r>
  <r>
    <n v="235"/>
    <n v="15704769"/>
    <s v="Smith"/>
    <x v="0"/>
    <s v="Female"/>
    <n v="585"/>
    <n v="67"/>
    <n v="5"/>
    <n v="113978.97"/>
    <n v="2"/>
    <n v="0"/>
    <n v="1"/>
    <n v="93146.11"/>
    <x v="1"/>
    <x v="0"/>
    <x v="2"/>
    <s v="High Salary"/>
  </r>
  <r>
    <n v="236"/>
    <n v="15772896"/>
    <s v="Dumetochukwu"/>
    <x v="2"/>
    <s v="Male"/>
    <n v="763"/>
    <n v="42"/>
    <n v="6"/>
    <n v="100160.75"/>
    <n v="1"/>
    <n v="1"/>
    <n v="0"/>
    <n v="33462.94"/>
    <x v="0"/>
    <x v="2"/>
    <x v="0"/>
    <s v="Medium Salary"/>
  </r>
  <r>
    <n v="237"/>
    <n v="15711540"/>
    <s v="Pacheco"/>
    <x v="0"/>
    <s v="Female"/>
    <n v="712"/>
    <n v="29"/>
    <n v="2"/>
    <n v="0"/>
    <n v="1"/>
    <n v="1"/>
    <n v="1"/>
    <n v="144375"/>
    <x v="1"/>
    <x v="2"/>
    <x v="1"/>
    <s v="High Salary"/>
  </r>
  <r>
    <n v="238"/>
    <n v="15764866"/>
    <s v="Synnot"/>
    <x v="2"/>
    <s v="Female"/>
    <n v="539"/>
    <n v="43"/>
    <n v="3"/>
    <n v="116220.5"/>
    <n v="3"/>
    <n v="1"/>
    <n v="0"/>
    <n v="55803.96"/>
    <x v="0"/>
    <x v="1"/>
    <x v="0"/>
    <s v="Medium Salary"/>
  </r>
  <r>
    <n v="239"/>
    <n v="15794056"/>
    <s v="Johnston"/>
    <x v="0"/>
    <s v="Female"/>
    <n v="668"/>
    <n v="46"/>
    <n v="2"/>
    <n v="0"/>
    <n v="3"/>
    <n v="1"/>
    <n v="0"/>
    <n v="89048.46"/>
    <x v="0"/>
    <x v="0"/>
    <x v="0"/>
    <s v="High Salary"/>
  </r>
  <r>
    <n v="240"/>
    <n v="15795149"/>
    <s v="Stevens"/>
    <x v="0"/>
    <s v="Male"/>
    <n v="703"/>
    <n v="28"/>
    <n v="2"/>
    <n v="81173.83"/>
    <n v="2"/>
    <n v="0"/>
    <n v="1"/>
    <n v="162812.16"/>
    <x v="1"/>
    <x v="2"/>
    <x v="1"/>
    <s v="High Salary"/>
  </r>
  <r>
    <n v="241"/>
    <n v="15812009"/>
    <s v="Grant"/>
    <x v="1"/>
    <s v="Male"/>
    <n v="662"/>
    <n v="38"/>
    <n v="4"/>
    <n v="0"/>
    <n v="2"/>
    <n v="1"/>
    <n v="0"/>
    <n v="136259.65"/>
    <x v="1"/>
    <x v="0"/>
    <x v="0"/>
    <s v="High Salary"/>
  </r>
  <r>
    <n v="242"/>
    <n v="15651001"/>
    <s v="Tsao"/>
    <x v="2"/>
    <s v="Female"/>
    <n v="725"/>
    <n v="39"/>
    <n v="5"/>
    <n v="116803.8"/>
    <n v="1"/>
    <n v="1"/>
    <n v="0"/>
    <n v="124052.97"/>
    <x v="1"/>
    <x v="2"/>
    <x v="0"/>
    <s v="High Salary"/>
  </r>
  <r>
    <n v="243"/>
    <n v="15813844"/>
    <s v="Barnes"/>
    <x v="0"/>
    <s v="Male"/>
    <n v="703"/>
    <n v="37"/>
    <n v="8"/>
    <n v="105961.68"/>
    <n v="2"/>
    <n v="0"/>
    <n v="1"/>
    <n v="74158.8"/>
    <x v="1"/>
    <x v="2"/>
    <x v="0"/>
    <s v="High Salary"/>
  </r>
  <r>
    <n v="244"/>
    <n v="15596175"/>
    <s v="McIntosh"/>
    <x v="2"/>
    <s v="Male"/>
    <n v="659"/>
    <n v="67"/>
    <n v="6"/>
    <n v="117411.6"/>
    <n v="1"/>
    <n v="1"/>
    <n v="1"/>
    <n v="45071.09"/>
    <x v="0"/>
    <x v="0"/>
    <x v="2"/>
    <s v="Medium Salary"/>
  </r>
  <r>
    <n v="245"/>
    <n v="15576269"/>
    <s v="Madison"/>
    <x v="1"/>
    <s v="Male"/>
    <n v="523"/>
    <n v="34"/>
    <n v="7"/>
    <n v="0"/>
    <n v="2"/>
    <n v="1"/>
    <n v="0"/>
    <n v="62030.06"/>
    <x v="1"/>
    <x v="1"/>
    <x v="0"/>
    <s v="Medium Salary"/>
  </r>
  <r>
    <n v="246"/>
    <n v="15797219"/>
    <s v="Ifesinachi"/>
    <x v="0"/>
    <s v="Female"/>
    <n v="635"/>
    <n v="40"/>
    <n v="10"/>
    <n v="123497.58"/>
    <n v="1"/>
    <n v="1"/>
    <n v="0"/>
    <n v="131953.23000000001"/>
    <x v="0"/>
    <x v="0"/>
    <x v="0"/>
    <s v="High Salary"/>
  </r>
  <r>
    <n v="247"/>
    <n v="15685500"/>
    <s v="Glazkov"/>
    <x v="2"/>
    <s v="Male"/>
    <n v="772"/>
    <n v="26"/>
    <n v="7"/>
    <n v="152400.51"/>
    <n v="2"/>
    <n v="1"/>
    <n v="0"/>
    <n v="79414"/>
    <x v="1"/>
    <x v="2"/>
    <x v="1"/>
    <s v="High Salary"/>
  </r>
  <r>
    <n v="248"/>
    <n v="15599792"/>
    <s v="Dimauro"/>
    <x v="0"/>
    <s v="Female"/>
    <n v="545"/>
    <n v="26"/>
    <n v="1"/>
    <n v="0"/>
    <n v="2"/>
    <n v="1"/>
    <n v="1"/>
    <n v="199638.56"/>
    <x v="1"/>
    <x v="1"/>
    <x v="1"/>
    <s v="High Salary"/>
  </r>
  <r>
    <n v="249"/>
    <n v="15657566"/>
    <s v="Wieck"/>
    <x v="2"/>
    <s v="Male"/>
    <n v="634"/>
    <n v="24"/>
    <n v="8"/>
    <n v="103097.85"/>
    <n v="1"/>
    <n v="1"/>
    <n v="1"/>
    <n v="157577.29"/>
    <x v="1"/>
    <x v="0"/>
    <x v="1"/>
    <s v="High Salary"/>
  </r>
  <r>
    <n v="250"/>
    <n v="15772423"/>
    <s v="Liao"/>
    <x v="2"/>
    <s v="Male"/>
    <n v="739"/>
    <n v="54"/>
    <n v="8"/>
    <n v="126418.14"/>
    <n v="1"/>
    <n v="1"/>
    <n v="0"/>
    <n v="134420.75"/>
    <x v="0"/>
    <x v="2"/>
    <x v="2"/>
    <s v="High Salary"/>
  </r>
  <r>
    <n v="251"/>
    <n v="15628112"/>
    <s v="Hughes"/>
    <x v="2"/>
    <s v="Female"/>
    <n v="771"/>
    <n v="36"/>
    <n v="5"/>
    <n v="77846.899999999994"/>
    <n v="1"/>
    <n v="0"/>
    <n v="0"/>
    <n v="99805.99"/>
    <x v="1"/>
    <x v="2"/>
    <x v="0"/>
    <s v="High Salary"/>
  </r>
  <r>
    <n v="252"/>
    <n v="15753754"/>
    <s v="Morrison"/>
    <x v="1"/>
    <s v="Female"/>
    <n v="587"/>
    <n v="34"/>
    <n v="1"/>
    <n v="0"/>
    <n v="2"/>
    <n v="1"/>
    <n v="1"/>
    <n v="97932.68"/>
    <x v="1"/>
    <x v="0"/>
    <x v="0"/>
    <s v="High Salary"/>
  </r>
  <r>
    <n v="253"/>
    <n v="15793726"/>
    <s v="Matveyeva"/>
    <x v="0"/>
    <s v="Female"/>
    <n v="681"/>
    <n v="79"/>
    <n v="0"/>
    <n v="0"/>
    <n v="2"/>
    <n v="0"/>
    <n v="1"/>
    <n v="170968.99"/>
    <x v="1"/>
    <x v="2"/>
    <x v="2"/>
    <s v="High Salary"/>
  </r>
  <r>
    <n v="254"/>
    <n v="15694717"/>
    <s v="Ku"/>
    <x v="2"/>
    <s v="Male"/>
    <n v="544"/>
    <n v="37"/>
    <n v="2"/>
    <n v="79731.91"/>
    <n v="1"/>
    <n v="1"/>
    <n v="1"/>
    <n v="57558.95"/>
    <x v="1"/>
    <x v="1"/>
    <x v="0"/>
    <s v="Medium Salary"/>
  </r>
  <r>
    <n v="255"/>
    <n v="15665834"/>
    <s v="Cheatham"/>
    <x v="1"/>
    <s v="Male"/>
    <n v="696"/>
    <n v="28"/>
    <n v="8"/>
    <n v="0"/>
    <n v="1"/>
    <n v="0"/>
    <n v="0"/>
    <n v="176713.47"/>
    <x v="1"/>
    <x v="2"/>
    <x v="1"/>
    <s v="High Salary"/>
  </r>
  <r>
    <n v="256"/>
    <n v="15765297"/>
    <s v="Yao"/>
    <x v="1"/>
    <s v="Male"/>
    <n v="766"/>
    <n v="41"/>
    <n v="0"/>
    <n v="0"/>
    <n v="2"/>
    <n v="0"/>
    <n v="1"/>
    <n v="34283.230000000003"/>
    <x v="1"/>
    <x v="2"/>
    <x v="0"/>
    <s v="Medium Salary"/>
  </r>
  <r>
    <n v="257"/>
    <n v="15636684"/>
    <s v="Kirkland"/>
    <x v="0"/>
    <s v="Male"/>
    <n v="727"/>
    <n v="34"/>
    <n v="10"/>
    <n v="0"/>
    <n v="2"/>
    <n v="1"/>
    <n v="1"/>
    <n v="198637.34"/>
    <x v="1"/>
    <x v="2"/>
    <x v="0"/>
    <s v="High Salary"/>
  </r>
  <r>
    <n v="258"/>
    <n v="15592979"/>
    <s v="Rose"/>
    <x v="2"/>
    <s v="Female"/>
    <n v="671"/>
    <n v="34"/>
    <n v="6"/>
    <n v="37266.67"/>
    <n v="2"/>
    <n v="0"/>
    <n v="0"/>
    <n v="156917.12"/>
    <x v="1"/>
    <x v="2"/>
    <x v="0"/>
    <s v="High Salary"/>
  </r>
  <r>
    <n v="259"/>
    <n v="15750803"/>
    <s v="Jess"/>
    <x v="0"/>
    <s v="Female"/>
    <n v="693"/>
    <n v="30"/>
    <n v="6"/>
    <n v="127992.25"/>
    <n v="1"/>
    <n v="1"/>
    <n v="1"/>
    <n v="50457.2"/>
    <x v="1"/>
    <x v="2"/>
    <x v="1"/>
    <s v="Medium Salary"/>
  </r>
  <r>
    <n v="260"/>
    <n v="15607178"/>
    <s v="Welch"/>
    <x v="2"/>
    <s v="Male"/>
    <n v="850"/>
    <n v="38"/>
    <n v="3"/>
    <n v="54901.01"/>
    <n v="1"/>
    <n v="1"/>
    <n v="1"/>
    <n v="140075.54999999999"/>
    <x v="1"/>
    <x v="2"/>
    <x v="0"/>
    <s v="High Salary"/>
  </r>
  <r>
    <n v="261"/>
    <n v="15713853"/>
    <s v="Ifeajuna"/>
    <x v="2"/>
    <s v="Male"/>
    <n v="732"/>
    <n v="42"/>
    <n v="9"/>
    <n v="108748.08"/>
    <n v="2"/>
    <n v="1"/>
    <n v="1"/>
    <n v="65323.11"/>
    <x v="1"/>
    <x v="2"/>
    <x v="0"/>
    <s v="Medium Salary"/>
  </r>
  <r>
    <n v="262"/>
    <n v="15673481"/>
    <s v="Morton"/>
    <x v="1"/>
    <s v="Female"/>
    <n v="726"/>
    <n v="48"/>
    <n v="6"/>
    <n v="99906.19"/>
    <n v="1"/>
    <n v="1"/>
    <n v="0"/>
    <n v="64323.24"/>
    <x v="1"/>
    <x v="2"/>
    <x v="0"/>
    <s v="Medium Salary"/>
  </r>
  <r>
    <n v="263"/>
    <n v="15686776"/>
    <s v="Rossi"/>
    <x v="0"/>
    <s v="Female"/>
    <n v="557"/>
    <n v="32"/>
    <n v="6"/>
    <n v="184686.41"/>
    <n v="2"/>
    <n v="1"/>
    <n v="0"/>
    <n v="14956.44"/>
    <x v="1"/>
    <x v="1"/>
    <x v="0"/>
    <s v="Low Salary"/>
  </r>
  <r>
    <n v="264"/>
    <n v="15673693"/>
    <s v="Reppert"/>
    <x v="0"/>
    <s v="Female"/>
    <n v="682"/>
    <n v="26"/>
    <n v="0"/>
    <n v="110654.02"/>
    <n v="1"/>
    <n v="0"/>
    <n v="1"/>
    <n v="111879.21"/>
    <x v="1"/>
    <x v="2"/>
    <x v="1"/>
    <s v="High Salary"/>
  </r>
  <r>
    <n v="265"/>
    <n v="15700696"/>
    <s v="Kang"/>
    <x v="1"/>
    <s v="Male"/>
    <n v="738"/>
    <n v="31"/>
    <n v="9"/>
    <n v="79019.8"/>
    <n v="1"/>
    <n v="1"/>
    <n v="1"/>
    <n v="18606.23"/>
    <x v="1"/>
    <x v="2"/>
    <x v="0"/>
    <s v="Low Salary"/>
  </r>
  <r>
    <n v="266"/>
    <n v="15813163"/>
    <s v="Ch'iu"/>
    <x v="1"/>
    <s v="Female"/>
    <n v="531"/>
    <n v="36"/>
    <n v="9"/>
    <n v="99240.51"/>
    <n v="1"/>
    <n v="1"/>
    <n v="0"/>
    <n v="123137.01"/>
    <x v="1"/>
    <x v="1"/>
    <x v="0"/>
    <s v="High Salary"/>
  </r>
  <r>
    <n v="267"/>
    <n v="15653857"/>
    <s v="Wallis"/>
    <x v="0"/>
    <s v="Male"/>
    <n v="498"/>
    <n v="34"/>
    <n v="2"/>
    <n v="0"/>
    <n v="2"/>
    <n v="1"/>
    <n v="1"/>
    <n v="148528.24"/>
    <x v="1"/>
    <x v="1"/>
    <x v="0"/>
    <s v="High Salary"/>
  </r>
  <r>
    <n v="268"/>
    <n v="15777076"/>
    <s v="Clark"/>
    <x v="0"/>
    <s v="Male"/>
    <n v="651"/>
    <n v="36"/>
    <n v="7"/>
    <n v="0"/>
    <n v="2"/>
    <n v="1"/>
    <n v="0"/>
    <n v="13898.31"/>
    <x v="1"/>
    <x v="0"/>
    <x v="0"/>
    <s v="Low Salary"/>
  </r>
  <r>
    <n v="269"/>
    <n v="15717398"/>
    <s v="Fielding"/>
    <x v="1"/>
    <s v="Female"/>
    <n v="549"/>
    <n v="39"/>
    <n v="7"/>
    <n v="0"/>
    <n v="1"/>
    <n v="0"/>
    <n v="0"/>
    <n v="81259.25"/>
    <x v="0"/>
    <x v="1"/>
    <x v="0"/>
    <s v="High Salary"/>
  </r>
  <r>
    <n v="270"/>
    <n v="15799217"/>
    <s v="Zetticci"/>
    <x v="2"/>
    <s v="Female"/>
    <n v="791"/>
    <n v="35"/>
    <n v="7"/>
    <n v="52436.2"/>
    <n v="1"/>
    <n v="1"/>
    <n v="0"/>
    <n v="161051.75"/>
    <x v="1"/>
    <x v="2"/>
    <x v="0"/>
    <s v="High Salary"/>
  </r>
  <r>
    <n v="271"/>
    <n v="15787071"/>
    <s v="Dulhunty"/>
    <x v="1"/>
    <s v="Male"/>
    <n v="650"/>
    <n v="41"/>
    <n v="9"/>
    <n v="0"/>
    <n v="2"/>
    <n v="0"/>
    <n v="1"/>
    <n v="191599.67"/>
    <x v="1"/>
    <x v="0"/>
    <x v="0"/>
    <s v="High Salary"/>
  </r>
  <r>
    <n v="272"/>
    <n v="15619955"/>
    <s v="Bevington"/>
    <x v="2"/>
    <s v="Male"/>
    <n v="733"/>
    <n v="34"/>
    <n v="3"/>
    <n v="100337.96"/>
    <n v="3"/>
    <n v="1"/>
    <n v="0"/>
    <n v="48559.19"/>
    <x v="0"/>
    <x v="2"/>
    <x v="0"/>
    <s v="Medium Salary"/>
  </r>
  <r>
    <n v="273"/>
    <n v="15796505"/>
    <s v="Boyle"/>
    <x v="2"/>
    <s v="Female"/>
    <n v="811"/>
    <n v="34"/>
    <n v="1"/>
    <n v="149297.19"/>
    <n v="2"/>
    <n v="1"/>
    <n v="1"/>
    <n v="186339.74"/>
    <x v="1"/>
    <x v="2"/>
    <x v="0"/>
    <s v="High Salary"/>
  </r>
  <r>
    <n v="274"/>
    <n v="15725166"/>
    <s v="Newton"/>
    <x v="0"/>
    <s v="Male"/>
    <n v="707"/>
    <n v="30"/>
    <n v="8"/>
    <n v="0"/>
    <n v="2"/>
    <n v="1"/>
    <n v="0"/>
    <n v="33159.370000000003"/>
    <x v="1"/>
    <x v="2"/>
    <x v="1"/>
    <s v="Medium Salary"/>
  </r>
  <r>
    <n v="275"/>
    <n v="15800116"/>
    <s v="Bowman"/>
    <x v="2"/>
    <s v="Male"/>
    <n v="712"/>
    <n v="28"/>
    <n v="4"/>
    <n v="145605.44"/>
    <n v="1"/>
    <n v="0"/>
    <n v="1"/>
    <n v="93883.53"/>
    <x v="1"/>
    <x v="2"/>
    <x v="1"/>
    <s v="High Salary"/>
  </r>
  <r>
    <n v="276"/>
    <n v="15758685"/>
    <s v="Dubinina"/>
    <x v="1"/>
    <s v="Female"/>
    <n v="706"/>
    <n v="37"/>
    <n v="7"/>
    <n v="0"/>
    <n v="2"/>
    <n v="1"/>
    <n v="1"/>
    <n v="110899.3"/>
    <x v="1"/>
    <x v="2"/>
    <x v="0"/>
    <s v="High Salary"/>
  </r>
  <r>
    <n v="277"/>
    <n v="15694456"/>
    <s v="Toscani"/>
    <x v="0"/>
    <s v="Male"/>
    <n v="756"/>
    <n v="62"/>
    <n v="3"/>
    <n v="0"/>
    <n v="1"/>
    <n v="1"/>
    <n v="1"/>
    <n v="11199.04"/>
    <x v="0"/>
    <x v="2"/>
    <x v="2"/>
    <s v="Low Salary"/>
  </r>
  <r>
    <n v="278"/>
    <n v="15767339"/>
    <s v="Chiazagomekpere"/>
    <x v="0"/>
    <s v="Female"/>
    <n v="777"/>
    <n v="53"/>
    <n v="10"/>
    <n v="0"/>
    <n v="2"/>
    <n v="1"/>
    <n v="0"/>
    <n v="189992.97"/>
    <x v="1"/>
    <x v="2"/>
    <x v="2"/>
    <s v="High Salary"/>
  </r>
  <r>
    <n v="279"/>
    <n v="15683562"/>
    <s v="Allen"/>
    <x v="0"/>
    <s v="Male"/>
    <n v="646"/>
    <n v="35"/>
    <n v="6"/>
    <n v="84026.86"/>
    <n v="1"/>
    <n v="0"/>
    <n v="1"/>
    <n v="164255.69"/>
    <x v="1"/>
    <x v="0"/>
    <x v="0"/>
    <s v="High Salary"/>
  </r>
  <r>
    <n v="280"/>
    <n v="15782210"/>
    <s v="K'ung"/>
    <x v="0"/>
    <s v="Male"/>
    <n v="714"/>
    <n v="46"/>
    <n v="1"/>
    <n v="0"/>
    <n v="1"/>
    <n v="1"/>
    <n v="0"/>
    <n v="152167.79"/>
    <x v="0"/>
    <x v="2"/>
    <x v="0"/>
    <s v="High Salary"/>
  </r>
  <r>
    <n v="281"/>
    <n v="15668893"/>
    <s v="Wilsmore"/>
    <x v="0"/>
    <s v="Male"/>
    <n v="782"/>
    <n v="39"/>
    <n v="8"/>
    <n v="0"/>
    <n v="2"/>
    <n v="1"/>
    <n v="1"/>
    <n v="33949.67"/>
    <x v="1"/>
    <x v="2"/>
    <x v="0"/>
    <s v="Medium Salary"/>
  </r>
  <r>
    <n v="282"/>
    <n v="15669169"/>
    <s v="Hargreaves"/>
    <x v="1"/>
    <s v="Male"/>
    <n v="775"/>
    <n v="29"/>
    <n v="10"/>
    <n v="0"/>
    <n v="2"/>
    <n v="1"/>
    <n v="1"/>
    <n v="68143.929999999993"/>
    <x v="1"/>
    <x v="2"/>
    <x v="1"/>
    <s v="Medium Salary"/>
  </r>
  <r>
    <n v="283"/>
    <n v="15643024"/>
    <s v="Huang"/>
    <x v="2"/>
    <s v="Male"/>
    <n v="479"/>
    <n v="35"/>
    <n v="4"/>
    <n v="138718.92000000001"/>
    <n v="1"/>
    <n v="1"/>
    <n v="1"/>
    <n v="47251.79"/>
    <x v="0"/>
    <x v="1"/>
    <x v="0"/>
    <s v="Medium Salary"/>
  </r>
  <r>
    <n v="284"/>
    <n v="15699389"/>
    <s v="Ch'ien"/>
    <x v="0"/>
    <s v="Male"/>
    <n v="807"/>
    <n v="42"/>
    <n v="7"/>
    <n v="118274.71"/>
    <n v="1"/>
    <n v="1"/>
    <n v="1"/>
    <n v="25885.72"/>
    <x v="1"/>
    <x v="2"/>
    <x v="0"/>
    <s v="Low Salary"/>
  </r>
  <r>
    <n v="285"/>
    <n v="15708608"/>
    <s v="Wallwork"/>
    <x v="0"/>
    <s v="Female"/>
    <n v="799"/>
    <n v="22"/>
    <n v="8"/>
    <n v="174185.98"/>
    <n v="2"/>
    <n v="0"/>
    <n v="1"/>
    <n v="192633.85"/>
    <x v="1"/>
    <x v="2"/>
    <x v="1"/>
    <s v="High Salary"/>
  </r>
  <r>
    <n v="286"/>
    <n v="15626144"/>
    <s v="Chu"/>
    <x v="0"/>
    <s v="Male"/>
    <n v="675"/>
    <n v="40"/>
    <n v="7"/>
    <n v="113208.86"/>
    <n v="2"/>
    <n v="1"/>
    <n v="0"/>
    <n v="34577.360000000001"/>
    <x v="1"/>
    <x v="2"/>
    <x v="0"/>
    <s v="Medium Salary"/>
  </r>
  <r>
    <n v="287"/>
    <n v="15573112"/>
    <s v="Kang"/>
    <x v="1"/>
    <s v="Male"/>
    <n v="602"/>
    <n v="29"/>
    <n v="5"/>
    <n v="103907.28"/>
    <n v="1"/>
    <n v="1"/>
    <n v="0"/>
    <n v="161229.84"/>
    <x v="1"/>
    <x v="0"/>
    <x v="1"/>
    <s v="High Salary"/>
  </r>
  <r>
    <n v="288"/>
    <n v="15790678"/>
    <s v="Davidson"/>
    <x v="0"/>
    <s v="Female"/>
    <n v="475"/>
    <n v="32"/>
    <n v="8"/>
    <n v="119023.28"/>
    <n v="1"/>
    <n v="1"/>
    <n v="0"/>
    <n v="100816.29"/>
    <x v="1"/>
    <x v="1"/>
    <x v="0"/>
    <s v="High Salary"/>
  </r>
  <r>
    <n v="289"/>
    <n v="15727556"/>
    <s v="O'Donnell"/>
    <x v="1"/>
    <s v="Female"/>
    <n v="744"/>
    <n v="26"/>
    <n v="5"/>
    <n v="166297.89000000001"/>
    <n v="1"/>
    <n v="1"/>
    <n v="1"/>
    <n v="181694.44"/>
    <x v="1"/>
    <x v="2"/>
    <x v="1"/>
    <s v="High Salary"/>
  </r>
  <r>
    <n v="290"/>
    <n v="15697307"/>
    <s v="Nnachetam"/>
    <x v="1"/>
    <s v="Male"/>
    <n v="588"/>
    <n v="34"/>
    <n v="10"/>
    <n v="0"/>
    <n v="2"/>
    <n v="1"/>
    <n v="0"/>
    <n v="79078.91"/>
    <x v="1"/>
    <x v="0"/>
    <x v="0"/>
    <s v="High Salary"/>
  </r>
  <r>
    <n v="291"/>
    <n v="15652266"/>
    <s v="Chidiebele"/>
    <x v="2"/>
    <s v="Male"/>
    <n v="703"/>
    <n v="42"/>
    <n v="9"/>
    <n v="63227"/>
    <n v="1"/>
    <n v="0"/>
    <n v="1"/>
    <n v="137316.32"/>
    <x v="1"/>
    <x v="2"/>
    <x v="0"/>
    <s v="High Salary"/>
  </r>
  <r>
    <n v="292"/>
    <n v="15607098"/>
    <s v="Ahmed"/>
    <x v="1"/>
    <s v="Female"/>
    <n v="747"/>
    <n v="41"/>
    <n v="5"/>
    <n v="94521.17"/>
    <n v="2"/>
    <n v="1"/>
    <n v="0"/>
    <n v="194926.86"/>
    <x v="1"/>
    <x v="2"/>
    <x v="0"/>
    <s v="High Salary"/>
  </r>
  <r>
    <n v="293"/>
    <n v="15655774"/>
    <s v="Booth"/>
    <x v="0"/>
    <s v="Male"/>
    <n v="583"/>
    <n v="27"/>
    <n v="7"/>
    <n v="0"/>
    <n v="2"/>
    <n v="1"/>
    <n v="0"/>
    <n v="51285.49"/>
    <x v="1"/>
    <x v="0"/>
    <x v="1"/>
    <s v="Medium Salary"/>
  </r>
  <r>
    <n v="294"/>
    <n v="15590241"/>
    <s v="Chuang"/>
    <x v="1"/>
    <s v="Female"/>
    <n v="750"/>
    <n v="34"/>
    <n v="9"/>
    <n v="112822.26"/>
    <n v="1"/>
    <n v="0"/>
    <n v="0"/>
    <n v="150401.53"/>
    <x v="0"/>
    <x v="2"/>
    <x v="0"/>
    <s v="High Salary"/>
  </r>
  <r>
    <n v="295"/>
    <n v="15785819"/>
    <s v="Shao"/>
    <x v="0"/>
    <s v="Male"/>
    <n v="681"/>
    <n v="38"/>
    <n v="3"/>
    <n v="0"/>
    <n v="2"/>
    <n v="1"/>
    <n v="1"/>
    <n v="112491.96"/>
    <x v="1"/>
    <x v="2"/>
    <x v="0"/>
    <s v="High Salary"/>
  </r>
  <r>
    <n v="296"/>
    <n v="15723654"/>
    <s v="Tsao"/>
    <x v="0"/>
    <s v="Male"/>
    <n v="773"/>
    <n v="25"/>
    <n v="2"/>
    <n v="135903.32999999999"/>
    <n v="1"/>
    <n v="1"/>
    <n v="0"/>
    <n v="73656.38"/>
    <x v="1"/>
    <x v="2"/>
    <x v="1"/>
    <s v="High Salary"/>
  </r>
  <r>
    <n v="297"/>
    <n v="15774510"/>
    <s v="Tien"/>
    <x v="0"/>
    <s v="Female"/>
    <n v="714"/>
    <n v="31"/>
    <n v="4"/>
    <n v="125169.26"/>
    <n v="1"/>
    <n v="1"/>
    <n v="1"/>
    <n v="106636.89"/>
    <x v="1"/>
    <x v="2"/>
    <x v="0"/>
    <s v="High Salary"/>
  </r>
  <r>
    <n v="298"/>
    <n v="15684173"/>
    <s v="Chang"/>
    <x v="1"/>
    <s v="Female"/>
    <n v="687"/>
    <n v="44"/>
    <n v="7"/>
    <n v="0"/>
    <n v="3"/>
    <n v="1"/>
    <n v="0"/>
    <n v="155853.51999999999"/>
    <x v="0"/>
    <x v="2"/>
    <x v="0"/>
    <s v="High Salary"/>
  </r>
  <r>
    <n v="299"/>
    <n v="15650068"/>
    <s v="Johnson"/>
    <x v="0"/>
    <s v="Male"/>
    <n v="511"/>
    <n v="58"/>
    <n v="0"/>
    <n v="149117.31"/>
    <n v="1"/>
    <n v="1"/>
    <n v="1"/>
    <n v="162599.51"/>
    <x v="1"/>
    <x v="1"/>
    <x v="2"/>
    <s v="High Salary"/>
  </r>
  <r>
    <n v="300"/>
    <n v="15811490"/>
    <s v="French"/>
    <x v="0"/>
    <s v="Male"/>
    <n v="627"/>
    <n v="33"/>
    <n v="5"/>
    <n v="0"/>
    <n v="2"/>
    <n v="1"/>
    <n v="1"/>
    <n v="103737.82"/>
    <x v="1"/>
    <x v="0"/>
    <x v="0"/>
    <s v="High Salary"/>
  </r>
  <r>
    <n v="301"/>
    <n v="15803976"/>
    <s v="Efremov"/>
    <x v="0"/>
    <s v="Female"/>
    <n v="694"/>
    <n v="31"/>
    <n v="10"/>
    <n v="0"/>
    <n v="2"/>
    <n v="1"/>
    <n v="0"/>
    <n v="160990.26999999999"/>
    <x v="1"/>
    <x v="2"/>
    <x v="0"/>
    <s v="High Salary"/>
  </r>
  <r>
    <n v="302"/>
    <n v="15682541"/>
    <s v="Hartley"/>
    <x v="1"/>
    <s v="Female"/>
    <n v="616"/>
    <n v="36"/>
    <n v="6"/>
    <n v="132311.71"/>
    <n v="1"/>
    <n v="0"/>
    <n v="0"/>
    <n v="15462.84"/>
    <x v="1"/>
    <x v="0"/>
    <x v="0"/>
    <s v="Low Salary"/>
  </r>
  <r>
    <n v="303"/>
    <n v="15695699"/>
    <s v="Calabrese"/>
    <x v="0"/>
    <s v="Male"/>
    <n v="687"/>
    <n v="35"/>
    <n v="8"/>
    <n v="0"/>
    <n v="2"/>
    <n v="1"/>
    <n v="0"/>
    <n v="10334.049999999999"/>
    <x v="1"/>
    <x v="2"/>
    <x v="0"/>
    <s v="Low Salary"/>
  </r>
  <r>
    <n v="304"/>
    <n v="15624188"/>
    <s v="Chiu"/>
    <x v="0"/>
    <s v="Female"/>
    <n v="712"/>
    <n v="33"/>
    <n v="6"/>
    <n v="0"/>
    <n v="2"/>
    <n v="1"/>
    <n v="1"/>
    <n v="190686.16"/>
    <x v="1"/>
    <x v="2"/>
    <x v="0"/>
    <s v="High Salary"/>
  </r>
  <r>
    <n v="305"/>
    <n v="15812191"/>
    <s v="Brennan"/>
    <x v="0"/>
    <s v="Male"/>
    <n v="553"/>
    <n v="33"/>
    <n v="4"/>
    <n v="118082.89"/>
    <n v="1"/>
    <n v="0"/>
    <n v="0"/>
    <n v="94440.45"/>
    <x v="1"/>
    <x v="1"/>
    <x v="0"/>
    <s v="High Salary"/>
  </r>
  <r>
    <n v="306"/>
    <n v="15636673"/>
    <s v="Onwuatuegwu"/>
    <x v="0"/>
    <s v="Male"/>
    <n v="667"/>
    <n v="31"/>
    <n v="1"/>
    <n v="119266.69"/>
    <n v="1"/>
    <n v="1"/>
    <n v="1"/>
    <n v="28257.63"/>
    <x v="1"/>
    <x v="0"/>
    <x v="0"/>
    <s v="Low Salary"/>
  </r>
  <r>
    <n v="307"/>
    <n v="15594898"/>
    <s v="Hewitt"/>
    <x v="0"/>
    <s v="Male"/>
    <n v="731"/>
    <n v="43"/>
    <n v="2"/>
    <n v="0"/>
    <n v="1"/>
    <n v="1"/>
    <n v="1"/>
    <n v="170034.95"/>
    <x v="0"/>
    <x v="2"/>
    <x v="0"/>
    <s v="High Salary"/>
  </r>
  <r>
    <n v="308"/>
    <n v="15660211"/>
    <s v="Shih"/>
    <x v="2"/>
    <s v="Male"/>
    <n v="629"/>
    <n v="35"/>
    <n v="7"/>
    <n v="156847.29"/>
    <n v="2"/>
    <n v="1"/>
    <n v="0"/>
    <n v="31824.29"/>
    <x v="1"/>
    <x v="0"/>
    <x v="0"/>
    <s v="Medium Salary"/>
  </r>
  <r>
    <n v="309"/>
    <n v="15773972"/>
    <s v="Balashov"/>
    <x v="0"/>
    <s v="Male"/>
    <n v="614"/>
    <n v="50"/>
    <n v="4"/>
    <n v="137104.47"/>
    <n v="1"/>
    <n v="1"/>
    <n v="0"/>
    <n v="127166.49"/>
    <x v="0"/>
    <x v="0"/>
    <x v="0"/>
    <s v="High Salary"/>
  </r>
  <r>
    <n v="310"/>
    <n v="15746726"/>
    <s v="Doyle"/>
    <x v="2"/>
    <s v="Male"/>
    <n v="438"/>
    <n v="31"/>
    <n v="8"/>
    <n v="78398.69"/>
    <n v="1"/>
    <n v="1"/>
    <n v="0"/>
    <n v="44937.01"/>
    <x v="1"/>
    <x v="1"/>
    <x v="0"/>
    <s v="Medium Salary"/>
  </r>
  <r>
    <n v="311"/>
    <n v="15712287"/>
    <s v="Pokrovskii"/>
    <x v="0"/>
    <s v="Female"/>
    <n v="652"/>
    <n v="80"/>
    <n v="4"/>
    <n v="0"/>
    <n v="2"/>
    <n v="1"/>
    <n v="1"/>
    <n v="188603.07"/>
    <x v="1"/>
    <x v="0"/>
    <x v="2"/>
    <s v="High Salary"/>
  </r>
  <r>
    <n v="312"/>
    <n v="15702919"/>
    <s v="Collins"/>
    <x v="2"/>
    <s v="Male"/>
    <n v="729"/>
    <n v="30"/>
    <n v="6"/>
    <n v="63669.42"/>
    <n v="1"/>
    <n v="1"/>
    <n v="0"/>
    <n v="145111.37"/>
    <x v="1"/>
    <x v="2"/>
    <x v="1"/>
    <s v="High Salary"/>
  </r>
  <r>
    <n v="313"/>
    <n v="15674398"/>
    <s v="Russo"/>
    <x v="0"/>
    <s v="Male"/>
    <n v="642"/>
    <n v="38"/>
    <n v="3"/>
    <n v="0"/>
    <n v="2"/>
    <n v="0"/>
    <n v="0"/>
    <n v="171463.83"/>
    <x v="1"/>
    <x v="0"/>
    <x v="0"/>
    <s v="High Salary"/>
  </r>
  <r>
    <n v="314"/>
    <n v="15797960"/>
    <s v="Skinner"/>
    <x v="2"/>
    <s v="Female"/>
    <n v="806"/>
    <n v="59"/>
    <n v="0"/>
    <n v="135296.32999999999"/>
    <n v="1"/>
    <n v="1"/>
    <n v="0"/>
    <n v="182822.5"/>
    <x v="1"/>
    <x v="2"/>
    <x v="2"/>
    <s v="High Salary"/>
  </r>
  <r>
    <n v="315"/>
    <n v="15631868"/>
    <s v="Robertson"/>
    <x v="1"/>
    <s v="Male"/>
    <n v="744"/>
    <n v="36"/>
    <n v="2"/>
    <n v="153804.44"/>
    <n v="1"/>
    <n v="1"/>
    <n v="1"/>
    <n v="87213.33"/>
    <x v="1"/>
    <x v="2"/>
    <x v="0"/>
    <s v="High Salary"/>
  </r>
  <r>
    <n v="316"/>
    <n v="15581539"/>
    <s v="Atkinson"/>
    <x v="1"/>
    <s v="Male"/>
    <n v="474"/>
    <n v="37"/>
    <n v="3"/>
    <n v="0"/>
    <n v="2"/>
    <n v="0"/>
    <n v="0"/>
    <n v="57175.32"/>
    <x v="1"/>
    <x v="1"/>
    <x v="0"/>
    <s v="Medium Salary"/>
  </r>
  <r>
    <n v="317"/>
    <n v="15662736"/>
    <s v="Doyle"/>
    <x v="0"/>
    <s v="Male"/>
    <n v="559"/>
    <n v="49"/>
    <n v="2"/>
    <n v="147069.78"/>
    <n v="1"/>
    <n v="1"/>
    <n v="0"/>
    <n v="120540.83"/>
    <x v="0"/>
    <x v="1"/>
    <x v="0"/>
    <s v="High Salary"/>
  </r>
  <r>
    <n v="318"/>
    <n v="15666252"/>
    <s v="Ritchie"/>
    <x v="1"/>
    <s v="Male"/>
    <n v="706"/>
    <n v="42"/>
    <n v="9"/>
    <n v="0"/>
    <n v="2"/>
    <n v="1"/>
    <n v="1"/>
    <n v="28714.34"/>
    <x v="1"/>
    <x v="2"/>
    <x v="0"/>
    <s v="Low Salary"/>
  </r>
  <r>
    <n v="319"/>
    <n v="15677512"/>
    <s v="McEncroe"/>
    <x v="1"/>
    <s v="Female"/>
    <n v="628"/>
    <n v="22"/>
    <n v="3"/>
    <n v="0"/>
    <n v="1"/>
    <n v="1"/>
    <n v="0"/>
    <n v="85426.28"/>
    <x v="1"/>
    <x v="0"/>
    <x v="1"/>
    <s v="High Salary"/>
  </r>
  <r>
    <n v="320"/>
    <n v="15626114"/>
    <s v="Pearson"/>
    <x v="0"/>
    <s v="Male"/>
    <n v="429"/>
    <n v="24"/>
    <n v="4"/>
    <n v="95741.75"/>
    <n v="1"/>
    <n v="1"/>
    <n v="0"/>
    <n v="46170.75"/>
    <x v="1"/>
    <x v="1"/>
    <x v="1"/>
    <s v="Medium Salary"/>
  </r>
  <r>
    <n v="321"/>
    <n v="15810834"/>
    <s v="Gordon"/>
    <x v="1"/>
    <s v="Female"/>
    <n v="525"/>
    <n v="57"/>
    <n v="2"/>
    <n v="145965.32999999999"/>
    <n v="1"/>
    <n v="1"/>
    <n v="1"/>
    <n v="64448.36"/>
    <x v="1"/>
    <x v="1"/>
    <x v="2"/>
    <s v="Medium Salary"/>
  </r>
  <r>
    <n v="322"/>
    <n v="15678910"/>
    <s v="Ts'ai"/>
    <x v="0"/>
    <s v="Female"/>
    <n v="680"/>
    <n v="30"/>
    <n v="8"/>
    <n v="141441.75"/>
    <n v="1"/>
    <n v="1"/>
    <n v="1"/>
    <n v="16278.97"/>
    <x v="1"/>
    <x v="2"/>
    <x v="1"/>
    <s v="Low Salary"/>
  </r>
  <r>
    <n v="323"/>
    <n v="15694408"/>
    <s v="Lung"/>
    <x v="0"/>
    <s v="Male"/>
    <n v="749"/>
    <n v="40"/>
    <n v="1"/>
    <n v="139290.41"/>
    <n v="1"/>
    <n v="1"/>
    <n v="0"/>
    <n v="182855.42"/>
    <x v="0"/>
    <x v="2"/>
    <x v="0"/>
    <s v="High Salary"/>
  </r>
  <r>
    <n v="324"/>
    <n v="15585215"/>
    <s v="Yuan"/>
    <x v="0"/>
    <s v="Female"/>
    <n v="763"/>
    <n v="31"/>
    <n v="4"/>
    <n v="0"/>
    <n v="2"/>
    <n v="0"/>
    <n v="0"/>
    <n v="50404.72"/>
    <x v="1"/>
    <x v="2"/>
    <x v="0"/>
    <s v="Medium Salary"/>
  </r>
  <r>
    <n v="325"/>
    <n v="15682757"/>
    <s v="Pardey"/>
    <x v="0"/>
    <s v="Male"/>
    <n v="734"/>
    <n v="30"/>
    <n v="3"/>
    <n v="0"/>
    <n v="2"/>
    <n v="1"/>
    <n v="0"/>
    <n v="107640.25"/>
    <x v="1"/>
    <x v="2"/>
    <x v="1"/>
    <s v="High Salary"/>
  </r>
  <r>
    <n v="326"/>
    <n v="15736601"/>
    <s v="Tai"/>
    <x v="0"/>
    <s v="Male"/>
    <n v="716"/>
    <n v="35"/>
    <n v="4"/>
    <n v="144428.87"/>
    <n v="1"/>
    <n v="1"/>
    <n v="0"/>
    <n v="134132.65"/>
    <x v="1"/>
    <x v="2"/>
    <x v="0"/>
    <s v="High Salary"/>
  </r>
  <r>
    <n v="327"/>
    <n v="15601848"/>
    <s v="Scott"/>
    <x v="0"/>
    <s v="Male"/>
    <n v="594"/>
    <n v="35"/>
    <n v="2"/>
    <n v="0"/>
    <n v="2"/>
    <n v="1"/>
    <n v="0"/>
    <n v="103480.69"/>
    <x v="1"/>
    <x v="0"/>
    <x v="0"/>
    <s v="High Salary"/>
  </r>
  <r>
    <n v="328"/>
    <n v="15736008"/>
    <s v="Hunter"/>
    <x v="0"/>
    <s v="Female"/>
    <n v="644"/>
    <n v="46"/>
    <n v="9"/>
    <n v="95441.27"/>
    <n v="1"/>
    <n v="1"/>
    <n v="0"/>
    <n v="108761.05"/>
    <x v="0"/>
    <x v="0"/>
    <x v="0"/>
    <s v="High Salary"/>
  </r>
  <r>
    <n v="329"/>
    <n v="15669064"/>
    <s v="Mazzanti"/>
    <x v="2"/>
    <s v="Male"/>
    <n v="671"/>
    <n v="35"/>
    <n v="1"/>
    <n v="144848.74"/>
    <n v="1"/>
    <n v="1"/>
    <n v="1"/>
    <n v="179012.3"/>
    <x v="1"/>
    <x v="2"/>
    <x v="0"/>
    <s v="High Salary"/>
  </r>
  <r>
    <n v="330"/>
    <n v="15624528"/>
    <s v="L?"/>
    <x v="2"/>
    <s v="Male"/>
    <n v="664"/>
    <n v="26"/>
    <n v="7"/>
    <n v="116244.14"/>
    <n v="2"/>
    <n v="1"/>
    <n v="1"/>
    <n v="95145.14"/>
    <x v="1"/>
    <x v="0"/>
    <x v="1"/>
    <s v="High Salary"/>
  </r>
  <r>
    <n v="331"/>
    <n v="15598493"/>
    <s v="Beach"/>
    <x v="0"/>
    <s v="Male"/>
    <n v="656"/>
    <n v="50"/>
    <n v="7"/>
    <n v="0"/>
    <n v="2"/>
    <n v="0"/>
    <n v="1"/>
    <n v="72143.44"/>
    <x v="1"/>
    <x v="0"/>
    <x v="0"/>
    <s v="High Salary"/>
  </r>
  <r>
    <n v="332"/>
    <n v="15601274"/>
    <s v="Hsieh"/>
    <x v="1"/>
    <s v="Female"/>
    <n v="667"/>
    <n v="40"/>
    <n v="1"/>
    <n v="146502.07"/>
    <n v="1"/>
    <n v="1"/>
    <n v="0"/>
    <n v="19162.89"/>
    <x v="1"/>
    <x v="0"/>
    <x v="0"/>
    <s v="Low Salary"/>
  </r>
  <r>
    <n v="333"/>
    <n v="15702669"/>
    <s v="Faulkner"/>
    <x v="2"/>
    <s v="Male"/>
    <n v="663"/>
    <n v="44"/>
    <n v="2"/>
    <n v="117028.6"/>
    <n v="2"/>
    <n v="0"/>
    <n v="1"/>
    <n v="144680.18"/>
    <x v="1"/>
    <x v="0"/>
    <x v="0"/>
    <s v="High Salary"/>
  </r>
  <r>
    <n v="334"/>
    <n v="15728669"/>
    <s v="Knowles"/>
    <x v="2"/>
    <s v="Female"/>
    <n v="584"/>
    <n v="30"/>
    <n v="8"/>
    <n v="112013.81"/>
    <n v="1"/>
    <n v="1"/>
    <n v="0"/>
    <n v="177772.03"/>
    <x v="0"/>
    <x v="0"/>
    <x v="1"/>
    <s v="High Salary"/>
  </r>
  <r>
    <n v="335"/>
    <n v="15742668"/>
    <s v="Day"/>
    <x v="1"/>
    <s v="Female"/>
    <n v="626"/>
    <n v="37"/>
    <n v="6"/>
    <n v="108269.37"/>
    <n v="1"/>
    <n v="1"/>
    <n v="0"/>
    <n v="5597.94"/>
    <x v="1"/>
    <x v="0"/>
    <x v="0"/>
    <s v="Low Salary"/>
  </r>
  <r>
    <n v="336"/>
    <n v="15697441"/>
    <s v="Hsueh"/>
    <x v="0"/>
    <s v="Male"/>
    <n v="485"/>
    <n v="29"/>
    <n v="7"/>
    <n v="182123.79"/>
    <n v="1"/>
    <n v="1"/>
    <n v="0"/>
    <n v="116828.51"/>
    <x v="0"/>
    <x v="1"/>
    <x v="1"/>
    <s v="High Salary"/>
  </r>
  <r>
    <n v="337"/>
    <n v="15740476"/>
    <s v="Tsao"/>
    <x v="2"/>
    <s v="Female"/>
    <n v="659"/>
    <n v="32"/>
    <n v="3"/>
    <n v="150923.74"/>
    <n v="2"/>
    <n v="0"/>
    <n v="1"/>
    <n v="174652.51"/>
    <x v="1"/>
    <x v="0"/>
    <x v="0"/>
    <s v="High Salary"/>
  </r>
  <r>
    <n v="338"/>
    <n v="15648064"/>
    <s v="Kennedy"/>
    <x v="0"/>
    <s v="Male"/>
    <n v="649"/>
    <n v="33"/>
    <n v="2"/>
    <n v="0"/>
    <n v="2"/>
    <n v="1"/>
    <n v="0"/>
    <n v="2010.98"/>
    <x v="1"/>
    <x v="0"/>
    <x v="0"/>
    <s v="Low Salary"/>
  </r>
  <r>
    <n v="339"/>
    <n v="15636624"/>
    <s v="Nwabugwu"/>
    <x v="1"/>
    <s v="Female"/>
    <n v="805"/>
    <n v="39"/>
    <n v="5"/>
    <n v="165272.13"/>
    <n v="1"/>
    <n v="1"/>
    <n v="0"/>
    <n v="14109.85"/>
    <x v="0"/>
    <x v="2"/>
    <x v="0"/>
    <s v="Low Salary"/>
  </r>
  <r>
    <n v="340"/>
    <n v="15807923"/>
    <s v="Young"/>
    <x v="2"/>
    <s v="Female"/>
    <n v="716"/>
    <n v="39"/>
    <n v="10"/>
    <n v="115301.31"/>
    <n v="1"/>
    <n v="1"/>
    <n v="0"/>
    <n v="43527.4"/>
    <x v="0"/>
    <x v="2"/>
    <x v="0"/>
    <s v="Medium Salary"/>
  </r>
  <r>
    <n v="341"/>
    <n v="15745844"/>
    <s v="Kerr"/>
    <x v="2"/>
    <s v="Female"/>
    <n v="642"/>
    <n v="40"/>
    <n v="6"/>
    <n v="129502.49"/>
    <n v="2"/>
    <n v="0"/>
    <n v="1"/>
    <n v="86099.23"/>
    <x v="0"/>
    <x v="0"/>
    <x v="0"/>
    <s v="High Salary"/>
  </r>
  <r>
    <n v="342"/>
    <n v="15786170"/>
    <s v="Tien"/>
    <x v="0"/>
    <s v="Male"/>
    <n v="659"/>
    <n v="31"/>
    <n v="4"/>
    <n v="118342.26"/>
    <n v="1"/>
    <n v="0"/>
    <n v="0"/>
    <n v="161574.19"/>
    <x v="1"/>
    <x v="0"/>
    <x v="0"/>
    <s v="High Salary"/>
  </r>
  <r>
    <n v="343"/>
    <n v="15681081"/>
    <s v="Marrero"/>
    <x v="1"/>
    <s v="Female"/>
    <n v="545"/>
    <n v="47"/>
    <n v="5"/>
    <n v="0"/>
    <n v="2"/>
    <n v="1"/>
    <n v="1"/>
    <n v="38970.14"/>
    <x v="1"/>
    <x v="1"/>
    <x v="0"/>
    <s v="Medium Salary"/>
  </r>
  <r>
    <n v="344"/>
    <n v="15684484"/>
    <s v="White"/>
    <x v="0"/>
    <s v="Male"/>
    <n v="543"/>
    <n v="22"/>
    <n v="8"/>
    <n v="0"/>
    <n v="2"/>
    <n v="0"/>
    <n v="0"/>
    <n v="127587.22"/>
    <x v="1"/>
    <x v="1"/>
    <x v="1"/>
    <s v="High Salary"/>
  </r>
  <r>
    <n v="345"/>
    <n v="15785869"/>
    <s v="Pisano"/>
    <x v="0"/>
    <s v="Female"/>
    <n v="718"/>
    <n v="25"/>
    <n v="7"/>
    <n v="0"/>
    <n v="2"/>
    <n v="1"/>
    <n v="0"/>
    <n v="30380.12"/>
    <x v="1"/>
    <x v="2"/>
    <x v="1"/>
    <s v="Medium Salary"/>
  </r>
  <r>
    <n v="346"/>
    <n v="15763859"/>
    <s v="Brown"/>
    <x v="0"/>
    <s v="Female"/>
    <n v="840"/>
    <n v="43"/>
    <n v="7"/>
    <n v="0"/>
    <n v="2"/>
    <n v="1"/>
    <n v="0"/>
    <n v="90908.95"/>
    <x v="1"/>
    <x v="2"/>
    <x v="0"/>
    <s v="High Salary"/>
  </r>
  <r>
    <n v="347"/>
    <n v="15658935"/>
    <s v="Freeman"/>
    <x v="2"/>
    <s v="Female"/>
    <n v="630"/>
    <n v="34"/>
    <n v="9"/>
    <n v="106937.05"/>
    <n v="2"/>
    <n v="1"/>
    <n v="0"/>
    <n v="138275.01"/>
    <x v="1"/>
    <x v="0"/>
    <x v="0"/>
    <s v="High Salary"/>
  </r>
  <r>
    <n v="348"/>
    <n v="15747358"/>
    <s v="Russell"/>
    <x v="2"/>
    <s v="Male"/>
    <n v="643"/>
    <n v="59"/>
    <n v="3"/>
    <n v="170331.37"/>
    <n v="1"/>
    <n v="1"/>
    <n v="1"/>
    <n v="32171.79"/>
    <x v="1"/>
    <x v="0"/>
    <x v="2"/>
    <s v="Medium Salary"/>
  </r>
  <r>
    <n v="349"/>
    <n v="15735203"/>
    <s v="Seleznyov"/>
    <x v="2"/>
    <s v="Female"/>
    <n v="654"/>
    <n v="32"/>
    <n v="1"/>
    <n v="114510.85"/>
    <n v="1"/>
    <n v="1"/>
    <n v="1"/>
    <n v="126143.23"/>
    <x v="1"/>
    <x v="0"/>
    <x v="0"/>
    <s v="High Salary"/>
  </r>
  <r>
    <n v="350"/>
    <n v="15576256"/>
    <s v="Yusupova"/>
    <x v="0"/>
    <s v="Male"/>
    <n v="582"/>
    <n v="39"/>
    <n v="5"/>
    <n v="0"/>
    <n v="2"/>
    <n v="1"/>
    <n v="1"/>
    <n v="129892.93"/>
    <x v="1"/>
    <x v="0"/>
    <x v="0"/>
    <s v="High Salary"/>
  </r>
  <r>
    <n v="351"/>
    <n v="15659420"/>
    <s v="Foley"/>
    <x v="1"/>
    <s v="Male"/>
    <n v="659"/>
    <n v="32"/>
    <n v="3"/>
    <n v="107594.11"/>
    <n v="2"/>
    <n v="1"/>
    <n v="1"/>
    <n v="102416.84"/>
    <x v="1"/>
    <x v="0"/>
    <x v="0"/>
    <s v="High Salary"/>
  </r>
  <r>
    <n v="352"/>
    <n v="15593365"/>
    <s v="Shih"/>
    <x v="1"/>
    <s v="Male"/>
    <n v="762"/>
    <n v="39"/>
    <n v="2"/>
    <n v="81273.13"/>
    <n v="1"/>
    <n v="1"/>
    <n v="1"/>
    <n v="18719.669999999998"/>
    <x v="1"/>
    <x v="2"/>
    <x v="0"/>
    <s v="Low Salary"/>
  </r>
  <r>
    <n v="353"/>
    <n v="15777352"/>
    <s v="Ikedinachukwu"/>
    <x v="1"/>
    <s v="Female"/>
    <n v="568"/>
    <n v="32"/>
    <n v="7"/>
    <n v="169399.6"/>
    <n v="1"/>
    <n v="1"/>
    <n v="0"/>
    <n v="61936.22"/>
    <x v="1"/>
    <x v="1"/>
    <x v="0"/>
    <s v="Medium Salary"/>
  </r>
  <r>
    <n v="354"/>
    <n v="15812007"/>
    <s v="Power"/>
    <x v="1"/>
    <s v="Male"/>
    <n v="670"/>
    <n v="25"/>
    <n v="6"/>
    <n v="0"/>
    <n v="2"/>
    <n v="1"/>
    <n v="1"/>
    <n v="78358.94"/>
    <x v="1"/>
    <x v="2"/>
    <x v="1"/>
    <s v="High Salary"/>
  </r>
  <r>
    <n v="355"/>
    <n v="15625461"/>
    <s v="Amos"/>
    <x v="0"/>
    <s v="Female"/>
    <n v="613"/>
    <n v="45"/>
    <n v="1"/>
    <n v="187841.99"/>
    <n v="2"/>
    <n v="1"/>
    <n v="1"/>
    <n v="147224.26999999999"/>
    <x v="1"/>
    <x v="0"/>
    <x v="0"/>
    <s v="High Salary"/>
  </r>
  <r>
    <n v="356"/>
    <n v="15739438"/>
    <s v="Reed"/>
    <x v="0"/>
    <s v="Male"/>
    <n v="539"/>
    <n v="30"/>
    <n v="0"/>
    <n v="0"/>
    <n v="2"/>
    <n v="1"/>
    <n v="0"/>
    <n v="160979.66"/>
    <x v="1"/>
    <x v="1"/>
    <x v="1"/>
    <s v="High Salary"/>
  </r>
  <r>
    <n v="357"/>
    <n v="15611759"/>
    <s v="Simmons"/>
    <x v="1"/>
    <s v="Female"/>
    <n v="850"/>
    <n v="57"/>
    <n v="8"/>
    <n v="126776.3"/>
    <n v="2"/>
    <n v="1"/>
    <n v="1"/>
    <n v="132298.49"/>
    <x v="1"/>
    <x v="2"/>
    <x v="2"/>
    <s v="High Salary"/>
  </r>
  <r>
    <n v="358"/>
    <n v="15661629"/>
    <s v="Ricci"/>
    <x v="1"/>
    <s v="Male"/>
    <n v="522"/>
    <n v="34"/>
    <n v="9"/>
    <n v="126436.29"/>
    <n v="1"/>
    <n v="1"/>
    <n v="0"/>
    <n v="174248.52"/>
    <x v="0"/>
    <x v="1"/>
    <x v="0"/>
    <s v="High Salary"/>
  </r>
  <r>
    <n v="359"/>
    <n v="15633950"/>
    <s v="Yen"/>
    <x v="0"/>
    <s v="Male"/>
    <n v="737"/>
    <n v="41"/>
    <n v="1"/>
    <n v="101960.74"/>
    <n v="1"/>
    <n v="1"/>
    <n v="1"/>
    <n v="123547.28"/>
    <x v="1"/>
    <x v="2"/>
    <x v="0"/>
    <s v="High Salary"/>
  </r>
  <r>
    <n v="360"/>
    <n v="15592386"/>
    <s v="Campbell"/>
    <x v="0"/>
    <s v="Male"/>
    <n v="520"/>
    <n v="58"/>
    <n v="3"/>
    <n v="0"/>
    <n v="2"/>
    <n v="0"/>
    <n v="1"/>
    <n v="32790.019999999997"/>
    <x v="1"/>
    <x v="1"/>
    <x v="2"/>
    <s v="Medium Salary"/>
  </r>
  <r>
    <n v="361"/>
    <n v="15803716"/>
    <s v="West"/>
    <x v="1"/>
    <s v="Male"/>
    <n v="706"/>
    <n v="28"/>
    <n v="3"/>
    <n v="0"/>
    <n v="2"/>
    <n v="0"/>
    <n v="1"/>
    <n v="181543.67"/>
    <x v="1"/>
    <x v="2"/>
    <x v="1"/>
    <s v="High Salary"/>
  </r>
  <r>
    <n v="362"/>
    <n v="15696674"/>
    <s v="Robinson"/>
    <x v="2"/>
    <s v="Female"/>
    <n v="643"/>
    <n v="45"/>
    <n v="2"/>
    <n v="150842.93"/>
    <n v="1"/>
    <n v="0"/>
    <n v="1"/>
    <n v="2319.96"/>
    <x v="0"/>
    <x v="0"/>
    <x v="0"/>
    <s v="Low Salary"/>
  </r>
  <r>
    <n v="363"/>
    <n v="15706365"/>
    <s v="Bianchi"/>
    <x v="0"/>
    <s v="Female"/>
    <n v="648"/>
    <n v="50"/>
    <n v="9"/>
    <n v="102535.57"/>
    <n v="1"/>
    <n v="1"/>
    <n v="1"/>
    <n v="189543.19"/>
    <x v="1"/>
    <x v="0"/>
    <x v="0"/>
    <s v="High Salary"/>
  </r>
  <r>
    <n v="364"/>
    <n v="15745088"/>
    <s v="Chen"/>
    <x v="2"/>
    <s v="Female"/>
    <n v="443"/>
    <n v="29"/>
    <n v="9"/>
    <n v="99027.61"/>
    <n v="2"/>
    <n v="1"/>
    <n v="0"/>
    <n v="10940.4"/>
    <x v="1"/>
    <x v="1"/>
    <x v="1"/>
    <s v="Low Salary"/>
  </r>
  <r>
    <n v="365"/>
    <n v="15676715"/>
    <s v="Madukaego"/>
    <x v="0"/>
    <s v="Male"/>
    <n v="640"/>
    <n v="68"/>
    <n v="9"/>
    <n v="0"/>
    <n v="2"/>
    <n v="1"/>
    <n v="1"/>
    <n v="199493.38"/>
    <x v="1"/>
    <x v="0"/>
    <x v="2"/>
    <s v="High Salary"/>
  </r>
  <r>
    <n v="366"/>
    <n v="15613085"/>
    <s v="Ibrahimova"/>
    <x v="1"/>
    <s v="Female"/>
    <n v="628"/>
    <n v="33"/>
    <n v="3"/>
    <n v="0"/>
    <n v="1"/>
    <n v="1"/>
    <n v="1"/>
    <n v="188193.25"/>
    <x v="1"/>
    <x v="0"/>
    <x v="0"/>
    <s v="High Salary"/>
  </r>
  <r>
    <n v="367"/>
    <n v="15633537"/>
    <s v="Nolan"/>
    <x v="2"/>
    <s v="Female"/>
    <n v="540"/>
    <n v="42"/>
    <n v="9"/>
    <n v="87271.41"/>
    <n v="2"/>
    <n v="1"/>
    <n v="0"/>
    <n v="172572.64"/>
    <x v="1"/>
    <x v="1"/>
    <x v="0"/>
    <s v="High Salary"/>
  </r>
  <r>
    <n v="368"/>
    <n v="15594720"/>
    <s v="Scott"/>
    <x v="2"/>
    <s v="Female"/>
    <n v="460"/>
    <n v="35"/>
    <n v="8"/>
    <n v="102742.91"/>
    <n v="2"/>
    <n v="1"/>
    <n v="1"/>
    <n v="189339.6"/>
    <x v="1"/>
    <x v="1"/>
    <x v="0"/>
    <s v="High Salary"/>
  </r>
  <r>
    <n v="369"/>
    <n v="15684042"/>
    <s v="Blair"/>
    <x v="2"/>
    <s v="Male"/>
    <n v="636"/>
    <n v="34"/>
    <n v="2"/>
    <n v="40105.51"/>
    <n v="2"/>
    <n v="0"/>
    <n v="1"/>
    <n v="53512.160000000003"/>
    <x v="1"/>
    <x v="0"/>
    <x v="0"/>
    <s v="Medium Salary"/>
  </r>
  <r>
    <n v="370"/>
    <n v="15583303"/>
    <s v="Monaldo"/>
    <x v="0"/>
    <s v="Female"/>
    <n v="593"/>
    <n v="29"/>
    <n v="2"/>
    <n v="152265.43"/>
    <n v="1"/>
    <n v="1"/>
    <n v="0"/>
    <n v="34004.44"/>
    <x v="1"/>
    <x v="0"/>
    <x v="1"/>
    <s v="Medium Salary"/>
  </r>
  <r>
    <n v="371"/>
    <n v="15611579"/>
    <s v="Sutherland"/>
    <x v="1"/>
    <s v="Male"/>
    <n v="801"/>
    <n v="42"/>
    <n v="4"/>
    <n v="141947.67000000001"/>
    <n v="1"/>
    <n v="1"/>
    <n v="1"/>
    <n v="10598.29"/>
    <x v="1"/>
    <x v="2"/>
    <x v="0"/>
    <s v="Low Salary"/>
  </r>
  <r>
    <n v="372"/>
    <n v="15774696"/>
    <s v="Cole"/>
    <x v="2"/>
    <s v="Female"/>
    <n v="640"/>
    <n v="75"/>
    <n v="1"/>
    <n v="106307.91"/>
    <n v="2"/>
    <n v="0"/>
    <n v="1"/>
    <n v="113428.77"/>
    <x v="1"/>
    <x v="0"/>
    <x v="2"/>
    <s v="High Salary"/>
  </r>
  <r>
    <n v="373"/>
    <n v="15694506"/>
    <s v="Briggs"/>
    <x v="2"/>
    <s v="Male"/>
    <n v="611"/>
    <n v="31"/>
    <n v="0"/>
    <n v="107884.81"/>
    <n v="2"/>
    <n v="1"/>
    <n v="1"/>
    <n v="183487.98"/>
    <x v="1"/>
    <x v="0"/>
    <x v="0"/>
    <s v="High Salary"/>
  </r>
  <r>
    <n v="374"/>
    <n v="15688074"/>
    <s v="Gregory"/>
    <x v="2"/>
    <s v="Male"/>
    <n v="802"/>
    <n v="31"/>
    <n v="1"/>
    <n v="125013.72"/>
    <n v="1"/>
    <n v="1"/>
    <n v="1"/>
    <n v="187658.09"/>
    <x v="1"/>
    <x v="2"/>
    <x v="0"/>
    <s v="High Salary"/>
  </r>
  <r>
    <n v="375"/>
    <n v="15759537"/>
    <s v="Bianchi"/>
    <x v="2"/>
    <s v="Male"/>
    <n v="717"/>
    <n v="35"/>
    <n v="7"/>
    <n v="58469.37"/>
    <n v="2"/>
    <n v="1"/>
    <n v="1"/>
    <n v="172459.39"/>
    <x v="1"/>
    <x v="2"/>
    <x v="0"/>
    <s v="High Salary"/>
  </r>
  <r>
    <n v="376"/>
    <n v="15758449"/>
    <s v="Angelo"/>
    <x v="0"/>
    <s v="Female"/>
    <n v="769"/>
    <n v="39"/>
    <n v="8"/>
    <n v="0"/>
    <n v="1"/>
    <n v="0"/>
    <n v="1"/>
    <n v="21016"/>
    <x v="1"/>
    <x v="2"/>
    <x v="0"/>
    <s v="Low Salary"/>
  </r>
  <r>
    <n v="377"/>
    <n v="15583456"/>
    <s v="Gardiner"/>
    <x v="2"/>
    <s v="Male"/>
    <n v="745"/>
    <n v="45"/>
    <n v="10"/>
    <n v="117231.63"/>
    <n v="3"/>
    <n v="1"/>
    <n v="1"/>
    <n v="122381.02"/>
    <x v="0"/>
    <x v="2"/>
    <x v="0"/>
    <s v="High Salary"/>
  </r>
  <r>
    <n v="378"/>
    <n v="15667871"/>
    <s v="Kerr"/>
    <x v="1"/>
    <s v="Male"/>
    <n v="572"/>
    <n v="35"/>
    <n v="4"/>
    <n v="152390.26"/>
    <n v="1"/>
    <n v="1"/>
    <n v="0"/>
    <n v="128123.66"/>
    <x v="1"/>
    <x v="1"/>
    <x v="0"/>
    <s v="High Salary"/>
  </r>
  <r>
    <n v="379"/>
    <n v="15677371"/>
    <s v="Ko"/>
    <x v="1"/>
    <s v="Female"/>
    <n v="629"/>
    <n v="30"/>
    <n v="2"/>
    <n v="34013.629999999997"/>
    <n v="1"/>
    <n v="1"/>
    <n v="0"/>
    <n v="19570.63"/>
    <x v="1"/>
    <x v="0"/>
    <x v="1"/>
    <s v="Low Salary"/>
  </r>
  <r>
    <n v="380"/>
    <n v="15629677"/>
    <s v="Distefano"/>
    <x v="1"/>
    <s v="Female"/>
    <n v="687"/>
    <n v="39"/>
    <n v="2"/>
    <n v="0"/>
    <n v="3"/>
    <n v="0"/>
    <n v="0"/>
    <n v="188150.6"/>
    <x v="0"/>
    <x v="2"/>
    <x v="0"/>
    <s v="High Salary"/>
  </r>
  <r>
    <n v="381"/>
    <n v="15713578"/>
    <s v="Farrell"/>
    <x v="0"/>
    <s v="Female"/>
    <n v="483"/>
    <n v="50"/>
    <n v="9"/>
    <n v="0"/>
    <n v="2"/>
    <n v="1"/>
    <n v="1"/>
    <n v="111020.24"/>
    <x v="1"/>
    <x v="1"/>
    <x v="0"/>
    <s v="High Salary"/>
  </r>
  <r>
    <n v="382"/>
    <n v="15591509"/>
    <s v="Milano"/>
    <x v="0"/>
    <s v="Male"/>
    <n v="690"/>
    <n v="36"/>
    <n v="7"/>
    <n v="101583.11"/>
    <n v="2"/>
    <n v="1"/>
    <n v="0"/>
    <n v="123775.15"/>
    <x v="1"/>
    <x v="2"/>
    <x v="0"/>
    <s v="High Salary"/>
  </r>
  <r>
    <n v="383"/>
    <n v="15568240"/>
    <s v="Ting"/>
    <x v="2"/>
    <s v="Female"/>
    <n v="492"/>
    <n v="30"/>
    <n v="10"/>
    <n v="77168.87"/>
    <n v="2"/>
    <n v="0"/>
    <n v="1"/>
    <n v="146700.22"/>
    <x v="1"/>
    <x v="1"/>
    <x v="1"/>
    <s v="High Salary"/>
  </r>
  <r>
    <n v="384"/>
    <n v="15622993"/>
    <s v="Boyd"/>
    <x v="2"/>
    <s v="Male"/>
    <n v="709"/>
    <n v="28"/>
    <n v="8"/>
    <n v="124695.72"/>
    <n v="2"/>
    <n v="1"/>
    <n v="0"/>
    <n v="145251.35"/>
    <x v="1"/>
    <x v="2"/>
    <x v="1"/>
    <s v="High Salary"/>
  </r>
  <r>
    <n v="385"/>
    <n v="15689294"/>
    <s v="Onyemaechi"/>
    <x v="2"/>
    <s v="Male"/>
    <n v="705"/>
    <n v="44"/>
    <n v="3"/>
    <n v="105934.96"/>
    <n v="1"/>
    <n v="1"/>
    <n v="0"/>
    <n v="82463.69"/>
    <x v="1"/>
    <x v="2"/>
    <x v="0"/>
    <s v="High Salary"/>
  </r>
  <r>
    <n v="386"/>
    <n v="15720910"/>
    <s v="Black"/>
    <x v="0"/>
    <s v="Female"/>
    <n v="560"/>
    <n v="66"/>
    <n v="9"/>
    <n v="0"/>
    <n v="1"/>
    <n v="1"/>
    <n v="1"/>
    <n v="15928.49"/>
    <x v="1"/>
    <x v="1"/>
    <x v="2"/>
    <s v="Low Salary"/>
  </r>
  <r>
    <n v="387"/>
    <n v="15721181"/>
    <s v="Oliver"/>
    <x v="1"/>
    <s v="Male"/>
    <n v="611"/>
    <n v="46"/>
    <n v="6"/>
    <n v="0"/>
    <n v="2"/>
    <n v="1"/>
    <n v="0"/>
    <n v="45886.33"/>
    <x v="1"/>
    <x v="0"/>
    <x v="0"/>
    <s v="Medium Salary"/>
  </r>
  <r>
    <n v="388"/>
    <n v="15776433"/>
    <s v="Greco"/>
    <x v="1"/>
    <s v="Male"/>
    <n v="730"/>
    <n v="62"/>
    <n v="2"/>
    <n v="0"/>
    <n v="2"/>
    <n v="1"/>
    <n v="1"/>
    <n v="186489.95"/>
    <x v="1"/>
    <x v="2"/>
    <x v="2"/>
    <s v="High Salary"/>
  </r>
  <r>
    <n v="389"/>
    <n v="15748936"/>
    <s v="Whitehead"/>
    <x v="1"/>
    <s v="Female"/>
    <n v="709"/>
    <n v="45"/>
    <n v="2"/>
    <n v="0"/>
    <n v="2"/>
    <n v="0"/>
    <n v="1"/>
    <n v="162922.65"/>
    <x v="1"/>
    <x v="2"/>
    <x v="0"/>
    <s v="High Salary"/>
  </r>
  <r>
    <n v="390"/>
    <n v="15717225"/>
    <s v="Ikemefuna"/>
    <x v="0"/>
    <s v="Female"/>
    <n v="544"/>
    <n v="21"/>
    <n v="10"/>
    <n v="161525.96"/>
    <n v="2"/>
    <n v="1"/>
    <n v="0"/>
    <n v="9262.77"/>
    <x v="1"/>
    <x v="1"/>
    <x v="1"/>
    <s v="Low Salary"/>
  </r>
  <r>
    <n v="391"/>
    <n v="15685226"/>
    <s v="Morrison"/>
    <x v="2"/>
    <s v="Female"/>
    <n v="712"/>
    <n v="29"/>
    <n v="7"/>
    <n v="147199.07"/>
    <n v="1"/>
    <n v="1"/>
    <n v="1"/>
    <n v="84932.4"/>
    <x v="1"/>
    <x v="2"/>
    <x v="1"/>
    <s v="High Salary"/>
  </r>
  <r>
    <n v="392"/>
    <n v="15785611"/>
    <s v="Onyeoruru"/>
    <x v="2"/>
    <s v="Male"/>
    <n v="752"/>
    <n v="38"/>
    <n v="3"/>
    <n v="183102.29"/>
    <n v="1"/>
    <n v="1"/>
    <n v="1"/>
    <n v="71557.119999999995"/>
    <x v="1"/>
    <x v="2"/>
    <x v="0"/>
    <s v="High Salary"/>
  </r>
  <r>
    <n v="393"/>
    <n v="15573456"/>
    <s v="Cunningham"/>
    <x v="1"/>
    <s v="Male"/>
    <n v="648"/>
    <n v="46"/>
    <n v="9"/>
    <n v="127209"/>
    <n v="2"/>
    <n v="1"/>
    <n v="0"/>
    <n v="77405.95"/>
    <x v="0"/>
    <x v="0"/>
    <x v="0"/>
    <s v="High Salary"/>
  </r>
  <r>
    <n v="394"/>
    <n v="15684548"/>
    <s v="Demidov"/>
    <x v="1"/>
    <s v="Male"/>
    <n v="556"/>
    <n v="38"/>
    <n v="8"/>
    <n v="0"/>
    <n v="2"/>
    <n v="0"/>
    <n v="0"/>
    <n v="417.41"/>
    <x v="0"/>
    <x v="1"/>
    <x v="0"/>
    <s v="Low Salary"/>
  </r>
  <r>
    <n v="395"/>
    <n v="15620505"/>
    <s v="Celis"/>
    <x v="1"/>
    <s v="Female"/>
    <n v="594"/>
    <n v="24"/>
    <n v="0"/>
    <n v="97378.54"/>
    <n v="1"/>
    <n v="1"/>
    <n v="1"/>
    <n v="71405.17"/>
    <x v="1"/>
    <x v="0"/>
    <x v="1"/>
    <s v="High Salary"/>
  </r>
  <r>
    <n v="396"/>
    <n v="15807432"/>
    <s v="Cheng"/>
    <x v="2"/>
    <s v="Female"/>
    <n v="645"/>
    <n v="37"/>
    <n v="2"/>
    <n v="136925.09"/>
    <n v="2"/>
    <n v="0"/>
    <n v="1"/>
    <n v="153400.24"/>
    <x v="1"/>
    <x v="0"/>
    <x v="0"/>
    <s v="High Salary"/>
  </r>
  <r>
    <n v="397"/>
    <n v="15584766"/>
    <s v="Knight"/>
    <x v="0"/>
    <s v="Male"/>
    <n v="557"/>
    <n v="33"/>
    <n v="3"/>
    <n v="54503.55"/>
    <n v="1"/>
    <n v="1"/>
    <n v="1"/>
    <n v="371.05"/>
    <x v="1"/>
    <x v="1"/>
    <x v="0"/>
    <s v="Low Salary"/>
  </r>
  <r>
    <n v="398"/>
    <n v="15612187"/>
    <s v="Morin"/>
    <x v="2"/>
    <s v="Male"/>
    <n v="547"/>
    <n v="32"/>
    <n v="8"/>
    <n v="155726.85"/>
    <n v="1"/>
    <n v="1"/>
    <n v="0"/>
    <n v="67789.990000000005"/>
    <x v="1"/>
    <x v="1"/>
    <x v="0"/>
    <s v="Medium Salary"/>
  </r>
  <r>
    <n v="399"/>
    <n v="15762218"/>
    <s v="Mills"/>
    <x v="0"/>
    <s v="Female"/>
    <n v="701"/>
    <n v="39"/>
    <n v="9"/>
    <n v="0"/>
    <n v="2"/>
    <n v="0"/>
    <n v="1"/>
    <n v="145894.9"/>
    <x v="1"/>
    <x v="2"/>
    <x v="0"/>
    <s v="High Salary"/>
  </r>
  <r>
    <n v="400"/>
    <n v="15646372"/>
    <s v="Outhwaite"/>
    <x v="0"/>
    <s v="Female"/>
    <n v="616"/>
    <n v="66"/>
    <n v="1"/>
    <n v="135842.41"/>
    <n v="1"/>
    <n v="1"/>
    <n v="0"/>
    <n v="183840.51"/>
    <x v="0"/>
    <x v="0"/>
    <x v="2"/>
    <s v="High Salary"/>
  </r>
  <r>
    <n v="401"/>
    <n v="15690452"/>
    <s v="Tung"/>
    <x v="0"/>
    <s v="Male"/>
    <n v="605"/>
    <n v="52"/>
    <n v="1"/>
    <n v="63349.75"/>
    <n v="1"/>
    <n v="1"/>
    <n v="0"/>
    <n v="108887.44"/>
    <x v="1"/>
    <x v="0"/>
    <x v="2"/>
    <s v="High Salary"/>
  </r>
  <r>
    <n v="402"/>
    <n v="15747795"/>
    <s v="Pai"/>
    <x v="2"/>
    <s v="Female"/>
    <n v="593"/>
    <n v="38"/>
    <n v="4"/>
    <n v="129499.42"/>
    <n v="1"/>
    <n v="1"/>
    <n v="1"/>
    <n v="154071.26999999999"/>
    <x v="1"/>
    <x v="0"/>
    <x v="0"/>
    <s v="High Salary"/>
  </r>
  <r>
    <n v="403"/>
    <n v="15781589"/>
    <s v="Carpenter"/>
    <x v="1"/>
    <s v="Male"/>
    <n v="751"/>
    <n v="52"/>
    <n v="8"/>
    <n v="0"/>
    <n v="2"/>
    <n v="0"/>
    <n v="1"/>
    <n v="179291.85"/>
    <x v="1"/>
    <x v="2"/>
    <x v="2"/>
    <s v="High Salary"/>
  </r>
  <r>
    <n v="404"/>
    <n v="15732674"/>
    <s v="Fennell"/>
    <x v="1"/>
    <s v="Male"/>
    <n v="443"/>
    <n v="36"/>
    <n v="6"/>
    <n v="70438.009999999995"/>
    <n v="2"/>
    <n v="0"/>
    <n v="1"/>
    <n v="56937.43"/>
    <x v="1"/>
    <x v="1"/>
    <x v="0"/>
    <s v="Medium Salary"/>
  </r>
  <r>
    <n v="405"/>
    <n v="15642291"/>
    <s v="Fontaine"/>
    <x v="0"/>
    <s v="Male"/>
    <n v="685"/>
    <n v="23"/>
    <n v="8"/>
    <n v="0"/>
    <n v="2"/>
    <n v="1"/>
    <n v="1"/>
    <n v="112239.03"/>
    <x v="1"/>
    <x v="2"/>
    <x v="1"/>
    <s v="High Salary"/>
  </r>
  <r>
    <n v="406"/>
    <n v="15692761"/>
    <s v="Pratt"/>
    <x v="0"/>
    <s v="Male"/>
    <n v="718"/>
    <n v="36"/>
    <n v="9"/>
    <n v="0"/>
    <n v="1"/>
    <n v="1"/>
    <n v="0"/>
    <n v="45909.87"/>
    <x v="1"/>
    <x v="2"/>
    <x v="0"/>
    <s v="Medium Salary"/>
  </r>
  <r>
    <n v="407"/>
    <n v="15578045"/>
    <s v="Mitchell"/>
    <x v="1"/>
    <s v="Female"/>
    <n v="538"/>
    <n v="49"/>
    <n v="9"/>
    <n v="141434.04"/>
    <n v="1"/>
    <n v="0"/>
    <n v="0"/>
    <n v="173779.25"/>
    <x v="0"/>
    <x v="1"/>
    <x v="0"/>
    <s v="High Salary"/>
  </r>
  <r>
    <n v="408"/>
    <n v="15745354"/>
    <s v="Franklin"/>
    <x v="1"/>
    <s v="Female"/>
    <n v="611"/>
    <n v="37"/>
    <n v="4"/>
    <n v="0"/>
    <n v="2"/>
    <n v="1"/>
    <n v="0"/>
    <n v="125696.26"/>
    <x v="1"/>
    <x v="0"/>
    <x v="0"/>
    <s v="High Salary"/>
  </r>
  <r>
    <n v="409"/>
    <n v="15701376"/>
    <s v="K'ung"/>
    <x v="2"/>
    <s v="Male"/>
    <n v="668"/>
    <n v="37"/>
    <n v="10"/>
    <n v="152958.29"/>
    <n v="2"/>
    <n v="1"/>
    <n v="1"/>
    <n v="159585.60999999999"/>
    <x v="1"/>
    <x v="0"/>
    <x v="0"/>
    <s v="High Salary"/>
  </r>
  <r>
    <n v="410"/>
    <n v="15691625"/>
    <s v="Ko"/>
    <x v="2"/>
    <s v="Female"/>
    <n v="537"/>
    <n v="41"/>
    <n v="3"/>
    <n v="138306.34"/>
    <n v="1"/>
    <n v="1"/>
    <n v="0"/>
    <n v="106761.47"/>
    <x v="1"/>
    <x v="1"/>
    <x v="0"/>
    <s v="High Salary"/>
  </r>
  <r>
    <n v="411"/>
    <n v="15566594"/>
    <s v="McKenzie"/>
    <x v="1"/>
    <s v="Male"/>
    <n v="709"/>
    <n v="23"/>
    <n v="10"/>
    <n v="0"/>
    <n v="2"/>
    <n v="0"/>
    <n v="0"/>
    <n v="129590.18"/>
    <x v="1"/>
    <x v="2"/>
    <x v="1"/>
    <s v="High Salary"/>
  </r>
  <r>
    <n v="412"/>
    <n v="15760431"/>
    <s v="Pino"/>
    <x v="0"/>
    <s v="Male"/>
    <n v="850"/>
    <n v="38"/>
    <n v="1"/>
    <n v="0"/>
    <n v="2"/>
    <n v="1"/>
    <n v="1"/>
    <n v="80006.649999999994"/>
    <x v="1"/>
    <x v="2"/>
    <x v="0"/>
    <s v="High Salary"/>
  </r>
  <r>
    <n v="413"/>
    <n v="15686302"/>
    <s v="Fisk"/>
    <x v="1"/>
    <s v="Female"/>
    <n v="745"/>
    <n v="31"/>
    <n v="3"/>
    <n v="124328.84"/>
    <n v="1"/>
    <n v="1"/>
    <n v="1"/>
    <n v="140451.51999999999"/>
    <x v="1"/>
    <x v="2"/>
    <x v="0"/>
    <s v="High Salary"/>
  </r>
  <r>
    <n v="414"/>
    <n v="15801559"/>
    <s v="Chiang"/>
    <x v="2"/>
    <s v="Female"/>
    <n v="693"/>
    <n v="41"/>
    <n v="9"/>
    <n v="181461.48"/>
    <n v="3"/>
    <n v="1"/>
    <n v="1"/>
    <n v="187929.43"/>
    <x v="0"/>
    <x v="2"/>
    <x v="0"/>
    <s v="High Salary"/>
  </r>
  <r>
    <n v="415"/>
    <n v="15810432"/>
    <s v="Moseley"/>
    <x v="1"/>
    <s v="Male"/>
    <n v="795"/>
    <n v="35"/>
    <n v="8"/>
    <n v="0"/>
    <n v="2"/>
    <n v="1"/>
    <n v="0"/>
    <n v="167155.35999999999"/>
    <x v="1"/>
    <x v="2"/>
    <x v="0"/>
    <s v="High Salary"/>
  </r>
  <r>
    <n v="416"/>
    <n v="15809616"/>
    <s v="Hsiung"/>
    <x v="1"/>
    <s v="Male"/>
    <n v="626"/>
    <n v="26"/>
    <n v="8"/>
    <n v="0"/>
    <n v="2"/>
    <n v="0"/>
    <n v="0"/>
    <n v="191420.71"/>
    <x v="1"/>
    <x v="0"/>
    <x v="1"/>
    <s v="High Salary"/>
  </r>
  <r>
    <n v="417"/>
    <n v="15720559"/>
    <s v="Heath"/>
    <x v="2"/>
    <s v="Female"/>
    <n v="487"/>
    <n v="61"/>
    <n v="5"/>
    <n v="110368.03"/>
    <n v="1"/>
    <n v="0"/>
    <n v="0"/>
    <n v="11384.45"/>
    <x v="0"/>
    <x v="1"/>
    <x v="2"/>
    <s v="Low Salary"/>
  </r>
  <r>
    <n v="418"/>
    <n v="15695632"/>
    <s v="Dellucci"/>
    <x v="0"/>
    <s v="Female"/>
    <n v="556"/>
    <n v="39"/>
    <n v="9"/>
    <n v="89588.35"/>
    <n v="1"/>
    <n v="1"/>
    <n v="1"/>
    <n v="94898.1"/>
    <x v="1"/>
    <x v="1"/>
    <x v="0"/>
    <s v="High Salary"/>
  </r>
  <r>
    <n v="419"/>
    <n v="15659843"/>
    <s v="Li"/>
    <x v="0"/>
    <s v="Female"/>
    <n v="643"/>
    <n v="46"/>
    <n v="6"/>
    <n v="0"/>
    <n v="2"/>
    <n v="0"/>
    <n v="0"/>
    <n v="106781.59"/>
    <x v="1"/>
    <x v="0"/>
    <x v="0"/>
    <s v="High Salary"/>
  </r>
  <r>
    <n v="420"/>
    <n v="15615624"/>
    <s v="De Salis"/>
    <x v="0"/>
    <s v="Female"/>
    <n v="605"/>
    <n v="28"/>
    <n v="6"/>
    <n v="0"/>
    <n v="2"/>
    <n v="0"/>
    <n v="0"/>
    <n v="159508.51999999999"/>
    <x v="1"/>
    <x v="0"/>
    <x v="1"/>
    <s v="High Salary"/>
  </r>
  <r>
    <n v="421"/>
    <n v="15810418"/>
    <s v="T'ang"/>
    <x v="2"/>
    <s v="Female"/>
    <n v="756"/>
    <n v="60"/>
    <n v="3"/>
    <n v="115924.89"/>
    <n v="1"/>
    <n v="1"/>
    <n v="0"/>
    <n v="93524.19"/>
    <x v="0"/>
    <x v="2"/>
    <x v="2"/>
    <s v="High Salary"/>
  </r>
  <r>
    <n v="422"/>
    <n v="15716186"/>
    <s v="Richardson"/>
    <x v="0"/>
    <s v="Female"/>
    <n v="586"/>
    <n v="38"/>
    <n v="2"/>
    <n v="0"/>
    <n v="2"/>
    <n v="1"/>
    <n v="0"/>
    <n v="87168.46"/>
    <x v="1"/>
    <x v="0"/>
    <x v="0"/>
    <s v="High Salary"/>
  </r>
  <r>
    <n v="423"/>
    <n v="15674551"/>
    <s v="Fitch"/>
    <x v="2"/>
    <s v="Male"/>
    <n v="535"/>
    <n v="40"/>
    <n v="7"/>
    <n v="111756.5"/>
    <n v="1"/>
    <n v="1"/>
    <n v="0"/>
    <n v="8128.32"/>
    <x v="0"/>
    <x v="1"/>
    <x v="0"/>
    <s v="Low Salary"/>
  </r>
  <r>
    <n v="424"/>
    <n v="15622834"/>
    <s v="Stevenson"/>
    <x v="0"/>
    <s v="Female"/>
    <n v="678"/>
    <n v="35"/>
    <n v="4"/>
    <n v="0"/>
    <n v="1"/>
    <n v="1"/>
    <n v="0"/>
    <n v="125518.32"/>
    <x v="1"/>
    <x v="2"/>
    <x v="0"/>
    <s v="High Salary"/>
  </r>
  <r>
    <n v="425"/>
    <n v="15566111"/>
    <s v="Estes"/>
    <x v="0"/>
    <s v="Male"/>
    <n v="596"/>
    <n v="39"/>
    <n v="9"/>
    <n v="0"/>
    <n v="1"/>
    <n v="1"/>
    <n v="0"/>
    <n v="48963.59"/>
    <x v="1"/>
    <x v="0"/>
    <x v="0"/>
    <s v="Medium Salary"/>
  </r>
  <r>
    <n v="426"/>
    <n v="15784597"/>
    <s v="Lattimore"/>
    <x v="0"/>
    <s v="Male"/>
    <n v="648"/>
    <n v="26"/>
    <n v="9"/>
    <n v="162923.85"/>
    <n v="1"/>
    <n v="1"/>
    <n v="0"/>
    <n v="98368.24"/>
    <x v="1"/>
    <x v="0"/>
    <x v="1"/>
    <s v="High Salary"/>
  </r>
  <r>
    <n v="427"/>
    <n v="15652883"/>
    <s v="Chung"/>
    <x v="2"/>
    <s v="Male"/>
    <n v="492"/>
    <n v="39"/>
    <n v="10"/>
    <n v="124576.65"/>
    <n v="2"/>
    <n v="1"/>
    <n v="0"/>
    <n v="148584.60999999999"/>
    <x v="1"/>
    <x v="1"/>
    <x v="0"/>
    <s v="High Salary"/>
  </r>
  <r>
    <n v="428"/>
    <n v="15806964"/>
    <s v="Utz"/>
    <x v="0"/>
    <s v="Male"/>
    <n v="702"/>
    <n v="45"/>
    <n v="0"/>
    <n v="80793.58"/>
    <n v="1"/>
    <n v="1"/>
    <n v="1"/>
    <n v="27474.81"/>
    <x v="1"/>
    <x v="2"/>
    <x v="0"/>
    <s v="Low Salary"/>
  </r>
  <r>
    <n v="429"/>
    <n v="15576313"/>
    <s v="Wei"/>
    <x v="2"/>
    <s v="Female"/>
    <n v="486"/>
    <n v="40"/>
    <n v="9"/>
    <n v="71340.09"/>
    <n v="1"/>
    <n v="1"/>
    <n v="0"/>
    <n v="76192.210000000006"/>
    <x v="1"/>
    <x v="1"/>
    <x v="0"/>
    <s v="High Salary"/>
  </r>
  <r>
    <n v="430"/>
    <n v="15806467"/>
    <s v="Boyle"/>
    <x v="2"/>
    <s v="Male"/>
    <n v="568"/>
    <n v="40"/>
    <n v="1"/>
    <n v="99282.63"/>
    <n v="1"/>
    <n v="0"/>
    <n v="0"/>
    <n v="134600.94"/>
    <x v="0"/>
    <x v="1"/>
    <x v="0"/>
    <s v="High Salary"/>
  </r>
  <r>
    <n v="431"/>
    <n v="15597602"/>
    <s v="Nwachinemelu"/>
    <x v="2"/>
    <s v="Male"/>
    <n v="619"/>
    <n v="57"/>
    <n v="3"/>
    <n v="137946.39000000001"/>
    <n v="1"/>
    <n v="1"/>
    <n v="1"/>
    <n v="72467.990000000005"/>
    <x v="0"/>
    <x v="0"/>
    <x v="2"/>
    <s v="High Salary"/>
  </r>
  <r>
    <n v="432"/>
    <n v="15743040"/>
    <s v="Kuznetsova"/>
    <x v="2"/>
    <s v="Male"/>
    <n v="724"/>
    <n v="41"/>
    <n v="2"/>
    <n v="127892.57"/>
    <n v="2"/>
    <n v="0"/>
    <n v="1"/>
    <n v="199645.45"/>
    <x v="1"/>
    <x v="2"/>
    <x v="0"/>
    <s v="High Salary"/>
  </r>
  <r>
    <n v="433"/>
    <n v="15705521"/>
    <s v="Pisani"/>
    <x v="2"/>
    <s v="Female"/>
    <n v="548"/>
    <n v="33"/>
    <n v="0"/>
    <n v="101084.36"/>
    <n v="1"/>
    <n v="1"/>
    <n v="0"/>
    <n v="42749.85"/>
    <x v="1"/>
    <x v="1"/>
    <x v="0"/>
    <s v="Medium Salary"/>
  </r>
  <r>
    <n v="434"/>
    <n v="15595039"/>
    <s v="Manna"/>
    <x v="2"/>
    <s v="Female"/>
    <n v="545"/>
    <n v="37"/>
    <n v="8"/>
    <n v="114754.08"/>
    <n v="1"/>
    <n v="1"/>
    <n v="0"/>
    <n v="136050.44"/>
    <x v="0"/>
    <x v="1"/>
    <x v="0"/>
    <s v="High Salary"/>
  </r>
  <r>
    <n v="435"/>
    <n v="15799384"/>
    <s v="Collier"/>
    <x v="0"/>
    <s v="Male"/>
    <n v="683"/>
    <n v="33"/>
    <n v="8"/>
    <n v="0"/>
    <n v="1"/>
    <n v="0"/>
    <n v="0"/>
    <n v="73564.44"/>
    <x v="1"/>
    <x v="2"/>
    <x v="0"/>
    <s v="High Salary"/>
  </r>
  <r>
    <n v="436"/>
    <n v="15581197"/>
    <s v="Ricci"/>
    <x v="0"/>
    <s v="Female"/>
    <n v="762"/>
    <n v="51"/>
    <n v="3"/>
    <n v="99286.98"/>
    <n v="1"/>
    <n v="0"/>
    <n v="1"/>
    <n v="85578.63"/>
    <x v="1"/>
    <x v="2"/>
    <x v="2"/>
    <s v="High Salary"/>
  </r>
  <r>
    <n v="437"/>
    <n v="15693737"/>
    <s v="Carr"/>
    <x v="2"/>
    <s v="Female"/>
    <n v="627"/>
    <n v="30"/>
    <n v="4"/>
    <n v="79871.02"/>
    <n v="2"/>
    <n v="1"/>
    <n v="0"/>
    <n v="129826.89"/>
    <x v="1"/>
    <x v="0"/>
    <x v="1"/>
    <s v="High Salary"/>
  </r>
  <r>
    <n v="438"/>
    <n v="15624623"/>
    <s v="Hs?"/>
    <x v="0"/>
    <s v="Male"/>
    <n v="516"/>
    <n v="35"/>
    <n v="10"/>
    <n v="104088.59"/>
    <n v="2"/>
    <n v="0"/>
    <n v="0"/>
    <n v="119666"/>
    <x v="1"/>
    <x v="1"/>
    <x v="0"/>
    <s v="High Salary"/>
  </r>
  <r>
    <n v="439"/>
    <n v="15783501"/>
    <s v="Findlay"/>
    <x v="0"/>
    <s v="Female"/>
    <n v="800"/>
    <n v="38"/>
    <n v="2"/>
    <n v="168190.33"/>
    <n v="2"/>
    <n v="1"/>
    <n v="0"/>
    <n v="68052.08"/>
    <x v="1"/>
    <x v="2"/>
    <x v="0"/>
    <s v="Medium Salary"/>
  </r>
  <r>
    <n v="440"/>
    <n v="15690134"/>
    <s v="Hughes"/>
    <x v="2"/>
    <s v="Female"/>
    <n v="464"/>
    <n v="42"/>
    <n v="3"/>
    <n v="85679.25"/>
    <n v="1"/>
    <n v="1"/>
    <n v="1"/>
    <n v="164104.74"/>
    <x v="1"/>
    <x v="1"/>
    <x v="0"/>
    <s v="High Salary"/>
  </r>
  <r>
    <n v="441"/>
    <n v="15782735"/>
    <s v="Chukwuemeka"/>
    <x v="0"/>
    <s v="Female"/>
    <n v="626"/>
    <n v="35"/>
    <n v="3"/>
    <n v="0"/>
    <n v="1"/>
    <n v="0"/>
    <n v="0"/>
    <n v="80190.36"/>
    <x v="1"/>
    <x v="0"/>
    <x v="0"/>
    <s v="High Salary"/>
  </r>
  <r>
    <n v="442"/>
    <n v="15611088"/>
    <s v="Genovese"/>
    <x v="0"/>
    <s v="Female"/>
    <n v="790"/>
    <n v="31"/>
    <n v="9"/>
    <n v="0"/>
    <n v="2"/>
    <n v="1"/>
    <n v="0"/>
    <n v="84126.75"/>
    <x v="1"/>
    <x v="2"/>
    <x v="0"/>
    <s v="High Salary"/>
  </r>
  <r>
    <n v="443"/>
    <n v="15672145"/>
    <s v="Swift"/>
    <x v="0"/>
    <s v="Female"/>
    <n v="534"/>
    <n v="34"/>
    <n v="7"/>
    <n v="121551.58"/>
    <n v="2"/>
    <n v="1"/>
    <n v="1"/>
    <n v="70179"/>
    <x v="1"/>
    <x v="1"/>
    <x v="0"/>
    <s v="High Salary"/>
  </r>
  <r>
    <n v="444"/>
    <n v="15732628"/>
    <s v="Ugoji"/>
    <x v="0"/>
    <s v="Male"/>
    <n v="745"/>
    <n v="46"/>
    <n v="2"/>
    <n v="122220.19"/>
    <n v="1"/>
    <n v="1"/>
    <n v="1"/>
    <n v="118024.1"/>
    <x v="1"/>
    <x v="2"/>
    <x v="0"/>
    <s v="High Salary"/>
  </r>
  <r>
    <n v="445"/>
    <n v="15787470"/>
    <s v="Parkinson"/>
    <x v="1"/>
    <s v="Male"/>
    <n v="553"/>
    <n v="47"/>
    <n v="3"/>
    <n v="116528.15"/>
    <n v="1"/>
    <n v="0"/>
    <n v="0"/>
    <n v="145704.19"/>
    <x v="0"/>
    <x v="1"/>
    <x v="0"/>
    <s v="High Salary"/>
  </r>
  <r>
    <n v="446"/>
    <n v="15803406"/>
    <s v="Ross"/>
    <x v="0"/>
    <s v="Female"/>
    <n v="748"/>
    <n v="26"/>
    <n v="1"/>
    <n v="77780.289999999994"/>
    <n v="1"/>
    <n v="0"/>
    <n v="1"/>
    <n v="183049.41"/>
    <x v="1"/>
    <x v="2"/>
    <x v="1"/>
    <s v="High Salary"/>
  </r>
  <r>
    <n v="447"/>
    <n v="15730460"/>
    <s v="Oleary"/>
    <x v="0"/>
    <s v="Male"/>
    <n v="722"/>
    <n v="37"/>
    <n v="2"/>
    <n v="0"/>
    <n v="1"/>
    <n v="0"/>
    <n v="0"/>
    <n v="120906.83"/>
    <x v="1"/>
    <x v="2"/>
    <x v="0"/>
    <s v="High Salary"/>
  </r>
  <r>
    <n v="448"/>
    <n v="15644572"/>
    <s v="Turnbull"/>
    <x v="0"/>
    <s v="Male"/>
    <n v="501"/>
    <n v="40"/>
    <n v="4"/>
    <n v="125832.2"/>
    <n v="1"/>
    <n v="1"/>
    <n v="1"/>
    <n v="100433.83"/>
    <x v="1"/>
    <x v="1"/>
    <x v="0"/>
    <s v="High Salary"/>
  </r>
  <r>
    <n v="449"/>
    <n v="15694860"/>
    <s v="Uspensky"/>
    <x v="0"/>
    <s v="Female"/>
    <n v="675"/>
    <n v="38"/>
    <n v="6"/>
    <n v="68065.8"/>
    <n v="1"/>
    <n v="0"/>
    <n v="0"/>
    <n v="138777"/>
    <x v="0"/>
    <x v="2"/>
    <x v="0"/>
    <s v="High Salary"/>
  </r>
  <r>
    <n v="450"/>
    <n v="15658169"/>
    <s v="Cook"/>
    <x v="1"/>
    <s v="Female"/>
    <n v="778"/>
    <n v="47"/>
    <n v="6"/>
    <n v="127299.34"/>
    <n v="2"/>
    <n v="1"/>
    <n v="0"/>
    <n v="124694.99"/>
    <x v="1"/>
    <x v="2"/>
    <x v="0"/>
    <s v="High Salary"/>
  </r>
  <r>
    <n v="451"/>
    <n v="15794396"/>
    <s v="Newbold"/>
    <x v="2"/>
    <s v="Female"/>
    <n v="494"/>
    <n v="38"/>
    <n v="7"/>
    <n v="174937.64"/>
    <n v="1"/>
    <n v="1"/>
    <n v="0"/>
    <n v="40084.32"/>
    <x v="1"/>
    <x v="1"/>
    <x v="0"/>
    <s v="Medium Salary"/>
  </r>
  <r>
    <n v="452"/>
    <n v="15785798"/>
    <s v="Uchechukwu"/>
    <x v="0"/>
    <s v="Male"/>
    <n v="850"/>
    <n v="40"/>
    <n v="9"/>
    <n v="0"/>
    <n v="2"/>
    <n v="0"/>
    <n v="1"/>
    <n v="119232.33"/>
    <x v="1"/>
    <x v="2"/>
    <x v="0"/>
    <s v="High Salary"/>
  </r>
  <r>
    <n v="453"/>
    <n v="15710825"/>
    <s v="Ch'en"/>
    <x v="1"/>
    <s v="Male"/>
    <n v="592"/>
    <n v="31"/>
    <n v="7"/>
    <n v="110071.1"/>
    <n v="1"/>
    <n v="0"/>
    <n v="0"/>
    <n v="43921.36"/>
    <x v="1"/>
    <x v="0"/>
    <x v="0"/>
    <s v="Medium Salary"/>
  </r>
  <r>
    <n v="454"/>
    <n v="15668444"/>
    <s v="He"/>
    <x v="1"/>
    <s v="Female"/>
    <n v="590"/>
    <n v="44"/>
    <n v="3"/>
    <n v="139432.37"/>
    <n v="1"/>
    <n v="1"/>
    <n v="0"/>
    <n v="62222.81"/>
    <x v="1"/>
    <x v="0"/>
    <x v="0"/>
    <s v="Medium Salary"/>
  </r>
  <r>
    <n v="455"/>
    <n v="15726631"/>
    <s v="Hilton"/>
    <x v="0"/>
    <s v="Female"/>
    <n v="758"/>
    <n v="39"/>
    <n v="6"/>
    <n v="127357.75999999999"/>
    <n v="1"/>
    <n v="0"/>
    <n v="1"/>
    <n v="56577"/>
    <x v="1"/>
    <x v="2"/>
    <x v="0"/>
    <s v="Medium Salary"/>
  </r>
  <r>
    <n v="456"/>
    <n v="15733797"/>
    <s v="Sal"/>
    <x v="0"/>
    <s v="Male"/>
    <n v="506"/>
    <n v="36"/>
    <n v="5"/>
    <n v="0"/>
    <n v="2"/>
    <n v="1"/>
    <n v="0"/>
    <n v="164253.35"/>
    <x v="1"/>
    <x v="1"/>
    <x v="0"/>
    <s v="High Salary"/>
  </r>
  <r>
    <n v="457"/>
    <n v="15747960"/>
    <s v="Eluemuno"/>
    <x v="0"/>
    <s v="Male"/>
    <n v="733"/>
    <n v="33"/>
    <n v="3"/>
    <n v="0"/>
    <n v="1"/>
    <n v="1"/>
    <n v="1"/>
    <n v="7666.73"/>
    <x v="1"/>
    <x v="2"/>
    <x v="0"/>
    <s v="Low Salary"/>
  </r>
  <r>
    <n v="458"/>
    <n v="15634632"/>
    <s v="Titus"/>
    <x v="0"/>
    <s v="Male"/>
    <n v="711"/>
    <n v="38"/>
    <n v="3"/>
    <n v="0"/>
    <n v="2"/>
    <n v="1"/>
    <n v="0"/>
    <n v="68487.509999999995"/>
    <x v="1"/>
    <x v="2"/>
    <x v="0"/>
    <s v="Medium Salary"/>
  </r>
  <r>
    <n v="459"/>
    <n v="15707362"/>
    <s v="Yin"/>
    <x v="2"/>
    <s v="Male"/>
    <n v="514"/>
    <n v="43"/>
    <n v="1"/>
    <n v="95556.31"/>
    <n v="1"/>
    <n v="0"/>
    <n v="1"/>
    <n v="199273.98"/>
    <x v="0"/>
    <x v="1"/>
    <x v="0"/>
    <s v="High Salary"/>
  </r>
  <r>
    <n v="460"/>
    <n v="15662976"/>
    <s v="Lettiere"/>
    <x v="1"/>
    <s v="Male"/>
    <n v="637"/>
    <n v="37"/>
    <n v="8"/>
    <n v="0"/>
    <n v="1"/>
    <n v="1"/>
    <n v="1"/>
    <n v="186062.36"/>
    <x v="1"/>
    <x v="0"/>
    <x v="0"/>
    <s v="High Salary"/>
  </r>
  <r>
    <n v="461"/>
    <n v="15732778"/>
    <s v="Templeman"/>
    <x v="2"/>
    <s v="Male"/>
    <n v="468"/>
    <n v="29"/>
    <n v="1"/>
    <n v="111681.98"/>
    <n v="2"/>
    <n v="1"/>
    <n v="1"/>
    <n v="195711.16"/>
    <x v="1"/>
    <x v="1"/>
    <x v="1"/>
    <s v="High Salary"/>
  </r>
  <r>
    <n v="462"/>
    <n v="15718443"/>
    <s v="Chibuzo"/>
    <x v="0"/>
    <s v="Male"/>
    <n v="539"/>
    <n v="39"/>
    <n v="3"/>
    <n v="0"/>
    <n v="2"/>
    <n v="1"/>
    <n v="0"/>
    <n v="36692.17"/>
    <x v="1"/>
    <x v="1"/>
    <x v="0"/>
    <s v="Medium Salary"/>
  </r>
  <r>
    <n v="463"/>
    <n v="15670039"/>
    <s v="Sun"/>
    <x v="1"/>
    <s v="Female"/>
    <n v="509"/>
    <n v="25"/>
    <n v="3"/>
    <n v="108738.71"/>
    <n v="2"/>
    <n v="1"/>
    <n v="0"/>
    <n v="106920.57"/>
    <x v="1"/>
    <x v="1"/>
    <x v="1"/>
    <s v="High Salary"/>
  </r>
  <r>
    <n v="464"/>
    <n v="15773792"/>
    <s v="Evans"/>
    <x v="0"/>
    <s v="Female"/>
    <n v="662"/>
    <n v="32"/>
    <n v="4"/>
    <n v="133950.37"/>
    <n v="1"/>
    <n v="1"/>
    <n v="1"/>
    <n v="48725.68"/>
    <x v="0"/>
    <x v="0"/>
    <x v="0"/>
    <s v="Medium Salary"/>
  </r>
  <r>
    <n v="465"/>
    <n v="15613786"/>
    <s v="Ogbonnaya"/>
    <x v="1"/>
    <s v="Male"/>
    <n v="818"/>
    <n v="26"/>
    <n v="4"/>
    <n v="0"/>
    <n v="2"/>
    <n v="1"/>
    <n v="1"/>
    <n v="167036.94"/>
    <x v="1"/>
    <x v="2"/>
    <x v="1"/>
    <s v="High Salary"/>
  </r>
  <r>
    <n v="466"/>
    <n v="15726032"/>
    <s v="Enyinnaya"/>
    <x v="0"/>
    <s v="Male"/>
    <n v="608"/>
    <n v="33"/>
    <n v="9"/>
    <n v="89968.69"/>
    <n v="1"/>
    <n v="1"/>
    <n v="0"/>
    <n v="68777.259999999995"/>
    <x v="1"/>
    <x v="0"/>
    <x v="0"/>
    <s v="Medium Salary"/>
  </r>
  <r>
    <n v="467"/>
    <n v="15663252"/>
    <s v="Olisanugo"/>
    <x v="1"/>
    <s v="Female"/>
    <n v="850"/>
    <n v="32"/>
    <n v="9"/>
    <n v="0"/>
    <n v="2"/>
    <n v="1"/>
    <n v="1"/>
    <n v="18924.919999999998"/>
    <x v="1"/>
    <x v="2"/>
    <x v="0"/>
    <s v="Low Salary"/>
  </r>
  <r>
    <n v="468"/>
    <n v="15593782"/>
    <s v="Brookes"/>
    <x v="2"/>
    <s v="Female"/>
    <n v="816"/>
    <n v="38"/>
    <n v="5"/>
    <n v="130878.75"/>
    <n v="3"/>
    <n v="1"/>
    <n v="0"/>
    <n v="71905.77"/>
    <x v="0"/>
    <x v="2"/>
    <x v="0"/>
    <s v="High Salary"/>
  </r>
  <r>
    <n v="469"/>
    <n v="15633283"/>
    <s v="Padovano"/>
    <x v="0"/>
    <s v="Male"/>
    <n v="536"/>
    <n v="35"/>
    <n v="8"/>
    <n v="0"/>
    <n v="2"/>
    <n v="1"/>
    <n v="0"/>
    <n v="64833.279999999999"/>
    <x v="1"/>
    <x v="1"/>
    <x v="0"/>
    <s v="Medium Salary"/>
  </r>
  <r>
    <n v="470"/>
    <n v="15749167"/>
    <s v="Fisk"/>
    <x v="0"/>
    <s v="Male"/>
    <n v="753"/>
    <n v="35"/>
    <n v="3"/>
    <n v="0"/>
    <n v="2"/>
    <n v="1"/>
    <n v="1"/>
    <n v="184843.77"/>
    <x v="1"/>
    <x v="2"/>
    <x v="0"/>
    <s v="High Salary"/>
  </r>
  <r>
    <n v="471"/>
    <n v="15759298"/>
    <s v="Shih"/>
    <x v="1"/>
    <s v="Male"/>
    <n v="631"/>
    <n v="27"/>
    <n v="10"/>
    <n v="134169.62"/>
    <n v="1"/>
    <n v="1"/>
    <n v="1"/>
    <n v="176730.02"/>
    <x v="1"/>
    <x v="0"/>
    <x v="1"/>
    <s v="High Salary"/>
  </r>
  <r>
    <n v="472"/>
    <n v="15683625"/>
    <s v="Hare"/>
    <x v="0"/>
    <s v="Male"/>
    <n v="703"/>
    <n v="37"/>
    <n v="1"/>
    <n v="149762.07999999999"/>
    <n v="1"/>
    <n v="1"/>
    <n v="0"/>
    <n v="20629.400000000001"/>
    <x v="0"/>
    <x v="2"/>
    <x v="0"/>
    <s v="Low Salary"/>
  </r>
  <r>
    <n v="473"/>
    <n v="15635367"/>
    <s v="Muir"/>
    <x v="0"/>
    <s v="Male"/>
    <n v="774"/>
    <n v="26"/>
    <n v="2"/>
    <n v="93844.69"/>
    <n v="1"/>
    <n v="1"/>
    <n v="0"/>
    <n v="28415.360000000001"/>
    <x v="1"/>
    <x v="2"/>
    <x v="1"/>
    <s v="Low Salary"/>
  </r>
  <r>
    <n v="474"/>
    <n v="15681705"/>
    <s v="Fanucci"/>
    <x v="0"/>
    <s v="Male"/>
    <n v="785"/>
    <n v="28"/>
    <n v="8"/>
    <n v="0"/>
    <n v="2"/>
    <n v="1"/>
    <n v="0"/>
    <n v="77231.27"/>
    <x v="1"/>
    <x v="2"/>
    <x v="1"/>
    <s v="High Salary"/>
  </r>
  <r>
    <n v="475"/>
    <n v="15603156"/>
    <s v="Elewechi"/>
    <x v="0"/>
    <s v="Female"/>
    <n v="571"/>
    <n v="33"/>
    <n v="1"/>
    <n v="0"/>
    <n v="2"/>
    <n v="1"/>
    <n v="0"/>
    <n v="102750.7"/>
    <x v="1"/>
    <x v="1"/>
    <x v="0"/>
    <s v="High Salary"/>
  </r>
  <r>
    <n v="476"/>
    <n v="15591986"/>
    <s v="Johnston"/>
    <x v="2"/>
    <s v="Male"/>
    <n v="621"/>
    <n v="46"/>
    <n v="6"/>
    <n v="141078.37"/>
    <n v="1"/>
    <n v="0"/>
    <n v="0"/>
    <n v="34580.800000000003"/>
    <x v="0"/>
    <x v="0"/>
    <x v="0"/>
    <s v="Medium Salary"/>
  </r>
  <r>
    <n v="477"/>
    <n v="15798888"/>
    <s v="Pisano"/>
    <x v="2"/>
    <s v="Female"/>
    <n v="605"/>
    <n v="31"/>
    <n v="1"/>
    <n v="117992.59"/>
    <n v="1"/>
    <n v="1"/>
    <n v="1"/>
    <n v="183598.77"/>
    <x v="1"/>
    <x v="0"/>
    <x v="0"/>
    <s v="High Salary"/>
  </r>
  <r>
    <n v="478"/>
    <n v="15809722"/>
    <s v="Ankudinov"/>
    <x v="0"/>
    <s v="Female"/>
    <n v="611"/>
    <n v="40"/>
    <n v="8"/>
    <n v="100812.33"/>
    <n v="2"/>
    <n v="1"/>
    <n v="0"/>
    <n v="147358.26999999999"/>
    <x v="1"/>
    <x v="0"/>
    <x v="0"/>
    <s v="High Salary"/>
  </r>
  <r>
    <n v="479"/>
    <n v="15677538"/>
    <s v="Nwokike"/>
    <x v="0"/>
    <s v="Male"/>
    <n v="569"/>
    <n v="38"/>
    <n v="7"/>
    <n v="0"/>
    <n v="1"/>
    <n v="1"/>
    <n v="1"/>
    <n v="108469.2"/>
    <x v="1"/>
    <x v="1"/>
    <x v="0"/>
    <s v="High Salary"/>
  </r>
  <r>
    <n v="480"/>
    <n v="15797736"/>
    <s v="Smith"/>
    <x v="0"/>
    <s v="Male"/>
    <n v="658"/>
    <n v="29"/>
    <n v="4"/>
    <n v="80262.600000000006"/>
    <n v="1"/>
    <n v="1"/>
    <n v="1"/>
    <n v="20612.82"/>
    <x v="1"/>
    <x v="0"/>
    <x v="1"/>
    <s v="Low Salary"/>
  </r>
  <r>
    <n v="481"/>
    <n v="15695585"/>
    <s v="Atkins"/>
    <x v="1"/>
    <s v="Male"/>
    <n v="788"/>
    <n v="34"/>
    <n v="6"/>
    <n v="156478.62"/>
    <n v="1"/>
    <n v="0"/>
    <n v="1"/>
    <n v="181196.76"/>
    <x v="1"/>
    <x v="2"/>
    <x v="0"/>
    <s v="High Salary"/>
  </r>
  <r>
    <n v="482"/>
    <n v="15744398"/>
    <s v="Burns"/>
    <x v="0"/>
    <s v="Female"/>
    <n v="525"/>
    <n v="23"/>
    <n v="5"/>
    <n v="0"/>
    <n v="2"/>
    <n v="1"/>
    <n v="0"/>
    <n v="160249.1"/>
    <x v="1"/>
    <x v="1"/>
    <x v="1"/>
    <s v="High Salary"/>
  </r>
  <r>
    <n v="483"/>
    <n v="15750658"/>
    <s v="Obiuto"/>
    <x v="0"/>
    <s v="Male"/>
    <n v="798"/>
    <n v="37"/>
    <n v="8"/>
    <n v="0"/>
    <n v="3"/>
    <n v="0"/>
    <n v="0"/>
    <n v="110783.28"/>
    <x v="1"/>
    <x v="2"/>
    <x v="0"/>
    <s v="High Salary"/>
  </r>
  <r>
    <n v="484"/>
    <n v="15578186"/>
    <s v="Pirozzi"/>
    <x v="2"/>
    <s v="Male"/>
    <n v="486"/>
    <n v="37"/>
    <n v="9"/>
    <n v="115217.99"/>
    <n v="2"/>
    <n v="1"/>
    <n v="0"/>
    <n v="144995.32999999999"/>
    <x v="1"/>
    <x v="1"/>
    <x v="0"/>
    <s v="High Salary"/>
  </r>
  <r>
    <n v="485"/>
    <n v="15676519"/>
    <s v="George"/>
    <x v="1"/>
    <s v="Male"/>
    <n v="615"/>
    <n v="61"/>
    <n v="9"/>
    <n v="0"/>
    <n v="2"/>
    <n v="1"/>
    <n v="0"/>
    <n v="150227.85"/>
    <x v="0"/>
    <x v="0"/>
    <x v="2"/>
    <s v="High Salary"/>
  </r>
  <r>
    <n v="486"/>
    <n v="15637954"/>
    <s v="Lewis"/>
    <x v="0"/>
    <s v="Female"/>
    <n v="730"/>
    <n v="35"/>
    <n v="0"/>
    <n v="155470.54999999999"/>
    <n v="1"/>
    <n v="1"/>
    <n v="1"/>
    <n v="53718.28"/>
    <x v="1"/>
    <x v="2"/>
    <x v="0"/>
    <s v="Medium Salary"/>
  </r>
  <r>
    <n v="487"/>
    <n v="15758639"/>
    <s v="Moran"/>
    <x v="0"/>
    <s v="Male"/>
    <n v="641"/>
    <n v="37"/>
    <n v="7"/>
    <n v="0"/>
    <n v="2"/>
    <n v="1"/>
    <n v="0"/>
    <n v="75248.3"/>
    <x v="1"/>
    <x v="0"/>
    <x v="0"/>
    <s v="High Salary"/>
  </r>
  <r>
    <n v="488"/>
    <n v="15613772"/>
    <s v="Dalrymple"/>
    <x v="0"/>
    <s v="Male"/>
    <n v="542"/>
    <n v="39"/>
    <n v="3"/>
    <n v="135096.76999999999"/>
    <n v="1"/>
    <n v="1"/>
    <n v="1"/>
    <n v="14353.43"/>
    <x v="0"/>
    <x v="1"/>
    <x v="0"/>
    <s v="Low Salary"/>
  </r>
  <r>
    <n v="489"/>
    <n v="15731744"/>
    <s v="Carslaw"/>
    <x v="0"/>
    <s v="Male"/>
    <n v="692"/>
    <n v="30"/>
    <n v="2"/>
    <n v="0"/>
    <n v="2"/>
    <n v="0"/>
    <n v="1"/>
    <n v="130486.57"/>
    <x v="1"/>
    <x v="2"/>
    <x v="1"/>
    <s v="High Salary"/>
  </r>
  <r>
    <n v="490"/>
    <n v="15807709"/>
    <s v="Kirby"/>
    <x v="2"/>
    <s v="Female"/>
    <n v="714"/>
    <n v="55"/>
    <n v="9"/>
    <n v="180075.22"/>
    <n v="1"/>
    <n v="1"/>
    <n v="1"/>
    <n v="100127.71"/>
    <x v="1"/>
    <x v="2"/>
    <x v="2"/>
    <s v="High Salary"/>
  </r>
  <r>
    <n v="491"/>
    <n v="15714689"/>
    <s v="Houghton"/>
    <x v="1"/>
    <s v="Male"/>
    <n v="591"/>
    <n v="29"/>
    <n v="1"/>
    <n v="97541.24"/>
    <n v="1"/>
    <n v="1"/>
    <n v="1"/>
    <n v="196356.17"/>
    <x v="1"/>
    <x v="0"/>
    <x v="1"/>
    <s v="High Salary"/>
  </r>
  <r>
    <n v="492"/>
    <n v="15699005"/>
    <s v="Martin"/>
    <x v="0"/>
    <s v="Female"/>
    <n v="710"/>
    <n v="41"/>
    <n v="2"/>
    <n v="156067.04999999999"/>
    <n v="1"/>
    <n v="1"/>
    <n v="1"/>
    <n v="9983.8799999999992"/>
    <x v="1"/>
    <x v="2"/>
    <x v="0"/>
    <s v="Low Salary"/>
  </r>
  <r>
    <n v="493"/>
    <n v="15624170"/>
    <s v="Tan"/>
    <x v="0"/>
    <s v="Female"/>
    <n v="639"/>
    <n v="38"/>
    <n v="4"/>
    <n v="81550.94"/>
    <n v="2"/>
    <n v="0"/>
    <n v="1"/>
    <n v="118974.77"/>
    <x v="1"/>
    <x v="0"/>
    <x v="0"/>
    <s v="High Salary"/>
  </r>
  <r>
    <n v="494"/>
    <n v="15725679"/>
    <s v="Hsia"/>
    <x v="0"/>
    <s v="Female"/>
    <n v="531"/>
    <n v="47"/>
    <n v="6"/>
    <n v="0"/>
    <n v="1"/>
    <n v="0"/>
    <n v="0"/>
    <n v="194998.34"/>
    <x v="0"/>
    <x v="1"/>
    <x v="0"/>
    <s v="High Salary"/>
  </r>
  <r>
    <n v="495"/>
    <n v="15585865"/>
    <s v="Westerberg"/>
    <x v="0"/>
    <s v="Female"/>
    <n v="673"/>
    <n v="38"/>
    <n v="2"/>
    <n v="170061.92"/>
    <n v="2"/>
    <n v="0"/>
    <n v="0"/>
    <n v="134901.34"/>
    <x v="0"/>
    <x v="2"/>
    <x v="0"/>
    <s v="High Salary"/>
  </r>
  <r>
    <n v="496"/>
    <n v="15804256"/>
    <s v="Hale"/>
    <x v="2"/>
    <s v="Male"/>
    <n v="765"/>
    <n v="36"/>
    <n v="8"/>
    <n v="92310.54"/>
    <n v="2"/>
    <n v="1"/>
    <n v="1"/>
    <n v="72924.56"/>
    <x v="1"/>
    <x v="2"/>
    <x v="0"/>
    <s v="High Salary"/>
  </r>
  <r>
    <n v="497"/>
    <n v="15662403"/>
    <s v="Kryukova"/>
    <x v="0"/>
    <s v="Female"/>
    <n v="622"/>
    <n v="32"/>
    <n v="6"/>
    <n v="169089.38"/>
    <n v="2"/>
    <n v="1"/>
    <n v="0"/>
    <n v="101057.95"/>
    <x v="1"/>
    <x v="0"/>
    <x v="0"/>
    <s v="High Salary"/>
  </r>
  <r>
    <n v="498"/>
    <n v="15733616"/>
    <s v="Sopuluchukwu"/>
    <x v="0"/>
    <s v="Male"/>
    <n v="806"/>
    <n v="40"/>
    <n v="5"/>
    <n v="80613.929999999993"/>
    <n v="1"/>
    <n v="1"/>
    <n v="1"/>
    <n v="142838.64000000001"/>
    <x v="1"/>
    <x v="2"/>
    <x v="0"/>
    <s v="High Salary"/>
  </r>
  <r>
    <n v="499"/>
    <n v="15591995"/>
    <s v="Barry"/>
    <x v="2"/>
    <s v="Male"/>
    <n v="757"/>
    <n v="26"/>
    <n v="8"/>
    <n v="121581.56"/>
    <n v="2"/>
    <n v="1"/>
    <n v="1"/>
    <n v="127059.04"/>
    <x v="1"/>
    <x v="2"/>
    <x v="1"/>
    <s v="High Salary"/>
  </r>
  <r>
    <n v="500"/>
    <n v="15677020"/>
    <s v="Selezneva"/>
    <x v="0"/>
    <s v="Female"/>
    <n v="570"/>
    <n v="58"/>
    <n v="8"/>
    <n v="0"/>
    <n v="1"/>
    <n v="0"/>
    <n v="1"/>
    <n v="116503.92"/>
    <x v="0"/>
    <x v="1"/>
    <x v="2"/>
    <s v="High Salary"/>
  </r>
  <r>
    <n v="501"/>
    <n v="15727688"/>
    <s v="Chizuoke"/>
    <x v="1"/>
    <s v="Male"/>
    <n v="555"/>
    <n v="32"/>
    <n v="4"/>
    <n v="0"/>
    <n v="2"/>
    <n v="1"/>
    <n v="1"/>
    <n v="54405.79"/>
    <x v="1"/>
    <x v="1"/>
    <x v="0"/>
    <s v="Medium Salary"/>
  </r>
  <r>
    <n v="502"/>
    <n v="15715941"/>
    <s v="Lueck"/>
    <x v="0"/>
    <s v="Male"/>
    <n v="692"/>
    <n v="54"/>
    <n v="5"/>
    <n v="0"/>
    <n v="2"/>
    <n v="1"/>
    <n v="1"/>
    <n v="88721.84"/>
    <x v="1"/>
    <x v="2"/>
    <x v="2"/>
    <s v="High Salary"/>
  </r>
  <r>
    <n v="503"/>
    <n v="15714485"/>
    <s v="Udinese"/>
    <x v="0"/>
    <s v="Male"/>
    <n v="774"/>
    <n v="60"/>
    <n v="5"/>
    <n v="85891.55"/>
    <n v="1"/>
    <n v="1"/>
    <n v="0"/>
    <n v="74135.48"/>
    <x v="0"/>
    <x v="2"/>
    <x v="2"/>
    <s v="High Salary"/>
  </r>
  <r>
    <n v="504"/>
    <n v="15730059"/>
    <s v="Udobata"/>
    <x v="1"/>
    <s v="Male"/>
    <n v="638"/>
    <n v="44"/>
    <n v="9"/>
    <n v="77637.350000000006"/>
    <n v="2"/>
    <n v="1"/>
    <n v="1"/>
    <n v="111346.22"/>
    <x v="1"/>
    <x v="0"/>
    <x v="0"/>
    <s v="High Salary"/>
  </r>
  <r>
    <n v="505"/>
    <n v="15715527"/>
    <s v="Freeman"/>
    <x v="1"/>
    <s v="Female"/>
    <n v="543"/>
    <n v="41"/>
    <n v="4"/>
    <n v="0"/>
    <n v="1"/>
    <n v="0"/>
    <n v="0"/>
    <n v="194902.16"/>
    <x v="1"/>
    <x v="1"/>
    <x v="0"/>
    <s v="High Salary"/>
  </r>
  <r>
    <n v="506"/>
    <n v="15576623"/>
    <s v="Outlaw"/>
    <x v="0"/>
    <s v="Male"/>
    <n v="584"/>
    <n v="31"/>
    <n v="5"/>
    <n v="0"/>
    <n v="2"/>
    <n v="1"/>
    <n v="0"/>
    <n v="31474.27"/>
    <x v="1"/>
    <x v="0"/>
    <x v="0"/>
    <s v="Medium Salary"/>
  </r>
  <r>
    <n v="507"/>
    <n v="15805565"/>
    <s v="Obiuto"/>
    <x v="2"/>
    <s v="Male"/>
    <n v="691"/>
    <n v="30"/>
    <n v="7"/>
    <n v="116927.89"/>
    <n v="1"/>
    <n v="1"/>
    <n v="0"/>
    <n v="21198.39"/>
    <x v="1"/>
    <x v="2"/>
    <x v="1"/>
    <s v="Low Salary"/>
  </r>
  <r>
    <n v="508"/>
    <n v="15677307"/>
    <s v="Lo"/>
    <x v="2"/>
    <s v="Female"/>
    <n v="684"/>
    <n v="40"/>
    <n v="6"/>
    <n v="137326.65"/>
    <n v="1"/>
    <n v="1"/>
    <n v="0"/>
    <n v="186976.6"/>
    <x v="1"/>
    <x v="2"/>
    <x v="0"/>
    <s v="High Salary"/>
  </r>
  <r>
    <n v="509"/>
    <n v="15773890"/>
    <s v="Okechukwu"/>
    <x v="0"/>
    <s v="Male"/>
    <n v="733"/>
    <n v="22"/>
    <n v="5"/>
    <n v="0"/>
    <n v="2"/>
    <n v="1"/>
    <n v="1"/>
    <n v="117202.19"/>
    <x v="1"/>
    <x v="2"/>
    <x v="1"/>
    <s v="High Salary"/>
  </r>
  <r>
    <n v="510"/>
    <n v="15598883"/>
    <s v="King"/>
    <x v="1"/>
    <s v="Female"/>
    <n v="599"/>
    <n v="37"/>
    <n v="2"/>
    <n v="0"/>
    <n v="2"/>
    <n v="1"/>
    <n v="1"/>
    <n v="143739.29"/>
    <x v="1"/>
    <x v="0"/>
    <x v="0"/>
    <s v="High Salary"/>
  </r>
  <r>
    <n v="511"/>
    <n v="15568506"/>
    <s v="Forbes"/>
    <x v="2"/>
    <s v="Female"/>
    <n v="524"/>
    <n v="31"/>
    <n v="10"/>
    <n v="67238.98"/>
    <n v="2"/>
    <n v="1"/>
    <n v="1"/>
    <n v="161811.23000000001"/>
    <x v="1"/>
    <x v="1"/>
    <x v="0"/>
    <s v="High Salary"/>
  </r>
  <r>
    <n v="512"/>
    <n v="15761043"/>
    <s v="Macleod"/>
    <x v="2"/>
    <s v="Female"/>
    <n v="632"/>
    <n v="38"/>
    <n v="6"/>
    <n v="86569.76"/>
    <n v="2"/>
    <n v="1"/>
    <n v="0"/>
    <n v="98090.91"/>
    <x v="1"/>
    <x v="0"/>
    <x v="0"/>
    <s v="High Salary"/>
  </r>
  <r>
    <n v="513"/>
    <n v="15782236"/>
    <s v="Gibbs"/>
    <x v="1"/>
    <s v="Male"/>
    <n v="735"/>
    <n v="34"/>
    <n v="5"/>
    <n v="0"/>
    <n v="2"/>
    <n v="0"/>
    <n v="0"/>
    <n v="71095.41"/>
    <x v="1"/>
    <x v="2"/>
    <x v="0"/>
    <s v="High Salary"/>
  </r>
  <r>
    <n v="514"/>
    <n v="15593601"/>
    <s v="Isayev"/>
    <x v="0"/>
    <s v="Male"/>
    <n v="734"/>
    <n v="34"/>
    <n v="6"/>
    <n v="133598.39999999999"/>
    <n v="1"/>
    <n v="1"/>
    <n v="1"/>
    <n v="13107.24"/>
    <x v="1"/>
    <x v="2"/>
    <x v="0"/>
    <s v="Low Salary"/>
  </r>
  <r>
    <n v="515"/>
    <n v="15682048"/>
    <s v="Pisano"/>
    <x v="0"/>
    <s v="Female"/>
    <n v="605"/>
    <n v="51"/>
    <n v="3"/>
    <n v="136188.78"/>
    <n v="1"/>
    <n v="1"/>
    <n v="1"/>
    <n v="67110.59"/>
    <x v="0"/>
    <x v="0"/>
    <x v="2"/>
    <s v="Medium Salary"/>
  </r>
  <r>
    <n v="516"/>
    <n v="15746902"/>
    <s v="Belstead"/>
    <x v="1"/>
    <s v="Male"/>
    <n v="793"/>
    <n v="38"/>
    <n v="9"/>
    <n v="0"/>
    <n v="2"/>
    <n v="1"/>
    <n v="0"/>
    <n v="88225.02"/>
    <x v="1"/>
    <x v="2"/>
    <x v="0"/>
    <s v="High Salary"/>
  </r>
  <r>
    <n v="517"/>
    <n v="15752081"/>
    <s v="Vassiliev"/>
    <x v="0"/>
    <s v="Female"/>
    <n v="468"/>
    <n v="56"/>
    <n v="10"/>
    <n v="0"/>
    <n v="3"/>
    <n v="0"/>
    <n v="1"/>
    <n v="62256.87"/>
    <x v="0"/>
    <x v="1"/>
    <x v="2"/>
    <s v="Medium Salary"/>
  </r>
  <r>
    <n v="518"/>
    <n v="15781307"/>
    <s v="Schneider"/>
    <x v="2"/>
    <s v="Male"/>
    <n v="779"/>
    <n v="37"/>
    <n v="7"/>
    <n v="120092.52"/>
    <n v="2"/>
    <n v="1"/>
    <n v="0"/>
    <n v="135925.72"/>
    <x v="1"/>
    <x v="2"/>
    <x v="0"/>
    <s v="High Salary"/>
  </r>
  <r>
    <n v="519"/>
    <n v="15775912"/>
    <s v="Mazzanti"/>
    <x v="0"/>
    <s v="Male"/>
    <n v="698"/>
    <n v="48"/>
    <n v="4"/>
    <n v="101238.24"/>
    <n v="2"/>
    <n v="0"/>
    <n v="1"/>
    <n v="177815.87"/>
    <x v="0"/>
    <x v="2"/>
    <x v="0"/>
    <s v="High Salary"/>
  </r>
  <r>
    <n v="520"/>
    <n v="15745417"/>
    <s v="Knipe"/>
    <x v="0"/>
    <s v="Male"/>
    <n v="707"/>
    <n v="58"/>
    <n v="6"/>
    <n v="89685.92"/>
    <n v="1"/>
    <n v="0"/>
    <n v="1"/>
    <n v="126471.13"/>
    <x v="1"/>
    <x v="2"/>
    <x v="2"/>
    <s v="High Salary"/>
  </r>
  <r>
    <n v="521"/>
    <n v="15671256"/>
    <s v="Macartney"/>
    <x v="0"/>
    <s v="Female"/>
    <n v="850"/>
    <n v="35"/>
    <n v="1"/>
    <n v="211774.31"/>
    <n v="1"/>
    <n v="1"/>
    <n v="0"/>
    <n v="188574.12"/>
    <x v="0"/>
    <x v="2"/>
    <x v="0"/>
    <s v="High Salary"/>
  </r>
  <r>
    <n v="522"/>
    <n v="15653547"/>
    <s v="Madukwe"/>
    <x v="0"/>
    <s v="Male"/>
    <n v="850"/>
    <n v="56"/>
    <n v="7"/>
    <n v="131317.48000000001"/>
    <n v="1"/>
    <n v="1"/>
    <n v="1"/>
    <n v="119175.45"/>
    <x v="1"/>
    <x v="2"/>
    <x v="2"/>
    <s v="High Salary"/>
  </r>
  <r>
    <n v="523"/>
    <n v="15595766"/>
    <s v="Watts"/>
    <x v="1"/>
    <s v="Male"/>
    <n v="527"/>
    <n v="37"/>
    <n v="5"/>
    <n v="93722.73"/>
    <n v="2"/>
    <n v="1"/>
    <n v="1"/>
    <n v="139093.73000000001"/>
    <x v="1"/>
    <x v="1"/>
    <x v="0"/>
    <s v="High Salary"/>
  </r>
  <r>
    <n v="524"/>
    <n v="15742358"/>
    <s v="Humphreys"/>
    <x v="2"/>
    <s v="Male"/>
    <n v="696"/>
    <n v="32"/>
    <n v="8"/>
    <n v="101160.99"/>
    <n v="1"/>
    <n v="1"/>
    <n v="1"/>
    <n v="115916.55"/>
    <x v="1"/>
    <x v="2"/>
    <x v="0"/>
    <s v="High Salary"/>
  </r>
  <r>
    <n v="525"/>
    <n v="15763274"/>
    <s v="Wu"/>
    <x v="0"/>
    <s v="Male"/>
    <n v="661"/>
    <n v="48"/>
    <n v="3"/>
    <n v="120320.54"/>
    <n v="1"/>
    <n v="0"/>
    <n v="0"/>
    <n v="96463.25"/>
    <x v="1"/>
    <x v="0"/>
    <x v="0"/>
    <s v="High Salary"/>
  </r>
  <r>
    <n v="526"/>
    <n v="15786063"/>
    <s v="Chin"/>
    <x v="0"/>
    <s v="Female"/>
    <n v="776"/>
    <n v="31"/>
    <n v="2"/>
    <n v="0"/>
    <n v="2"/>
    <n v="1"/>
    <n v="1"/>
    <n v="112349.51"/>
    <x v="1"/>
    <x v="2"/>
    <x v="0"/>
    <s v="High Salary"/>
  </r>
  <r>
    <n v="527"/>
    <n v="15600258"/>
    <s v="Chesnokova"/>
    <x v="0"/>
    <s v="Male"/>
    <n v="701"/>
    <n v="43"/>
    <n v="2"/>
    <n v="0"/>
    <n v="2"/>
    <n v="1"/>
    <n v="1"/>
    <n v="165303.79"/>
    <x v="1"/>
    <x v="2"/>
    <x v="0"/>
    <s v="High Salary"/>
  </r>
  <r>
    <n v="528"/>
    <n v="15573318"/>
    <s v="Kung"/>
    <x v="0"/>
    <s v="Male"/>
    <n v="610"/>
    <n v="26"/>
    <n v="8"/>
    <n v="0"/>
    <n v="2"/>
    <n v="1"/>
    <n v="0"/>
    <n v="166031.07999999999"/>
    <x v="1"/>
    <x v="0"/>
    <x v="1"/>
    <s v="High Salary"/>
  </r>
  <r>
    <n v="529"/>
    <n v="15653849"/>
    <s v="Lu"/>
    <x v="2"/>
    <s v="Female"/>
    <n v="572"/>
    <n v="48"/>
    <n v="3"/>
    <n v="152827.99"/>
    <n v="1"/>
    <n v="1"/>
    <n v="0"/>
    <n v="38411.79"/>
    <x v="0"/>
    <x v="1"/>
    <x v="0"/>
    <s v="Medium Salary"/>
  </r>
  <r>
    <n v="530"/>
    <n v="15694272"/>
    <s v="Nkemakolam"/>
    <x v="0"/>
    <s v="Male"/>
    <n v="673"/>
    <n v="30"/>
    <n v="1"/>
    <n v="64097.75"/>
    <n v="1"/>
    <n v="1"/>
    <n v="1"/>
    <n v="77783.350000000006"/>
    <x v="1"/>
    <x v="2"/>
    <x v="1"/>
    <s v="High Salary"/>
  </r>
  <r>
    <n v="531"/>
    <n v="15736112"/>
    <s v="Walton"/>
    <x v="1"/>
    <s v="Female"/>
    <n v="519"/>
    <n v="57"/>
    <n v="2"/>
    <n v="119035.35"/>
    <n v="2"/>
    <n v="1"/>
    <n v="1"/>
    <n v="29871.79"/>
    <x v="1"/>
    <x v="1"/>
    <x v="2"/>
    <s v="Low Salary"/>
  </r>
  <r>
    <n v="532"/>
    <n v="15749851"/>
    <s v="Brookes"/>
    <x v="1"/>
    <s v="Female"/>
    <n v="702"/>
    <n v="26"/>
    <n v="4"/>
    <n v="135219.57"/>
    <n v="1"/>
    <n v="0"/>
    <n v="1"/>
    <n v="59747.63"/>
    <x v="1"/>
    <x v="2"/>
    <x v="1"/>
    <s v="Medium Salary"/>
  </r>
  <r>
    <n v="533"/>
    <n v="15663478"/>
    <s v="Baldwin"/>
    <x v="0"/>
    <s v="Male"/>
    <n v="729"/>
    <n v="32"/>
    <n v="6"/>
    <n v="93694.42"/>
    <n v="1"/>
    <n v="1"/>
    <n v="1"/>
    <n v="79919.13"/>
    <x v="1"/>
    <x v="2"/>
    <x v="0"/>
    <s v="High Salary"/>
  </r>
  <r>
    <n v="534"/>
    <n v="15592300"/>
    <s v="Mai"/>
    <x v="1"/>
    <s v="Male"/>
    <n v="543"/>
    <n v="35"/>
    <n v="10"/>
    <n v="59408.63"/>
    <n v="1"/>
    <n v="1"/>
    <n v="0"/>
    <n v="76773.53"/>
    <x v="1"/>
    <x v="1"/>
    <x v="0"/>
    <s v="High Salary"/>
  </r>
  <r>
    <n v="535"/>
    <n v="15567832"/>
    <s v="Shih"/>
    <x v="0"/>
    <s v="Female"/>
    <n v="550"/>
    <n v="40"/>
    <n v="7"/>
    <n v="114354.95"/>
    <n v="1"/>
    <n v="1"/>
    <n v="0"/>
    <n v="54018.93"/>
    <x v="1"/>
    <x v="1"/>
    <x v="0"/>
    <s v="Medium Salary"/>
  </r>
  <r>
    <n v="536"/>
    <n v="15776780"/>
    <s v="He"/>
    <x v="0"/>
    <s v="Male"/>
    <n v="608"/>
    <n v="59"/>
    <n v="1"/>
    <n v="0"/>
    <n v="1"/>
    <n v="1"/>
    <n v="0"/>
    <n v="70649.64"/>
    <x v="0"/>
    <x v="0"/>
    <x v="2"/>
    <s v="High Salary"/>
  </r>
  <r>
    <n v="537"/>
    <n v="15592846"/>
    <s v="Fiorentini"/>
    <x v="2"/>
    <s v="Male"/>
    <n v="639"/>
    <n v="35"/>
    <n v="10"/>
    <n v="128173.9"/>
    <n v="2"/>
    <n v="1"/>
    <n v="0"/>
    <n v="59093.39"/>
    <x v="1"/>
    <x v="0"/>
    <x v="0"/>
    <s v="Medium Salary"/>
  </r>
  <r>
    <n v="538"/>
    <n v="15739803"/>
    <s v="Lucciano"/>
    <x v="1"/>
    <s v="Male"/>
    <n v="686"/>
    <n v="34"/>
    <n v="9"/>
    <n v="0"/>
    <n v="2"/>
    <n v="1"/>
    <n v="0"/>
    <n v="127569.8"/>
    <x v="1"/>
    <x v="2"/>
    <x v="0"/>
    <s v="High Salary"/>
  </r>
  <r>
    <n v="539"/>
    <n v="15794142"/>
    <s v="Ferreira"/>
    <x v="2"/>
    <s v="Female"/>
    <n v="564"/>
    <n v="62"/>
    <n v="5"/>
    <n v="114931.35"/>
    <n v="3"/>
    <n v="0"/>
    <n v="1"/>
    <n v="18260.98"/>
    <x v="0"/>
    <x v="1"/>
    <x v="2"/>
    <s v="Low Salary"/>
  </r>
  <r>
    <n v="540"/>
    <n v="15762729"/>
    <s v="Ukaegbunam"/>
    <x v="2"/>
    <s v="Female"/>
    <n v="745"/>
    <n v="28"/>
    <n v="1"/>
    <n v="111071.36"/>
    <n v="1"/>
    <n v="1"/>
    <n v="0"/>
    <n v="73275.960000000006"/>
    <x v="0"/>
    <x v="2"/>
    <x v="1"/>
    <s v="High Salary"/>
  </r>
  <r>
    <n v="541"/>
    <n v="15667896"/>
    <s v="De Luca"/>
    <x v="0"/>
    <s v="Male"/>
    <n v="833"/>
    <n v="37"/>
    <n v="8"/>
    <n v="151226.18"/>
    <n v="2"/>
    <n v="1"/>
    <n v="1"/>
    <n v="136129.49"/>
    <x v="1"/>
    <x v="2"/>
    <x v="0"/>
    <s v="High Salary"/>
  </r>
  <r>
    <n v="542"/>
    <n v="15626578"/>
    <s v="Milne"/>
    <x v="0"/>
    <s v="Male"/>
    <n v="622"/>
    <n v="26"/>
    <n v="9"/>
    <n v="0"/>
    <n v="2"/>
    <n v="1"/>
    <n v="1"/>
    <n v="153237.59"/>
    <x v="1"/>
    <x v="0"/>
    <x v="1"/>
    <s v="High Salary"/>
  </r>
  <r>
    <n v="543"/>
    <n v="15776223"/>
    <s v="Davide"/>
    <x v="0"/>
    <s v="Female"/>
    <n v="597"/>
    <n v="42"/>
    <n v="4"/>
    <n v="64740.12"/>
    <n v="1"/>
    <n v="1"/>
    <n v="1"/>
    <n v="106841.12"/>
    <x v="1"/>
    <x v="0"/>
    <x v="0"/>
    <s v="High Salary"/>
  </r>
  <r>
    <n v="544"/>
    <n v="15705953"/>
    <s v="Kodilinyechukwu"/>
    <x v="1"/>
    <s v="Male"/>
    <n v="721"/>
    <n v="51"/>
    <n v="0"/>
    <n v="169312.13"/>
    <n v="1"/>
    <n v="1"/>
    <n v="0"/>
    <n v="109078.35"/>
    <x v="0"/>
    <x v="2"/>
    <x v="2"/>
    <s v="High Salary"/>
  </r>
  <r>
    <n v="545"/>
    <n v="15802593"/>
    <s v="Little"/>
    <x v="0"/>
    <s v="Female"/>
    <n v="504"/>
    <n v="49"/>
    <n v="7"/>
    <n v="0"/>
    <n v="3"/>
    <n v="0"/>
    <n v="1"/>
    <n v="87822.14"/>
    <x v="0"/>
    <x v="1"/>
    <x v="0"/>
    <s v="High Salary"/>
  </r>
  <r>
    <n v="546"/>
    <n v="15615457"/>
    <s v="Burns"/>
    <x v="1"/>
    <s v="Female"/>
    <n v="842"/>
    <n v="44"/>
    <n v="2"/>
    <n v="112652.08"/>
    <n v="2"/>
    <n v="1"/>
    <n v="0"/>
    <n v="126644.98"/>
    <x v="1"/>
    <x v="2"/>
    <x v="0"/>
    <s v="High Salary"/>
  </r>
  <r>
    <n v="547"/>
    <n v="15708916"/>
    <s v="Paterson"/>
    <x v="0"/>
    <s v="Male"/>
    <n v="587"/>
    <n v="38"/>
    <n v="0"/>
    <n v="0"/>
    <n v="2"/>
    <n v="1"/>
    <n v="0"/>
    <n v="47414.15"/>
    <x v="1"/>
    <x v="0"/>
    <x v="0"/>
    <s v="Medium Salary"/>
  </r>
  <r>
    <n v="548"/>
    <n v="15720187"/>
    <s v="Han"/>
    <x v="2"/>
    <s v="Female"/>
    <n v="479"/>
    <n v="30"/>
    <n v="7"/>
    <n v="143964.35999999999"/>
    <n v="2"/>
    <n v="1"/>
    <n v="0"/>
    <n v="41879.99"/>
    <x v="1"/>
    <x v="1"/>
    <x v="1"/>
    <s v="Medium Salary"/>
  </r>
  <r>
    <n v="549"/>
    <n v="15595440"/>
    <s v="Kryukova"/>
    <x v="0"/>
    <s v="Male"/>
    <n v="508"/>
    <n v="49"/>
    <n v="7"/>
    <n v="122451.46"/>
    <n v="2"/>
    <n v="1"/>
    <n v="1"/>
    <n v="75808.100000000006"/>
    <x v="1"/>
    <x v="1"/>
    <x v="0"/>
    <s v="High Salary"/>
  </r>
  <r>
    <n v="550"/>
    <n v="15600651"/>
    <s v="Ijendu"/>
    <x v="0"/>
    <s v="Male"/>
    <n v="749"/>
    <n v="24"/>
    <n v="1"/>
    <n v="0"/>
    <n v="3"/>
    <n v="1"/>
    <n v="1"/>
    <n v="47911.03"/>
    <x v="1"/>
    <x v="2"/>
    <x v="1"/>
    <s v="Medium Salary"/>
  </r>
  <r>
    <n v="551"/>
    <n v="15750141"/>
    <s v="Reichard"/>
    <x v="2"/>
    <s v="Female"/>
    <n v="721"/>
    <n v="36"/>
    <n v="3"/>
    <n v="65253.07"/>
    <n v="2"/>
    <n v="1"/>
    <n v="0"/>
    <n v="28737.78"/>
    <x v="1"/>
    <x v="2"/>
    <x v="0"/>
    <s v="Low Salary"/>
  </r>
  <r>
    <n v="552"/>
    <n v="15657284"/>
    <s v="Day"/>
    <x v="2"/>
    <s v="Male"/>
    <n v="674"/>
    <n v="47"/>
    <n v="6"/>
    <n v="106901.94"/>
    <n v="1"/>
    <n v="1"/>
    <n v="1"/>
    <n v="2079.1999999999998"/>
    <x v="0"/>
    <x v="2"/>
    <x v="0"/>
    <s v="Low Salary"/>
  </r>
  <r>
    <n v="553"/>
    <n v="15763063"/>
    <s v="Price"/>
    <x v="1"/>
    <s v="Female"/>
    <n v="685"/>
    <n v="25"/>
    <n v="10"/>
    <n v="128509.63"/>
    <n v="1"/>
    <n v="1"/>
    <n v="0"/>
    <n v="121562.33"/>
    <x v="1"/>
    <x v="2"/>
    <x v="1"/>
    <s v="High Salary"/>
  </r>
  <r>
    <n v="554"/>
    <n v="15709324"/>
    <s v="Bruce"/>
    <x v="0"/>
    <s v="Male"/>
    <n v="417"/>
    <n v="34"/>
    <n v="7"/>
    <n v="0"/>
    <n v="2"/>
    <n v="1"/>
    <n v="0"/>
    <n v="55003.79"/>
    <x v="1"/>
    <x v="1"/>
    <x v="0"/>
    <s v="Medium Salary"/>
  </r>
  <r>
    <n v="555"/>
    <n v="15711309"/>
    <s v="Sumrall"/>
    <x v="2"/>
    <s v="Male"/>
    <n v="574"/>
    <n v="33"/>
    <n v="3"/>
    <n v="129834.67"/>
    <n v="1"/>
    <n v="1"/>
    <n v="0"/>
    <n v="193131.42"/>
    <x v="1"/>
    <x v="1"/>
    <x v="0"/>
    <s v="High Salary"/>
  </r>
  <r>
    <n v="556"/>
    <n v="15775318"/>
    <s v="Lu"/>
    <x v="1"/>
    <s v="Female"/>
    <n v="590"/>
    <n v="51"/>
    <n v="3"/>
    <n v="154962.99"/>
    <n v="3"/>
    <n v="0"/>
    <n v="1"/>
    <n v="191932.27"/>
    <x v="0"/>
    <x v="0"/>
    <x v="2"/>
    <s v="High Salary"/>
  </r>
  <r>
    <n v="557"/>
    <n v="15705515"/>
    <s v="Lazarev"/>
    <x v="2"/>
    <s v="Male"/>
    <n v="587"/>
    <n v="40"/>
    <n v="5"/>
    <n v="138241.9"/>
    <n v="2"/>
    <n v="1"/>
    <n v="0"/>
    <n v="159418.1"/>
    <x v="1"/>
    <x v="0"/>
    <x v="0"/>
    <s v="High Salary"/>
  </r>
  <r>
    <n v="558"/>
    <n v="15634844"/>
    <s v="Miller"/>
    <x v="2"/>
    <s v="Male"/>
    <n v="598"/>
    <n v="41"/>
    <n v="3"/>
    <n v="91536.93"/>
    <n v="1"/>
    <n v="1"/>
    <n v="0"/>
    <n v="191468.78"/>
    <x v="0"/>
    <x v="0"/>
    <x v="0"/>
    <s v="High Salary"/>
  </r>
  <r>
    <n v="559"/>
    <n v="15717046"/>
    <s v="Wentworth-Shields"/>
    <x v="1"/>
    <s v="Male"/>
    <n v="741"/>
    <n v="53"/>
    <n v="3"/>
    <n v="0"/>
    <n v="2"/>
    <n v="1"/>
    <n v="1"/>
    <n v="38913.68"/>
    <x v="1"/>
    <x v="2"/>
    <x v="2"/>
    <s v="Medium Salary"/>
  </r>
  <r>
    <n v="560"/>
    <n v="15571816"/>
    <s v="Ritchie"/>
    <x v="1"/>
    <s v="Female"/>
    <n v="850"/>
    <n v="70"/>
    <n v="5"/>
    <n v="0"/>
    <n v="1"/>
    <n v="1"/>
    <n v="1"/>
    <n v="705.18"/>
    <x v="1"/>
    <x v="2"/>
    <x v="2"/>
    <s v="Low Salary"/>
  </r>
  <r>
    <n v="561"/>
    <n v="15670080"/>
    <s v="Mackenzie"/>
    <x v="2"/>
    <s v="Female"/>
    <n v="584"/>
    <n v="29"/>
    <n v="7"/>
    <n v="105204.01"/>
    <n v="1"/>
    <n v="0"/>
    <n v="1"/>
    <n v="138490.03"/>
    <x v="1"/>
    <x v="0"/>
    <x v="1"/>
    <s v="High Salary"/>
  </r>
  <r>
    <n v="562"/>
    <n v="15800440"/>
    <s v="Power"/>
    <x v="1"/>
    <s v="Male"/>
    <n v="650"/>
    <n v="61"/>
    <n v="1"/>
    <n v="152968.73000000001"/>
    <n v="1"/>
    <n v="0"/>
    <n v="1"/>
    <n v="82970.69"/>
    <x v="1"/>
    <x v="0"/>
    <x v="2"/>
    <s v="High Salary"/>
  </r>
  <r>
    <n v="563"/>
    <n v="15665678"/>
    <s v="Tan"/>
    <x v="1"/>
    <s v="Male"/>
    <n v="607"/>
    <n v="36"/>
    <n v="8"/>
    <n v="158261.68"/>
    <n v="1"/>
    <n v="1"/>
    <n v="1"/>
    <n v="76744.72"/>
    <x v="1"/>
    <x v="0"/>
    <x v="0"/>
    <s v="High Salary"/>
  </r>
  <r>
    <n v="564"/>
    <n v="15665956"/>
    <s v="Pendergrass"/>
    <x v="0"/>
    <s v="Female"/>
    <n v="509"/>
    <n v="46"/>
    <n v="1"/>
    <n v="0"/>
    <n v="1"/>
    <n v="1"/>
    <n v="0"/>
    <n v="71244.59"/>
    <x v="0"/>
    <x v="1"/>
    <x v="0"/>
    <s v="High Salary"/>
  </r>
  <r>
    <n v="565"/>
    <n v="15788126"/>
    <s v="Evans"/>
    <x v="1"/>
    <s v="Female"/>
    <n v="689"/>
    <n v="38"/>
    <n v="6"/>
    <n v="121021.05"/>
    <n v="1"/>
    <n v="1"/>
    <n v="1"/>
    <n v="12182.15"/>
    <x v="1"/>
    <x v="2"/>
    <x v="0"/>
    <s v="Low Salary"/>
  </r>
  <r>
    <n v="566"/>
    <n v="15811773"/>
    <s v="Hsia"/>
    <x v="0"/>
    <s v="Male"/>
    <n v="543"/>
    <n v="36"/>
    <n v="4"/>
    <n v="0"/>
    <n v="2"/>
    <n v="1"/>
    <n v="1"/>
    <n v="141210.5"/>
    <x v="1"/>
    <x v="1"/>
    <x v="0"/>
    <s v="High Salary"/>
  </r>
  <r>
    <n v="567"/>
    <n v="15651674"/>
    <s v="Billson"/>
    <x v="1"/>
    <s v="Female"/>
    <n v="438"/>
    <n v="54"/>
    <n v="2"/>
    <n v="0"/>
    <n v="1"/>
    <n v="0"/>
    <n v="0"/>
    <n v="191763.07"/>
    <x v="0"/>
    <x v="1"/>
    <x v="2"/>
    <s v="High Salary"/>
  </r>
  <r>
    <n v="568"/>
    <n v="15689614"/>
    <s v="Teng"/>
    <x v="1"/>
    <s v="Female"/>
    <n v="687"/>
    <n v="63"/>
    <n v="1"/>
    <n v="137715.66"/>
    <n v="1"/>
    <n v="1"/>
    <n v="1"/>
    <n v="37938.74"/>
    <x v="1"/>
    <x v="2"/>
    <x v="2"/>
    <s v="Medium Salary"/>
  </r>
  <r>
    <n v="569"/>
    <n v="15795564"/>
    <s v="Moretti"/>
    <x v="2"/>
    <s v="Male"/>
    <n v="737"/>
    <n v="31"/>
    <n v="5"/>
    <n v="121192.22"/>
    <n v="2"/>
    <n v="1"/>
    <n v="1"/>
    <n v="74890.58"/>
    <x v="1"/>
    <x v="2"/>
    <x v="0"/>
    <s v="High Salary"/>
  </r>
  <r>
    <n v="570"/>
    <n v="15706647"/>
    <s v="Jordan"/>
    <x v="0"/>
    <s v="Male"/>
    <n v="761"/>
    <n v="31"/>
    <n v="7"/>
    <n v="0"/>
    <n v="3"/>
    <n v="1"/>
    <n v="1"/>
    <n v="166698.18"/>
    <x v="1"/>
    <x v="2"/>
    <x v="0"/>
    <s v="High Salary"/>
  </r>
  <r>
    <n v="571"/>
    <n v="15728505"/>
    <s v="Ts'ao"/>
    <x v="0"/>
    <s v="Male"/>
    <n v="601"/>
    <n v="44"/>
    <n v="1"/>
    <n v="100486.18"/>
    <n v="2"/>
    <n v="1"/>
    <n v="1"/>
    <n v="62678.53"/>
    <x v="1"/>
    <x v="0"/>
    <x v="0"/>
    <s v="Medium Salary"/>
  </r>
  <r>
    <n v="572"/>
    <n v="15730076"/>
    <s v="Osborne"/>
    <x v="0"/>
    <s v="Male"/>
    <n v="651"/>
    <n v="45"/>
    <n v="1"/>
    <n v="0"/>
    <n v="1"/>
    <n v="1"/>
    <n v="0"/>
    <n v="67740.08"/>
    <x v="0"/>
    <x v="0"/>
    <x v="0"/>
    <s v="Medium Salary"/>
  </r>
  <r>
    <n v="573"/>
    <n v="15622003"/>
    <s v="Carslaw"/>
    <x v="0"/>
    <s v="Male"/>
    <n v="745"/>
    <n v="35"/>
    <n v="9"/>
    <n v="92566.53"/>
    <n v="2"/>
    <n v="1"/>
    <n v="0"/>
    <n v="161519.76999999999"/>
    <x v="1"/>
    <x v="2"/>
    <x v="0"/>
    <s v="High Salary"/>
  </r>
  <r>
    <n v="574"/>
    <n v="15607312"/>
    <s v="Ch'ang"/>
    <x v="1"/>
    <s v="Female"/>
    <n v="648"/>
    <n v="49"/>
    <n v="10"/>
    <n v="0"/>
    <n v="2"/>
    <n v="1"/>
    <n v="1"/>
    <n v="159835.78"/>
    <x v="0"/>
    <x v="0"/>
    <x v="0"/>
    <s v="High Salary"/>
  </r>
  <r>
    <n v="575"/>
    <n v="15644753"/>
    <s v="Hung"/>
    <x v="1"/>
    <s v="Male"/>
    <n v="848"/>
    <n v="40"/>
    <n v="3"/>
    <n v="110929.96"/>
    <n v="1"/>
    <n v="1"/>
    <n v="1"/>
    <n v="30876.84"/>
    <x v="1"/>
    <x v="2"/>
    <x v="0"/>
    <s v="Medium Salary"/>
  </r>
  <r>
    <n v="576"/>
    <n v="15653620"/>
    <s v="Gordon"/>
    <x v="0"/>
    <s v="Female"/>
    <n v="546"/>
    <n v="27"/>
    <n v="8"/>
    <n v="0"/>
    <n v="2"/>
    <n v="1"/>
    <n v="1"/>
    <n v="14858.1"/>
    <x v="1"/>
    <x v="1"/>
    <x v="1"/>
    <s v="Low Salary"/>
  </r>
  <r>
    <n v="577"/>
    <n v="15761986"/>
    <s v="Obialo"/>
    <x v="1"/>
    <s v="Female"/>
    <n v="439"/>
    <n v="32"/>
    <n v="3"/>
    <n v="138901.60999999999"/>
    <n v="1"/>
    <n v="1"/>
    <n v="0"/>
    <n v="75685.97"/>
    <x v="1"/>
    <x v="1"/>
    <x v="0"/>
    <s v="High Salary"/>
  </r>
  <r>
    <n v="578"/>
    <n v="15633922"/>
    <s v="Gray"/>
    <x v="0"/>
    <s v="Male"/>
    <n v="755"/>
    <n v="30"/>
    <n v="4"/>
    <n v="123217.66"/>
    <n v="2"/>
    <n v="0"/>
    <n v="1"/>
    <n v="144183.1"/>
    <x v="1"/>
    <x v="2"/>
    <x v="1"/>
    <s v="High Salary"/>
  </r>
  <r>
    <n v="579"/>
    <n v="15734674"/>
    <s v="Lin"/>
    <x v="0"/>
    <s v="Female"/>
    <n v="593"/>
    <n v="41"/>
    <n v="6"/>
    <n v="0"/>
    <n v="1"/>
    <n v="1"/>
    <n v="0"/>
    <n v="65170.66"/>
    <x v="1"/>
    <x v="0"/>
    <x v="0"/>
    <s v="Medium Salary"/>
  </r>
  <r>
    <n v="580"/>
    <n v="15658032"/>
    <s v="Hopkins"/>
    <x v="0"/>
    <s v="Male"/>
    <n v="701"/>
    <n v="39"/>
    <n v="2"/>
    <n v="0"/>
    <n v="2"/>
    <n v="1"/>
    <n v="1"/>
    <n v="82526.92"/>
    <x v="1"/>
    <x v="2"/>
    <x v="0"/>
    <s v="High Salary"/>
  </r>
  <r>
    <n v="581"/>
    <n v="15692671"/>
    <s v="Dobson"/>
    <x v="1"/>
    <s v="Male"/>
    <n v="701"/>
    <n v="36"/>
    <n v="8"/>
    <n v="0"/>
    <n v="2"/>
    <n v="1"/>
    <n v="0"/>
    <n v="169161.46"/>
    <x v="1"/>
    <x v="2"/>
    <x v="0"/>
    <s v="High Salary"/>
  </r>
  <r>
    <n v="582"/>
    <n v="15737741"/>
    <s v="McKay"/>
    <x v="1"/>
    <s v="Female"/>
    <n v="607"/>
    <n v="33"/>
    <n v="2"/>
    <n v="108431.87"/>
    <n v="2"/>
    <n v="0"/>
    <n v="1"/>
    <n v="109291.39"/>
    <x v="0"/>
    <x v="0"/>
    <x v="0"/>
    <s v="High Salary"/>
  </r>
  <r>
    <n v="583"/>
    <n v="15576352"/>
    <s v="Revell"/>
    <x v="1"/>
    <s v="Female"/>
    <n v="586"/>
    <n v="57"/>
    <n v="3"/>
    <n v="0"/>
    <n v="2"/>
    <n v="0"/>
    <n v="1"/>
    <n v="6057.81"/>
    <x v="1"/>
    <x v="0"/>
    <x v="2"/>
    <s v="Low Salary"/>
  </r>
  <r>
    <n v="584"/>
    <n v="15753719"/>
    <s v="Rickards"/>
    <x v="2"/>
    <s v="Female"/>
    <n v="547"/>
    <n v="30"/>
    <n v="9"/>
    <n v="72392.41"/>
    <n v="1"/>
    <n v="1"/>
    <n v="0"/>
    <n v="77077.14"/>
    <x v="1"/>
    <x v="1"/>
    <x v="1"/>
    <s v="High Salary"/>
  </r>
  <r>
    <n v="585"/>
    <n v="15803689"/>
    <s v="Begum"/>
    <x v="2"/>
    <s v="Female"/>
    <n v="647"/>
    <n v="51"/>
    <n v="1"/>
    <n v="119741.77"/>
    <n v="2"/>
    <n v="0"/>
    <n v="0"/>
    <n v="54954.51"/>
    <x v="0"/>
    <x v="0"/>
    <x v="2"/>
    <s v="Medium Salary"/>
  </r>
  <r>
    <n v="586"/>
    <n v="15718057"/>
    <s v="Onyinyechukwuka"/>
    <x v="0"/>
    <s v="Female"/>
    <n v="760"/>
    <n v="51"/>
    <n v="2"/>
    <n v="100946.71"/>
    <n v="1"/>
    <n v="0"/>
    <n v="0"/>
    <n v="179614.8"/>
    <x v="0"/>
    <x v="2"/>
    <x v="2"/>
    <s v="High Salary"/>
  </r>
  <r>
    <n v="587"/>
    <n v="15722010"/>
    <s v="Zuyev"/>
    <x v="1"/>
    <s v="Male"/>
    <n v="621"/>
    <n v="53"/>
    <n v="9"/>
    <n v="170491.84"/>
    <n v="1"/>
    <n v="1"/>
    <n v="0"/>
    <n v="35588.07"/>
    <x v="0"/>
    <x v="0"/>
    <x v="2"/>
    <s v="Medium Salary"/>
  </r>
  <r>
    <n v="588"/>
    <n v="15680998"/>
    <s v="Nwankwo"/>
    <x v="0"/>
    <s v="Male"/>
    <n v="725"/>
    <n v="44"/>
    <n v="5"/>
    <n v="0"/>
    <n v="1"/>
    <n v="1"/>
    <n v="1"/>
    <n v="117356.14"/>
    <x v="1"/>
    <x v="2"/>
    <x v="0"/>
    <s v="High Salary"/>
  </r>
  <r>
    <n v="589"/>
    <n v="15614782"/>
    <s v="Hao"/>
    <x v="0"/>
    <s v="Male"/>
    <n v="526"/>
    <n v="36"/>
    <n v="1"/>
    <n v="0"/>
    <n v="1"/>
    <n v="1"/>
    <n v="0"/>
    <n v="160696.72"/>
    <x v="1"/>
    <x v="1"/>
    <x v="0"/>
    <s v="High Salary"/>
  </r>
  <r>
    <n v="590"/>
    <n v="15591047"/>
    <s v="Ma"/>
    <x v="1"/>
    <s v="Female"/>
    <n v="519"/>
    <n v="47"/>
    <n v="6"/>
    <n v="157296.01999999999"/>
    <n v="2"/>
    <n v="0"/>
    <n v="0"/>
    <n v="147278.43"/>
    <x v="0"/>
    <x v="1"/>
    <x v="0"/>
    <s v="High Salary"/>
  </r>
  <r>
    <n v="591"/>
    <n v="15788291"/>
    <s v="Okwuadigbo"/>
    <x v="2"/>
    <s v="Female"/>
    <n v="713"/>
    <n v="38"/>
    <n v="7"/>
    <n v="144606.22"/>
    <n v="1"/>
    <n v="1"/>
    <n v="1"/>
    <n v="56594.36"/>
    <x v="0"/>
    <x v="2"/>
    <x v="0"/>
    <s v="Medium Salary"/>
  </r>
  <r>
    <n v="592"/>
    <n v="15604044"/>
    <s v="Mitchell"/>
    <x v="0"/>
    <s v="Male"/>
    <n v="700"/>
    <n v="38"/>
    <n v="8"/>
    <n v="134811.29999999999"/>
    <n v="1"/>
    <n v="1"/>
    <n v="0"/>
    <n v="1299.75"/>
    <x v="1"/>
    <x v="2"/>
    <x v="0"/>
    <s v="Low Salary"/>
  </r>
  <r>
    <n v="593"/>
    <n v="15679587"/>
    <s v="Chan"/>
    <x v="0"/>
    <s v="Female"/>
    <n v="666"/>
    <n v="34"/>
    <n v="9"/>
    <n v="115897.12"/>
    <n v="1"/>
    <n v="1"/>
    <n v="1"/>
    <n v="25095.03"/>
    <x v="1"/>
    <x v="0"/>
    <x v="0"/>
    <s v="Low Salary"/>
  </r>
  <r>
    <n v="594"/>
    <n v="15775153"/>
    <s v="Buchi"/>
    <x v="1"/>
    <s v="Male"/>
    <n v="630"/>
    <n v="32"/>
    <n v="4"/>
    <n v="82034"/>
    <n v="1"/>
    <n v="0"/>
    <n v="0"/>
    <n v="146326.45000000001"/>
    <x v="1"/>
    <x v="0"/>
    <x v="0"/>
    <s v="High Salary"/>
  </r>
  <r>
    <n v="595"/>
    <n v="15603925"/>
    <s v="Greco"/>
    <x v="1"/>
    <s v="Female"/>
    <n v="779"/>
    <n v="26"/>
    <n v="4"/>
    <n v="174318.13"/>
    <n v="2"/>
    <n v="0"/>
    <n v="1"/>
    <n v="38296.21"/>
    <x v="1"/>
    <x v="2"/>
    <x v="1"/>
    <s v="Medium Salary"/>
  </r>
  <r>
    <n v="596"/>
    <n v="15680970"/>
    <s v="Lombardi"/>
    <x v="2"/>
    <s v="Female"/>
    <n v="611"/>
    <n v="41"/>
    <n v="2"/>
    <n v="114206.84"/>
    <n v="1"/>
    <n v="1"/>
    <n v="0"/>
    <n v="164061.6"/>
    <x v="1"/>
    <x v="0"/>
    <x v="0"/>
    <s v="High Salary"/>
  </r>
  <r>
    <n v="597"/>
    <n v="15697183"/>
    <s v="Uchenna"/>
    <x v="1"/>
    <s v="Male"/>
    <n v="685"/>
    <n v="43"/>
    <n v="9"/>
    <n v="0"/>
    <n v="2"/>
    <n v="1"/>
    <n v="0"/>
    <n v="107811.28"/>
    <x v="1"/>
    <x v="2"/>
    <x v="0"/>
    <s v="High Salary"/>
  </r>
  <r>
    <n v="598"/>
    <n v="15567446"/>
    <s v="Coffman"/>
    <x v="2"/>
    <s v="Male"/>
    <n v="646"/>
    <n v="39"/>
    <n v="9"/>
    <n v="111574.41"/>
    <n v="1"/>
    <n v="1"/>
    <n v="1"/>
    <n v="30838.51"/>
    <x v="1"/>
    <x v="0"/>
    <x v="0"/>
    <s v="Medium Salary"/>
  </r>
  <r>
    <n v="599"/>
    <n v="15637476"/>
    <s v="Alexandrova"/>
    <x v="2"/>
    <s v="Female"/>
    <n v="683"/>
    <n v="57"/>
    <n v="5"/>
    <n v="162448.69"/>
    <n v="1"/>
    <n v="0"/>
    <n v="0"/>
    <n v="9221.7800000000007"/>
    <x v="0"/>
    <x v="2"/>
    <x v="2"/>
    <s v="Low Salary"/>
  </r>
  <r>
    <n v="600"/>
    <n v="15714939"/>
    <s v="Fallaci"/>
    <x v="2"/>
    <s v="Female"/>
    <n v="484"/>
    <n v="34"/>
    <n v="4"/>
    <n v="148249.54"/>
    <n v="1"/>
    <n v="0"/>
    <n v="1"/>
    <n v="33738.269999999997"/>
    <x v="1"/>
    <x v="1"/>
    <x v="0"/>
    <s v="Medium Salary"/>
  </r>
  <r>
    <n v="601"/>
    <n v="15683503"/>
    <s v="Hudson"/>
    <x v="0"/>
    <s v="Female"/>
    <n v="601"/>
    <n v="43"/>
    <n v="8"/>
    <n v="0"/>
    <n v="3"/>
    <n v="0"/>
    <n v="1"/>
    <n v="110916.15"/>
    <x v="0"/>
    <x v="0"/>
    <x v="0"/>
    <s v="High Salary"/>
  </r>
  <r>
    <n v="602"/>
    <n v="15645569"/>
    <s v="Mai"/>
    <x v="1"/>
    <s v="Female"/>
    <n v="762"/>
    <n v="26"/>
    <n v="7"/>
    <n v="123709.46"/>
    <n v="2"/>
    <n v="1"/>
    <n v="1"/>
    <n v="169654.57"/>
    <x v="1"/>
    <x v="2"/>
    <x v="1"/>
    <s v="High Salary"/>
  </r>
  <r>
    <n v="603"/>
    <n v="15782569"/>
    <s v="Stout"/>
    <x v="0"/>
    <s v="Female"/>
    <n v="687"/>
    <n v="72"/>
    <n v="9"/>
    <n v="0"/>
    <n v="1"/>
    <n v="0"/>
    <n v="1"/>
    <n v="69829.399999999994"/>
    <x v="1"/>
    <x v="2"/>
    <x v="2"/>
    <s v="Medium Salary"/>
  </r>
  <r>
    <n v="604"/>
    <n v="15592387"/>
    <s v="Burke"/>
    <x v="0"/>
    <s v="Male"/>
    <n v="566"/>
    <n v="30"/>
    <n v="5"/>
    <n v="0"/>
    <n v="1"/>
    <n v="1"/>
    <n v="0"/>
    <n v="54926.51"/>
    <x v="0"/>
    <x v="1"/>
    <x v="1"/>
    <s v="Medium Salary"/>
  </r>
  <r>
    <n v="605"/>
    <n v="15609286"/>
    <s v="Chadwick"/>
    <x v="0"/>
    <s v="Male"/>
    <n v="702"/>
    <n v="37"/>
    <n v="10"/>
    <n v="150525.79999999999"/>
    <n v="1"/>
    <n v="1"/>
    <n v="1"/>
    <n v="94728.49"/>
    <x v="1"/>
    <x v="2"/>
    <x v="0"/>
    <s v="High Salary"/>
  </r>
  <r>
    <n v="606"/>
    <n v="15814035"/>
    <s v="Lawrence"/>
    <x v="0"/>
    <s v="Male"/>
    <n v="601"/>
    <n v="29"/>
    <n v="9"/>
    <n v="0"/>
    <n v="1"/>
    <n v="1"/>
    <n v="1"/>
    <n v="80393.27"/>
    <x v="1"/>
    <x v="0"/>
    <x v="1"/>
    <s v="High Salary"/>
  </r>
  <r>
    <n v="607"/>
    <n v="15661249"/>
    <s v="Bellucci"/>
    <x v="0"/>
    <s v="Male"/>
    <n v="699"/>
    <n v="53"/>
    <n v="4"/>
    <n v="0"/>
    <n v="2"/>
    <n v="0"/>
    <n v="1"/>
    <n v="111307.98"/>
    <x v="1"/>
    <x v="2"/>
    <x v="2"/>
    <s v="High Salary"/>
  </r>
  <r>
    <n v="608"/>
    <n v="15629117"/>
    <s v="Harper"/>
    <x v="0"/>
    <s v="Male"/>
    <n v="584"/>
    <n v="28"/>
    <n v="10"/>
    <n v="0"/>
    <n v="2"/>
    <n v="1"/>
    <n v="0"/>
    <n v="19834.32"/>
    <x v="1"/>
    <x v="0"/>
    <x v="1"/>
    <s v="Low Salary"/>
  </r>
  <r>
    <n v="609"/>
    <n v="15607170"/>
    <s v="Boyle"/>
    <x v="0"/>
    <s v="Male"/>
    <n v="699"/>
    <n v="35"/>
    <n v="5"/>
    <n v="0"/>
    <n v="2"/>
    <n v="1"/>
    <n v="1"/>
    <n v="78397.240000000005"/>
    <x v="1"/>
    <x v="2"/>
    <x v="0"/>
    <s v="High Salary"/>
  </r>
  <r>
    <n v="610"/>
    <n v="15586585"/>
    <s v="Duncan"/>
    <x v="2"/>
    <s v="Female"/>
    <n v="698"/>
    <n v="51"/>
    <n v="2"/>
    <n v="111018.98"/>
    <n v="1"/>
    <n v="1"/>
    <n v="0"/>
    <n v="86410.28"/>
    <x v="1"/>
    <x v="2"/>
    <x v="2"/>
    <s v="High Salary"/>
  </r>
  <r>
    <n v="611"/>
    <n v="15686611"/>
    <s v="Moss"/>
    <x v="0"/>
    <s v="Male"/>
    <n v="495"/>
    <n v="30"/>
    <n v="10"/>
    <n v="129755.99"/>
    <n v="1"/>
    <n v="0"/>
    <n v="0"/>
    <n v="172749.65"/>
    <x v="1"/>
    <x v="1"/>
    <x v="1"/>
    <s v="High Salary"/>
  </r>
  <r>
    <n v="612"/>
    <n v="15603203"/>
    <s v="Avdeyeva"/>
    <x v="0"/>
    <s v="Female"/>
    <n v="650"/>
    <n v="27"/>
    <n v="6"/>
    <n v="0"/>
    <n v="2"/>
    <n v="1"/>
    <n v="0"/>
    <n v="1002.39"/>
    <x v="1"/>
    <x v="0"/>
    <x v="1"/>
    <s v="Low Salary"/>
  </r>
  <r>
    <n v="613"/>
    <n v="15619857"/>
    <s v="Crawford"/>
    <x v="0"/>
    <s v="Female"/>
    <n v="605"/>
    <n v="64"/>
    <n v="2"/>
    <n v="129555.7"/>
    <n v="1"/>
    <n v="1"/>
    <n v="1"/>
    <n v="13601.79"/>
    <x v="1"/>
    <x v="0"/>
    <x v="2"/>
    <s v="Low Salary"/>
  </r>
  <r>
    <n v="614"/>
    <n v="15805062"/>
    <s v="Lynton"/>
    <x v="1"/>
    <s v="Male"/>
    <n v="667"/>
    <n v="38"/>
    <n v="1"/>
    <n v="87202.38"/>
    <n v="1"/>
    <n v="1"/>
    <n v="1"/>
    <n v="77866.91"/>
    <x v="1"/>
    <x v="0"/>
    <x v="0"/>
    <s v="High Salary"/>
  </r>
  <r>
    <n v="615"/>
    <n v="15660271"/>
    <s v="Duncan"/>
    <x v="2"/>
    <s v="Male"/>
    <n v="688"/>
    <n v="26"/>
    <n v="8"/>
    <n v="146133.39000000001"/>
    <n v="1"/>
    <n v="1"/>
    <n v="1"/>
    <n v="175296.76"/>
    <x v="1"/>
    <x v="2"/>
    <x v="1"/>
    <s v="High Salary"/>
  </r>
  <r>
    <n v="616"/>
    <n v="15745295"/>
    <s v="Gether"/>
    <x v="1"/>
    <s v="Female"/>
    <n v="727"/>
    <n v="31"/>
    <n v="0"/>
    <n v="0"/>
    <n v="1"/>
    <n v="1"/>
    <n v="0"/>
    <n v="121751.03999999999"/>
    <x v="0"/>
    <x v="2"/>
    <x v="0"/>
    <s v="High Salary"/>
  </r>
  <r>
    <n v="617"/>
    <n v="15719352"/>
    <s v="Davidson"/>
    <x v="1"/>
    <s v="Male"/>
    <n v="754"/>
    <n v="39"/>
    <n v="6"/>
    <n v="170184.99"/>
    <n v="2"/>
    <n v="1"/>
    <n v="0"/>
    <n v="89593.26"/>
    <x v="1"/>
    <x v="2"/>
    <x v="0"/>
    <s v="High Salary"/>
  </r>
  <r>
    <n v="618"/>
    <n v="15766575"/>
    <s v="Larionova"/>
    <x v="2"/>
    <s v="Female"/>
    <n v="612"/>
    <n v="62"/>
    <n v="8"/>
    <n v="140745.32999999999"/>
    <n v="1"/>
    <n v="1"/>
    <n v="0"/>
    <n v="193437.89"/>
    <x v="0"/>
    <x v="0"/>
    <x v="2"/>
    <s v="High Salary"/>
  </r>
  <r>
    <n v="619"/>
    <n v="15594594"/>
    <s v="Loggia"/>
    <x v="1"/>
    <s v="Male"/>
    <n v="546"/>
    <n v="42"/>
    <n v="7"/>
    <n v="139070.51"/>
    <n v="1"/>
    <n v="1"/>
    <n v="1"/>
    <n v="86945"/>
    <x v="1"/>
    <x v="1"/>
    <x v="0"/>
    <s v="High Salary"/>
  </r>
  <r>
    <n v="620"/>
    <n v="15646161"/>
    <s v="Steinhoff"/>
    <x v="1"/>
    <s v="Female"/>
    <n v="673"/>
    <n v="37"/>
    <n v="8"/>
    <n v="0"/>
    <n v="2"/>
    <n v="1"/>
    <n v="1"/>
    <n v="183318.79"/>
    <x v="1"/>
    <x v="2"/>
    <x v="0"/>
    <s v="High Salary"/>
  </r>
  <r>
    <n v="621"/>
    <n v="15682585"/>
    <s v="Guerra"/>
    <x v="0"/>
    <s v="Male"/>
    <n v="593"/>
    <n v="35"/>
    <n v="9"/>
    <n v="114193.24"/>
    <n v="1"/>
    <n v="1"/>
    <n v="0"/>
    <n v="71154.100000000006"/>
    <x v="1"/>
    <x v="0"/>
    <x v="0"/>
    <s v="High Salary"/>
  </r>
  <r>
    <n v="622"/>
    <n v="15603134"/>
    <s v="Pai"/>
    <x v="1"/>
    <s v="Female"/>
    <n v="656"/>
    <n v="40"/>
    <n v="10"/>
    <n v="167878.5"/>
    <n v="1"/>
    <n v="0"/>
    <n v="1"/>
    <n v="151887.16"/>
    <x v="1"/>
    <x v="0"/>
    <x v="0"/>
    <s v="High Salary"/>
  </r>
  <r>
    <n v="623"/>
    <n v="15636444"/>
    <s v="Craig"/>
    <x v="2"/>
    <s v="Female"/>
    <n v="535"/>
    <n v="53"/>
    <n v="5"/>
    <n v="141616.54999999999"/>
    <n v="2"/>
    <n v="1"/>
    <n v="1"/>
    <n v="75888.649999999994"/>
    <x v="1"/>
    <x v="1"/>
    <x v="2"/>
    <s v="High Salary"/>
  </r>
  <r>
    <n v="624"/>
    <n v="15773456"/>
    <s v="Lazareva"/>
    <x v="2"/>
    <s v="Male"/>
    <n v="678"/>
    <n v="36"/>
    <n v="3"/>
    <n v="145747.67000000001"/>
    <n v="2"/>
    <n v="0"/>
    <n v="1"/>
    <n v="89566.74"/>
    <x v="1"/>
    <x v="2"/>
    <x v="0"/>
    <s v="High Salary"/>
  </r>
  <r>
    <n v="625"/>
    <n v="15745307"/>
    <s v="Ch'iu"/>
    <x v="1"/>
    <s v="Female"/>
    <n v="477"/>
    <n v="37"/>
    <n v="2"/>
    <n v="129120.64"/>
    <n v="1"/>
    <n v="0"/>
    <n v="1"/>
    <n v="26475.79"/>
    <x v="1"/>
    <x v="1"/>
    <x v="0"/>
    <s v="Low Salary"/>
  </r>
  <r>
    <n v="626"/>
    <n v="15604119"/>
    <s v="Alderete"/>
    <x v="1"/>
    <s v="Male"/>
    <n v="850"/>
    <n v="35"/>
    <n v="7"/>
    <n v="110349.82"/>
    <n v="1"/>
    <n v="0"/>
    <n v="0"/>
    <n v="126355.8"/>
    <x v="1"/>
    <x v="2"/>
    <x v="0"/>
    <s v="High Salary"/>
  </r>
  <r>
    <n v="627"/>
    <n v="15626900"/>
    <s v="Kung"/>
    <x v="0"/>
    <s v="Male"/>
    <n v="427"/>
    <n v="29"/>
    <n v="1"/>
    <n v="141325.56"/>
    <n v="1"/>
    <n v="1"/>
    <n v="1"/>
    <n v="93839.3"/>
    <x v="1"/>
    <x v="1"/>
    <x v="1"/>
    <s v="High Salary"/>
  </r>
  <r>
    <n v="628"/>
    <n v="15605447"/>
    <s v="Palermo"/>
    <x v="0"/>
    <s v="Male"/>
    <n v="752"/>
    <n v="49"/>
    <n v="2"/>
    <n v="78653.84"/>
    <n v="1"/>
    <n v="1"/>
    <n v="0"/>
    <n v="7698.6"/>
    <x v="1"/>
    <x v="2"/>
    <x v="0"/>
    <s v="Low Salary"/>
  </r>
  <r>
    <n v="629"/>
    <n v="15589030"/>
    <s v="Ts'ai"/>
    <x v="0"/>
    <s v="Male"/>
    <n v="649"/>
    <n v="47"/>
    <n v="1"/>
    <n v="0"/>
    <n v="2"/>
    <n v="1"/>
    <n v="1"/>
    <n v="145593.85"/>
    <x v="1"/>
    <x v="0"/>
    <x v="0"/>
    <s v="High Salary"/>
  </r>
  <r>
    <n v="630"/>
    <n v="15692463"/>
    <s v="Rahman"/>
    <x v="1"/>
    <s v="Female"/>
    <n v="799"/>
    <n v="37"/>
    <n v="3"/>
    <n v="142253.65"/>
    <n v="1"/>
    <n v="1"/>
    <n v="0"/>
    <n v="45042.559999999998"/>
    <x v="1"/>
    <x v="2"/>
    <x v="0"/>
    <s v="Medium Salary"/>
  </r>
  <r>
    <n v="631"/>
    <n v="15712403"/>
    <s v="McMillan"/>
    <x v="0"/>
    <s v="Female"/>
    <n v="589"/>
    <n v="61"/>
    <n v="1"/>
    <n v="0"/>
    <n v="1"/>
    <n v="1"/>
    <n v="0"/>
    <n v="61108.56"/>
    <x v="0"/>
    <x v="0"/>
    <x v="2"/>
    <s v="Medium Salary"/>
  </r>
  <r>
    <n v="632"/>
    <n v="15811762"/>
    <s v="Pickering"/>
    <x v="2"/>
    <s v="Female"/>
    <n v="583"/>
    <n v="54"/>
    <n v="6"/>
    <n v="115988.86"/>
    <n v="1"/>
    <n v="1"/>
    <n v="0"/>
    <n v="57553.98"/>
    <x v="0"/>
    <x v="0"/>
    <x v="2"/>
    <s v="Medium Salary"/>
  </r>
  <r>
    <n v="633"/>
    <n v="15718673"/>
    <s v="Mirams"/>
    <x v="1"/>
    <s v="Female"/>
    <n v="839"/>
    <n v="37"/>
    <n v="10"/>
    <n v="75592.429999999993"/>
    <n v="1"/>
    <n v="1"/>
    <n v="0"/>
    <n v="62674.42"/>
    <x v="1"/>
    <x v="2"/>
    <x v="0"/>
    <s v="Medium Salary"/>
  </r>
  <r>
    <n v="634"/>
    <n v="15724282"/>
    <s v="Tsao"/>
    <x v="2"/>
    <s v="Male"/>
    <n v="540"/>
    <n v="44"/>
    <n v="3"/>
    <n v="164113.04"/>
    <n v="2"/>
    <n v="1"/>
    <n v="1"/>
    <n v="12120.79"/>
    <x v="1"/>
    <x v="1"/>
    <x v="0"/>
    <s v="Low Salary"/>
  </r>
  <r>
    <n v="635"/>
    <n v="15738181"/>
    <s v="Douglas"/>
    <x v="0"/>
    <s v="Male"/>
    <n v="850"/>
    <n v="31"/>
    <n v="6"/>
    <n v="67996.23"/>
    <n v="2"/>
    <n v="0"/>
    <n v="0"/>
    <n v="50129.87"/>
    <x v="0"/>
    <x v="2"/>
    <x v="0"/>
    <s v="Medium Salary"/>
  </r>
  <r>
    <n v="636"/>
    <n v="15633648"/>
    <s v="Jideofor"/>
    <x v="1"/>
    <s v="Female"/>
    <n v="696"/>
    <n v="37"/>
    <n v="5"/>
    <n v="0"/>
    <n v="2"/>
    <n v="1"/>
    <n v="0"/>
    <n v="55022.43"/>
    <x v="1"/>
    <x v="2"/>
    <x v="0"/>
    <s v="Medium Salary"/>
  </r>
  <r>
    <n v="637"/>
    <n v="15603323"/>
    <s v="Bell"/>
    <x v="1"/>
    <s v="Female"/>
    <n v="660"/>
    <n v="37"/>
    <n v="1"/>
    <n v="0"/>
    <n v="2"/>
    <n v="0"/>
    <n v="0"/>
    <n v="117834.91"/>
    <x v="1"/>
    <x v="0"/>
    <x v="0"/>
    <s v="High Salary"/>
  </r>
  <r>
    <n v="638"/>
    <n v="15583725"/>
    <s v="Mairinger"/>
    <x v="0"/>
    <s v="Male"/>
    <n v="682"/>
    <n v="48"/>
    <n v="1"/>
    <n v="138778.15"/>
    <n v="1"/>
    <n v="0"/>
    <n v="1"/>
    <n v="168840.23"/>
    <x v="1"/>
    <x v="2"/>
    <x v="0"/>
    <s v="High Salary"/>
  </r>
  <r>
    <n v="639"/>
    <n v="15588350"/>
    <s v="McIntyre"/>
    <x v="0"/>
    <s v="Female"/>
    <n v="744"/>
    <n v="43"/>
    <n v="10"/>
    <n v="147832.15"/>
    <n v="1"/>
    <n v="0"/>
    <n v="1"/>
    <n v="24234.11"/>
    <x v="1"/>
    <x v="2"/>
    <x v="0"/>
    <s v="Low Salary"/>
  </r>
  <r>
    <n v="640"/>
    <n v="15798398"/>
    <s v="Pagnotto"/>
    <x v="0"/>
    <s v="Female"/>
    <n v="785"/>
    <n v="36"/>
    <n v="4"/>
    <n v="135438.39999999999"/>
    <n v="1"/>
    <n v="0"/>
    <n v="0"/>
    <n v="190627.01"/>
    <x v="1"/>
    <x v="2"/>
    <x v="0"/>
    <s v="High Salary"/>
  </r>
  <r>
    <n v="641"/>
    <n v="15784844"/>
    <s v="K'ung"/>
    <x v="1"/>
    <s v="Male"/>
    <n v="752"/>
    <n v="48"/>
    <n v="5"/>
    <n v="116060.08"/>
    <n v="1"/>
    <n v="1"/>
    <n v="0"/>
    <n v="156618.38"/>
    <x v="0"/>
    <x v="2"/>
    <x v="0"/>
    <s v="High Salary"/>
  </r>
  <r>
    <n v="642"/>
    <n v="15580684"/>
    <s v="Feng"/>
    <x v="0"/>
    <s v="Female"/>
    <n v="706"/>
    <n v="29"/>
    <n v="5"/>
    <n v="112564.62"/>
    <n v="1"/>
    <n v="1"/>
    <n v="0"/>
    <n v="42334.38"/>
    <x v="1"/>
    <x v="2"/>
    <x v="1"/>
    <s v="Medium Salary"/>
  </r>
  <r>
    <n v="643"/>
    <n v="15809663"/>
    <s v="Donaldson"/>
    <x v="0"/>
    <s v="Female"/>
    <n v="583"/>
    <n v="27"/>
    <n v="1"/>
    <n v="125406.58"/>
    <n v="1"/>
    <n v="1"/>
    <n v="1"/>
    <n v="110784.42"/>
    <x v="1"/>
    <x v="0"/>
    <x v="1"/>
    <s v="High Salary"/>
  </r>
  <r>
    <n v="644"/>
    <n v="15640078"/>
    <s v="Chambers"/>
    <x v="2"/>
    <s v="Female"/>
    <n v="660"/>
    <n v="39"/>
    <n v="5"/>
    <n v="135134.99"/>
    <n v="1"/>
    <n v="1"/>
    <n v="0"/>
    <n v="173683"/>
    <x v="0"/>
    <x v="0"/>
    <x v="0"/>
    <s v="High Salary"/>
  </r>
  <r>
    <n v="645"/>
    <n v="15698786"/>
    <s v="Marcelo"/>
    <x v="0"/>
    <s v="Female"/>
    <n v="819"/>
    <n v="39"/>
    <n v="9"/>
    <n v="133102.92000000001"/>
    <n v="1"/>
    <n v="1"/>
    <n v="0"/>
    <n v="27046.46"/>
    <x v="0"/>
    <x v="2"/>
    <x v="0"/>
    <s v="Low Salary"/>
  </r>
  <r>
    <n v="646"/>
    <n v="15569807"/>
    <s v="Ejimofor"/>
    <x v="0"/>
    <s v="Female"/>
    <n v="673"/>
    <n v="34"/>
    <n v="8"/>
    <n v="42157.08"/>
    <n v="1"/>
    <n v="1"/>
    <n v="0"/>
    <n v="20598.59"/>
    <x v="0"/>
    <x v="2"/>
    <x v="0"/>
    <s v="Low Salary"/>
  </r>
  <r>
    <n v="647"/>
    <n v="15730830"/>
    <s v="Dale"/>
    <x v="0"/>
    <s v="Female"/>
    <n v="752"/>
    <n v="30"/>
    <n v="3"/>
    <n v="0"/>
    <n v="2"/>
    <n v="1"/>
    <n v="1"/>
    <n v="104991.28"/>
    <x v="1"/>
    <x v="2"/>
    <x v="1"/>
    <s v="High Salary"/>
  </r>
  <r>
    <n v="648"/>
    <n v="15805112"/>
    <s v="Pokrovsky"/>
    <x v="0"/>
    <s v="Male"/>
    <n v="578"/>
    <n v="38"/>
    <n v="7"/>
    <n v="82259.289999999994"/>
    <n v="1"/>
    <n v="1"/>
    <n v="0"/>
    <n v="8996.9699999999993"/>
    <x v="1"/>
    <x v="1"/>
    <x v="0"/>
    <s v="Low Salary"/>
  </r>
  <r>
    <n v="649"/>
    <n v="15633064"/>
    <s v="Stonebraker"/>
    <x v="0"/>
    <s v="Female"/>
    <n v="438"/>
    <n v="36"/>
    <n v="4"/>
    <n v="0"/>
    <n v="2"/>
    <n v="1"/>
    <n v="0"/>
    <n v="64420.5"/>
    <x v="1"/>
    <x v="1"/>
    <x v="0"/>
    <s v="Medium Salary"/>
  </r>
  <r>
    <n v="650"/>
    <n v="15703119"/>
    <s v="Liang"/>
    <x v="0"/>
    <s v="Male"/>
    <n v="652"/>
    <n v="38"/>
    <n v="6"/>
    <n v="0"/>
    <n v="2"/>
    <n v="1"/>
    <n v="1"/>
    <n v="145700.22"/>
    <x v="1"/>
    <x v="0"/>
    <x v="0"/>
    <s v="High Salary"/>
  </r>
  <r>
    <n v="651"/>
    <n v="15730447"/>
    <s v="Anderson"/>
    <x v="0"/>
    <s v="Female"/>
    <n v="629"/>
    <n v="49"/>
    <n v="4"/>
    <n v="0"/>
    <n v="2"/>
    <n v="1"/>
    <n v="1"/>
    <n v="196335.48"/>
    <x v="1"/>
    <x v="0"/>
    <x v="0"/>
    <s v="High Salary"/>
  </r>
  <r>
    <n v="652"/>
    <n v="15813850"/>
    <s v="Christian"/>
    <x v="0"/>
    <s v="Male"/>
    <n v="720"/>
    <n v="52"/>
    <n v="7"/>
    <n v="0"/>
    <n v="1"/>
    <n v="1"/>
    <n v="1"/>
    <n v="14781.12"/>
    <x v="1"/>
    <x v="2"/>
    <x v="2"/>
    <s v="Low Salary"/>
  </r>
  <r>
    <n v="653"/>
    <n v="15711889"/>
    <s v="Mao"/>
    <x v="0"/>
    <s v="Male"/>
    <n v="668"/>
    <n v="42"/>
    <n v="3"/>
    <n v="150461.07"/>
    <n v="1"/>
    <n v="1"/>
    <n v="0"/>
    <n v="108139.23"/>
    <x v="1"/>
    <x v="0"/>
    <x v="0"/>
    <s v="High Salary"/>
  </r>
  <r>
    <n v="654"/>
    <n v="15664610"/>
    <s v="Campbell"/>
    <x v="2"/>
    <s v="Male"/>
    <n v="459"/>
    <n v="48"/>
    <n v="4"/>
    <n v="133994.51999999999"/>
    <n v="1"/>
    <n v="1"/>
    <n v="1"/>
    <n v="19287.060000000001"/>
    <x v="0"/>
    <x v="1"/>
    <x v="0"/>
    <s v="Low Salary"/>
  </r>
  <r>
    <n v="655"/>
    <n v="15751710"/>
    <s v="Ginikanwa"/>
    <x v="1"/>
    <s v="Male"/>
    <n v="729"/>
    <n v="31"/>
    <n v="8"/>
    <n v="164870.81"/>
    <n v="2"/>
    <n v="1"/>
    <n v="1"/>
    <n v="9567.39"/>
    <x v="1"/>
    <x v="2"/>
    <x v="0"/>
    <s v="Low Salary"/>
  </r>
  <r>
    <n v="656"/>
    <n v="15692926"/>
    <s v="Toscani"/>
    <x v="2"/>
    <s v="Male"/>
    <n v="498"/>
    <n v="25"/>
    <n v="8"/>
    <n v="121702.73"/>
    <n v="1"/>
    <n v="1"/>
    <n v="1"/>
    <n v="132210.49"/>
    <x v="1"/>
    <x v="1"/>
    <x v="1"/>
    <s v="High Salary"/>
  </r>
  <r>
    <n v="657"/>
    <n v="15813741"/>
    <s v="Nnachetam"/>
    <x v="1"/>
    <s v="Male"/>
    <n v="549"/>
    <n v="25"/>
    <n v="6"/>
    <n v="193858.2"/>
    <n v="1"/>
    <n v="0"/>
    <n v="1"/>
    <n v="21600.11"/>
    <x v="1"/>
    <x v="1"/>
    <x v="1"/>
    <s v="Low Salary"/>
  </r>
  <r>
    <n v="658"/>
    <n v="15698474"/>
    <s v="Sagese"/>
    <x v="2"/>
    <s v="Female"/>
    <n v="601"/>
    <n v="54"/>
    <n v="1"/>
    <n v="131039.97"/>
    <n v="2"/>
    <n v="1"/>
    <n v="1"/>
    <n v="199661.5"/>
    <x v="1"/>
    <x v="0"/>
    <x v="2"/>
    <s v="High Salary"/>
  </r>
  <r>
    <n v="659"/>
    <n v="15568595"/>
    <s v="Fleming"/>
    <x v="0"/>
    <s v="Male"/>
    <n v="544"/>
    <n v="64"/>
    <n v="9"/>
    <n v="113829.45"/>
    <n v="1"/>
    <n v="1"/>
    <n v="1"/>
    <n v="124341.49"/>
    <x v="1"/>
    <x v="1"/>
    <x v="2"/>
    <s v="High Salary"/>
  </r>
  <r>
    <n v="660"/>
    <n v="15603065"/>
    <s v="Grubb"/>
    <x v="0"/>
    <s v="Female"/>
    <n v="751"/>
    <n v="30"/>
    <n v="6"/>
    <n v="0"/>
    <n v="2"/>
    <n v="1"/>
    <n v="0"/>
    <n v="15766.1"/>
    <x v="1"/>
    <x v="2"/>
    <x v="1"/>
    <s v="Low Salary"/>
  </r>
  <r>
    <n v="661"/>
    <n v="15592937"/>
    <s v="Napolitani"/>
    <x v="2"/>
    <s v="Female"/>
    <n v="632"/>
    <n v="41"/>
    <n v="3"/>
    <n v="81877.38"/>
    <n v="1"/>
    <n v="1"/>
    <n v="1"/>
    <n v="33642.21"/>
    <x v="1"/>
    <x v="0"/>
    <x v="0"/>
    <s v="Medium Salary"/>
  </r>
  <r>
    <n v="662"/>
    <n v="15699637"/>
    <s v="Anenechi"/>
    <x v="1"/>
    <s v="Male"/>
    <n v="694"/>
    <n v="57"/>
    <n v="8"/>
    <n v="116326.07"/>
    <n v="1"/>
    <n v="1"/>
    <n v="1"/>
    <n v="117704.65"/>
    <x v="1"/>
    <x v="2"/>
    <x v="2"/>
    <s v="High Salary"/>
  </r>
  <r>
    <n v="663"/>
    <n v="15667215"/>
    <s v="Chandler"/>
    <x v="0"/>
    <s v="Male"/>
    <n v="678"/>
    <n v="31"/>
    <n v="2"/>
    <n v="0"/>
    <n v="2"/>
    <n v="1"/>
    <n v="1"/>
    <n v="58803.28"/>
    <x v="1"/>
    <x v="2"/>
    <x v="0"/>
    <s v="Medium Salary"/>
  </r>
  <r>
    <n v="664"/>
    <n v="15788659"/>
    <s v="Howells"/>
    <x v="0"/>
    <s v="Male"/>
    <n v="695"/>
    <n v="46"/>
    <n v="4"/>
    <n v="0"/>
    <n v="2"/>
    <n v="1"/>
    <n v="1"/>
    <n v="137537.22"/>
    <x v="1"/>
    <x v="2"/>
    <x v="0"/>
    <s v="High Salary"/>
  </r>
  <r>
    <n v="665"/>
    <n v="15763218"/>
    <s v="Akeroyd"/>
    <x v="0"/>
    <s v="Female"/>
    <n v="661"/>
    <n v="41"/>
    <n v="1"/>
    <n v="0"/>
    <n v="2"/>
    <n v="0"/>
    <n v="1"/>
    <n v="131300.68"/>
    <x v="1"/>
    <x v="0"/>
    <x v="0"/>
    <s v="High Salary"/>
  </r>
  <r>
    <n v="666"/>
    <n v="15645772"/>
    <s v="Onwumelu"/>
    <x v="0"/>
    <s v="Male"/>
    <n v="661"/>
    <n v="33"/>
    <n v="9"/>
    <n v="0"/>
    <n v="2"/>
    <n v="1"/>
    <n v="1"/>
    <n v="84174.81"/>
    <x v="1"/>
    <x v="0"/>
    <x v="0"/>
    <s v="High Salary"/>
  </r>
  <r>
    <n v="667"/>
    <n v="15725511"/>
    <s v="Wallace"/>
    <x v="0"/>
    <s v="Female"/>
    <n v="559"/>
    <n v="31"/>
    <n v="3"/>
    <n v="127070.73"/>
    <n v="1"/>
    <n v="0"/>
    <n v="1"/>
    <n v="160941.78"/>
    <x v="1"/>
    <x v="1"/>
    <x v="0"/>
    <s v="High Salary"/>
  </r>
  <r>
    <n v="668"/>
    <n v="15575024"/>
    <s v="Uwaezuoke"/>
    <x v="0"/>
    <s v="Male"/>
    <n v="503"/>
    <n v="29"/>
    <n v="3"/>
    <n v="0"/>
    <n v="2"/>
    <n v="1"/>
    <n v="1"/>
    <n v="143954.99"/>
    <x v="1"/>
    <x v="1"/>
    <x v="1"/>
    <s v="High Salary"/>
  </r>
  <r>
    <n v="669"/>
    <n v="15640825"/>
    <s v="Loyau"/>
    <x v="1"/>
    <s v="Male"/>
    <n v="695"/>
    <n v="46"/>
    <n v="3"/>
    <n v="122549.64"/>
    <n v="1"/>
    <n v="1"/>
    <n v="1"/>
    <n v="56297.85"/>
    <x v="1"/>
    <x v="2"/>
    <x v="0"/>
    <s v="Medium Salary"/>
  </r>
  <r>
    <n v="670"/>
    <n v="15662397"/>
    <s v="Small"/>
    <x v="0"/>
    <s v="Female"/>
    <n v="640"/>
    <n v="42"/>
    <n v="5"/>
    <n v="176099.13"/>
    <n v="1"/>
    <n v="1"/>
    <n v="1"/>
    <n v="8404.73"/>
    <x v="1"/>
    <x v="0"/>
    <x v="0"/>
    <s v="Low Salary"/>
  </r>
  <r>
    <n v="671"/>
    <n v="15576368"/>
    <s v="Bledsoe"/>
    <x v="2"/>
    <s v="Female"/>
    <n v="624"/>
    <n v="48"/>
    <n v="3"/>
    <n v="122388.38"/>
    <n v="2"/>
    <n v="0"/>
    <n v="0"/>
    <n v="30020.09"/>
    <x v="1"/>
    <x v="0"/>
    <x v="0"/>
    <s v="Medium Salary"/>
  </r>
  <r>
    <n v="672"/>
    <n v="15674991"/>
    <s v="Kao"/>
    <x v="0"/>
    <s v="Male"/>
    <n v="667"/>
    <n v="42"/>
    <n v="9"/>
    <n v="0"/>
    <n v="2"/>
    <n v="0"/>
    <n v="1"/>
    <n v="58137.42"/>
    <x v="1"/>
    <x v="0"/>
    <x v="0"/>
    <s v="Medium Salary"/>
  </r>
  <r>
    <n v="673"/>
    <n v="15721024"/>
    <s v="Wickens"/>
    <x v="0"/>
    <s v="Male"/>
    <n v="642"/>
    <n v="26"/>
    <n v="0"/>
    <n v="0"/>
    <n v="1"/>
    <n v="0"/>
    <n v="0"/>
    <n v="47472.68"/>
    <x v="1"/>
    <x v="0"/>
    <x v="1"/>
    <s v="Medium Salary"/>
  </r>
  <r>
    <n v="674"/>
    <n v="15745621"/>
    <s v="Wertheim"/>
    <x v="1"/>
    <s v="Female"/>
    <n v="640"/>
    <n v="37"/>
    <n v="6"/>
    <n v="118879.35"/>
    <n v="2"/>
    <n v="1"/>
    <n v="1"/>
    <n v="19131.71"/>
    <x v="1"/>
    <x v="0"/>
    <x v="0"/>
    <s v="Low Salary"/>
  </r>
  <r>
    <n v="675"/>
    <n v="15642394"/>
    <s v="He"/>
    <x v="1"/>
    <s v="Male"/>
    <n v="529"/>
    <n v="35"/>
    <n v="5"/>
    <n v="0"/>
    <n v="2"/>
    <n v="1"/>
    <n v="1"/>
    <n v="187288.5"/>
    <x v="1"/>
    <x v="1"/>
    <x v="0"/>
    <s v="High Salary"/>
  </r>
  <r>
    <n v="676"/>
    <n v="15754605"/>
    <s v="Jarvis"/>
    <x v="0"/>
    <s v="Female"/>
    <n v="563"/>
    <n v="39"/>
    <n v="5"/>
    <n v="0"/>
    <n v="2"/>
    <n v="1"/>
    <n v="1"/>
    <n v="17603.810000000001"/>
    <x v="1"/>
    <x v="1"/>
    <x v="0"/>
    <s v="Low Salary"/>
  </r>
  <r>
    <n v="677"/>
    <n v="15607040"/>
    <s v="P'an"/>
    <x v="1"/>
    <s v="Female"/>
    <n v="593"/>
    <n v="37"/>
    <n v="4"/>
    <n v="88736.44"/>
    <n v="2"/>
    <n v="1"/>
    <n v="0"/>
    <n v="67020.03"/>
    <x v="1"/>
    <x v="0"/>
    <x v="0"/>
    <s v="Medium Salary"/>
  </r>
  <r>
    <n v="678"/>
    <n v="15715142"/>
    <s v="Repina"/>
    <x v="2"/>
    <s v="Male"/>
    <n v="739"/>
    <n v="45"/>
    <n v="7"/>
    <n v="102703.62"/>
    <n v="1"/>
    <n v="0"/>
    <n v="1"/>
    <n v="147802.94"/>
    <x v="0"/>
    <x v="2"/>
    <x v="0"/>
    <s v="High Salary"/>
  </r>
  <r>
    <n v="679"/>
    <n v="15810978"/>
    <s v="Pugliesi"/>
    <x v="1"/>
    <s v="Female"/>
    <n v="788"/>
    <n v="37"/>
    <n v="1"/>
    <n v="0"/>
    <n v="2"/>
    <n v="1"/>
    <n v="1"/>
    <n v="41610.620000000003"/>
    <x v="1"/>
    <x v="2"/>
    <x v="0"/>
    <s v="Medium Salary"/>
  </r>
  <r>
    <n v="680"/>
    <n v="15668886"/>
    <s v="Blakey"/>
    <x v="1"/>
    <s v="Female"/>
    <n v="684"/>
    <n v="37"/>
    <n v="3"/>
    <n v="0"/>
    <n v="2"/>
    <n v="1"/>
    <n v="0"/>
    <n v="44255.65"/>
    <x v="1"/>
    <x v="2"/>
    <x v="0"/>
    <s v="Medium Salary"/>
  </r>
  <r>
    <n v="681"/>
    <n v="15780804"/>
    <s v="Nucci"/>
    <x v="0"/>
    <s v="Male"/>
    <n v="482"/>
    <n v="55"/>
    <n v="5"/>
    <n v="97318.25"/>
    <n v="1"/>
    <n v="0"/>
    <n v="1"/>
    <n v="78416.14"/>
    <x v="1"/>
    <x v="1"/>
    <x v="2"/>
    <s v="High Salary"/>
  </r>
  <r>
    <n v="682"/>
    <n v="15613880"/>
    <s v="Higinbotham"/>
    <x v="1"/>
    <s v="Male"/>
    <n v="591"/>
    <n v="58"/>
    <n v="5"/>
    <n v="128468.69"/>
    <n v="1"/>
    <n v="0"/>
    <n v="1"/>
    <n v="137254.54999999999"/>
    <x v="1"/>
    <x v="0"/>
    <x v="2"/>
    <s v="High Salary"/>
  </r>
  <r>
    <n v="683"/>
    <n v="15775238"/>
    <s v="Achebe"/>
    <x v="2"/>
    <s v="Female"/>
    <n v="651"/>
    <n v="41"/>
    <n v="4"/>
    <n v="133432.59"/>
    <n v="1"/>
    <n v="0"/>
    <n v="1"/>
    <n v="151303.48000000001"/>
    <x v="1"/>
    <x v="0"/>
    <x v="0"/>
    <s v="High Salary"/>
  </r>
  <r>
    <n v="684"/>
    <n v="15786905"/>
    <s v="Russo"/>
    <x v="2"/>
    <s v="Female"/>
    <n v="749"/>
    <n v="40"/>
    <n v="8"/>
    <n v="141782.57"/>
    <n v="2"/>
    <n v="0"/>
    <n v="0"/>
    <n v="86333.63"/>
    <x v="1"/>
    <x v="2"/>
    <x v="0"/>
    <s v="High Salary"/>
  </r>
  <r>
    <n v="685"/>
    <n v="15747867"/>
    <s v="Trevisani"/>
    <x v="0"/>
    <s v="Male"/>
    <n v="583"/>
    <n v="24"/>
    <n v="9"/>
    <n v="135125.28"/>
    <n v="1"/>
    <n v="0"/>
    <n v="0"/>
    <n v="89801.9"/>
    <x v="1"/>
    <x v="0"/>
    <x v="1"/>
    <s v="High Salary"/>
  </r>
  <r>
    <n v="686"/>
    <n v="15600337"/>
    <s v="Dobie"/>
    <x v="1"/>
    <s v="Male"/>
    <n v="661"/>
    <n v="42"/>
    <n v="2"/>
    <n v="178820.91"/>
    <n v="1"/>
    <n v="0"/>
    <n v="0"/>
    <n v="29358.57"/>
    <x v="0"/>
    <x v="0"/>
    <x v="0"/>
    <s v="Low Salary"/>
  </r>
  <r>
    <n v="687"/>
    <n v="15801277"/>
    <s v="Maccallum"/>
    <x v="0"/>
    <s v="Female"/>
    <n v="715"/>
    <n v="31"/>
    <n v="2"/>
    <n v="112212.14"/>
    <n v="2"/>
    <n v="1"/>
    <n v="1"/>
    <n v="181600.72"/>
    <x v="1"/>
    <x v="2"/>
    <x v="0"/>
    <s v="High Salary"/>
  </r>
  <r>
    <n v="688"/>
    <n v="15579334"/>
    <s v="Watkins"/>
    <x v="2"/>
    <s v="Female"/>
    <n v="769"/>
    <n v="45"/>
    <n v="5"/>
    <n v="126674.81"/>
    <n v="1"/>
    <n v="1"/>
    <n v="0"/>
    <n v="124118.71"/>
    <x v="0"/>
    <x v="2"/>
    <x v="0"/>
    <s v="High Salary"/>
  </r>
  <r>
    <n v="689"/>
    <n v="15802741"/>
    <s v="Mitchel"/>
    <x v="0"/>
    <s v="Female"/>
    <n v="625"/>
    <n v="51"/>
    <n v="7"/>
    <n v="136294.97"/>
    <n v="1"/>
    <n v="1"/>
    <n v="0"/>
    <n v="38867.46"/>
    <x v="0"/>
    <x v="0"/>
    <x v="2"/>
    <s v="Medium Salary"/>
  </r>
  <r>
    <n v="690"/>
    <n v="15720649"/>
    <s v="Ferdinand"/>
    <x v="0"/>
    <s v="Female"/>
    <n v="641"/>
    <n v="36"/>
    <n v="5"/>
    <n v="66392.639999999999"/>
    <n v="1"/>
    <n v="1"/>
    <n v="0"/>
    <n v="31106.67"/>
    <x v="1"/>
    <x v="0"/>
    <x v="0"/>
    <s v="Medium Salary"/>
  </r>
  <r>
    <n v="691"/>
    <n v="15589493"/>
    <s v="Otitodilinna"/>
    <x v="2"/>
    <s v="Male"/>
    <n v="716"/>
    <n v="27"/>
    <n v="1"/>
    <n v="122552.34"/>
    <n v="2"/>
    <n v="1"/>
    <n v="0"/>
    <n v="67611.360000000001"/>
    <x v="1"/>
    <x v="2"/>
    <x v="1"/>
    <s v="Medium Salary"/>
  </r>
  <r>
    <n v="692"/>
    <n v="15688251"/>
    <s v="Mamelu"/>
    <x v="0"/>
    <s v="Male"/>
    <n v="767"/>
    <n v="43"/>
    <n v="1"/>
    <n v="76408.850000000006"/>
    <n v="2"/>
    <n v="1"/>
    <n v="0"/>
    <n v="77837.63"/>
    <x v="1"/>
    <x v="2"/>
    <x v="0"/>
    <s v="High Salary"/>
  </r>
  <r>
    <n v="693"/>
    <n v="15665238"/>
    <s v="Beneventi"/>
    <x v="2"/>
    <s v="Male"/>
    <n v="745"/>
    <n v="36"/>
    <n v="8"/>
    <n v="145071.24"/>
    <n v="1"/>
    <n v="0"/>
    <n v="0"/>
    <n v="6078.46"/>
    <x v="1"/>
    <x v="2"/>
    <x v="0"/>
    <s v="Low Salary"/>
  </r>
  <r>
    <n v="694"/>
    <n v="15740900"/>
    <s v="Perrodin"/>
    <x v="0"/>
    <s v="Male"/>
    <n v="589"/>
    <n v="34"/>
    <n v="6"/>
    <n v="0"/>
    <n v="2"/>
    <n v="1"/>
    <n v="1"/>
    <n v="177896.92"/>
    <x v="1"/>
    <x v="0"/>
    <x v="0"/>
    <s v="High Salary"/>
  </r>
  <r>
    <n v="695"/>
    <n v="15681068"/>
    <s v="Chinagorom"/>
    <x v="0"/>
    <s v="Female"/>
    <n v="796"/>
    <n v="45"/>
    <n v="2"/>
    <n v="109730.22"/>
    <n v="1"/>
    <n v="1"/>
    <n v="1"/>
    <n v="123882.73"/>
    <x v="1"/>
    <x v="2"/>
    <x v="0"/>
    <s v="High Salary"/>
  </r>
  <r>
    <n v="696"/>
    <n v="15748625"/>
    <s v="Napolitano"/>
    <x v="0"/>
    <s v="Male"/>
    <n v="664"/>
    <n v="57"/>
    <n v="6"/>
    <n v="0"/>
    <n v="2"/>
    <n v="1"/>
    <n v="1"/>
    <n v="15304.08"/>
    <x v="1"/>
    <x v="0"/>
    <x v="2"/>
    <s v="Low Salary"/>
  </r>
  <r>
    <n v="697"/>
    <n v="15727299"/>
    <s v="Edgar"/>
    <x v="1"/>
    <s v="Male"/>
    <n v="445"/>
    <n v="62"/>
    <n v="1"/>
    <n v="64119.38"/>
    <n v="1"/>
    <n v="1"/>
    <n v="1"/>
    <n v="76569.64"/>
    <x v="0"/>
    <x v="1"/>
    <x v="2"/>
    <s v="High Salary"/>
  </r>
  <r>
    <n v="698"/>
    <n v="15620204"/>
    <s v="Walker"/>
    <x v="2"/>
    <s v="Female"/>
    <n v="543"/>
    <n v="57"/>
    <n v="1"/>
    <n v="106138.33"/>
    <n v="2"/>
    <n v="1"/>
    <n v="1"/>
    <n v="120657.32"/>
    <x v="0"/>
    <x v="1"/>
    <x v="2"/>
    <s v="High Salary"/>
  </r>
  <r>
    <n v="699"/>
    <n v="15669516"/>
    <s v="Steele"/>
    <x v="1"/>
    <s v="Male"/>
    <n v="746"/>
    <n v="36"/>
    <n v="2"/>
    <n v="0"/>
    <n v="2"/>
    <n v="1"/>
    <n v="1"/>
    <n v="16436.560000000001"/>
    <x v="1"/>
    <x v="2"/>
    <x v="0"/>
    <s v="Low Salary"/>
  </r>
  <r>
    <n v="700"/>
    <n v="15736534"/>
    <s v="Elkins"/>
    <x v="2"/>
    <s v="Male"/>
    <n v="742"/>
    <n v="33"/>
    <n v="0"/>
    <n v="181656.51"/>
    <n v="1"/>
    <n v="1"/>
    <n v="1"/>
    <n v="107667.91"/>
    <x v="1"/>
    <x v="2"/>
    <x v="0"/>
    <s v="High Salary"/>
  </r>
  <r>
    <n v="701"/>
    <n v="15803457"/>
    <s v="Hao"/>
    <x v="0"/>
    <s v="Female"/>
    <n v="750"/>
    <n v="32"/>
    <n v="5"/>
    <n v="0"/>
    <n v="2"/>
    <n v="1"/>
    <n v="0"/>
    <n v="95611.47"/>
    <x v="1"/>
    <x v="2"/>
    <x v="0"/>
    <s v="High Salary"/>
  </r>
  <r>
    <n v="702"/>
    <n v="15659098"/>
    <s v="Toscano"/>
    <x v="0"/>
    <s v="Male"/>
    <n v="669"/>
    <n v="30"/>
    <n v="7"/>
    <n v="95128.86"/>
    <n v="1"/>
    <n v="0"/>
    <n v="0"/>
    <n v="19799.259999999998"/>
    <x v="1"/>
    <x v="0"/>
    <x v="1"/>
    <s v="Low Salary"/>
  </r>
  <r>
    <n v="703"/>
    <n v="15603436"/>
    <s v="Savage"/>
    <x v="1"/>
    <s v="Female"/>
    <n v="594"/>
    <n v="37"/>
    <n v="2"/>
    <n v="126615.94"/>
    <n v="2"/>
    <n v="0"/>
    <n v="1"/>
    <n v="123214.74"/>
    <x v="1"/>
    <x v="0"/>
    <x v="0"/>
    <s v="High Salary"/>
  </r>
  <r>
    <n v="704"/>
    <n v="15566292"/>
    <s v="Okwuadigbo"/>
    <x v="1"/>
    <s v="Male"/>
    <n v="574"/>
    <n v="36"/>
    <n v="1"/>
    <n v="0"/>
    <n v="2"/>
    <n v="0"/>
    <n v="1"/>
    <n v="71709.119999999995"/>
    <x v="1"/>
    <x v="1"/>
    <x v="0"/>
    <s v="High Salary"/>
  </r>
  <r>
    <n v="705"/>
    <n v="15808621"/>
    <s v="Mordvinova"/>
    <x v="2"/>
    <s v="Male"/>
    <n v="659"/>
    <n v="36"/>
    <n v="2"/>
    <n v="76190.48"/>
    <n v="2"/>
    <n v="1"/>
    <n v="1"/>
    <n v="149066.14000000001"/>
    <x v="1"/>
    <x v="0"/>
    <x v="0"/>
    <s v="High Salary"/>
  </r>
  <r>
    <n v="706"/>
    <n v="15580148"/>
    <s v="Welch"/>
    <x v="2"/>
    <s v="Male"/>
    <n v="750"/>
    <n v="40"/>
    <n v="5"/>
    <n v="168286.81"/>
    <n v="3"/>
    <n v="1"/>
    <n v="0"/>
    <n v="20451.990000000002"/>
    <x v="0"/>
    <x v="2"/>
    <x v="0"/>
    <s v="Low Salary"/>
  </r>
  <r>
    <n v="707"/>
    <n v="15776231"/>
    <s v="Kent"/>
    <x v="2"/>
    <s v="Male"/>
    <n v="626"/>
    <n v="35"/>
    <n v="4"/>
    <n v="88109.81"/>
    <n v="1"/>
    <n v="1"/>
    <n v="1"/>
    <n v="32825.5"/>
    <x v="1"/>
    <x v="0"/>
    <x v="0"/>
    <s v="Medium Salary"/>
  </r>
  <r>
    <n v="708"/>
    <n v="15773809"/>
    <s v="Campbell"/>
    <x v="0"/>
    <s v="Male"/>
    <n v="620"/>
    <n v="42"/>
    <n v="4"/>
    <n v="0"/>
    <n v="2"/>
    <n v="1"/>
    <n v="0"/>
    <n v="6232.31"/>
    <x v="1"/>
    <x v="0"/>
    <x v="0"/>
    <s v="Low Salary"/>
  </r>
  <r>
    <n v="709"/>
    <n v="15649423"/>
    <s v="Cooper"/>
    <x v="0"/>
    <s v="Female"/>
    <n v="580"/>
    <n v="35"/>
    <n v="8"/>
    <n v="0"/>
    <n v="2"/>
    <n v="0"/>
    <n v="1"/>
    <n v="10357.030000000001"/>
    <x v="1"/>
    <x v="0"/>
    <x v="0"/>
    <s v="Low Salary"/>
  </r>
  <r>
    <n v="710"/>
    <n v="15734886"/>
    <s v="Mazzi"/>
    <x v="0"/>
    <s v="Female"/>
    <n v="686"/>
    <n v="34"/>
    <n v="3"/>
    <n v="123971.51"/>
    <n v="2"/>
    <n v="1"/>
    <n v="0"/>
    <n v="147794.63"/>
    <x v="1"/>
    <x v="2"/>
    <x v="0"/>
    <s v="High Salary"/>
  </r>
  <r>
    <n v="711"/>
    <n v="15722548"/>
    <s v="Fisher"/>
    <x v="0"/>
    <s v="Male"/>
    <n v="540"/>
    <n v="48"/>
    <n v="0"/>
    <n v="148116.48000000001"/>
    <n v="1"/>
    <n v="0"/>
    <n v="0"/>
    <n v="116973.48"/>
    <x v="1"/>
    <x v="1"/>
    <x v="0"/>
    <s v="High Salary"/>
  </r>
  <r>
    <n v="712"/>
    <n v="15650288"/>
    <s v="Summers"/>
    <x v="2"/>
    <s v="Male"/>
    <n v="634"/>
    <n v="35"/>
    <n v="6"/>
    <n v="116269.01"/>
    <n v="1"/>
    <n v="1"/>
    <n v="0"/>
    <n v="129964.94"/>
    <x v="1"/>
    <x v="0"/>
    <x v="0"/>
    <s v="High Salary"/>
  </r>
  <r>
    <n v="713"/>
    <n v="15629448"/>
    <s v="Brady"/>
    <x v="1"/>
    <s v="Male"/>
    <n v="632"/>
    <n v="38"/>
    <n v="1"/>
    <n v="120599.21"/>
    <n v="1"/>
    <n v="1"/>
    <n v="0"/>
    <n v="92816.86"/>
    <x v="1"/>
    <x v="0"/>
    <x v="0"/>
    <s v="High Salary"/>
  </r>
  <r>
    <n v="714"/>
    <n v="15716164"/>
    <s v="Nicholls"/>
    <x v="0"/>
    <s v="Female"/>
    <n v="501"/>
    <n v="41"/>
    <n v="3"/>
    <n v="144260.5"/>
    <n v="1"/>
    <n v="1"/>
    <n v="0"/>
    <n v="172114.67"/>
    <x v="1"/>
    <x v="1"/>
    <x v="0"/>
    <s v="High Salary"/>
  </r>
  <r>
    <n v="715"/>
    <n v="15807609"/>
    <s v="Yuan"/>
    <x v="1"/>
    <s v="Female"/>
    <n v="650"/>
    <n v="37"/>
    <n v="3"/>
    <n v="86605.5"/>
    <n v="3"/>
    <n v="1"/>
    <n v="0"/>
    <n v="16649.310000000001"/>
    <x v="0"/>
    <x v="0"/>
    <x v="0"/>
    <s v="Low Salary"/>
  </r>
  <r>
    <n v="716"/>
    <n v="15578977"/>
    <s v="Robinson"/>
    <x v="0"/>
    <s v="Male"/>
    <n v="786"/>
    <n v="34"/>
    <n v="9"/>
    <n v="0"/>
    <n v="2"/>
    <n v="1"/>
    <n v="0"/>
    <n v="144517.19"/>
    <x v="1"/>
    <x v="2"/>
    <x v="0"/>
    <s v="High Salary"/>
  </r>
  <r>
    <n v="717"/>
    <n v="15677369"/>
    <s v="Golubov"/>
    <x v="2"/>
    <s v="Female"/>
    <n v="554"/>
    <n v="37"/>
    <n v="4"/>
    <n v="58629.97"/>
    <n v="1"/>
    <n v="0"/>
    <n v="0"/>
    <n v="182038.6"/>
    <x v="1"/>
    <x v="1"/>
    <x v="0"/>
    <s v="High Salary"/>
  </r>
  <r>
    <n v="718"/>
    <n v="15804072"/>
    <s v="Chen"/>
    <x v="1"/>
    <s v="Female"/>
    <n v="701"/>
    <n v="42"/>
    <n v="5"/>
    <n v="0"/>
    <n v="2"/>
    <n v="0"/>
    <n v="0"/>
    <n v="24210.560000000001"/>
    <x v="1"/>
    <x v="2"/>
    <x v="0"/>
    <s v="Low Salary"/>
  </r>
  <r>
    <n v="719"/>
    <n v="15696859"/>
    <s v="Oldham"/>
    <x v="0"/>
    <s v="Male"/>
    <n v="474"/>
    <n v="45"/>
    <n v="10"/>
    <n v="0"/>
    <n v="2"/>
    <n v="0"/>
    <n v="0"/>
    <n v="172175.9"/>
    <x v="1"/>
    <x v="1"/>
    <x v="0"/>
    <s v="High Salary"/>
  </r>
  <r>
    <n v="720"/>
    <n v="15653780"/>
    <s v="Kambinachi"/>
    <x v="0"/>
    <s v="Female"/>
    <n v="621"/>
    <n v="43"/>
    <n v="5"/>
    <n v="0"/>
    <n v="1"/>
    <n v="1"/>
    <n v="1"/>
    <n v="47578.45"/>
    <x v="1"/>
    <x v="0"/>
    <x v="0"/>
    <s v="Medium Salary"/>
  </r>
  <r>
    <n v="721"/>
    <n v="15721658"/>
    <s v="Fleming"/>
    <x v="1"/>
    <s v="Female"/>
    <n v="672"/>
    <n v="56"/>
    <n v="2"/>
    <n v="209767.31"/>
    <n v="2"/>
    <n v="1"/>
    <n v="1"/>
    <n v="150694.42000000001"/>
    <x v="0"/>
    <x v="2"/>
    <x v="2"/>
    <s v="High Salary"/>
  </r>
  <r>
    <n v="722"/>
    <n v="15578761"/>
    <s v="Cunningham"/>
    <x v="1"/>
    <s v="Female"/>
    <n v="459"/>
    <n v="42"/>
    <n v="6"/>
    <n v="129634.25"/>
    <n v="2"/>
    <n v="1"/>
    <n v="1"/>
    <n v="177683.02"/>
    <x v="0"/>
    <x v="1"/>
    <x v="0"/>
    <s v="High Salary"/>
  </r>
  <r>
    <n v="723"/>
    <n v="15736879"/>
    <s v="Obinna"/>
    <x v="0"/>
    <s v="Male"/>
    <n v="669"/>
    <n v="23"/>
    <n v="1"/>
    <n v="0"/>
    <n v="2"/>
    <n v="0"/>
    <n v="0"/>
    <n v="66088.83"/>
    <x v="1"/>
    <x v="0"/>
    <x v="1"/>
    <s v="Medium Salary"/>
  </r>
  <r>
    <n v="724"/>
    <n v="15571973"/>
    <s v="Chinwemma"/>
    <x v="0"/>
    <s v="Female"/>
    <n v="776"/>
    <n v="38"/>
    <n v="2"/>
    <n v="169824.46"/>
    <n v="1"/>
    <n v="1"/>
    <n v="0"/>
    <n v="169291.7"/>
    <x v="1"/>
    <x v="2"/>
    <x v="0"/>
    <s v="High Salary"/>
  </r>
  <r>
    <n v="725"/>
    <n v="15626742"/>
    <s v="Carpenter"/>
    <x v="0"/>
    <s v="Male"/>
    <n v="694"/>
    <n v="36"/>
    <n v="3"/>
    <n v="97530.25"/>
    <n v="1"/>
    <n v="1"/>
    <n v="1"/>
    <n v="117140.41"/>
    <x v="1"/>
    <x v="2"/>
    <x v="0"/>
    <s v="High Salary"/>
  </r>
  <r>
    <n v="726"/>
    <n v="15672692"/>
    <s v="Yin"/>
    <x v="0"/>
    <s v="Female"/>
    <n v="787"/>
    <n v="42"/>
    <n v="10"/>
    <n v="145988.65"/>
    <n v="2"/>
    <n v="1"/>
    <n v="1"/>
    <n v="79510.37"/>
    <x v="1"/>
    <x v="2"/>
    <x v="0"/>
    <s v="High Salary"/>
  </r>
  <r>
    <n v="727"/>
    <n v="15673570"/>
    <s v="Olsen"/>
    <x v="0"/>
    <s v="Male"/>
    <n v="580"/>
    <n v="37"/>
    <n v="9"/>
    <n v="0"/>
    <n v="2"/>
    <n v="0"/>
    <n v="1"/>
    <n v="77108.66"/>
    <x v="1"/>
    <x v="0"/>
    <x v="0"/>
    <s v="High Salary"/>
  </r>
  <r>
    <n v="728"/>
    <n v="15767432"/>
    <s v="Ts'ai"/>
    <x v="0"/>
    <s v="Female"/>
    <n v="711"/>
    <n v="25"/>
    <n v="7"/>
    <n v="0"/>
    <n v="3"/>
    <n v="1"/>
    <n v="1"/>
    <n v="9679.2800000000007"/>
    <x v="1"/>
    <x v="2"/>
    <x v="1"/>
    <s v="Low Salary"/>
  </r>
  <r>
    <n v="729"/>
    <n v="15654238"/>
    <s v="Jen"/>
    <x v="0"/>
    <s v="Female"/>
    <n v="673"/>
    <n v="40"/>
    <n v="5"/>
    <n v="137494.28"/>
    <n v="1"/>
    <n v="1"/>
    <n v="0"/>
    <n v="81753.919999999998"/>
    <x v="1"/>
    <x v="2"/>
    <x v="0"/>
    <s v="High Salary"/>
  </r>
  <r>
    <n v="730"/>
    <n v="15612525"/>
    <s v="Preston"/>
    <x v="0"/>
    <s v="Female"/>
    <n v="499"/>
    <n v="57"/>
    <n v="1"/>
    <n v="0"/>
    <n v="1"/>
    <n v="0"/>
    <n v="0"/>
    <n v="131372.38"/>
    <x v="0"/>
    <x v="1"/>
    <x v="2"/>
    <s v="High Salary"/>
  </r>
  <r>
    <n v="731"/>
    <n v="15812750"/>
    <s v="Ozioma"/>
    <x v="0"/>
    <s v="Male"/>
    <n v="591"/>
    <n v="24"/>
    <n v="6"/>
    <n v="147360"/>
    <n v="1"/>
    <n v="1"/>
    <n v="1"/>
    <n v="25310.82"/>
    <x v="1"/>
    <x v="0"/>
    <x v="1"/>
    <s v="Low Salary"/>
  </r>
  <r>
    <n v="732"/>
    <n v="15790757"/>
    <s v="Cody"/>
    <x v="0"/>
    <s v="Female"/>
    <n v="769"/>
    <n v="25"/>
    <n v="10"/>
    <n v="0"/>
    <n v="2"/>
    <n v="0"/>
    <n v="0"/>
    <n v="187925.75"/>
    <x v="1"/>
    <x v="2"/>
    <x v="1"/>
    <s v="High Salary"/>
  </r>
  <r>
    <n v="733"/>
    <n v="15723873"/>
    <s v="Ponomarev"/>
    <x v="1"/>
    <s v="Male"/>
    <n v="657"/>
    <n v="31"/>
    <n v="3"/>
    <n v="125167.02"/>
    <n v="1"/>
    <n v="0"/>
    <n v="0"/>
    <n v="98820.39"/>
    <x v="1"/>
    <x v="0"/>
    <x v="0"/>
    <s v="High Salary"/>
  </r>
  <r>
    <n v="734"/>
    <n v="15744607"/>
    <s v="Martin"/>
    <x v="2"/>
    <s v="Male"/>
    <n v="738"/>
    <n v="43"/>
    <n v="9"/>
    <n v="121152.05"/>
    <n v="2"/>
    <n v="1"/>
    <n v="0"/>
    <n v="64166.7"/>
    <x v="0"/>
    <x v="2"/>
    <x v="0"/>
    <s v="Medium Salary"/>
  </r>
  <r>
    <n v="735"/>
    <n v="15612966"/>
    <s v="Milani"/>
    <x v="2"/>
    <s v="Female"/>
    <n v="545"/>
    <n v="60"/>
    <n v="7"/>
    <n v="128981.07"/>
    <n v="1"/>
    <n v="0"/>
    <n v="1"/>
    <n v="176924.21"/>
    <x v="0"/>
    <x v="1"/>
    <x v="2"/>
    <s v="High Salary"/>
  </r>
  <r>
    <n v="736"/>
    <n v="15784209"/>
    <s v="Tang"/>
    <x v="0"/>
    <s v="Male"/>
    <n v="497"/>
    <n v="47"/>
    <n v="6"/>
    <n v="0"/>
    <n v="1"/>
    <n v="1"/>
    <n v="1"/>
    <n v="90055.08"/>
    <x v="1"/>
    <x v="1"/>
    <x v="0"/>
    <s v="High Salary"/>
  </r>
  <r>
    <n v="737"/>
    <n v="15794278"/>
    <s v="Romani"/>
    <x v="1"/>
    <s v="Male"/>
    <n v="816"/>
    <n v="67"/>
    <n v="6"/>
    <n v="151858.98000000001"/>
    <n v="1"/>
    <n v="1"/>
    <n v="1"/>
    <n v="72814.31"/>
    <x v="1"/>
    <x v="2"/>
    <x v="2"/>
    <s v="High Salary"/>
  </r>
  <r>
    <n v="738"/>
    <n v="15766741"/>
    <s v="McIntyre"/>
    <x v="0"/>
    <s v="Male"/>
    <n v="525"/>
    <n v="36"/>
    <n v="2"/>
    <n v="114628.4"/>
    <n v="1"/>
    <n v="0"/>
    <n v="1"/>
    <n v="168290.06"/>
    <x v="1"/>
    <x v="1"/>
    <x v="0"/>
    <s v="High Salary"/>
  </r>
  <r>
    <n v="739"/>
    <n v="15661036"/>
    <s v="Davis"/>
    <x v="0"/>
    <s v="Male"/>
    <n v="725"/>
    <n v="46"/>
    <n v="6"/>
    <n v="0"/>
    <n v="2"/>
    <n v="1"/>
    <n v="0"/>
    <n v="161767.38"/>
    <x v="1"/>
    <x v="2"/>
    <x v="0"/>
    <s v="High Salary"/>
  </r>
  <r>
    <n v="740"/>
    <n v="15705639"/>
    <s v="Onyemauchechukwu"/>
    <x v="0"/>
    <s v="Female"/>
    <n v="692"/>
    <n v="28"/>
    <n v="8"/>
    <n v="95059.02"/>
    <n v="2"/>
    <n v="1"/>
    <n v="0"/>
    <n v="44420.18"/>
    <x v="1"/>
    <x v="2"/>
    <x v="1"/>
    <s v="Medium Salary"/>
  </r>
  <r>
    <n v="741"/>
    <n v="15637414"/>
    <s v="Gell"/>
    <x v="0"/>
    <s v="Female"/>
    <n v="618"/>
    <n v="24"/>
    <n v="7"/>
    <n v="128736.39"/>
    <n v="1"/>
    <n v="0"/>
    <n v="1"/>
    <n v="37147.61"/>
    <x v="1"/>
    <x v="0"/>
    <x v="1"/>
    <s v="Medium Salary"/>
  </r>
  <r>
    <n v="742"/>
    <n v="15716835"/>
    <s v="Rossi"/>
    <x v="0"/>
    <s v="Male"/>
    <n v="546"/>
    <n v="24"/>
    <n v="8"/>
    <n v="156325.38"/>
    <n v="1"/>
    <n v="1"/>
    <n v="1"/>
    <n v="125381.02"/>
    <x v="1"/>
    <x v="1"/>
    <x v="1"/>
    <s v="High Salary"/>
  </r>
  <r>
    <n v="743"/>
    <n v="15696231"/>
    <s v="Chiwetelu"/>
    <x v="0"/>
    <s v="Male"/>
    <n v="635"/>
    <n v="29"/>
    <n v="7"/>
    <n v="105405.97"/>
    <n v="1"/>
    <n v="1"/>
    <n v="1"/>
    <n v="149853.89000000001"/>
    <x v="1"/>
    <x v="0"/>
    <x v="1"/>
    <s v="High Salary"/>
  </r>
  <r>
    <n v="744"/>
    <n v="15641675"/>
    <s v="Kirillova"/>
    <x v="0"/>
    <s v="Female"/>
    <n v="611"/>
    <n v="49"/>
    <n v="2"/>
    <n v="88915.37"/>
    <n v="3"/>
    <n v="0"/>
    <n v="0"/>
    <n v="161435.01999999999"/>
    <x v="0"/>
    <x v="0"/>
    <x v="0"/>
    <s v="High Salary"/>
  </r>
  <r>
    <n v="745"/>
    <n v="15670755"/>
    <s v="Shaw"/>
    <x v="0"/>
    <s v="Male"/>
    <n v="650"/>
    <n v="60"/>
    <n v="8"/>
    <n v="0"/>
    <n v="2"/>
    <n v="1"/>
    <n v="1"/>
    <n v="102925.75999999999"/>
    <x v="1"/>
    <x v="0"/>
    <x v="2"/>
    <s v="High Salary"/>
  </r>
  <r>
    <n v="746"/>
    <n v="15640059"/>
    <s v="Smith"/>
    <x v="0"/>
    <s v="Male"/>
    <n v="606"/>
    <n v="40"/>
    <n v="5"/>
    <n v="0"/>
    <n v="2"/>
    <n v="1"/>
    <n v="1"/>
    <n v="70899.27"/>
    <x v="1"/>
    <x v="0"/>
    <x v="0"/>
    <s v="High Salary"/>
  </r>
  <r>
    <n v="747"/>
    <n v="15787619"/>
    <s v="Hsieh"/>
    <x v="0"/>
    <s v="Male"/>
    <n v="844"/>
    <n v="18"/>
    <n v="2"/>
    <n v="160980.03"/>
    <n v="1"/>
    <n v="0"/>
    <n v="0"/>
    <n v="145936.28"/>
    <x v="1"/>
    <x v="2"/>
    <x v="1"/>
    <s v="High Salary"/>
  </r>
  <r>
    <n v="748"/>
    <n v="15587535"/>
    <s v="Onyemauchechukwu"/>
    <x v="1"/>
    <s v="Female"/>
    <n v="450"/>
    <n v="46"/>
    <n v="5"/>
    <n v="177619.71"/>
    <n v="1"/>
    <n v="1"/>
    <n v="0"/>
    <n v="54227.06"/>
    <x v="1"/>
    <x v="1"/>
    <x v="0"/>
    <s v="Medium Salary"/>
  </r>
  <r>
    <n v="749"/>
    <n v="15813034"/>
    <s v="Martin"/>
    <x v="1"/>
    <s v="Male"/>
    <n v="727"/>
    <n v="38"/>
    <n v="2"/>
    <n v="62276.99"/>
    <n v="1"/>
    <n v="1"/>
    <n v="1"/>
    <n v="59280.79"/>
    <x v="1"/>
    <x v="2"/>
    <x v="0"/>
    <s v="Medium Salary"/>
  </r>
  <r>
    <n v="750"/>
    <n v="15698839"/>
    <s v="Okwudilichukwu"/>
    <x v="2"/>
    <s v="Male"/>
    <n v="460"/>
    <n v="46"/>
    <n v="4"/>
    <n v="127559.97"/>
    <n v="2"/>
    <n v="1"/>
    <n v="1"/>
    <n v="126952.5"/>
    <x v="1"/>
    <x v="1"/>
    <x v="0"/>
    <s v="High Salary"/>
  </r>
  <r>
    <n v="751"/>
    <n v="15790314"/>
    <s v="Onuoha"/>
    <x v="0"/>
    <s v="Male"/>
    <n v="649"/>
    <n v="41"/>
    <n v="0"/>
    <n v="0"/>
    <n v="2"/>
    <n v="0"/>
    <n v="1"/>
    <n v="130567.02"/>
    <x v="1"/>
    <x v="0"/>
    <x v="0"/>
    <s v="High Salary"/>
  </r>
  <r>
    <n v="752"/>
    <n v="15634245"/>
    <s v="Muecke"/>
    <x v="2"/>
    <s v="Female"/>
    <n v="758"/>
    <n v="47"/>
    <n v="9"/>
    <n v="95523.16"/>
    <n v="1"/>
    <n v="1"/>
    <n v="0"/>
    <n v="73294.48"/>
    <x v="1"/>
    <x v="2"/>
    <x v="0"/>
    <s v="High Salary"/>
  </r>
  <r>
    <n v="753"/>
    <n v="15677305"/>
    <s v="Hsieh"/>
    <x v="0"/>
    <s v="Female"/>
    <n v="490"/>
    <n v="35"/>
    <n v="7"/>
    <n v="107749.03"/>
    <n v="1"/>
    <n v="1"/>
    <n v="1"/>
    <n v="3937.37"/>
    <x v="1"/>
    <x v="1"/>
    <x v="0"/>
    <s v="Low Salary"/>
  </r>
  <r>
    <n v="754"/>
    <n v="15661526"/>
    <s v="Anderson"/>
    <x v="2"/>
    <s v="Male"/>
    <n v="815"/>
    <n v="37"/>
    <n v="2"/>
    <n v="110777.26"/>
    <n v="2"/>
    <n v="1"/>
    <n v="0"/>
    <n v="2383.59"/>
    <x v="1"/>
    <x v="2"/>
    <x v="0"/>
    <s v="Low Salary"/>
  </r>
  <r>
    <n v="755"/>
    <n v="15685997"/>
    <s v="Azubuike"/>
    <x v="1"/>
    <s v="Female"/>
    <n v="838"/>
    <n v="39"/>
    <n v="5"/>
    <n v="166733.92000000001"/>
    <n v="2"/>
    <n v="1"/>
    <n v="0"/>
    <n v="14279.44"/>
    <x v="1"/>
    <x v="2"/>
    <x v="0"/>
    <s v="Low Salary"/>
  </r>
  <r>
    <n v="756"/>
    <n v="15660101"/>
    <s v="Nnonso"/>
    <x v="0"/>
    <s v="Male"/>
    <n v="803"/>
    <n v="31"/>
    <n v="9"/>
    <n v="157120.85999999999"/>
    <n v="2"/>
    <n v="1"/>
    <n v="0"/>
    <n v="141300.53"/>
    <x v="1"/>
    <x v="2"/>
    <x v="0"/>
    <s v="High Salary"/>
  </r>
  <r>
    <n v="757"/>
    <n v="15637979"/>
    <s v="Fuller"/>
    <x v="2"/>
    <s v="Female"/>
    <n v="664"/>
    <n v="36"/>
    <n v="2"/>
    <n v="127160.78"/>
    <n v="2"/>
    <n v="1"/>
    <n v="0"/>
    <n v="78140.75"/>
    <x v="1"/>
    <x v="0"/>
    <x v="0"/>
    <s v="High Salary"/>
  </r>
  <r>
    <n v="758"/>
    <n v="15815364"/>
    <s v="Ashley"/>
    <x v="1"/>
    <s v="Female"/>
    <n v="736"/>
    <n v="28"/>
    <n v="2"/>
    <n v="0"/>
    <n v="2"/>
    <n v="1"/>
    <n v="1"/>
    <n v="117431.1"/>
    <x v="1"/>
    <x v="2"/>
    <x v="1"/>
    <s v="High Salary"/>
  </r>
  <r>
    <n v="759"/>
    <n v="15647099"/>
    <s v="Ts'ui"/>
    <x v="0"/>
    <s v="Female"/>
    <n v="633"/>
    <n v="37"/>
    <n v="9"/>
    <n v="156091.97"/>
    <n v="1"/>
    <n v="1"/>
    <n v="0"/>
    <n v="72008.61"/>
    <x v="1"/>
    <x v="0"/>
    <x v="0"/>
    <s v="High Salary"/>
  </r>
  <r>
    <n v="760"/>
    <n v="15625944"/>
    <s v="Buccho"/>
    <x v="0"/>
    <s v="Male"/>
    <n v="664"/>
    <n v="58"/>
    <n v="5"/>
    <n v="98668.18"/>
    <n v="1"/>
    <n v="1"/>
    <n v="1"/>
    <n v="60887.58"/>
    <x v="1"/>
    <x v="0"/>
    <x v="2"/>
    <s v="Medium Salary"/>
  </r>
  <r>
    <n v="761"/>
    <n v="15583212"/>
    <s v="Chidozie"/>
    <x v="0"/>
    <s v="Female"/>
    <n v="600"/>
    <n v="43"/>
    <n v="5"/>
    <n v="134022.06"/>
    <n v="1"/>
    <n v="1"/>
    <n v="0"/>
    <n v="194764.83"/>
    <x v="1"/>
    <x v="0"/>
    <x v="0"/>
    <s v="High Salary"/>
  </r>
  <r>
    <n v="762"/>
    <n v="15582741"/>
    <s v="Maclean"/>
    <x v="0"/>
    <s v="Female"/>
    <n v="693"/>
    <n v="35"/>
    <n v="5"/>
    <n v="124151.09"/>
    <n v="1"/>
    <n v="1"/>
    <n v="0"/>
    <n v="88705.14"/>
    <x v="0"/>
    <x v="2"/>
    <x v="0"/>
    <s v="High Salary"/>
  </r>
  <r>
    <n v="763"/>
    <n v="15637876"/>
    <s v="Burns"/>
    <x v="2"/>
    <s v="Female"/>
    <n v="663"/>
    <n v="36"/>
    <n v="6"/>
    <n v="77253.5"/>
    <n v="1"/>
    <n v="0"/>
    <n v="0"/>
    <n v="35817.97"/>
    <x v="0"/>
    <x v="0"/>
    <x v="0"/>
    <s v="Medium Salary"/>
  </r>
  <r>
    <n v="764"/>
    <n v="15622750"/>
    <s v="Chu"/>
    <x v="2"/>
    <s v="Female"/>
    <n v="742"/>
    <n v="21"/>
    <n v="1"/>
    <n v="114292.48"/>
    <n v="1"/>
    <n v="1"/>
    <n v="0"/>
    <n v="31520.400000000001"/>
    <x v="1"/>
    <x v="2"/>
    <x v="1"/>
    <s v="Medium Salary"/>
  </r>
  <r>
    <n v="765"/>
    <n v="15672056"/>
    <s v="Kenenna"/>
    <x v="2"/>
    <s v="Male"/>
    <n v="710"/>
    <n v="43"/>
    <n v="2"/>
    <n v="140080.32000000001"/>
    <n v="3"/>
    <n v="1"/>
    <n v="1"/>
    <n v="157908.19"/>
    <x v="0"/>
    <x v="2"/>
    <x v="0"/>
    <s v="High Salary"/>
  </r>
  <r>
    <n v="766"/>
    <n v="15812351"/>
    <s v="Beluchi"/>
    <x v="1"/>
    <s v="Female"/>
    <n v="710"/>
    <n v="27"/>
    <n v="2"/>
    <n v="135277.96"/>
    <n v="1"/>
    <n v="1"/>
    <n v="0"/>
    <n v="142200.15"/>
    <x v="1"/>
    <x v="2"/>
    <x v="1"/>
    <s v="High Salary"/>
  </r>
  <r>
    <n v="767"/>
    <n v="15810864"/>
    <s v="Williamson"/>
    <x v="0"/>
    <s v="Female"/>
    <n v="700"/>
    <n v="82"/>
    <n v="2"/>
    <n v="0"/>
    <n v="2"/>
    <n v="0"/>
    <n v="1"/>
    <n v="182055.36"/>
    <x v="1"/>
    <x v="2"/>
    <x v="2"/>
    <s v="High Salary"/>
  </r>
  <r>
    <n v="768"/>
    <n v="15677921"/>
    <s v="Bobrov"/>
    <x v="2"/>
    <s v="Male"/>
    <n v="720"/>
    <n v="60"/>
    <n v="9"/>
    <n v="115920.62"/>
    <n v="2"/>
    <n v="0"/>
    <n v="0"/>
    <n v="157552.07999999999"/>
    <x v="0"/>
    <x v="2"/>
    <x v="2"/>
    <s v="High Salary"/>
  </r>
  <r>
    <n v="769"/>
    <n v="15724296"/>
    <s v="Kerr"/>
    <x v="1"/>
    <s v="Male"/>
    <n v="684"/>
    <n v="41"/>
    <n v="2"/>
    <n v="119782.72"/>
    <n v="2"/>
    <n v="0"/>
    <n v="0"/>
    <n v="120284.67"/>
    <x v="1"/>
    <x v="2"/>
    <x v="0"/>
    <s v="High Salary"/>
  </r>
  <r>
    <n v="770"/>
    <n v="15685329"/>
    <s v="McKenzie"/>
    <x v="0"/>
    <s v="Female"/>
    <n v="531"/>
    <n v="63"/>
    <n v="1"/>
    <n v="114715.71"/>
    <n v="1"/>
    <n v="0"/>
    <n v="1"/>
    <n v="24506.95"/>
    <x v="0"/>
    <x v="1"/>
    <x v="2"/>
    <s v="Low Salary"/>
  </r>
  <r>
    <n v="771"/>
    <n v="15584091"/>
    <s v="Pitts"/>
    <x v="2"/>
    <s v="Female"/>
    <n v="742"/>
    <n v="36"/>
    <n v="2"/>
    <n v="129748.54"/>
    <n v="2"/>
    <n v="0"/>
    <n v="0"/>
    <n v="47271.61"/>
    <x v="0"/>
    <x v="2"/>
    <x v="0"/>
    <s v="Medium Salary"/>
  </r>
  <r>
    <n v="772"/>
    <n v="15640442"/>
    <s v="Standish"/>
    <x v="0"/>
    <s v="Male"/>
    <n v="717"/>
    <n v="31"/>
    <n v="4"/>
    <n v="129722.57"/>
    <n v="1"/>
    <n v="0"/>
    <n v="0"/>
    <n v="41176.6"/>
    <x v="1"/>
    <x v="2"/>
    <x v="0"/>
    <s v="Medium Salary"/>
  </r>
  <r>
    <n v="773"/>
    <n v="15639314"/>
    <s v="Cartwright"/>
    <x v="0"/>
    <s v="Male"/>
    <n v="589"/>
    <n v="32"/>
    <n v="2"/>
    <n v="0"/>
    <n v="2"/>
    <n v="0"/>
    <n v="1"/>
    <n v="9468.64"/>
    <x v="1"/>
    <x v="0"/>
    <x v="0"/>
    <s v="Low Salary"/>
  </r>
  <r>
    <n v="774"/>
    <n v="15685320"/>
    <s v="Johnstone"/>
    <x v="0"/>
    <s v="Male"/>
    <n v="767"/>
    <n v="36"/>
    <n v="3"/>
    <n v="139180.20000000001"/>
    <n v="1"/>
    <n v="0"/>
    <n v="0"/>
    <n v="123880.19"/>
    <x v="1"/>
    <x v="2"/>
    <x v="0"/>
    <s v="High Salary"/>
  </r>
  <r>
    <n v="775"/>
    <n v="15789158"/>
    <s v="Nikitina"/>
    <x v="2"/>
    <s v="Male"/>
    <n v="636"/>
    <n v="49"/>
    <n v="6"/>
    <n v="113599.74"/>
    <n v="2"/>
    <n v="1"/>
    <n v="0"/>
    <n v="158887.09"/>
    <x v="0"/>
    <x v="0"/>
    <x v="0"/>
    <s v="High Salary"/>
  </r>
  <r>
    <n v="776"/>
    <n v="15752137"/>
    <s v="McElroy"/>
    <x v="0"/>
    <s v="Male"/>
    <n v="648"/>
    <n v="33"/>
    <n v="7"/>
    <n v="134944"/>
    <n v="1"/>
    <n v="1"/>
    <n v="1"/>
    <n v="117036.38"/>
    <x v="1"/>
    <x v="0"/>
    <x v="0"/>
    <s v="High Salary"/>
  </r>
  <r>
    <n v="777"/>
    <n v="15712551"/>
    <s v="Shen"/>
    <x v="2"/>
    <s v="Female"/>
    <n v="622"/>
    <n v="58"/>
    <n v="7"/>
    <n v="116922.25"/>
    <n v="1"/>
    <n v="1"/>
    <n v="0"/>
    <n v="120415.61"/>
    <x v="0"/>
    <x v="0"/>
    <x v="2"/>
    <s v="High Salary"/>
  </r>
  <r>
    <n v="778"/>
    <n v="15628936"/>
    <s v="Archer"/>
    <x v="1"/>
    <s v="Male"/>
    <n v="692"/>
    <n v="28"/>
    <n v="9"/>
    <n v="118945.09"/>
    <n v="1"/>
    <n v="0"/>
    <n v="0"/>
    <n v="16064.25"/>
    <x v="0"/>
    <x v="2"/>
    <x v="1"/>
    <s v="Low Salary"/>
  </r>
  <r>
    <n v="779"/>
    <n v="15797227"/>
    <s v="Otutodilinna"/>
    <x v="0"/>
    <s v="Male"/>
    <n v="754"/>
    <n v="28"/>
    <n v="8"/>
    <n v="0"/>
    <n v="2"/>
    <n v="1"/>
    <n v="1"/>
    <n v="52615.62"/>
    <x v="1"/>
    <x v="2"/>
    <x v="1"/>
    <s v="Medium Salary"/>
  </r>
  <r>
    <n v="780"/>
    <n v="15769974"/>
    <s v="Shih"/>
    <x v="1"/>
    <s v="Female"/>
    <n v="679"/>
    <n v="35"/>
    <n v="8"/>
    <n v="119182.73"/>
    <n v="1"/>
    <n v="0"/>
    <n v="0"/>
    <n v="121210.09"/>
    <x v="1"/>
    <x v="2"/>
    <x v="0"/>
    <s v="High Salary"/>
  </r>
  <r>
    <n v="781"/>
    <n v="15737051"/>
    <s v="Denisov"/>
    <x v="0"/>
    <s v="Male"/>
    <n v="639"/>
    <n v="27"/>
    <n v="8"/>
    <n v="0"/>
    <n v="2"/>
    <n v="1"/>
    <n v="0"/>
    <n v="192247.35"/>
    <x v="1"/>
    <x v="0"/>
    <x v="1"/>
    <s v="High Salary"/>
  </r>
  <r>
    <n v="782"/>
    <n v="15585595"/>
    <s v="Owens"/>
    <x v="0"/>
    <s v="Female"/>
    <n v="774"/>
    <n v="28"/>
    <n v="1"/>
    <n v="71264.02"/>
    <n v="2"/>
    <n v="0"/>
    <n v="1"/>
    <n v="68759.570000000007"/>
    <x v="1"/>
    <x v="2"/>
    <x v="1"/>
    <s v="Medium Salary"/>
  </r>
  <r>
    <n v="783"/>
    <n v="15654060"/>
    <s v="P'eng"/>
    <x v="0"/>
    <s v="Male"/>
    <n v="517"/>
    <n v="41"/>
    <n v="2"/>
    <n v="0"/>
    <n v="2"/>
    <n v="0"/>
    <n v="1"/>
    <n v="75937.47"/>
    <x v="1"/>
    <x v="1"/>
    <x v="0"/>
    <s v="High Salary"/>
  </r>
  <r>
    <n v="784"/>
    <n v="15745196"/>
    <s v="Verco"/>
    <x v="0"/>
    <s v="Female"/>
    <n v="571"/>
    <n v="35"/>
    <n v="8"/>
    <n v="0"/>
    <n v="2"/>
    <n v="0"/>
    <n v="0"/>
    <n v="84569.13"/>
    <x v="1"/>
    <x v="1"/>
    <x v="0"/>
    <s v="High Salary"/>
  </r>
  <r>
    <n v="785"/>
    <n v="15571221"/>
    <s v="Bergamaschi"/>
    <x v="2"/>
    <s v="Male"/>
    <n v="747"/>
    <n v="58"/>
    <n v="7"/>
    <n v="116313.57"/>
    <n v="1"/>
    <n v="1"/>
    <n v="1"/>
    <n v="190696.35"/>
    <x v="0"/>
    <x v="2"/>
    <x v="2"/>
    <s v="High Salary"/>
  </r>
  <r>
    <n v="786"/>
    <n v="15660155"/>
    <s v="Lorenzo"/>
    <x v="1"/>
    <s v="Male"/>
    <n v="792"/>
    <n v="36"/>
    <n v="5"/>
    <n v="92140.15"/>
    <n v="1"/>
    <n v="0"/>
    <n v="1"/>
    <n v="67468.67"/>
    <x v="1"/>
    <x v="2"/>
    <x v="0"/>
    <s v="Medium Salary"/>
  </r>
  <r>
    <n v="787"/>
    <n v="15605284"/>
    <s v="Outtrim"/>
    <x v="0"/>
    <s v="Male"/>
    <n v="688"/>
    <n v="26"/>
    <n v="1"/>
    <n v="0"/>
    <n v="2"/>
    <n v="1"/>
    <n v="1"/>
    <n v="104435.94"/>
    <x v="1"/>
    <x v="2"/>
    <x v="1"/>
    <s v="High Salary"/>
  </r>
  <r>
    <n v="788"/>
    <n v="15694366"/>
    <s v="Hou"/>
    <x v="2"/>
    <s v="Male"/>
    <n v="714"/>
    <n v="42"/>
    <n v="2"/>
    <n v="177640.09"/>
    <n v="1"/>
    <n v="0"/>
    <n v="1"/>
    <n v="47166.55"/>
    <x v="1"/>
    <x v="2"/>
    <x v="0"/>
    <s v="Medium Salary"/>
  </r>
  <r>
    <n v="789"/>
    <n v="15600739"/>
    <s v="Galkin"/>
    <x v="1"/>
    <s v="Female"/>
    <n v="562"/>
    <n v="35"/>
    <n v="0"/>
    <n v="0"/>
    <n v="2"/>
    <n v="1"/>
    <n v="0"/>
    <n v="119899.52"/>
    <x v="1"/>
    <x v="1"/>
    <x v="0"/>
    <s v="High Salary"/>
  </r>
  <r>
    <n v="790"/>
    <n v="15653253"/>
    <s v="Pagnotto"/>
    <x v="1"/>
    <s v="Male"/>
    <n v="704"/>
    <n v="48"/>
    <n v="8"/>
    <n v="167997.6"/>
    <n v="1"/>
    <n v="1"/>
    <n v="1"/>
    <n v="173498.45"/>
    <x v="1"/>
    <x v="2"/>
    <x v="0"/>
    <s v="High Salary"/>
  </r>
  <r>
    <n v="791"/>
    <n v="15763431"/>
    <s v="Echezonachukwu"/>
    <x v="0"/>
    <s v="Male"/>
    <n v="698"/>
    <n v="36"/>
    <n v="2"/>
    <n v="82275.350000000006"/>
    <n v="2"/>
    <n v="1"/>
    <n v="1"/>
    <n v="93249.26"/>
    <x v="1"/>
    <x v="2"/>
    <x v="0"/>
    <s v="High Salary"/>
  </r>
  <r>
    <n v="792"/>
    <n v="15643696"/>
    <s v="Young"/>
    <x v="0"/>
    <s v="Male"/>
    <n v="611"/>
    <n v="49"/>
    <n v="3"/>
    <n v="0"/>
    <n v="2"/>
    <n v="1"/>
    <n v="1"/>
    <n v="142917.54"/>
    <x v="1"/>
    <x v="0"/>
    <x v="0"/>
    <s v="High Salary"/>
  </r>
  <r>
    <n v="793"/>
    <n v="15707473"/>
    <s v="Summers"/>
    <x v="2"/>
    <s v="Female"/>
    <n v="850"/>
    <n v="48"/>
    <n v="6"/>
    <n v="111962.99"/>
    <n v="1"/>
    <n v="1"/>
    <n v="0"/>
    <n v="111755.8"/>
    <x v="1"/>
    <x v="2"/>
    <x v="0"/>
    <s v="High Salary"/>
  </r>
  <r>
    <n v="794"/>
    <n v="15769504"/>
    <s v="Munro"/>
    <x v="2"/>
    <s v="Female"/>
    <n v="743"/>
    <n v="34"/>
    <n v="1"/>
    <n v="131736.88"/>
    <n v="1"/>
    <n v="1"/>
    <n v="1"/>
    <n v="108543.21"/>
    <x v="1"/>
    <x v="2"/>
    <x v="0"/>
    <s v="High Salary"/>
  </r>
  <r>
    <n v="795"/>
    <n v="15776807"/>
    <s v="Brennan"/>
    <x v="0"/>
    <s v="Male"/>
    <n v="654"/>
    <n v="29"/>
    <n v="1"/>
    <n v="0"/>
    <n v="1"/>
    <n v="1"/>
    <n v="0"/>
    <n v="180345.44"/>
    <x v="1"/>
    <x v="0"/>
    <x v="1"/>
    <s v="High Salary"/>
  </r>
  <r>
    <n v="796"/>
    <n v="15686870"/>
    <s v="Ball"/>
    <x v="2"/>
    <s v="Male"/>
    <n v="761"/>
    <n v="36"/>
    <n v="8"/>
    <n v="108239.11"/>
    <n v="2"/>
    <n v="0"/>
    <n v="0"/>
    <n v="99444.02"/>
    <x v="1"/>
    <x v="2"/>
    <x v="0"/>
    <s v="High Salary"/>
  </r>
  <r>
    <n v="797"/>
    <n v="15668747"/>
    <s v="Virgo"/>
    <x v="0"/>
    <s v="Female"/>
    <n v="702"/>
    <n v="46"/>
    <n v="9"/>
    <n v="98444.19"/>
    <n v="1"/>
    <n v="0"/>
    <n v="1"/>
    <n v="109563.28"/>
    <x v="1"/>
    <x v="2"/>
    <x v="0"/>
    <s v="High Salary"/>
  </r>
  <r>
    <n v="798"/>
    <n v="15766908"/>
    <s v="Trevisani"/>
    <x v="2"/>
    <s v="Male"/>
    <n v="488"/>
    <n v="32"/>
    <n v="3"/>
    <n v="114540.38"/>
    <n v="1"/>
    <n v="1"/>
    <n v="0"/>
    <n v="92568.07"/>
    <x v="1"/>
    <x v="1"/>
    <x v="0"/>
    <s v="High Salary"/>
  </r>
  <r>
    <n v="799"/>
    <n v="15570134"/>
    <s v="Padovano"/>
    <x v="0"/>
    <s v="Female"/>
    <n v="683"/>
    <n v="35"/>
    <n v="6"/>
    <n v="187530.66"/>
    <n v="2"/>
    <n v="1"/>
    <n v="1"/>
    <n v="37976.36"/>
    <x v="1"/>
    <x v="2"/>
    <x v="0"/>
    <s v="Medium Salary"/>
  </r>
  <r>
    <n v="800"/>
    <n v="15567367"/>
    <s v="Tao"/>
    <x v="2"/>
    <s v="Female"/>
    <n v="601"/>
    <n v="42"/>
    <n v="9"/>
    <n v="133636.16"/>
    <n v="1"/>
    <n v="0"/>
    <n v="1"/>
    <n v="103315.74"/>
    <x v="1"/>
    <x v="0"/>
    <x v="0"/>
    <s v="High Salary"/>
  </r>
  <r>
    <n v="801"/>
    <n v="15747542"/>
    <s v="Perez"/>
    <x v="0"/>
    <s v="Male"/>
    <n v="605"/>
    <n v="52"/>
    <n v="7"/>
    <n v="0"/>
    <n v="2"/>
    <n v="1"/>
    <n v="1"/>
    <n v="173952.5"/>
    <x v="1"/>
    <x v="0"/>
    <x v="2"/>
    <s v="High Salary"/>
  </r>
  <r>
    <n v="802"/>
    <n v="15762238"/>
    <s v="Fraser"/>
    <x v="2"/>
    <s v="Female"/>
    <n v="671"/>
    <n v="44"/>
    <n v="0"/>
    <n v="84745.03"/>
    <n v="2"/>
    <n v="0"/>
    <n v="1"/>
    <n v="34673.980000000003"/>
    <x v="1"/>
    <x v="2"/>
    <x v="0"/>
    <s v="Medium Salary"/>
  </r>
  <r>
    <n v="803"/>
    <n v="15681554"/>
    <s v="Alley"/>
    <x v="2"/>
    <s v="Female"/>
    <n v="614"/>
    <n v="31"/>
    <n v="7"/>
    <n v="120599.38"/>
    <n v="2"/>
    <n v="1"/>
    <n v="1"/>
    <n v="46163.44"/>
    <x v="1"/>
    <x v="0"/>
    <x v="0"/>
    <s v="Medium Salary"/>
  </r>
  <r>
    <n v="804"/>
    <n v="15712825"/>
    <s v="Howells"/>
    <x v="1"/>
    <s v="Female"/>
    <n v="511"/>
    <n v="29"/>
    <n v="9"/>
    <n v="0"/>
    <n v="2"/>
    <n v="0"/>
    <n v="1"/>
    <n v="140676.98000000001"/>
    <x v="1"/>
    <x v="1"/>
    <x v="1"/>
    <s v="High Salary"/>
  </r>
  <r>
    <n v="805"/>
    <n v="15640280"/>
    <s v="Cameron"/>
    <x v="0"/>
    <s v="Male"/>
    <n v="850"/>
    <n v="39"/>
    <n v="4"/>
    <n v="127771.35"/>
    <n v="2"/>
    <n v="0"/>
    <n v="1"/>
    <n v="151738.54"/>
    <x v="1"/>
    <x v="2"/>
    <x v="0"/>
    <s v="High Salary"/>
  </r>
  <r>
    <n v="806"/>
    <n v="15756026"/>
    <s v="Hooper"/>
    <x v="1"/>
    <s v="Female"/>
    <n v="790"/>
    <n v="46"/>
    <n v="9"/>
    <n v="0"/>
    <n v="1"/>
    <n v="0"/>
    <n v="0"/>
    <n v="14679.81"/>
    <x v="0"/>
    <x v="2"/>
    <x v="0"/>
    <s v="Low Salary"/>
  </r>
  <r>
    <n v="807"/>
    <n v="15613319"/>
    <s v="Rice"/>
    <x v="0"/>
    <s v="Female"/>
    <n v="793"/>
    <n v="33"/>
    <n v="0"/>
    <n v="0"/>
    <n v="1"/>
    <n v="0"/>
    <n v="0"/>
    <n v="175544.02"/>
    <x v="1"/>
    <x v="2"/>
    <x v="0"/>
    <s v="High Salary"/>
  </r>
  <r>
    <n v="808"/>
    <n v="15798906"/>
    <s v="Cox"/>
    <x v="0"/>
    <s v="Male"/>
    <n v="628"/>
    <n v="69"/>
    <n v="5"/>
    <n v="0"/>
    <n v="2"/>
    <n v="1"/>
    <n v="1"/>
    <n v="181964.6"/>
    <x v="1"/>
    <x v="0"/>
    <x v="2"/>
    <s v="High Salary"/>
  </r>
  <r>
    <n v="809"/>
    <n v="15708917"/>
    <s v="Martin"/>
    <x v="2"/>
    <s v="Male"/>
    <n v="598"/>
    <n v="53"/>
    <n v="10"/>
    <n v="167772.96"/>
    <n v="1"/>
    <n v="1"/>
    <n v="1"/>
    <n v="136886.85999999999"/>
    <x v="1"/>
    <x v="0"/>
    <x v="2"/>
    <s v="High Salary"/>
  </r>
  <r>
    <n v="810"/>
    <n v="15778463"/>
    <s v="Ikenna"/>
    <x v="0"/>
    <s v="Female"/>
    <n v="657"/>
    <n v="37"/>
    <n v="6"/>
    <n v="95845.6"/>
    <n v="1"/>
    <n v="1"/>
    <n v="0"/>
    <n v="122218.23"/>
    <x v="1"/>
    <x v="0"/>
    <x v="0"/>
    <s v="High Salary"/>
  </r>
  <r>
    <n v="811"/>
    <n v="15699430"/>
    <s v="Davide"/>
    <x v="0"/>
    <s v="Female"/>
    <n v="618"/>
    <n v="35"/>
    <n v="10"/>
    <n v="0"/>
    <n v="2"/>
    <n v="1"/>
    <n v="0"/>
    <n v="180439.75"/>
    <x v="1"/>
    <x v="0"/>
    <x v="0"/>
    <s v="High Salary"/>
  </r>
  <r>
    <n v="812"/>
    <n v="15649992"/>
    <s v="Alexander"/>
    <x v="1"/>
    <s v="Male"/>
    <n v="681"/>
    <n v="65"/>
    <n v="7"/>
    <n v="134714.70000000001"/>
    <n v="2"/>
    <n v="0"/>
    <n v="1"/>
    <n v="190419.81"/>
    <x v="1"/>
    <x v="2"/>
    <x v="2"/>
    <s v="High Salary"/>
  </r>
  <r>
    <n v="813"/>
    <n v="15578980"/>
    <s v="Piazza"/>
    <x v="1"/>
    <s v="Female"/>
    <n v="516"/>
    <n v="33"/>
    <n v="3"/>
    <n v="0"/>
    <n v="2"/>
    <n v="1"/>
    <n v="1"/>
    <n v="58685.59"/>
    <x v="1"/>
    <x v="1"/>
    <x v="0"/>
    <s v="Medium Salary"/>
  </r>
  <r>
    <n v="814"/>
    <n v="15775306"/>
    <s v="Ni"/>
    <x v="2"/>
    <s v="Male"/>
    <n v="421"/>
    <n v="28"/>
    <n v="8"/>
    <n v="122384.22"/>
    <n v="3"/>
    <n v="1"/>
    <n v="1"/>
    <n v="89017.38"/>
    <x v="0"/>
    <x v="1"/>
    <x v="1"/>
    <s v="High Salary"/>
  </r>
  <r>
    <n v="815"/>
    <n v="15641655"/>
    <s v="Black"/>
    <x v="0"/>
    <s v="Female"/>
    <n v="700"/>
    <n v="26"/>
    <n v="2"/>
    <n v="0"/>
    <n v="2"/>
    <n v="0"/>
    <n v="0"/>
    <n v="50051.42"/>
    <x v="1"/>
    <x v="2"/>
    <x v="1"/>
    <s v="Medium Salary"/>
  </r>
  <r>
    <n v="816"/>
    <n v="15619708"/>
    <s v="Harker"/>
    <x v="0"/>
    <s v="Male"/>
    <n v="745"/>
    <n v="25"/>
    <n v="5"/>
    <n v="157993.15"/>
    <n v="2"/>
    <n v="1"/>
    <n v="0"/>
    <n v="146041.45000000001"/>
    <x v="1"/>
    <x v="2"/>
    <x v="1"/>
    <s v="High Salary"/>
  </r>
  <r>
    <n v="817"/>
    <n v="15734565"/>
    <s v="Hughes"/>
    <x v="0"/>
    <s v="Male"/>
    <n v="696"/>
    <n v="29"/>
    <n v="8"/>
    <n v="0"/>
    <n v="2"/>
    <n v="1"/>
    <n v="0"/>
    <n v="191166.09"/>
    <x v="1"/>
    <x v="2"/>
    <x v="1"/>
    <s v="High Salary"/>
  </r>
  <r>
    <n v="818"/>
    <n v="15806438"/>
    <s v="Chiabuotu"/>
    <x v="2"/>
    <s v="Female"/>
    <n v="580"/>
    <n v="42"/>
    <n v="2"/>
    <n v="123331.36"/>
    <n v="1"/>
    <n v="0"/>
    <n v="0"/>
    <n v="103516.08"/>
    <x v="0"/>
    <x v="0"/>
    <x v="0"/>
    <s v="High Salary"/>
  </r>
  <r>
    <n v="819"/>
    <n v="15591969"/>
    <s v="Kuo"/>
    <x v="1"/>
    <s v="Male"/>
    <n v="497"/>
    <n v="27"/>
    <n v="9"/>
    <n v="75263.16"/>
    <n v="1"/>
    <n v="1"/>
    <n v="1"/>
    <n v="164825.04"/>
    <x v="1"/>
    <x v="1"/>
    <x v="1"/>
    <s v="High Salary"/>
  </r>
  <r>
    <n v="820"/>
    <n v="15747807"/>
    <s v="Gallagher"/>
    <x v="0"/>
    <s v="Female"/>
    <n v="720"/>
    <n v="43"/>
    <n v="6"/>
    <n v="137824.03"/>
    <n v="2"/>
    <n v="1"/>
    <n v="0"/>
    <n v="172557.77"/>
    <x v="1"/>
    <x v="2"/>
    <x v="0"/>
    <s v="High Salary"/>
  </r>
  <r>
    <n v="821"/>
    <n v="15596939"/>
    <s v="Calabresi"/>
    <x v="2"/>
    <s v="Male"/>
    <n v="659"/>
    <n v="36"/>
    <n v="4"/>
    <n v="132578.92000000001"/>
    <n v="2"/>
    <n v="1"/>
    <n v="0"/>
    <n v="84320.94"/>
    <x v="1"/>
    <x v="0"/>
    <x v="0"/>
    <s v="High Salary"/>
  </r>
  <r>
    <n v="822"/>
    <n v="15716155"/>
    <s v="Shaw"/>
    <x v="0"/>
    <s v="Female"/>
    <n v="841"/>
    <n v="36"/>
    <n v="5"/>
    <n v="156021.31"/>
    <n v="1"/>
    <n v="0"/>
    <n v="0"/>
    <n v="122662.98"/>
    <x v="1"/>
    <x v="2"/>
    <x v="0"/>
    <s v="High Salary"/>
  </r>
  <r>
    <n v="823"/>
    <n v="15765311"/>
    <s v="Zhirov"/>
    <x v="1"/>
    <s v="Male"/>
    <n v="642"/>
    <n v="34"/>
    <n v="8"/>
    <n v="0"/>
    <n v="1"/>
    <n v="1"/>
    <n v="0"/>
    <n v="72085.100000000006"/>
    <x v="1"/>
    <x v="0"/>
    <x v="0"/>
    <s v="High Salary"/>
  </r>
  <r>
    <n v="824"/>
    <n v="15757811"/>
    <s v="Lloyd"/>
    <x v="1"/>
    <s v="Female"/>
    <n v="732"/>
    <n v="69"/>
    <n v="9"/>
    <n v="137453.43"/>
    <n v="1"/>
    <n v="0"/>
    <n v="1"/>
    <n v="110932.24"/>
    <x v="0"/>
    <x v="2"/>
    <x v="2"/>
    <s v="High Salary"/>
  </r>
  <r>
    <n v="825"/>
    <n v="15603830"/>
    <s v="Palmer"/>
    <x v="1"/>
    <s v="Male"/>
    <n v="600"/>
    <n v="36"/>
    <n v="4"/>
    <n v="0"/>
    <n v="2"/>
    <n v="1"/>
    <n v="0"/>
    <n v="143635.35999999999"/>
    <x v="1"/>
    <x v="0"/>
    <x v="0"/>
    <s v="High Salary"/>
  </r>
  <r>
    <n v="826"/>
    <n v="15660602"/>
    <s v="Ch'eng"/>
    <x v="2"/>
    <s v="Male"/>
    <n v="464"/>
    <n v="33"/>
    <n v="8"/>
    <n v="164284.72"/>
    <n v="2"/>
    <n v="1"/>
    <n v="1"/>
    <n v="3710.34"/>
    <x v="1"/>
    <x v="1"/>
    <x v="0"/>
    <s v="Low Salary"/>
  </r>
  <r>
    <n v="827"/>
    <n v="15660535"/>
    <s v="Avent"/>
    <x v="0"/>
    <s v="Female"/>
    <n v="680"/>
    <n v="47"/>
    <n v="5"/>
    <n v="0"/>
    <n v="2"/>
    <n v="1"/>
    <n v="1"/>
    <n v="179843.33"/>
    <x v="1"/>
    <x v="2"/>
    <x v="0"/>
    <s v="High Salary"/>
  </r>
  <r>
    <n v="828"/>
    <n v="15666633"/>
    <s v="Huang"/>
    <x v="1"/>
    <s v="Male"/>
    <n v="758"/>
    <n v="56"/>
    <n v="1"/>
    <n v="0"/>
    <n v="2"/>
    <n v="1"/>
    <n v="1"/>
    <n v="10643.38"/>
    <x v="1"/>
    <x v="2"/>
    <x v="2"/>
    <s v="Low Salary"/>
  </r>
  <r>
    <n v="829"/>
    <n v="15596914"/>
    <s v="Shaw"/>
    <x v="2"/>
    <s v="Female"/>
    <n v="630"/>
    <n v="31"/>
    <n v="2"/>
    <n v="112373.49"/>
    <n v="2"/>
    <n v="1"/>
    <n v="1"/>
    <n v="131167.98000000001"/>
    <x v="1"/>
    <x v="0"/>
    <x v="0"/>
    <s v="High Salary"/>
  </r>
  <r>
    <n v="830"/>
    <n v="15639788"/>
    <s v="Yuan"/>
    <x v="0"/>
    <s v="Female"/>
    <n v="577"/>
    <n v="39"/>
    <n v="10"/>
    <n v="0"/>
    <n v="2"/>
    <n v="1"/>
    <n v="0"/>
    <n v="10553.31"/>
    <x v="1"/>
    <x v="1"/>
    <x v="0"/>
    <s v="Low Salary"/>
  </r>
  <r>
    <n v="831"/>
    <n v="15695846"/>
    <s v="Hawkins"/>
    <x v="0"/>
    <s v="Female"/>
    <n v="684"/>
    <n v="34"/>
    <n v="6"/>
    <n v="0"/>
    <n v="2"/>
    <n v="1"/>
    <n v="1"/>
    <n v="130928.22"/>
    <x v="1"/>
    <x v="2"/>
    <x v="0"/>
    <s v="High Salary"/>
  </r>
  <r>
    <n v="832"/>
    <n v="15726234"/>
    <s v="Trentini"/>
    <x v="1"/>
    <s v="Female"/>
    <n v="708"/>
    <n v="41"/>
    <n v="5"/>
    <n v="0"/>
    <n v="1"/>
    <n v="0"/>
    <n v="1"/>
    <n v="157003.99"/>
    <x v="1"/>
    <x v="2"/>
    <x v="0"/>
    <s v="High Salary"/>
  </r>
  <r>
    <n v="833"/>
    <n v="15797964"/>
    <s v="Cameron"/>
    <x v="2"/>
    <s v="Female"/>
    <n v="732"/>
    <n v="29"/>
    <n v="1"/>
    <n v="154333.82"/>
    <n v="1"/>
    <n v="1"/>
    <n v="1"/>
    <n v="138527.56"/>
    <x v="1"/>
    <x v="2"/>
    <x v="1"/>
    <s v="High Salary"/>
  </r>
  <r>
    <n v="834"/>
    <n v="15625881"/>
    <s v="Koehler"/>
    <x v="2"/>
    <s v="Male"/>
    <n v="634"/>
    <n v="37"/>
    <n v="3"/>
    <n v="111432.77"/>
    <n v="2"/>
    <n v="1"/>
    <n v="1"/>
    <n v="167032.49"/>
    <x v="1"/>
    <x v="0"/>
    <x v="0"/>
    <s v="High Salary"/>
  </r>
  <r>
    <n v="835"/>
    <n v="15780628"/>
    <s v="Wu"/>
    <x v="0"/>
    <s v="Female"/>
    <n v="633"/>
    <n v="30"/>
    <n v="6"/>
    <n v="0"/>
    <n v="2"/>
    <n v="0"/>
    <n v="0"/>
    <n v="41642.29"/>
    <x v="1"/>
    <x v="0"/>
    <x v="1"/>
    <s v="Medium Salary"/>
  </r>
  <r>
    <n v="836"/>
    <n v="15575883"/>
    <s v="Manna"/>
    <x v="0"/>
    <s v="Male"/>
    <n v="559"/>
    <n v="34"/>
    <n v="2"/>
    <n v="137390.10999999999"/>
    <n v="2"/>
    <n v="1"/>
    <n v="0"/>
    <n v="9677"/>
    <x v="1"/>
    <x v="1"/>
    <x v="0"/>
    <s v="Low Salary"/>
  </r>
  <r>
    <n v="837"/>
    <n v="15585036"/>
    <s v="Okoli"/>
    <x v="1"/>
    <s v="Female"/>
    <n v="694"/>
    <n v="37"/>
    <n v="3"/>
    <n v="0"/>
    <n v="2"/>
    <n v="1"/>
    <n v="1"/>
    <n v="147012.22"/>
    <x v="1"/>
    <x v="2"/>
    <x v="0"/>
    <s v="High Salary"/>
  </r>
  <r>
    <n v="838"/>
    <n v="15589488"/>
    <s v="Ch'eng"/>
    <x v="2"/>
    <s v="Female"/>
    <n v="686"/>
    <n v="56"/>
    <n v="5"/>
    <n v="111642.08"/>
    <n v="1"/>
    <n v="1"/>
    <n v="1"/>
    <n v="80553.87"/>
    <x v="1"/>
    <x v="2"/>
    <x v="2"/>
    <s v="High Salary"/>
  </r>
  <r>
    <n v="839"/>
    <n v="15585888"/>
    <s v="Nwokezuike"/>
    <x v="1"/>
    <s v="Female"/>
    <n v="553"/>
    <n v="48"/>
    <n v="3"/>
    <n v="0"/>
    <n v="1"/>
    <n v="0"/>
    <n v="1"/>
    <n v="30730.95"/>
    <x v="0"/>
    <x v="1"/>
    <x v="0"/>
    <s v="Medium Salary"/>
  </r>
  <r>
    <n v="840"/>
    <n v="15727915"/>
    <s v="Artemiev"/>
    <x v="0"/>
    <s v="Male"/>
    <n v="507"/>
    <n v="36"/>
    <n v="4"/>
    <n v="83543.37"/>
    <n v="1"/>
    <n v="0"/>
    <n v="0"/>
    <n v="140134.43"/>
    <x v="1"/>
    <x v="1"/>
    <x v="0"/>
    <s v="High Salary"/>
  </r>
  <r>
    <n v="841"/>
    <n v="15707567"/>
    <s v="Esposito"/>
    <x v="2"/>
    <s v="Male"/>
    <n v="732"/>
    <n v="50"/>
    <n v="6"/>
    <n v="145338.76"/>
    <n v="1"/>
    <n v="0"/>
    <n v="0"/>
    <n v="91936.1"/>
    <x v="0"/>
    <x v="2"/>
    <x v="0"/>
    <s v="High Salary"/>
  </r>
  <r>
    <n v="842"/>
    <n v="15737792"/>
    <s v="Abbie"/>
    <x v="0"/>
    <s v="Female"/>
    <n v="818"/>
    <n v="31"/>
    <n v="1"/>
    <n v="186796.37"/>
    <n v="1"/>
    <n v="0"/>
    <n v="0"/>
    <n v="178252.63"/>
    <x v="1"/>
    <x v="2"/>
    <x v="0"/>
    <s v="High Salary"/>
  </r>
  <r>
    <n v="843"/>
    <n v="15599433"/>
    <s v="Fanucci"/>
    <x v="2"/>
    <s v="Male"/>
    <n v="660"/>
    <n v="35"/>
    <n v="8"/>
    <n v="58641.43"/>
    <n v="1"/>
    <n v="0"/>
    <n v="1"/>
    <n v="198674.08"/>
    <x v="1"/>
    <x v="0"/>
    <x v="0"/>
    <s v="High Salary"/>
  </r>
  <r>
    <n v="844"/>
    <n v="15672012"/>
    <s v="Jen"/>
    <x v="1"/>
    <s v="Female"/>
    <n v="773"/>
    <n v="41"/>
    <n v="5"/>
    <n v="0"/>
    <n v="1"/>
    <n v="1"/>
    <n v="0"/>
    <n v="28266.9"/>
    <x v="0"/>
    <x v="2"/>
    <x v="0"/>
    <s v="Low Salary"/>
  </r>
  <r>
    <n v="845"/>
    <n v="15806983"/>
    <s v="Moss"/>
    <x v="0"/>
    <s v="Male"/>
    <n v="640"/>
    <n v="44"/>
    <n v="3"/>
    <n v="137148.68"/>
    <n v="1"/>
    <n v="1"/>
    <n v="0"/>
    <n v="92381.01"/>
    <x v="1"/>
    <x v="0"/>
    <x v="0"/>
    <s v="High Salary"/>
  </r>
  <r>
    <n v="846"/>
    <n v="15592222"/>
    <s v="Lo"/>
    <x v="0"/>
    <s v="Male"/>
    <n v="505"/>
    <n v="49"/>
    <n v="7"/>
    <n v="80001.23"/>
    <n v="1"/>
    <n v="0"/>
    <n v="0"/>
    <n v="135180.10999999999"/>
    <x v="1"/>
    <x v="1"/>
    <x v="0"/>
    <s v="High Salary"/>
  </r>
  <r>
    <n v="847"/>
    <n v="15608968"/>
    <s v="Averyanov"/>
    <x v="2"/>
    <s v="Male"/>
    <n v="714"/>
    <n v="21"/>
    <n v="6"/>
    <n v="86402.52"/>
    <n v="2"/>
    <n v="0"/>
    <n v="0"/>
    <n v="27330.59"/>
    <x v="1"/>
    <x v="2"/>
    <x v="1"/>
    <s v="Low Salary"/>
  </r>
  <r>
    <n v="848"/>
    <n v="15586959"/>
    <s v="Unaipon"/>
    <x v="0"/>
    <s v="Female"/>
    <n v="468"/>
    <n v="42"/>
    <n v="5"/>
    <n v="0"/>
    <n v="2"/>
    <n v="1"/>
    <n v="0"/>
    <n v="125305.34"/>
    <x v="1"/>
    <x v="1"/>
    <x v="0"/>
    <s v="High Salary"/>
  </r>
  <r>
    <n v="849"/>
    <n v="15646558"/>
    <s v="Clamp"/>
    <x v="1"/>
    <s v="Male"/>
    <n v="611"/>
    <n v="51"/>
    <n v="1"/>
    <n v="122874.74"/>
    <n v="1"/>
    <n v="1"/>
    <n v="1"/>
    <n v="149648.45000000001"/>
    <x v="1"/>
    <x v="0"/>
    <x v="2"/>
    <s v="High Salary"/>
  </r>
  <r>
    <n v="850"/>
    <n v="15725811"/>
    <s v="Lim"/>
    <x v="0"/>
    <s v="Male"/>
    <n v="705"/>
    <n v="25"/>
    <n v="0"/>
    <n v="97544.29"/>
    <n v="1"/>
    <n v="0"/>
    <n v="1"/>
    <n v="59887.15"/>
    <x v="1"/>
    <x v="2"/>
    <x v="1"/>
    <s v="Medium Salary"/>
  </r>
  <r>
    <n v="851"/>
    <n v="15572265"/>
    <s v="Wu"/>
    <x v="2"/>
    <s v="Male"/>
    <n v="646"/>
    <n v="46"/>
    <n v="1"/>
    <n v="170826.55"/>
    <n v="2"/>
    <n v="1"/>
    <n v="0"/>
    <n v="45041.32"/>
    <x v="1"/>
    <x v="0"/>
    <x v="0"/>
    <s v="Medium Salary"/>
  </r>
  <r>
    <n v="852"/>
    <n v="15794048"/>
    <s v="Wan"/>
    <x v="2"/>
    <s v="Female"/>
    <n v="667"/>
    <n v="48"/>
    <n v="1"/>
    <n v="97133.92"/>
    <n v="2"/>
    <n v="0"/>
    <n v="0"/>
    <n v="113316.77"/>
    <x v="0"/>
    <x v="0"/>
    <x v="0"/>
    <s v="High Salary"/>
  </r>
  <r>
    <n v="853"/>
    <n v="15677610"/>
    <s v="Chambers"/>
    <x v="2"/>
    <s v="Female"/>
    <n v="511"/>
    <n v="41"/>
    <n v="8"/>
    <n v="153895.65"/>
    <n v="1"/>
    <n v="1"/>
    <n v="1"/>
    <n v="39087.42"/>
    <x v="1"/>
    <x v="1"/>
    <x v="0"/>
    <s v="Medium Salary"/>
  </r>
  <r>
    <n v="854"/>
    <n v="15745012"/>
    <s v="Pettit"/>
    <x v="0"/>
    <s v="Female"/>
    <n v="653"/>
    <n v="43"/>
    <n v="6"/>
    <n v="0"/>
    <n v="2"/>
    <n v="1"/>
    <n v="1"/>
    <n v="7330.59"/>
    <x v="1"/>
    <x v="0"/>
    <x v="0"/>
    <s v="Low Salary"/>
  </r>
  <r>
    <n v="855"/>
    <n v="15601589"/>
    <s v="Baresi"/>
    <x v="0"/>
    <s v="Female"/>
    <n v="675"/>
    <n v="57"/>
    <n v="8"/>
    <n v="0"/>
    <n v="2"/>
    <n v="0"/>
    <n v="1"/>
    <n v="95463.29"/>
    <x v="1"/>
    <x v="2"/>
    <x v="2"/>
    <s v="High Salary"/>
  </r>
  <r>
    <n v="856"/>
    <n v="15686436"/>
    <s v="Newbery"/>
    <x v="1"/>
    <s v="Male"/>
    <n v="523"/>
    <n v="32"/>
    <n v="4"/>
    <n v="0"/>
    <n v="2"/>
    <n v="1"/>
    <n v="0"/>
    <n v="167848.02"/>
    <x v="1"/>
    <x v="1"/>
    <x v="0"/>
    <s v="High Salary"/>
  </r>
  <r>
    <n v="857"/>
    <n v="15693864"/>
    <s v="Iheanacho"/>
    <x v="2"/>
    <s v="Female"/>
    <n v="567"/>
    <n v="49"/>
    <n v="5"/>
    <n v="134956.01999999999"/>
    <n v="1"/>
    <n v="1"/>
    <n v="0"/>
    <n v="93953.84"/>
    <x v="0"/>
    <x v="1"/>
    <x v="0"/>
    <s v="High Salary"/>
  </r>
  <r>
    <n v="858"/>
    <n v="15760550"/>
    <s v="Duncan"/>
    <x v="1"/>
    <s v="Male"/>
    <n v="741"/>
    <n v="39"/>
    <n v="7"/>
    <n v="143637.57999999999"/>
    <n v="2"/>
    <n v="0"/>
    <n v="1"/>
    <n v="174227.66"/>
    <x v="1"/>
    <x v="2"/>
    <x v="0"/>
    <s v="High Salary"/>
  </r>
  <r>
    <n v="859"/>
    <n v="15686137"/>
    <s v="Barry"/>
    <x v="1"/>
    <s v="Male"/>
    <n v="456"/>
    <n v="32"/>
    <n v="9"/>
    <n v="147506.25"/>
    <n v="1"/>
    <n v="1"/>
    <n v="1"/>
    <n v="135399.21"/>
    <x v="1"/>
    <x v="1"/>
    <x v="0"/>
    <s v="High Salary"/>
  </r>
  <r>
    <n v="860"/>
    <n v="15809087"/>
    <s v="Landry"/>
    <x v="0"/>
    <s v="Male"/>
    <n v="598"/>
    <n v="64"/>
    <n v="1"/>
    <n v="0"/>
    <n v="2"/>
    <n v="1"/>
    <n v="0"/>
    <n v="195635.3"/>
    <x v="0"/>
    <x v="0"/>
    <x v="2"/>
    <s v="High Salary"/>
  </r>
  <r>
    <n v="861"/>
    <n v="15807663"/>
    <s v="McGregor"/>
    <x v="0"/>
    <s v="Male"/>
    <n v="667"/>
    <n v="43"/>
    <n v="8"/>
    <n v="190227.46"/>
    <n v="1"/>
    <n v="1"/>
    <n v="0"/>
    <n v="97508.04"/>
    <x v="0"/>
    <x v="0"/>
    <x v="0"/>
    <s v="High Salary"/>
  </r>
  <r>
    <n v="862"/>
    <n v="15809100"/>
    <s v="Nucci"/>
    <x v="0"/>
    <s v="Female"/>
    <n v="548"/>
    <n v="32"/>
    <n v="2"/>
    <n v="172448.77"/>
    <n v="1"/>
    <n v="1"/>
    <n v="0"/>
    <n v="188083.77"/>
    <x v="0"/>
    <x v="1"/>
    <x v="0"/>
    <s v="High Salary"/>
  </r>
  <r>
    <n v="863"/>
    <n v="15794916"/>
    <s v="Pirogov"/>
    <x v="0"/>
    <s v="Male"/>
    <n v="725"/>
    <n v="41"/>
    <n v="7"/>
    <n v="113980.21"/>
    <n v="1"/>
    <n v="1"/>
    <n v="1"/>
    <n v="116704.25"/>
    <x v="1"/>
    <x v="2"/>
    <x v="0"/>
    <s v="High Salary"/>
  </r>
  <r>
    <n v="864"/>
    <n v="15614215"/>
    <s v="Oguejiofor"/>
    <x v="0"/>
    <s v="Male"/>
    <n v="717"/>
    <n v="53"/>
    <n v="6"/>
    <n v="0"/>
    <n v="2"/>
    <n v="0"/>
    <n v="1"/>
    <n v="97614.87"/>
    <x v="1"/>
    <x v="2"/>
    <x v="2"/>
    <s v="High Salary"/>
  </r>
  <r>
    <n v="865"/>
    <n v="15805449"/>
    <s v="Ugochukwu"/>
    <x v="0"/>
    <s v="Male"/>
    <n v="594"/>
    <n v="38"/>
    <n v="4"/>
    <n v="0"/>
    <n v="2"/>
    <n v="0"/>
    <n v="0"/>
    <n v="186884.04"/>
    <x v="1"/>
    <x v="0"/>
    <x v="0"/>
    <s v="High Salary"/>
  </r>
  <r>
    <n v="866"/>
    <n v="15686983"/>
    <s v="Rohu"/>
    <x v="2"/>
    <s v="Female"/>
    <n v="678"/>
    <n v="25"/>
    <n v="10"/>
    <n v="76968.12"/>
    <n v="2"/>
    <n v="0"/>
    <n v="1"/>
    <n v="131501.72"/>
    <x v="1"/>
    <x v="2"/>
    <x v="1"/>
    <s v="High Salary"/>
  </r>
  <r>
    <n v="867"/>
    <n v="15808017"/>
    <s v="Cary"/>
    <x v="0"/>
    <s v="Male"/>
    <n v="545"/>
    <n v="38"/>
    <n v="1"/>
    <n v="88293.13"/>
    <n v="2"/>
    <n v="1"/>
    <n v="1"/>
    <n v="24302.95"/>
    <x v="1"/>
    <x v="1"/>
    <x v="0"/>
    <s v="Low Salary"/>
  </r>
  <r>
    <n v="868"/>
    <n v="15756804"/>
    <s v="O'Loghlen"/>
    <x v="0"/>
    <s v="Female"/>
    <n v="636"/>
    <n v="48"/>
    <n v="1"/>
    <n v="170833.46"/>
    <n v="1"/>
    <n v="1"/>
    <n v="0"/>
    <n v="110510.28"/>
    <x v="0"/>
    <x v="0"/>
    <x v="0"/>
    <s v="High Salary"/>
  </r>
  <r>
    <n v="869"/>
    <n v="15646810"/>
    <s v="Quinn"/>
    <x v="2"/>
    <s v="Male"/>
    <n v="603"/>
    <n v="44"/>
    <n v="6"/>
    <n v="108122.39"/>
    <n v="2"/>
    <n v="1"/>
    <n v="0"/>
    <n v="108488.33"/>
    <x v="0"/>
    <x v="0"/>
    <x v="0"/>
    <s v="High Salary"/>
  </r>
  <r>
    <n v="870"/>
    <n v="15710424"/>
    <s v="Page"/>
    <x v="0"/>
    <s v="Male"/>
    <n v="435"/>
    <n v="36"/>
    <n v="4"/>
    <n v="0"/>
    <n v="1"/>
    <n v="1"/>
    <n v="1"/>
    <n v="197015.2"/>
    <x v="1"/>
    <x v="1"/>
    <x v="0"/>
    <s v="High Salary"/>
  </r>
  <r>
    <n v="871"/>
    <n v="15799422"/>
    <s v="Evans"/>
    <x v="0"/>
    <s v="Female"/>
    <n v="535"/>
    <n v="40"/>
    <n v="8"/>
    <n v="0"/>
    <n v="1"/>
    <n v="1"/>
    <n v="1"/>
    <n v="27689.77"/>
    <x v="1"/>
    <x v="1"/>
    <x v="0"/>
    <s v="Low Salary"/>
  </r>
  <r>
    <n v="872"/>
    <n v="15692750"/>
    <s v="McGregor"/>
    <x v="2"/>
    <s v="Female"/>
    <n v="629"/>
    <n v="45"/>
    <n v="7"/>
    <n v="129818.39"/>
    <n v="3"/>
    <n v="1"/>
    <n v="0"/>
    <n v="9217.5499999999993"/>
    <x v="0"/>
    <x v="0"/>
    <x v="0"/>
    <s v="Low Salary"/>
  </r>
  <r>
    <n v="873"/>
    <n v="15794549"/>
    <s v="Andrews"/>
    <x v="0"/>
    <s v="Female"/>
    <n v="722"/>
    <n v="35"/>
    <n v="2"/>
    <n v="163943.89000000001"/>
    <n v="2"/>
    <n v="1"/>
    <n v="1"/>
    <n v="15068.18"/>
    <x v="1"/>
    <x v="2"/>
    <x v="0"/>
    <s v="Low Salary"/>
  </r>
  <r>
    <n v="874"/>
    <n v="15803764"/>
    <s v="Stanley"/>
    <x v="0"/>
    <s v="Male"/>
    <n v="561"/>
    <n v="28"/>
    <n v="7"/>
    <n v="0"/>
    <n v="2"/>
    <n v="1"/>
    <n v="0"/>
    <n v="7797.01"/>
    <x v="1"/>
    <x v="1"/>
    <x v="1"/>
    <s v="Low Salary"/>
  </r>
  <r>
    <n v="875"/>
    <n v="15674840"/>
    <s v="Chiazagomekpere"/>
    <x v="0"/>
    <s v="Female"/>
    <n v="645"/>
    <n v="38"/>
    <n v="5"/>
    <n v="101430.3"/>
    <n v="2"/>
    <n v="0"/>
    <n v="1"/>
    <n v="4400.32"/>
    <x v="1"/>
    <x v="0"/>
    <x v="0"/>
    <s v="Low Salary"/>
  </r>
  <r>
    <n v="876"/>
    <n v="15653762"/>
    <s v="Chidiebele"/>
    <x v="0"/>
    <s v="Female"/>
    <n v="501"/>
    <n v="39"/>
    <n v="9"/>
    <n v="117301.66"/>
    <n v="1"/>
    <n v="0"/>
    <n v="0"/>
    <n v="182025.95"/>
    <x v="1"/>
    <x v="1"/>
    <x v="0"/>
    <s v="High Salary"/>
  </r>
  <r>
    <n v="877"/>
    <n v="15581229"/>
    <s v="Gregory"/>
    <x v="2"/>
    <s v="Female"/>
    <n v="502"/>
    <n v="32"/>
    <n v="1"/>
    <n v="173340.83"/>
    <n v="1"/>
    <n v="0"/>
    <n v="1"/>
    <n v="122763.95"/>
    <x v="1"/>
    <x v="1"/>
    <x v="0"/>
    <s v="High Salary"/>
  </r>
  <r>
    <n v="878"/>
    <n v="15800228"/>
    <s v="Bednall"/>
    <x v="1"/>
    <s v="Female"/>
    <n v="652"/>
    <n v="42"/>
    <n v="4"/>
    <n v="0"/>
    <n v="2"/>
    <n v="1"/>
    <n v="1"/>
    <n v="38152.01"/>
    <x v="1"/>
    <x v="0"/>
    <x v="0"/>
    <s v="Medium Salary"/>
  </r>
  <r>
    <n v="879"/>
    <n v="15656333"/>
    <s v="Jen"/>
    <x v="0"/>
    <s v="Female"/>
    <n v="574"/>
    <n v="33"/>
    <n v="3"/>
    <n v="134348.57"/>
    <n v="1"/>
    <n v="1"/>
    <n v="0"/>
    <n v="63163.99"/>
    <x v="1"/>
    <x v="1"/>
    <x v="0"/>
    <s v="Medium Salary"/>
  </r>
  <r>
    <n v="880"/>
    <n v="15697497"/>
    <s v="She"/>
    <x v="0"/>
    <s v="Female"/>
    <n v="518"/>
    <n v="45"/>
    <n v="9"/>
    <n v="105525.65"/>
    <n v="2"/>
    <n v="1"/>
    <n v="1"/>
    <n v="73418.289999999994"/>
    <x v="1"/>
    <x v="1"/>
    <x v="0"/>
    <s v="High Salary"/>
  </r>
  <r>
    <n v="881"/>
    <n v="15585362"/>
    <s v="Simmons"/>
    <x v="0"/>
    <s v="Female"/>
    <n v="749"/>
    <n v="60"/>
    <n v="6"/>
    <n v="0"/>
    <n v="1"/>
    <n v="1"/>
    <n v="0"/>
    <n v="17978.68"/>
    <x v="0"/>
    <x v="2"/>
    <x v="2"/>
    <s v="Low Salary"/>
  </r>
  <r>
    <n v="882"/>
    <n v="15571928"/>
    <s v="Fraser"/>
    <x v="0"/>
    <s v="Female"/>
    <n v="679"/>
    <n v="43"/>
    <n v="4"/>
    <n v="0"/>
    <n v="3"/>
    <n v="1"/>
    <n v="0"/>
    <n v="115136.51"/>
    <x v="0"/>
    <x v="2"/>
    <x v="0"/>
    <s v="High Salary"/>
  </r>
  <r>
    <n v="883"/>
    <n v="15785519"/>
    <s v="May"/>
    <x v="0"/>
    <s v="Male"/>
    <n v="565"/>
    <n v="36"/>
    <n v="6"/>
    <n v="106192.1"/>
    <n v="1"/>
    <n v="1"/>
    <n v="0"/>
    <n v="149575.59"/>
    <x v="1"/>
    <x v="1"/>
    <x v="0"/>
    <s v="High Salary"/>
  </r>
  <r>
    <n v="884"/>
    <n v="15743007"/>
    <s v="Seabrook"/>
    <x v="0"/>
    <s v="Female"/>
    <n v="643"/>
    <n v="45"/>
    <n v="4"/>
    <n v="45144.43"/>
    <n v="1"/>
    <n v="1"/>
    <n v="0"/>
    <n v="60917.24"/>
    <x v="0"/>
    <x v="0"/>
    <x v="0"/>
    <s v="Medium Salary"/>
  </r>
  <r>
    <n v="885"/>
    <n v="15777211"/>
    <s v="Herrera"/>
    <x v="0"/>
    <s v="Male"/>
    <n v="515"/>
    <n v="65"/>
    <n v="7"/>
    <n v="92113.61"/>
    <n v="1"/>
    <n v="1"/>
    <n v="1"/>
    <n v="142548.32999999999"/>
    <x v="1"/>
    <x v="1"/>
    <x v="2"/>
    <s v="High Salary"/>
  </r>
  <r>
    <n v="886"/>
    <n v="15721935"/>
    <s v="Kincaid"/>
    <x v="0"/>
    <s v="Male"/>
    <n v="521"/>
    <n v="25"/>
    <n v="7"/>
    <n v="0"/>
    <n v="2"/>
    <n v="1"/>
    <n v="1"/>
    <n v="157878.67000000001"/>
    <x v="1"/>
    <x v="1"/>
    <x v="1"/>
    <s v="High Salary"/>
  </r>
  <r>
    <n v="887"/>
    <n v="15591711"/>
    <s v="Sleeman"/>
    <x v="1"/>
    <s v="Male"/>
    <n v="739"/>
    <n v="38"/>
    <n v="0"/>
    <n v="128366.44"/>
    <n v="1"/>
    <n v="1"/>
    <n v="0"/>
    <n v="12796.43"/>
    <x v="1"/>
    <x v="2"/>
    <x v="0"/>
    <s v="Low Salary"/>
  </r>
  <r>
    <n v="888"/>
    <n v="15625021"/>
    <s v="Hung"/>
    <x v="0"/>
    <s v="Male"/>
    <n v="585"/>
    <n v="42"/>
    <n v="2"/>
    <n v="0"/>
    <n v="2"/>
    <n v="1"/>
    <n v="1"/>
    <n v="18657.77"/>
    <x v="1"/>
    <x v="0"/>
    <x v="0"/>
    <s v="Low Salary"/>
  </r>
  <r>
    <n v="889"/>
    <n v="15702968"/>
    <s v="Artemieva"/>
    <x v="2"/>
    <s v="Male"/>
    <n v="733"/>
    <n v="74"/>
    <n v="3"/>
    <n v="106545.53"/>
    <n v="1"/>
    <n v="1"/>
    <n v="1"/>
    <n v="134589.57999999999"/>
    <x v="1"/>
    <x v="2"/>
    <x v="2"/>
    <s v="High Salary"/>
  </r>
  <r>
    <n v="890"/>
    <n v="15600462"/>
    <s v="Barwell"/>
    <x v="0"/>
    <s v="Female"/>
    <n v="542"/>
    <n v="43"/>
    <n v="8"/>
    <n v="145618.37"/>
    <n v="1"/>
    <n v="0"/>
    <n v="1"/>
    <n v="10350.74"/>
    <x v="1"/>
    <x v="1"/>
    <x v="0"/>
    <s v="Low Salary"/>
  </r>
  <r>
    <n v="891"/>
    <n v="15768104"/>
    <s v="Wright"/>
    <x v="1"/>
    <s v="Male"/>
    <n v="788"/>
    <n v="37"/>
    <n v="8"/>
    <n v="141541.25"/>
    <n v="1"/>
    <n v="0"/>
    <n v="0"/>
    <n v="66013.27"/>
    <x v="1"/>
    <x v="2"/>
    <x v="0"/>
    <s v="Medium Salary"/>
  </r>
  <r>
    <n v="892"/>
    <n v="15780140"/>
    <s v="Bellucci"/>
    <x v="2"/>
    <s v="Male"/>
    <n v="435"/>
    <n v="32"/>
    <n v="2"/>
    <n v="57017.06"/>
    <n v="2"/>
    <n v="1"/>
    <n v="1"/>
    <n v="5907.11"/>
    <x v="1"/>
    <x v="1"/>
    <x v="0"/>
    <s v="Low Salary"/>
  </r>
  <r>
    <n v="893"/>
    <n v="15585255"/>
    <s v="Moore"/>
    <x v="0"/>
    <s v="Male"/>
    <n v="577"/>
    <n v="42"/>
    <n v="9"/>
    <n v="0"/>
    <n v="1"/>
    <n v="1"/>
    <n v="0"/>
    <n v="74077.91"/>
    <x v="1"/>
    <x v="1"/>
    <x v="0"/>
    <s v="High Salary"/>
  </r>
  <r>
    <n v="894"/>
    <n v="15772781"/>
    <s v="Ball"/>
    <x v="0"/>
    <s v="Female"/>
    <n v="703"/>
    <n v="51"/>
    <n v="3"/>
    <n v="0"/>
    <n v="3"/>
    <n v="1"/>
    <n v="1"/>
    <n v="77294.559999999998"/>
    <x v="0"/>
    <x v="2"/>
    <x v="2"/>
    <s v="High Salary"/>
  </r>
  <r>
    <n v="895"/>
    <n v="15669987"/>
    <s v="Sung"/>
    <x v="2"/>
    <s v="Female"/>
    <n v="728"/>
    <n v="35"/>
    <n v="8"/>
    <n v="125884.95"/>
    <n v="2"/>
    <n v="1"/>
    <n v="0"/>
    <n v="54359.02"/>
    <x v="0"/>
    <x v="2"/>
    <x v="0"/>
    <s v="Medium Salary"/>
  </r>
  <r>
    <n v="896"/>
    <n v="15697000"/>
    <s v="Mello"/>
    <x v="2"/>
    <s v="Male"/>
    <n v="728"/>
    <n v="32"/>
    <n v="5"/>
    <n v="61825.5"/>
    <n v="1"/>
    <n v="1"/>
    <n v="1"/>
    <n v="156124.93"/>
    <x v="1"/>
    <x v="2"/>
    <x v="0"/>
    <s v="High Salary"/>
  </r>
  <r>
    <n v="897"/>
    <n v="15733119"/>
    <s v="Mistry"/>
    <x v="0"/>
    <s v="Male"/>
    <n v="718"/>
    <n v="35"/>
    <n v="8"/>
    <n v="0"/>
    <n v="2"/>
    <n v="1"/>
    <n v="0"/>
    <n v="94820.85"/>
    <x v="1"/>
    <x v="2"/>
    <x v="0"/>
    <s v="High Salary"/>
  </r>
  <r>
    <n v="898"/>
    <n v="15782390"/>
    <s v="T'ien"/>
    <x v="0"/>
    <s v="Female"/>
    <n v="621"/>
    <n v="40"/>
    <n v="6"/>
    <n v="0"/>
    <n v="1"/>
    <n v="1"/>
    <n v="0"/>
    <n v="155155.25"/>
    <x v="1"/>
    <x v="0"/>
    <x v="0"/>
    <s v="High Salary"/>
  </r>
  <r>
    <n v="899"/>
    <n v="15654700"/>
    <s v="Fallaci"/>
    <x v="0"/>
    <s v="Female"/>
    <n v="523"/>
    <n v="40"/>
    <n v="2"/>
    <n v="102967.41"/>
    <n v="1"/>
    <n v="1"/>
    <n v="0"/>
    <n v="128702.1"/>
    <x v="0"/>
    <x v="1"/>
    <x v="0"/>
    <s v="High Salary"/>
  </r>
  <r>
    <n v="900"/>
    <n v="15632210"/>
    <s v="Hill"/>
    <x v="2"/>
    <s v="Male"/>
    <n v="657"/>
    <n v="25"/>
    <n v="2"/>
    <n v="171770.55"/>
    <n v="1"/>
    <n v="1"/>
    <n v="0"/>
    <n v="22745.5"/>
    <x v="1"/>
    <x v="0"/>
    <x v="1"/>
    <s v="Low Salary"/>
  </r>
  <r>
    <n v="901"/>
    <n v="15642041"/>
    <s v="Burns"/>
    <x v="2"/>
    <s v="Male"/>
    <n v="727"/>
    <n v="40"/>
    <n v="1"/>
    <n v="93051.64"/>
    <n v="2"/>
    <n v="1"/>
    <n v="0"/>
    <n v="71865.31"/>
    <x v="0"/>
    <x v="2"/>
    <x v="0"/>
    <s v="High Salary"/>
  </r>
  <r>
    <n v="902"/>
    <n v="15709737"/>
    <s v="Hunter"/>
    <x v="0"/>
    <s v="Male"/>
    <n v="643"/>
    <n v="36"/>
    <n v="7"/>
    <n v="161064.64000000001"/>
    <n v="2"/>
    <n v="0"/>
    <n v="1"/>
    <n v="84294.82"/>
    <x v="1"/>
    <x v="0"/>
    <x v="0"/>
    <s v="High Salary"/>
  </r>
  <r>
    <n v="903"/>
    <n v="15792388"/>
    <s v="Li"/>
    <x v="0"/>
    <s v="Female"/>
    <n v="645"/>
    <n v="48"/>
    <n v="7"/>
    <n v="90612.34"/>
    <n v="1"/>
    <n v="1"/>
    <n v="1"/>
    <n v="149139.13"/>
    <x v="1"/>
    <x v="0"/>
    <x v="0"/>
    <s v="High Salary"/>
  </r>
  <r>
    <n v="904"/>
    <n v="15786014"/>
    <s v="Ku"/>
    <x v="0"/>
    <s v="Male"/>
    <n v="568"/>
    <n v="28"/>
    <n v="5"/>
    <n v="145105.64000000001"/>
    <n v="2"/>
    <n v="1"/>
    <n v="0"/>
    <n v="185489.11"/>
    <x v="1"/>
    <x v="1"/>
    <x v="1"/>
    <s v="High Salary"/>
  </r>
  <r>
    <n v="905"/>
    <n v="15794580"/>
    <s v="Ch'en"/>
    <x v="0"/>
    <s v="Male"/>
    <n v="599"/>
    <n v="58"/>
    <n v="4"/>
    <n v="0"/>
    <n v="1"/>
    <n v="0"/>
    <n v="0"/>
    <n v="176407.15"/>
    <x v="0"/>
    <x v="0"/>
    <x v="2"/>
    <s v="High Salary"/>
  </r>
  <r>
    <n v="906"/>
    <n v="15675964"/>
    <s v="Chukwukadibia"/>
    <x v="0"/>
    <s v="Female"/>
    <n v="672"/>
    <n v="45"/>
    <n v="9"/>
    <n v="0"/>
    <n v="1"/>
    <n v="1"/>
    <n v="1"/>
    <n v="92027.69"/>
    <x v="0"/>
    <x v="2"/>
    <x v="0"/>
    <s v="High Salary"/>
  </r>
  <r>
    <n v="907"/>
    <n v="15814275"/>
    <s v="Zikoranachidimma"/>
    <x v="0"/>
    <s v="Male"/>
    <n v="685"/>
    <n v="33"/>
    <n v="6"/>
    <n v="174912.72"/>
    <n v="1"/>
    <n v="1"/>
    <n v="1"/>
    <n v="43932.54"/>
    <x v="1"/>
    <x v="2"/>
    <x v="0"/>
    <s v="Medium Salary"/>
  </r>
  <r>
    <n v="908"/>
    <n v="15724848"/>
    <s v="Oluchukwu"/>
    <x v="0"/>
    <s v="Female"/>
    <n v="516"/>
    <n v="46"/>
    <n v="1"/>
    <n v="104947.72"/>
    <n v="1"/>
    <n v="1"/>
    <n v="0"/>
    <n v="115789.25"/>
    <x v="0"/>
    <x v="1"/>
    <x v="0"/>
    <s v="High Salary"/>
  </r>
  <r>
    <n v="909"/>
    <n v="15754713"/>
    <s v="Rivera"/>
    <x v="1"/>
    <s v="Male"/>
    <n v="685"/>
    <n v="31"/>
    <n v="10"/>
    <n v="135213.71"/>
    <n v="1"/>
    <n v="1"/>
    <n v="1"/>
    <n v="125777.28"/>
    <x v="1"/>
    <x v="2"/>
    <x v="0"/>
    <s v="High Salary"/>
  </r>
  <r>
    <n v="910"/>
    <n v="15693814"/>
    <s v="Niu"/>
    <x v="1"/>
    <s v="Male"/>
    <n v="806"/>
    <n v="25"/>
    <n v="7"/>
    <n v="0"/>
    <n v="2"/>
    <n v="1"/>
    <n v="0"/>
    <n v="18461.900000000001"/>
    <x v="1"/>
    <x v="2"/>
    <x v="1"/>
    <s v="Low Salary"/>
  </r>
  <r>
    <n v="911"/>
    <n v="15599660"/>
    <s v="Bennett"/>
    <x v="0"/>
    <s v="Male"/>
    <n v="604"/>
    <n v="36"/>
    <n v="6"/>
    <n v="116229.85"/>
    <n v="2"/>
    <n v="1"/>
    <n v="1"/>
    <n v="79633.38"/>
    <x v="1"/>
    <x v="0"/>
    <x v="0"/>
    <s v="High Salary"/>
  </r>
  <r>
    <n v="912"/>
    <n v="15746490"/>
    <s v="Wollstonecraft"/>
    <x v="1"/>
    <s v="Female"/>
    <n v="648"/>
    <n v="53"/>
    <n v="6"/>
    <n v="111201.41"/>
    <n v="1"/>
    <n v="1"/>
    <n v="1"/>
    <n v="121542.29"/>
    <x v="1"/>
    <x v="0"/>
    <x v="2"/>
    <s v="High Salary"/>
  </r>
  <r>
    <n v="913"/>
    <n v="15566091"/>
    <s v="Thomsen"/>
    <x v="1"/>
    <s v="Female"/>
    <n v="545"/>
    <n v="32"/>
    <n v="4"/>
    <n v="0"/>
    <n v="1"/>
    <n v="1"/>
    <n v="0"/>
    <n v="94739.199999999997"/>
    <x v="1"/>
    <x v="1"/>
    <x v="0"/>
    <s v="High Salary"/>
  </r>
  <r>
    <n v="914"/>
    <n v="15655961"/>
    <s v="Palermo"/>
    <x v="2"/>
    <s v="Male"/>
    <n v="756"/>
    <n v="27"/>
    <n v="1"/>
    <n v="131899"/>
    <n v="1"/>
    <n v="1"/>
    <n v="0"/>
    <n v="93302.29"/>
    <x v="1"/>
    <x v="2"/>
    <x v="1"/>
    <s v="High Salary"/>
  </r>
  <r>
    <n v="915"/>
    <n v="15710404"/>
    <s v="Chinwendu"/>
    <x v="0"/>
    <s v="Male"/>
    <n v="569"/>
    <n v="35"/>
    <n v="10"/>
    <n v="124525.52"/>
    <n v="1"/>
    <n v="1"/>
    <n v="1"/>
    <n v="193793.78"/>
    <x v="1"/>
    <x v="1"/>
    <x v="0"/>
    <s v="High Salary"/>
  </r>
  <r>
    <n v="916"/>
    <n v="15775625"/>
    <s v="McKenzie"/>
    <x v="0"/>
    <s v="Male"/>
    <n v="596"/>
    <n v="47"/>
    <n v="6"/>
    <n v="0"/>
    <n v="1"/>
    <n v="1"/>
    <n v="0"/>
    <n v="74835.649999999994"/>
    <x v="1"/>
    <x v="0"/>
    <x v="0"/>
    <s v="High Salary"/>
  </r>
  <r>
    <n v="917"/>
    <n v="15792328"/>
    <s v="James"/>
    <x v="0"/>
    <s v="Male"/>
    <n v="475"/>
    <n v="39"/>
    <n v="6"/>
    <n v="0"/>
    <n v="1"/>
    <n v="1"/>
    <n v="1"/>
    <n v="56999.9"/>
    <x v="0"/>
    <x v="1"/>
    <x v="0"/>
    <s v="Medium Salary"/>
  </r>
  <r>
    <n v="918"/>
    <n v="15719856"/>
    <s v="Lamb"/>
    <x v="0"/>
    <s v="Female"/>
    <n v="646"/>
    <n v="45"/>
    <n v="3"/>
    <n v="47134.75"/>
    <n v="1"/>
    <n v="1"/>
    <n v="1"/>
    <n v="57236.44"/>
    <x v="1"/>
    <x v="0"/>
    <x v="0"/>
    <s v="Medium Salary"/>
  </r>
  <r>
    <n v="919"/>
    <n v="15593773"/>
    <s v="Olejuru"/>
    <x v="1"/>
    <s v="Male"/>
    <n v="784"/>
    <n v="35"/>
    <n v="3"/>
    <n v="0"/>
    <n v="2"/>
    <n v="0"/>
    <n v="0"/>
    <n v="81483.64"/>
    <x v="1"/>
    <x v="2"/>
    <x v="0"/>
    <s v="High Salary"/>
  </r>
  <r>
    <n v="920"/>
    <n v="15733114"/>
    <s v="Hay"/>
    <x v="1"/>
    <s v="Male"/>
    <n v="552"/>
    <n v="45"/>
    <n v="9"/>
    <n v="0"/>
    <n v="2"/>
    <n v="1"/>
    <n v="0"/>
    <n v="26752.560000000001"/>
    <x v="1"/>
    <x v="1"/>
    <x v="0"/>
    <s v="Low Salary"/>
  </r>
  <r>
    <n v="921"/>
    <n v="15797748"/>
    <s v="Lu"/>
    <x v="0"/>
    <s v="Male"/>
    <n v="729"/>
    <n v="44"/>
    <n v="5"/>
    <n v="0"/>
    <n v="2"/>
    <n v="0"/>
    <n v="1"/>
    <n v="9200.5400000000009"/>
    <x v="1"/>
    <x v="2"/>
    <x v="0"/>
    <s v="Low Salary"/>
  </r>
  <r>
    <n v="922"/>
    <n v="15743411"/>
    <s v="Chiawuotu"/>
    <x v="1"/>
    <s v="Male"/>
    <n v="609"/>
    <n v="61"/>
    <n v="1"/>
    <n v="0"/>
    <n v="1"/>
    <n v="1"/>
    <n v="0"/>
    <n v="22447.85"/>
    <x v="0"/>
    <x v="0"/>
    <x v="2"/>
    <s v="Low Salary"/>
  </r>
  <r>
    <n v="923"/>
    <n v="15753337"/>
    <s v="Yeates"/>
    <x v="0"/>
    <s v="Male"/>
    <n v="555"/>
    <n v="51"/>
    <n v="5"/>
    <n v="0"/>
    <n v="3"/>
    <n v="1"/>
    <n v="0"/>
    <n v="189122.89"/>
    <x v="0"/>
    <x v="1"/>
    <x v="2"/>
    <s v="High Salary"/>
  </r>
  <r>
    <n v="924"/>
    <n v="15601026"/>
    <s v="Gallagher"/>
    <x v="2"/>
    <s v="Female"/>
    <n v="572"/>
    <n v="19"/>
    <n v="1"/>
    <n v="138657.07999999999"/>
    <n v="1"/>
    <n v="1"/>
    <n v="1"/>
    <n v="16161.82"/>
    <x v="1"/>
    <x v="1"/>
    <x v="1"/>
    <s v="Low Salary"/>
  </r>
  <r>
    <n v="925"/>
    <n v="15658485"/>
    <s v="Heath"/>
    <x v="0"/>
    <s v="Female"/>
    <n v="785"/>
    <n v="34"/>
    <n v="9"/>
    <n v="70302.48"/>
    <n v="1"/>
    <n v="1"/>
    <n v="1"/>
    <n v="68600.36"/>
    <x v="1"/>
    <x v="2"/>
    <x v="0"/>
    <s v="Medium Salary"/>
  </r>
  <r>
    <n v="926"/>
    <n v="15636731"/>
    <s v="Ts'ai"/>
    <x v="2"/>
    <s v="Female"/>
    <n v="714"/>
    <n v="36"/>
    <n v="1"/>
    <n v="101609.01"/>
    <n v="2"/>
    <n v="1"/>
    <n v="1"/>
    <n v="447.73"/>
    <x v="1"/>
    <x v="2"/>
    <x v="0"/>
    <s v="Low Salary"/>
  </r>
  <r>
    <n v="927"/>
    <n v="15628303"/>
    <s v="Thurgood"/>
    <x v="1"/>
    <s v="Male"/>
    <n v="738"/>
    <n v="35"/>
    <n v="3"/>
    <n v="0"/>
    <n v="1"/>
    <n v="1"/>
    <n v="1"/>
    <n v="15650.73"/>
    <x v="1"/>
    <x v="2"/>
    <x v="0"/>
    <s v="Low Salary"/>
  </r>
  <r>
    <n v="928"/>
    <n v="15633461"/>
    <s v="Pai"/>
    <x v="2"/>
    <s v="Male"/>
    <n v="639"/>
    <n v="38"/>
    <n v="5"/>
    <n v="130170.82"/>
    <n v="1"/>
    <n v="1"/>
    <n v="1"/>
    <n v="149599.62"/>
    <x v="1"/>
    <x v="0"/>
    <x v="0"/>
    <s v="High Salary"/>
  </r>
  <r>
    <n v="929"/>
    <n v="15677135"/>
    <s v="Lorenzo"/>
    <x v="2"/>
    <s v="Male"/>
    <n v="520"/>
    <n v="61"/>
    <n v="8"/>
    <n v="133802.29"/>
    <n v="2"/>
    <n v="1"/>
    <n v="1"/>
    <n v="90304.01"/>
    <x v="1"/>
    <x v="1"/>
    <x v="2"/>
    <s v="High Salary"/>
  </r>
  <r>
    <n v="930"/>
    <n v="15590876"/>
    <s v="Knupp"/>
    <x v="0"/>
    <s v="Female"/>
    <n v="764"/>
    <n v="24"/>
    <n v="7"/>
    <n v="106234.02"/>
    <n v="1"/>
    <n v="0"/>
    <n v="0"/>
    <n v="115676.38"/>
    <x v="1"/>
    <x v="2"/>
    <x v="1"/>
    <s v="High Salary"/>
  </r>
  <r>
    <n v="931"/>
    <n v="15790782"/>
    <s v="Baryshnikov"/>
    <x v="1"/>
    <s v="Male"/>
    <n v="661"/>
    <n v="39"/>
    <n v="6"/>
    <n v="132628.98000000001"/>
    <n v="1"/>
    <n v="0"/>
    <n v="0"/>
    <n v="38812.67"/>
    <x v="1"/>
    <x v="0"/>
    <x v="0"/>
    <s v="Medium Salary"/>
  </r>
  <r>
    <n v="932"/>
    <n v="15700476"/>
    <s v="Azubuike"/>
    <x v="2"/>
    <s v="Male"/>
    <n v="564"/>
    <n v="41"/>
    <n v="9"/>
    <n v="103522.75"/>
    <n v="2"/>
    <n v="1"/>
    <n v="1"/>
    <n v="34338.21"/>
    <x v="1"/>
    <x v="1"/>
    <x v="0"/>
    <s v="Medium Salary"/>
  </r>
  <r>
    <n v="933"/>
    <n v="15634141"/>
    <s v="Shephard"/>
    <x v="2"/>
    <s v="Female"/>
    <n v="708"/>
    <n v="42"/>
    <n v="8"/>
    <n v="192390.52"/>
    <n v="2"/>
    <n v="1"/>
    <n v="0"/>
    <n v="823.36"/>
    <x v="1"/>
    <x v="2"/>
    <x v="0"/>
    <s v="Low Salary"/>
  </r>
  <r>
    <n v="934"/>
    <n v="15737795"/>
    <s v="Scott"/>
    <x v="1"/>
    <s v="Male"/>
    <n v="512"/>
    <n v="36"/>
    <n v="1"/>
    <n v="0"/>
    <n v="1"/>
    <n v="0"/>
    <n v="1"/>
    <n v="135482.26"/>
    <x v="0"/>
    <x v="1"/>
    <x v="0"/>
    <s v="High Salary"/>
  </r>
  <r>
    <n v="935"/>
    <n v="15790299"/>
    <s v="Williamson"/>
    <x v="1"/>
    <s v="Male"/>
    <n v="592"/>
    <n v="37"/>
    <n v="9"/>
    <n v="0"/>
    <n v="3"/>
    <n v="1"/>
    <n v="1"/>
    <n v="10656.89"/>
    <x v="1"/>
    <x v="0"/>
    <x v="0"/>
    <s v="Low Salary"/>
  </r>
  <r>
    <n v="936"/>
    <n v="15675316"/>
    <s v="Avdeeva"/>
    <x v="0"/>
    <s v="Female"/>
    <n v="619"/>
    <n v="38"/>
    <n v="3"/>
    <n v="0"/>
    <n v="2"/>
    <n v="0"/>
    <n v="1"/>
    <n v="116467.35"/>
    <x v="1"/>
    <x v="0"/>
    <x v="0"/>
    <s v="High Salary"/>
  </r>
  <r>
    <n v="937"/>
    <n v="15613630"/>
    <s v="Tang"/>
    <x v="0"/>
    <s v="Male"/>
    <n v="775"/>
    <n v="52"/>
    <n v="8"/>
    <n v="109922.61"/>
    <n v="1"/>
    <n v="1"/>
    <n v="1"/>
    <n v="96823.32"/>
    <x v="0"/>
    <x v="2"/>
    <x v="2"/>
    <s v="High Salary"/>
  </r>
  <r>
    <n v="938"/>
    <n v="15662100"/>
    <s v="Hsu"/>
    <x v="2"/>
    <s v="Female"/>
    <n v="850"/>
    <n v="44"/>
    <n v="5"/>
    <n v="128605.32"/>
    <n v="1"/>
    <n v="0"/>
    <n v="1"/>
    <n v="171096.2"/>
    <x v="1"/>
    <x v="2"/>
    <x v="0"/>
    <s v="High Salary"/>
  </r>
  <r>
    <n v="939"/>
    <n v="15668032"/>
    <s v="Buchanan"/>
    <x v="0"/>
    <s v="Female"/>
    <n v="577"/>
    <n v="37"/>
    <n v="4"/>
    <n v="0"/>
    <n v="1"/>
    <n v="1"/>
    <n v="1"/>
    <n v="79881.39"/>
    <x v="1"/>
    <x v="1"/>
    <x v="0"/>
    <s v="High Salary"/>
  </r>
  <r>
    <n v="940"/>
    <n v="15599289"/>
    <s v="Yeh"/>
    <x v="0"/>
    <s v="Female"/>
    <n v="724"/>
    <n v="37"/>
    <n v="10"/>
    <n v="68598.559999999998"/>
    <n v="1"/>
    <n v="1"/>
    <n v="0"/>
    <n v="157862.82"/>
    <x v="1"/>
    <x v="2"/>
    <x v="0"/>
    <s v="High Salary"/>
  </r>
  <r>
    <n v="941"/>
    <n v="15754084"/>
    <s v="Palazzi"/>
    <x v="1"/>
    <s v="Male"/>
    <n v="710"/>
    <n v="35"/>
    <n v="1"/>
    <n v="106518.52"/>
    <n v="1"/>
    <n v="1"/>
    <n v="1"/>
    <n v="127951.81"/>
    <x v="1"/>
    <x v="2"/>
    <x v="0"/>
    <s v="High Salary"/>
  </r>
  <r>
    <n v="942"/>
    <n v="15676521"/>
    <s v="Y?an"/>
    <x v="0"/>
    <s v="Female"/>
    <n v="696"/>
    <n v="31"/>
    <n v="8"/>
    <n v="0"/>
    <n v="2"/>
    <n v="0"/>
    <n v="0"/>
    <n v="191074.11"/>
    <x v="1"/>
    <x v="2"/>
    <x v="0"/>
    <s v="High Salary"/>
  </r>
  <r>
    <n v="943"/>
    <n v="15804586"/>
    <s v="Lin"/>
    <x v="0"/>
    <s v="Female"/>
    <n v="376"/>
    <n v="46"/>
    <n v="6"/>
    <n v="0"/>
    <n v="1"/>
    <n v="1"/>
    <n v="0"/>
    <n v="157333.69"/>
    <x v="0"/>
    <x v="1"/>
    <x v="0"/>
    <s v="High Salary"/>
  </r>
  <r>
    <n v="944"/>
    <n v="15781465"/>
    <s v="Schofield"/>
    <x v="2"/>
    <s v="Female"/>
    <n v="675"/>
    <n v="29"/>
    <n v="8"/>
    <n v="121326.42"/>
    <n v="1"/>
    <n v="1"/>
    <n v="0"/>
    <n v="133457.51999999999"/>
    <x v="1"/>
    <x v="2"/>
    <x v="1"/>
    <s v="High Salary"/>
  </r>
  <r>
    <n v="945"/>
    <n v="15729362"/>
    <s v="Lombardi"/>
    <x v="0"/>
    <s v="Male"/>
    <n v="745"/>
    <n v="36"/>
    <n v="8"/>
    <n v="67226.37"/>
    <n v="1"/>
    <n v="1"/>
    <n v="0"/>
    <n v="130789.6"/>
    <x v="1"/>
    <x v="2"/>
    <x v="0"/>
    <s v="High Salary"/>
  </r>
  <r>
    <n v="946"/>
    <n v="15709295"/>
    <s v="Wall"/>
    <x v="1"/>
    <s v="Female"/>
    <n v="697"/>
    <n v="25"/>
    <n v="5"/>
    <n v="82931.850000000006"/>
    <n v="2"/>
    <n v="1"/>
    <n v="1"/>
    <n v="128373.88"/>
    <x v="1"/>
    <x v="2"/>
    <x v="1"/>
    <s v="High Salary"/>
  </r>
  <r>
    <n v="947"/>
    <n v="15745324"/>
    <s v="Milani"/>
    <x v="1"/>
    <s v="Female"/>
    <n v="599"/>
    <n v="39"/>
    <n v="4"/>
    <n v="0"/>
    <n v="1"/>
    <n v="1"/>
    <n v="0"/>
    <n v="194273.2"/>
    <x v="0"/>
    <x v="0"/>
    <x v="0"/>
    <s v="High Salary"/>
  </r>
  <r>
    <n v="948"/>
    <n v="15741336"/>
    <s v="Ejimofor"/>
    <x v="0"/>
    <s v="Female"/>
    <n v="715"/>
    <n v="38"/>
    <n v="5"/>
    <n v="118590.41"/>
    <n v="1"/>
    <n v="1"/>
    <n v="1"/>
    <n v="5684.17"/>
    <x v="0"/>
    <x v="2"/>
    <x v="0"/>
    <s v="Low Salary"/>
  </r>
  <r>
    <n v="949"/>
    <n v="15783659"/>
    <s v="Blackburn"/>
    <x v="0"/>
    <s v="Male"/>
    <n v="659"/>
    <n v="67"/>
    <n v="4"/>
    <n v="145981.87"/>
    <n v="1"/>
    <n v="1"/>
    <n v="1"/>
    <n v="131043.2"/>
    <x v="1"/>
    <x v="0"/>
    <x v="2"/>
    <s v="High Salary"/>
  </r>
  <r>
    <n v="950"/>
    <n v="15620981"/>
    <s v="Wickham"/>
    <x v="0"/>
    <s v="Female"/>
    <n v="684"/>
    <n v="48"/>
    <n v="3"/>
    <n v="73309.38"/>
    <n v="1"/>
    <n v="0"/>
    <n v="0"/>
    <n v="21228.34"/>
    <x v="0"/>
    <x v="2"/>
    <x v="0"/>
    <s v="Low Salary"/>
  </r>
  <r>
    <n v="951"/>
    <n v="15630328"/>
    <s v="Bird"/>
    <x v="0"/>
    <s v="Female"/>
    <n v="635"/>
    <n v="48"/>
    <n v="8"/>
    <n v="130796.33"/>
    <n v="2"/>
    <n v="1"/>
    <n v="1"/>
    <n v="43250.3"/>
    <x v="1"/>
    <x v="0"/>
    <x v="0"/>
    <s v="Medium Salary"/>
  </r>
  <r>
    <n v="952"/>
    <n v="15785899"/>
    <s v="Ch'en"/>
    <x v="2"/>
    <s v="Male"/>
    <n v="789"/>
    <n v="33"/>
    <n v="8"/>
    <n v="151607.56"/>
    <n v="1"/>
    <n v="1"/>
    <n v="0"/>
    <n v="4389.3999999999996"/>
    <x v="1"/>
    <x v="2"/>
    <x v="0"/>
    <s v="Low Salary"/>
  </r>
  <r>
    <n v="953"/>
    <n v="15606149"/>
    <s v="Wood"/>
    <x v="2"/>
    <s v="Female"/>
    <n v="571"/>
    <n v="66"/>
    <n v="9"/>
    <n v="111577.01"/>
    <n v="1"/>
    <n v="0"/>
    <n v="1"/>
    <n v="189271.9"/>
    <x v="1"/>
    <x v="1"/>
    <x v="2"/>
    <s v="High Salary"/>
  </r>
  <r>
    <n v="954"/>
    <n v="15671139"/>
    <s v="Brizendine"/>
    <x v="1"/>
    <s v="Male"/>
    <n v="694"/>
    <n v="39"/>
    <n v="0"/>
    <n v="107042.74"/>
    <n v="1"/>
    <n v="1"/>
    <n v="1"/>
    <n v="102284.2"/>
    <x v="1"/>
    <x v="2"/>
    <x v="0"/>
    <s v="High Salary"/>
  </r>
  <r>
    <n v="955"/>
    <n v="15660429"/>
    <s v="Ch'in"/>
    <x v="1"/>
    <s v="Female"/>
    <n v="665"/>
    <n v="42"/>
    <n v="2"/>
    <n v="156371.60999999999"/>
    <n v="2"/>
    <n v="0"/>
    <n v="1"/>
    <n v="156774.94"/>
    <x v="0"/>
    <x v="0"/>
    <x v="0"/>
    <s v="High Salary"/>
  </r>
  <r>
    <n v="956"/>
    <n v="15571002"/>
    <s v="Yusupov"/>
    <x v="0"/>
    <s v="Female"/>
    <n v="706"/>
    <n v="44"/>
    <n v="4"/>
    <n v="129605.99"/>
    <n v="1"/>
    <n v="0"/>
    <n v="0"/>
    <n v="69865.490000000005"/>
    <x v="1"/>
    <x v="2"/>
    <x v="0"/>
    <s v="Medium Salary"/>
  </r>
  <r>
    <n v="957"/>
    <n v="15631681"/>
    <s v="Jibunoh"/>
    <x v="1"/>
    <s v="Female"/>
    <n v="807"/>
    <n v="43"/>
    <n v="0"/>
    <n v="0"/>
    <n v="2"/>
    <n v="0"/>
    <n v="1"/>
    <n v="85523.24"/>
    <x v="1"/>
    <x v="2"/>
    <x v="0"/>
    <s v="High Salary"/>
  </r>
  <r>
    <n v="958"/>
    <n v="15731522"/>
    <s v="Ts'ui"/>
    <x v="1"/>
    <s v="Female"/>
    <n v="771"/>
    <n v="67"/>
    <n v="8"/>
    <n v="0"/>
    <n v="2"/>
    <n v="1"/>
    <n v="1"/>
    <n v="51219.8"/>
    <x v="1"/>
    <x v="2"/>
    <x v="2"/>
    <s v="Medium Salary"/>
  </r>
  <r>
    <n v="959"/>
    <n v="15619529"/>
    <s v="Ndukaku"/>
    <x v="1"/>
    <s v="Male"/>
    <n v="531"/>
    <n v="27"/>
    <n v="8"/>
    <n v="132576.25"/>
    <n v="1"/>
    <n v="0"/>
    <n v="0"/>
    <n v="7222.92"/>
    <x v="1"/>
    <x v="1"/>
    <x v="1"/>
    <s v="Low Salary"/>
  </r>
  <r>
    <n v="960"/>
    <n v="15628034"/>
    <s v="Wilder"/>
    <x v="0"/>
    <s v="Female"/>
    <n v="629"/>
    <n v="37"/>
    <n v="6"/>
    <n v="129101.3"/>
    <n v="1"/>
    <n v="1"/>
    <n v="1"/>
    <n v="23971.33"/>
    <x v="1"/>
    <x v="0"/>
    <x v="0"/>
    <s v="Low Salary"/>
  </r>
  <r>
    <n v="961"/>
    <n v="15686164"/>
    <s v="Maclean"/>
    <x v="2"/>
    <s v="Female"/>
    <n v="850"/>
    <n v="31"/>
    <n v="1"/>
    <n v="108822.39999999999"/>
    <n v="1"/>
    <n v="1"/>
    <n v="1"/>
    <n v="132173.31"/>
    <x v="1"/>
    <x v="2"/>
    <x v="0"/>
    <s v="High Salary"/>
  </r>
  <r>
    <n v="962"/>
    <n v="15582797"/>
    <s v="Ch'iu"/>
    <x v="1"/>
    <s v="Male"/>
    <n v="685"/>
    <n v="35"/>
    <n v="4"/>
    <n v="137948.51"/>
    <n v="1"/>
    <n v="1"/>
    <n v="0"/>
    <n v="113639.64"/>
    <x v="1"/>
    <x v="2"/>
    <x v="0"/>
    <s v="High Salary"/>
  </r>
  <r>
    <n v="963"/>
    <n v="15753831"/>
    <s v="Cox"/>
    <x v="1"/>
    <s v="Male"/>
    <n v="642"/>
    <n v="32"/>
    <n v="7"/>
    <n v="100433.8"/>
    <n v="1"/>
    <n v="1"/>
    <n v="1"/>
    <n v="39768.589999999997"/>
    <x v="1"/>
    <x v="0"/>
    <x v="0"/>
    <s v="Medium Salary"/>
  </r>
  <r>
    <n v="964"/>
    <n v="15731815"/>
    <s v="Nepean"/>
    <x v="1"/>
    <s v="Male"/>
    <n v="529"/>
    <n v="63"/>
    <n v="4"/>
    <n v="96134.11"/>
    <n v="3"/>
    <n v="1"/>
    <n v="0"/>
    <n v="108732.96"/>
    <x v="0"/>
    <x v="1"/>
    <x v="2"/>
    <s v="High Salary"/>
  </r>
  <r>
    <n v="965"/>
    <n v="15580956"/>
    <s v="McNess"/>
    <x v="2"/>
    <s v="Female"/>
    <n v="683"/>
    <n v="43"/>
    <n v="4"/>
    <n v="115888.04"/>
    <n v="1"/>
    <n v="1"/>
    <n v="1"/>
    <n v="117349.19"/>
    <x v="0"/>
    <x v="2"/>
    <x v="0"/>
    <s v="High Salary"/>
  </r>
  <r>
    <n v="966"/>
    <n v="15602084"/>
    <s v="Coles"/>
    <x v="0"/>
    <s v="Female"/>
    <n v="663"/>
    <n v="42"/>
    <n v="5"/>
    <n v="124626.07"/>
    <n v="1"/>
    <n v="1"/>
    <n v="1"/>
    <n v="78004.5"/>
    <x v="1"/>
    <x v="0"/>
    <x v="0"/>
    <s v="High Salary"/>
  </r>
  <r>
    <n v="967"/>
    <n v="15589805"/>
    <s v="Benson"/>
    <x v="0"/>
    <s v="Female"/>
    <n v="563"/>
    <n v="34"/>
    <n v="6"/>
    <n v="139810.34"/>
    <n v="1"/>
    <n v="1"/>
    <n v="1"/>
    <n v="152417.79"/>
    <x v="1"/>
    <x v="1"/>
    <x v="0"/>
    <s v="High Salary"/>
  </r>
  <r>
    <n v="968"/>
    <n v="15720893"/>
    <s v="Gilbert"/>
    <x v="1"/>
    <s v="Female"/>
    <n v="637"/>
    <n v="34"/>
    <n v="9"/>
    <n v="0"/>
    <n v="2"/>
    <n v="0"/>
    <n v="0"/>
    <n v="26057.08"/>
    <x v="1"/>
    <x v="0"/>
    <x v="0"/>
    <s v="Low Salary"/>
  </r>
  <r>
    <n v="969"/>
    <n v="15641009"/>
    <s v="Wilhelm"/>
    <x v="0"/>
    <s v="Male"/>
    <n v="544"/>
    <n v="37"/>
    <n v="3"/>
    <n v="84496.71"/>
    <n v="1"/>
    <n v="0"/>
    <n v="0"/>
    <n v="79972.09"/>
    <x v="1"/>
    <x v="1"/>
    <x v="0"/>
    <s v="High Salary"/>
  </r>
  <r>
    <n v="970"/>
    <n v="15605926"/>
    <s v="Sinclair"/>
    <x v="2"/>
    <s v="Male"/>
    <n v="649"/>
    <n v="70"/>
    <n v="9"/>
    <n v="116854.71"/>
    <n v="2"/>
    <n v="0"/>
    <n v="1"/>
    <n v="107125.79"/>
    <x v="1"/>
    <x v="0"/>
    <x v="2"/>
    <s v="High Salary"/>
  </r>
  <r>
    <n v="971"/>
    <n v="15805955"/>
    <s v="L?"/>
    <x v="0"/>
    <s v="Female"/>
    <n v="638"/>
    <n v="48"/>
    <n v="10"/>
    <n v="138333.03"/>
    <n v="1"/>
    <n v="1"/>
    <n v="1"/>
    <n v="47679.14"/>
    <x v="1"/>
    <x v="0"/>
    <x v="0"/>
    <s v="Medium Salary"/>
  </r>
  <r>
    <n v="972"/>
    <n v="15801488"/>
    <s v="Buckner"/>
    <x v="0"/>
    <s v="Male"/>
    <n v="723"/>
    <n v="25"/>
    <n v="3"/>
    <n v="0"/>
    <n v="2"/>
    <n v="1"/>
    <n v="1"/>
    <n v="134509.47"/>
    <x v="1"/>
    <x v="2"/>
    <x v="1"/>
    <s v="High Salary"/>
  </r>
  <r>
    <n v="973"/>
    <n v="15605918"/>
    <s v="Padovesi"/>
    <x v="2"/>
    <s v="Male"/>
    <n v="635"/>
    <n v="43"/>
    <n v="5"/>
    <n v="78992.75"/>
    <n v="2"/>
    <n v="0"/>
    <n v="0"/>
    <n v="153265.31"/>
    <x v="1"/>
    <x v="0"/>
    <x v="0"/>
    <s v="High Salary"/>
  </r>
  <r>
    <n v="974"/>
    <n v="15779711"/>
    <s v="Gray"/>
    <x v="1"/>
    <s v="Female"/>
    <n v="750"/>
    <n v="38"/>
    <n v="7"/>
    <n v="97257.41"/>
    <n v="2"/>
    <n v="0"/>
    <n v="1"/>
    <n v="179883.04"/>
    <x v="1"/>
    <x v="2"/>
    <x v="0"/>
    <s v="High Salary"/>
  </r>
  <r>
    <n v="975"/>
    <n v="15705620"/>
    <s v="Lu"/>
    <x v="0"/>
    <s v="Male"/>
    <n v="730"/>
    <n v="34"/>
    <n v="5"/>
    <n v="122453.37"/>
    <n v="2"/>
    <n v="1"/>
    <n v="0"/>
    <n v="138882.98000000001"/>
    <x v="1"/>
    <x v="2"/>
    <x v="0"/>
    <s v="High Salary"/>
  </r>
  <r>
    <n v="976"/>
    <n v="15685357"/>
    <s v="Wright"/>
    <x v="1"/>
    <s v="Female"/>
    <n v="750"/>
    <n v="36"/>
    <n v="8"/>
    <n v="112940.07"/>
    <n v="1"/>
    <n v="0"/>
    <n v="1"/>
    <n v="9855.81"/>
    <x v="1"/>
    <x v="2"/>
    <x v="0"/>
    <s v="Low Salary"/>
  </r>
  <r>
    <n v="977"/>
    <n v="15570060"/>
    <s v="Palerma"/>
    <x v="0"/>
    <s v="Female"/>
    <n v="653.5"/>
    <n v="43"/>
    <n v="8"/>
    <n v="132558.26"/>
    <n v="1"/>
    <n v="1"/>
    <n v="0"/>
    <n v="67046.83"/>
    <x v="0"/>
    <x v="0"/>
    <x v="0"/>
    <s v="Medium Salary"/>
  </r>
  <r>
    <n v="978"/>
    <n v="15582616"/>
    <s v="Y?an"/>
    <x v="0"/>
    <s v="Female"/>
    <n v="520"/>
    <n v="38"/>
    <n v="4"/>
    <n v="0"/>
    <n v="2"/>
    <n v="1"/>
    <n v="0"/>
    <n v="56388.63"/>
    <x v="1"/>
    <x v="1"/>
    <x v="0"/>
    <s v="Medium Salary"/>
  </r>
  <r>
    <n v="979"/>
    <n v="15799515"/>
    <s v="Wei"/>
    <x v="0"/>
    <s v="Female"/>
    <n v="652"/>
    <n v="48"/>
    <n v="8"/>
    <n v="133297.24"/>
    <n v="1"/>
    <n v="1"/>
    <n v="0"/>
    <n v="77764.37"/>
    <x v="1"/>
    <x v="0"/>
    <x v="0"/>
    <s v="High Salary"/>
  </r>
  <r>
    <n v="980"/>
    <n v="15642937"/>
    <s v="Padovesi"/>
    <x v="0"/>
    <s v="Female"/>
    <n v="550"/>
    <n v="46"/>
    <n v="7"/>
    <n v="0"/>
    <n v="2"/>
    <n v="1"/>
    <n v="0"/>
    <n v="130590.35"/>
    <x v="1"/>
    <x v="1"/>
    <x v="0"/>
    <s v="High Salary"/>
  </r>
  <r>
    <n v="981"/>
    <n v="15624729"/>
    <s v="Tsao"/>
    <x v="0"/>
    <s v="Male"/>
    <n v="594"/>
    <n v="27"/>
    <n v="0"/>
    <n v="197041.8"/>
    <n v="1"/>
    <n v="0"/>
    <n v="0"/>
    <n v="151912.49"/>
    <x v="1"/>
    <x v="0"/>
    <x v="1"/>
    <s v="High Salary"/>
  </r>
  <r>
    <n v="982"/>
    <n v="15566156"/>
    <s v="Franklin"/>
    <x v="2"/>
    <s v="Female"/>
    <n v="749"/>
    <n v="44"/>
    <n v="0"/>
    <n v="71497.789999999994"/>
    <n v="2"/>
    <n v="0"/>
    <n v="0"/>
    <n v="151083.79999999999"/>
    <x v="1"/>
    <x v="2"/>
    <x v="0"/>
    <s v="High Salary"/>
  </r>
  <r>
    <n v="983"/>
    <n v="15792360"/>
    <s v="Clark"/>
    <x v="0"/>
    <s v="Male"/>
    <n v="668"/>
    <n v="32"/>
    <n v="7"/>
    <n v="0"/>
    <n v="2"/>
    <n v="1"/>
    <n v="1"/>
    <n v="777.37"/>
    <x v="1"/>
    <x v="0"/>
    <x v="0"/>
    <s v="Low Salary"/>
  </r>
  <r>
    <n v="984"/>
    <n v="15807008"/>
    <s v="McGregor"/>
    <x v="2"/>
    <s v="Female"/>
    <n v="614"/>
    <n v="35"/>
    <n v="6"/>
    <n v="128100.28"/>
    <n v="1"/>
    <n v="0"/>
    <n v="0"/>
    <n v="69454.240000000005"/>
    <x v="0"/>
    <x v="0"/>
    <x v="0"/>
    <s v="Medium Salary"/>
  </r>
  <r>
    <n v="985"/>
    <n v="15704770"/>
    <s v="Pan"/>
    <x v="0"/>
    <s v="Male"/>
    <n v="773"/>
    <n v="25"/>
    <n v="1"/>
    <n v="124532.78"/>
    <n v="2"/>
    <n v="0"/>
    <n v="1"/>
    <n v="11723.57"/>
    <x v="1"/>
    <x v="2"/>
    <x v="1"/>
    <s v="Low Salary"/>
  </r>
  <r>
    <n v="986"/>
    <n v="15756475"/>
    <s v="Kenniff"/>
    <x v="2"/>
    <s v="Male"/>
    <n v="551"/>
    <n v="31"/>
    <n v="9"/>
    <n v="82293.820000000007"/>
    <n v="2"/>
    <n v="1"/>
    <n v="1"/>
    <n v="91565.25"/>
    <x v="1"/>
    <x v="1"/>
    <x v="0"/>
    <s v="High Salary"/>
  </r>
  <r>
    <n v="987"/>
    <n v="15655339"/>
    <s v="Spencer"/>
    <x v="0"/>
    <s v="Male"/>
    <n v="566"/>
    <n v="36"/>
    <n v="1"/>
    <n v="142120.91"/>
    <n v="1"/>
    <n v="1"/>
    <n v="0"/>
    <n v="79616.37"/>
    <x v="1"/>
    <x v="1"/>
    <x v="0"/>
    <s v="High Salary"/>
  </r>
  <r>
    <n v="988"/>
    <n v="15613749"/>
    <s v="Lees"/>
    <x v="1"/>
    <s v="Male"/>
    <n v="569"/>
    <n v="34"/>
    <n v="0"/>
    <n v="151839.26"/>
    <n v="1"/>
    <n v="1"/>
    <n v="0"/>
    <n v="102299.81"/>
    <x v="0"/>
    <x v="1"/>
    <x v="0"/>
    <s v="High Salary"/>
  </r>
  <r>
    <n v="989"/>
    <n v="15664521"/>
    <s v="David"/>
    <x v="1"/>
    <s v="Male"/>
    <n v="659"/>
    <n v="31"/>
    <n v="7"/>
    <n v="149620.88"/>
    <n v="2"/>
    <n v="1"/>
    <n v="1"/>
    <n v="104533.51"/>
    <x v="1"/>
    <x v="0"/>
    <x v="0"/>
    <s v="High Salary"/>
  </r>
  <r>
    <n v="990"/>
    <n v="15681206"/>
    <s v="Hsing"/>
    <x v="0"/>
    <s v="Female"/>
    <n v="722"/>
    <n v="49"/>
    <n v="3"/>
    <n v="168197.66"/>
    <n v="1"/>
    <n v="1"/>
    <n v="0"/>
    <n v="140765.57"/>
    <x v="0"/>
    <x v="2"/>
    <x v="0"/>
    <s v="High Salary"/>
  </r>
  <r>
    <n v="991"/>
    <n v="15745527"/>
    <s v="Burke"/>
    <x v="0"/>
    <s v="Male"/>
    <n v="655"/>
    <n v="37"/>
    <n v="5"/>
    <n v="93147"/>
    <n v="2"/>
    <n v="1"/>
    <n v="0"/>
    <n v="66214.13"/>
    <x v="1"/>
    <x v="0"/>
    <x v="0"/>
    <s v="Medium Salary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CCD1E4-7056-4175-B8E3-FB5A40F771E2}" name="PivotTable1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8:D41" firstHeaderRow="1" firstDataRow="2" firstDataCol="1"/>
  <pivotFields count="18"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12">
        <item x="10"/>
        <item x="1"/>
        <item x="0"/>
        <item x="6"/>
        <item x="4"/>
        <item x="8"/>
        <item x="5"/>
        <item x="3"/>
        <item x="2"/>
        <item x="9"/>
        <item x="7"/>
        <item t="default"/>
      </items>
    </pivotField>
    <pivotField showAll="0"/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</pivotFields>
  <rowFields count="1">
    <field x="7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Tenure" fld="7" subtotal="count" showDataAs="percentOfCol" baseField="7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F2FBB0-3D5B-4AFC-B193-C4F1AC16FA12}" name="PivotTable2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75:D80" firstHeaderRow="1" firstDataRow="2" firstDataCol="1"/>
  <pivotFields count="1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Col" showAll="0">
      <items count="3">
        <item x="1"/>
        <item x="0"/>
        <item t="default"/>
      </items>
    </pivotField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</pivotFields>
  <rowFields count="1">
    <field x="16"/>
  </rowFields>
  <rowItems count="4">
    <i>
      <x/>
    </i>
    <i>
      <x v="1"/>
    </i>
    <i>
      <x v="2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Estimated Salary" fld="12" subtotal="count" showDataAs="percentOfCol" baseField="16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FA50A3-B2D8-4BCE-BA0D-6F2C85DEFD55}" name="PivotTable1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2:D17" firstHeaderRow="1" firstDataRow="2" firstDataCol="1"/>
  <pivotFields count="17">
    <pivotField showAll="0"/>
    <pivotField showAll="0"/>
    <pivotField showAll="0"/>
    <pivotField axis="axisRow" dataField="1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n="No" x="1"/>
        <item x="0"/>
        <item t="default"/>
      </items>
    </pivotField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Country" fld="3" subtotal="count" showDataAs="percentOfCol" baseField="3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12A1E9-2217-495D-BF89-3FC759E98D85}" name="PivotTable1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olHeaderCaption="Exited From bank">
  <location ref="A4:D9" firstHeaderRow="1" firstDataRow="2" firstDataCol="1"/>
  <pivotFields count="17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n="No" x="1"/>
        <item n="Yes" x="0"/>
        <item t="default"/>
      </items>
    </pivotField>
    <pivotField axis="axisRow" showAll="0">
      <items count="5">
        <item m="1" x="3"/>
        <item x="0"/>
        <item x="1"/>
        <item x="2"/>
        <item t="default"/>
      </items>
    </pivotField>
    <pivotField showAll="0"/>
    <pivotField showAll="0"/>
  </pivotFields>
  <rowFields count="1">
    <field x="14"/>
  </rowFields>
  <rowItems count="4">
    <i>
      <x v="1"/>
    </i>
    <i>
      <x v="2"/>
    </i>
    <i>
      <x v="3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Credit Score" fld="5" subtotal="count" showDataAs="percentOfCol" baseField="14" baseItem="1" numFmtId="10"/>
  </dataFields>
  <formats count="3">
    <format dxfId="38">
      <pivotArea type="topRight" dataOnly="0" labelOnly="1" outline="0" offset="B1" fieldPosition="0"/>
    </format>
    <format dxfId="37">
      <pivotArea dataOnly="0" labelOnly="1" grandCol="1" outline="0" fieldPosition="0"/>
    </format>
    <format dxfId="36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51BDF5-C26C-4F46-9440-95E9B5B36005}" name="PivotTable1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2:D58" firstHeaderRow="1" firstDataRow="2" firstDataCol="1"/>
  <pivotFields count="1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NumOfProducts" fld="9" subtotal="count" showDataAs="percentOfCol" baseField="9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58D622-B2FD-4654-83C0-208B7C9690F5}" name="PivotTable20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8:D72" firstHeaderRow="1" firstDataRow="2" firstDataCol="1"/>
  <pivotFields count="1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1"/>
        <item x="0"/>
        <item t="default"/>
      </items>
    </pivotField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</pivotFields>
  <rowFields count="1">
    <field x="11"/>
  </rowFields>
  <rowItems count="3">
    <i>
      <x/>
    </i>
    <i>
      <x v="1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IsActiveMember" fld="11" subtotal="count" showDataAs="percentOfCol" baseField="11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9A203A-4A57-4F4E-8187-E1E671AB3744}" name="PivotTable15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0:D25" firstHeaderRow="1" firstDataRow="2" firstDataCol="1"/>
  <pivotFields count="17"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axis="axisRow" showAll="0">
      <items count="4">
        <item x="0"/>
        <item x="2"/>
        <item x="1"/>
        <item t="default"/>
      </items>
    </pivotField>
    <pivotField showAll="0"/>
  </pivotFields>
  <rowFields count="1">
    <field x="15"/>
  </rowFields>
  <rowItems count="4">
    <i>
      <x/>
    </i>
    <i>
      <x v="1"/>
    </i>
    <i>
      <x v="2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Age" fld="6" subtotal="count" showDataAs="percentOfCol" baseField="15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C5B6A9-DC83-4D5E-A970-242508757632}" name="PivotTable1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4:D49" firstHeaderRow="1" firstDataRow="2" firstDataCol="1"/>
  <pivotFields count="18"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</pivotFields>
  <rowFields count="1">
    <field x="17"/>
  </rowFields>
  <rowItems count="4">
    <i>
      <x/>
    </i>
    <i>
      <x v="1"/>
    </i>
    <i>
      <x v="2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Balance" fld="8" subtotal="count" showDataAs="percentOfCol" baseField="17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C2CE1B-7B85-411F-B9C3-5F25E2764C9E}" name="PivotTable19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1:D65" firstHeaderRow="1" firstDataRow="2" firstDataCol="1"/>
  <pivotFields count="1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1"/>
        <item x="0"/>
        <item t="default"/>
      </items>
    </pivotField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</pivotFields>
  <rowFields count="1">
    <field x="10"/>
  </rowFields>
  <rowItems count="3">
    <i>
      <x/>
    </i>
    <i>
      <x v="1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HasCrCard?" fld="10" subtotal="count" showDataAs="percentOfCol" baseField="1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162297-FF5C-4298-A8CB-20C6FBE09B30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Exited from bank">
  <location ref="A9:D13" firstHeaderRow="1" firstDataRow="2" firstDataCol="1"/>
  <pivotFields count="14">
    <pivotField showAll="0"/>
    <pivotField dataField="1"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n="No" x="1"/>
        <item n="Yes" x="0"/>
        <item t="default"/>
      </items>
    </pivotField>
  </pivotFields>
  <rowFields count="1">
    <field x="13"/>
  </rowFields>
  <rowItems count="3">
    <i>
      <x/>
    </i>
    <i>
      <x v="1"/>
    </i>
    <i t="grand">
      <x/>
    </i>
  </rowItems>
  <colFields count="1">
    <field x="5"/>
  </colFields>
  <colItems count="3">
    <i>
      <x/>
    </i>
    <i>
      <x v="1"/>
    </i>
    <i t="grand">
      <x/>
    </i>
  </colItems>
  <dataFields count="1">
    <dataField name="Count of Customer_ID" fld="1" subtotal="count" baseField="13" baseItem="0"/>
  </dataFields>
  <formats count="10">
    <format dxfId="9">
      <pivotArea type="all" dataOnly="0" outline="0" fieldPosition="0"/>
    </format>
    <format dxfId="8">
      <pivotArea outline="0" collapsedLevelsAreSubtotals="1" fieldPosition="0"/>
    </format>
    <format dxfId="7">
      <pivotArea type="origin" dataOnly="0" labelOnly="1" outline="0" fieldPosition="0"/>
    </format>
    <format dxfId="6">
      <pivotArea field="5" type="button" dataOnly="0" labelOnly="1" outline="0" axis="axisCol" fieldPosition="0"/>
    </format>
    <format dxfId="5">
      <pivotArea type="topRight" dataOnly="0" labelOnly="1" outline="0" fieldPosition="0"/>
    </format>
    <format dxfId="4">
      <pivotArea field="13" type="button" dataOnly="0" labelOnly="1" outline="0" axis="axisRow" fieldPosition="0"/>
    </format>
    <format dxfId="3">
      <pivotArea dataOnly="0" labelOnly="1" fieldPosition="0">
        <references count="1">
          <reference field="13" count="0"/>
        </references>
      </pivotArea>
    </format>
    <format dxfId="2">
      <pivotArea dataOnly="0" labelOnly="1" grandRow="1" outline="0" fieldPosition="0"/>
    </format>
    <format dxfId="1">
      <pivotArea dataOnly="0" labelOnly="1" fieldPosition="0">
        <references count="1">
          <reference field="5" count="0"/>
        </references>
      </pivotArea>
    </format>
    <format dxfId="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7E5C21-5018-4CFC-B99D-4CE72BF8DC79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Exited from bank">
  <location ref="A16:E20" firstHeaderRow="1" firstDataRow="2" firstDataCol="1"/>
  <pivotFields count="14">
    <pivotField showAll="0"/>
    <pivotField dataField="1" showAll="0"/>
    <pivotField showAll="0"/>
    <pivotField showAll="0"/>
    <pivotField axis="axisCol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n="No" x="1"/>
        <item n="Yes" x="0"/>
        <item t="default"/>
      </items>
    </pivotField>
  </pivotFields>
  <rowFields count="1">
    <field x="13"/>
  </rowFields>
  <rowItems count="3">
    <i>
      <x/>
    </i>
    <i>
      <x v="1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dataFields count="1">
    <dataField name="Count of Customer_ID" fld="1" subtotal="count" baseField="13" baseItem="0"/>
  </dataFields>
  <formats count="10">
    <format dxfId="19">
      <pivotArea type="all" dataOnly="0" outline="0" fieldPosition="0"/>
    </format>
    <format dxfId="18">
      <pivotArea outline="0" collapsedLevelsAreSubtotals="1" fieldPosition="0"/>
    </format>
    <format dxfId="17">
      <pivotArea type="origin" dataOnly="0" labelOnly="1" outline="0" fieldPosition="0"/>
    </format>
    <format dxfId="16">
      <pivotArea field="4" type="button" dataOnly="0" labelOnly="1" outline="0" axis="axisCol" fieldPosition="0"/>
    </format>
    <format dxfId="15">
      <pivotArea type="topRight" dataOnly="0" labelOnly="1" outline="0" fieldPosition="0"/>
    </format>
    <format dxfId="14">
      <pivotArea field="13" type="button" dataOnly="0" labelOnly="1" outline="0" axis="axisRow" fieldPosition="0"/>
    </format>
    <format dxfId="13">
      <pivotArea dataOnly="0" labelOnly="1" fieldPosition="0">
        <references count="1">
          <reference field="13" count="0"/>
        </references>
      </pivotArea>
    </format>
    <format dxfId="12">
      <pivotArea dataOnly="0" labelOnly="1" grandRow="1" outline="0" fieldPosition="0"/>
    </format>
    <format dxfId="11">
      <pivotArea dataOnly="0" labelOnly="1" fieldPosition="0">
        <references count="1">
          <reference field="4" count="0"/>
        </references>
      </pivotArea>
    </format>
    <format dxfId="1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9F093C-AA2C-4D98-A08D-62BF18FB840C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Exited from bank">
  <location ref="A23:M27" firstHeaderRow="1" firstDataRow="2" firstDataCol="1"/>
  <pivotFields count="14">
    <pivotField showAll="0"/>
    <pivotField dataField="1" showAll="0"/>
    <pivotField showAll="0"/>
    <pivotField showAll="0"/>
    <pivotField showAll="0"/>
    <pivotField showAll="0"/>
    <pivotField showAll="0"/>
    <pivotField axis="axisCol" showAll="0">
      <items count="12">
        <item x="10"/>
        <item x="1"/>
        <item x="0"/>
        <item x="6"/>
        <item x="4"/>
        <item x="8"/>
        <item x="5"/>
        <item x="3"/>
        <item x="2"/>
        <item x="9"/>
        <item x="7"/>
        <item t="default"/>
      </items>
    </pivotField>
    <pivotField showAll="0"/>
    <pivotField showAll="0"/>
    <pivotField showAll="0"/>
    <pivotField showAll="0"/>
    <pivotField showAll="0"/>
    <pivotField axis="axisRow" showAll="0">
      <items count="3">
        <item n="No" x="1"/>
        <item n="Yes" x="0"/>
        <item t="default"/>
      </items>
    </pivotField>
  </pivotFields>
  <rowFields count="1">
    <field x="13"/>
  </rowFields>
  <rowItems count="3">
    <i>
      <x/>
    </i>
    <i>
      <x v="1"/>
    </i>
    <i t="grand">
      <x/>
    </i>
  </rowItems>
  <colFields count="1">
    <field x="7"/>
  </colFields>
  <col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colItems>
  <dataFields count="1">
    <dataField name="Count of Customer_ID" fld="1" subtotal="count" baseField="13" baseItem="0"/>
  </dataFields>
  <formats count="10">
    <format dxfId="29">
      <pivotArea type="all" dataOnly="0" outline="0" fieldPosition="0"/>
    </format>
    <format dxfId="28">
      <pivotArea outline="0" collapsedLevelsAreSubtotals="1" fieldPosition="0"/>
    </format>
    <format dxfId="27">
      <pivotArea type="origin" dataOnly="0" labelOnly="1" outline="0" fieldPosition="0"/>
    </format>
    <format dxfId="26">
      <pivotArea field="7" type="button" dataOnly="0" labelOnly="1" outline="0" axis="axisCol" fieldPosition="0"/>
    </format>
    <format dxfId="25">
      <pivotArea type="topRight" dataOnly="0" labelOnly="1" outline="0" fieldPosition="0"/>
    </format>
    <format dxfId="24">
      <pivotArea field="13" type="button" dataOnly="0" labelOnly="1" outline="0" axis="axisRow" fieldPosition="0"/>
    </format>
    <format dxfId="23">
      <pivotArea dataOnly="0" labelOnly="1" fieldPosition="0">
        <references count="1">
          <reference field="13" count="0"/>
        </references>
      </pivotArea>
    </format>
    <format dxfId="22">
      <pivotArea dataOnly="0" labelOnly="1" grandRow="1" outline="0" fieldPosition="0"/>
    </format>
    <format dxfId="21">
      <pivotArea dataOnly="0" labelOnly="1" fieldPosition="0">
        <references count="1">
          <reference field="7" count="0"/>
        </references>
      </pivotArea>
    </format>
    <format dxfId="2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872689-1B6B-4798-8AD1-7BA44D9B5D42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Exited From Bank">
  <location ref="A3:H6" firstHeaderRow="0" firstDataRow="1" firstDataCol="1"/>
  <pivotFields count="14"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axis="axisRow" showAll="0">
      <items count="3">
        <item n="No" x="1"/>
        <item n="Yes" x="0"/>
        <item t="default"/>
      </items>
    </pivotField>
  </pivotFields>
  <rowFields count="1">
    <field x="13"/>
  </rowFields>
  <rowItems count="3">
    <i>
      <x/>
    </i>
    <i>
      <x v="1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name="Average of Age" fld="6" subtotal="average" baseField="13" baseItem="0" numFmtId="2"/>
    <dataField name="Average of Credit Score" fld="3" subtotal="average" baseField="13" baseItem="0" numFmtId="2"/>
    <dataField name="Average of Balance" fld="8" subtotal="average" baseField="13" baseItem="0" numFmtId="2"/>
    <dataField name="Average of NumOfProducts" fld="9" subtotal="average" baseField="13" baseItem="0" numFmtId="2"/>
    <dataField name="Average of IsActiveMember" fld="11" subtotal="average" baseField="13" baseItem="0" numFmtId="2"/>
    <dataField name="Average of HasCrCard?" fld="10" subtotal="average" baseField="13" baseItem="0" numFmtId="2"/>
    <dataField name="Average of Estimated Salary" fld="12" subtotal="average" baseField="13" baseItem="0" numFmtId="2"/>
  </dataFields>
  <formats count="6">
    <format dxfId="35">
      <pivotArea type="all" dataOnly="0" outline="0" fieldPosition="0"/>
    </format>
    <format dxfId="34">
      <pivotArea outline="0" collapsedLevelsAreSubtotals="1" fieldPosition="0"/>
    </format>
    <format dxfId="33">
      <pivotArea field="13" type="button" dataOnly="0" labelOnly="1" outline="0" axis="axisRow" fieldPosition="0"/>
    </format>
    <format dxfId="32">
      <pivotArea dataOnly="0" labelOnly="1" fieldPosition="0">
        <references count="1">
          <reference field="13" count="0"/>
        </references>
      </pivotArea>
    </format>
    <format dxfId="31">
      <pivotArea dataOnly="0" labelOnly="1" grandRow="1" outline="0" fieldPosition="0"/>
    </format>
    <format dxfId="30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5"/>
            <x v="6"/>
          </reference>
        </references>
      </pivotArea>
    </format>
  </format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2.xml"/><Relationship Id="rId2" Type="http://schemas.openxmlformats.org/officeDocument/2006/relationships/pivotTable" Target="../pivotTables/pivotTable11.xml"/><Relationship Id="rId1" Type="http://schemas.openxmlformats.org/officeDocument/2006/relationships/pivotTable" Target="../pivotTables/pivotTable10.xml"/><Relationship Id="rId4" Type="http://schemas.openxmlformats.org/officeDocument/2006/relationships/pivotTable" Target="../pivotTables/pivotTable1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5E443-536C-4961-8F53-66E645EC3C15}">
  <sheetPr>
    <tabColor rgb="FFFF0000"/>
  </sheetPr>
  <dimension ref="A1:N992"/>
  <sheetViews>
    <sheetView workbookViewId="0">
      <selection sqref="A1:XFD1"/>
    </sheetView>
  </sheetViews>
  <sheetFormatPr defaultColWidth="8.85546875" defaultRowHeight="15" x14ac:dyDescent="0.25"/>
  <cols>
    <col min="1" max="1" width="14.42578125" bestFit="1" customWidth="1"/>
    <col min="2" max="2" width="13.85546875" bestFit="1" customWidth="1"/>
    <col min="3" max="3" width="12.42578125" bestFit="1" customWidth="1"/>
    <col min="4" max="4" width="13.140625" bestFit="1" customWidth="1"/>
    <col min="5" max="5" width="12.140625" bestFit="1" customWidth="1"/>
    <col min="6" max="6" width="9.140625" bestFit="1" customWidth="1"/>
    <col min="7" max="7" width="6.140625" style="1" bestFit="1" customWidth="1"/>
    <col min="9" max="9" width="11.42578125" bestFit="1" customWidth="1"/>
    <col min="10" max="10" width="16.28515625" bestFit="1" customWidth="1"/>
    <col min="11" max="11" width="12.7109375" bestFit="1" customWidth="1"/>
    <col min="12" max="12" width="16.42578125" bestFit="1" customWidth="1"/>
    <col min="13" max="13" width="16.85546875" bestFit="1" customWidth="1"/>
    <col min="14" max="14" width="17.42578125" bestFit="1" customWidth="1"/>
  </cols>
  <sheetData>
    <row r="1" spans="1:14" s="2" customFormat="1" ht="30" customHeight="1" x14ac:dyDescent="0.25">
      <c r="A1" s="3" t="s">
        <v>0</v>
      </c>
      <c r="B1" s="4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5" t="s">
        <v>8</v>
      </c>
      <c r="J1" s="4" t="s">
        <v>9</v>
      </c>
      <c r="K1" s="4" t="s">
        <v>10</v>
      </c>
      <c r="L1" s="4" t="s">
        <v>11</v>
      </c>
      <c r="M1" s="3" t="s">
        <v>12</v>
      </c>
      <c r="N1" s="4" t="s">
        <v>13</v>
      </c>
    </row>
    <row r="2" spans="1:14" x14ac:dyDescent="0.25">
      <c r="A2" s="6">
        <v>1</v>
      </c>
      <c r="B2" s="7">
        <v>15634602</v>
      </c>
      <c r="C2" s="6" t="s">
        <v>14</v>
      </c>
      <c r="D2" s="7">
        <v>619</v>
      </c>
      <c r="E2" s="6" t="s">
        <v>15</v>
      </c>
      <c r="F2" s="6" t="s">
        <v>16</v>
      </c>
      <c r="G2" s="7">
        <v>42</v>
      </c>
      <c r="H2" s="7">
        <v>2</v>
      </c>
      <c r="I2" s="8">
        <v>0</v>
      </c>
      <c r="J2" s="7">
        <v>1</v>
      </c>
      <c r="K2" s="7">
        <v>1</v>
      </c>
      <c r="L2" s="7">
        <v>1</v>
      </c>
      <c r="M2" s="9">
        <v>101348.88</v>
      </c>
      <c r="N2" s="7">
        <v>1</v>
      </c>
    </row>
    <row r="3" spans="1:14" ht="16.5" customHeight="1" x14ac:dyDescent="0.25">
      <c r="A3" s="6">
        <v>2</v>
      </c>
      <c r="B3" s="7">
        <v>15647311</v>
      </c>
      <c r="C3" s="6" t="s">
        <v>17</v>
      </c>
      <c r="D3" s="7">
        <v>608</v>
      </c>
      <c r="E3" s="6" t="s">
        <v>18</v>
      </c>
      <c r="F3" s="6" t="s">
        <v>16</v>
      </c>
      <c r="G3" s="7">
        <v>41</v>
      </c>
      <c r="H3" s="7">
        <v>1</v>
      </c>
      <c r="I3" s="8">
        <v>83807.86</v>
      </c>
      <c r="J3" s="7">
        <v>1</v>
      </c>
      <c r="K3" s="7">
        <v>0</v>
      </c>
      <c r="L3" s="7">
        <v>1</v>
      </c>
      <c r="M3" s="9">
        <v>112542.58</v>
      </c>
      <c r="N3" s="7">
        <v>0</v>
      </c>
    </row>
    <row r="4" spans="1:14" x14ac:dyDescent="0.25">
      <c r="A4" s="6">
        <v>3</v>
      </c>
      <c r="B4" s="7">
        <v>15619304</v>
      </c>
      <c r="C4" s="6" t="s">
        <v>19</v>
      </c>
      <c r="D4" s="7">
        <v>502</v>
      </c>
      <c r="E4" s="6" t="s">
        <v>15</v>
      </c>
      <c r="F4" s="6" t="s">
        <v>16</v>
      </c>
      <c r="G4" s="7">
        <v>42</v>
      </c>
      <c r="H4" s="7">
        <v>8</v>
      </c>
      <c r="I4" s="8">
        <v>159660.79999999999</v>
      </c>
      <c r="J4" s="7">
        <v>3</v>
      </c>
      <c r="K4" s="7">
        <v>1</v>
      </c>
      <c r="L4" s="7">
        <v>0</v>
      </c>
      <c r="M4" s="9">
        <v>113931.57</v>
      </c>
      <c r="N4" s="7">
        <v>1</v>
      </c>
    </row>
    <row r="5" spans="1:14" x14ac:dyDescent="0.25">
      <c r="A5" s="6">
        <v>4</v>
      </c>
      <c r="B5" s="7">
        <v>15701354</v>
      </c>
      <c r="C5" s="6" t="s">
        <v>20</v>
      </c>
      <c r="D5" s="7">
        <v>699</v>
      </c>
      <c r="E5" s="6" t="s">
        <v>15</v>
      </c>
      <c r="F5" s="6" t="s">
        <v>16</v>
      </c>
      <c r="G5" s="7">
        <v>39</v>
      </c>
      <c r="H5" s="7">
        <v>1</v>
      </c>
      <c r="I5" s="8">
        <v>0</v>
      </c>
      <c r="J5" s="7">
        <v>2</v>
      </c>
      <c r="K5" s="7">
        <v>0</v>
      </c>
      <c r="L5" s="7">
        <v>0</v>
      </c>
      <c r="M5" s="9">
        <v>93826.63</v>
      </c>
      <c r="N5" s="7">
        <v>0</v>
      </c>
    </row>
    <row r="6" spans="1:14" x14ac:dyDescent="0.25">
      <c r="A6" s="6">
        <v>5</v>
      </c>
      <c r="B6" s="7">
        <v>15737888</v>
      </c>
      <c r="C6" s="6" t="s">
        <v>21</v>
      </c>
      <c r="D6" s="7">
        <v>850</v>
      </c>
      <c r="E6" s="6" t="s">
        <v>18</v>
      </c>
      <c r="F6" s="6" t="s">
        <v>16</v>
      </c>
      <c r="G6" s="7">
        <v>43</v>
      </c>
      <c r="H6" s="7">
        <v>2</v>
      </c>
      <c r="I6" s="8">
        <v>125510.82</v>
      </c>
      <c r="J6" s="7">
        <v>1</v>
      </c>
      <c r="K6" s="7">
        <v>1</v>
      </c>
      <c r="L6" s="7">
        <v>1</v>
      </c>
      <c r="M6" s="9">
        <v>79084.100000000006</v>
      </c>
      <c r="N6" s="7">
        <v>0</v>
      </c>
    </row>
    <row r="7" spans="1:14" x14ac:dyDescent="0.25">
      <c r="A7" s="6">
        <v>6</v>
      </c>
      <c r="B7" s="7">
        <v>15574012</v>
      </c>
      <c r="C7" s="6" t="s">
        <v>22</v>
      </c>
      <c r="D7" s="7">
        <v>645</v>
      </c>
      <c r="E7" s="6" t="s">
        <v>18</v>
      </c>
      <c r="F7" s="6" t="s">
        <v>23</v>
      </c>
      <c r="G7" s="7">
        <v>44</v>
      </c>
      <c r="H7" s="7">
        <v>8</v>
      </c>
      <c r="I7" s="8">
        <v>113755.78</v>
      </c>
      <c r="J7" s="7">
        <v>2</v>
      </c>
      <c r="K7" s="7">
        <v>1</v>
      </c>
      <c r="L7" s="7">
        <v>0</v>
      </c>
      <c r="M7" s="9">
        <v>149756.71</v>
      </c>
      <c r="N7" s="7">
        <v>1</v>
      </c>
    </row>
    <row r="8" spans="1:14" x14ac:dyDescent="0.25">
      <c r="A8" s="6">
        <v>7</v>
      </c>
      <c r="B8" s="7">
        <v>15592531</v>
      </c>
      <c r="C8" s="6" t="s">
        <v>24</v>
      </c>
      <c r="D8" s="7">
        <v>822</v>
      </c>
      <c r="E8" s="6" t="s">
        <v>15</v>
      </c>
      <c r="F8" s="6" t="s">
        <v>23</v>
      </c>
      <c r="G8" s="7">
        <v>50</v>
      </c>
      <c r="H8" s="7">
        <v>7</v>
      </c>
      <c r="I8" s="8">
        <v>0</v>
      </c>
      <c r="J8" s="7">
        <v>2</v>
      </c>
      <c r="K8" s="7">
        <v>1</v>
      </c>
      <c r="L8" s="7">
        <v>1</v>
      </c>
      <c r="M8" s="9">
        <v>10062.799999999999</v>
      </c>
      <c r="N8" s="7">
        <v>0</v>
      </c>
    </row>
    <row r="9" spans="1:14" x14ac:dyDescent="0.25">
      <c r="A9" s="6">
        <v>8</v>
      </c>
      <c r="B9" s="7">
        <v>15656148</v>
      </c>
      <c r="C9" s="6" t="s">
        <v>25</v>
      </c>
      <c r="D9" s="7">
        <v>376</v>
      </c>
      <c r="E9" s="6" t="s">
        <v>26</v>
      </c>
      <c r="F9" s="6" t="s">
        <v>16</v>
      </c>
      <c r="G9" s="7">
        <v>29</v>
      </c>
      <c r="H9" s="7">
        <v>4</v>
      </c>
      <c r="I9" s="8">
        <v>115046.74</v>
      </c>
      <c r="J9" s="7">
        <v>4</v>
      </c>
      <c r="K9" s="7">
        <v>1</v>
      </c>
      <c r="L9" s="7">
        <v>0</v>
      </c>
      <c r="M9" s="9">
        <v>119346.88</v>
      </c>
      <c r="N9" s="7">
        <v>1</v>
      </c>
    </row>
    <row r="10" spans="1:14" x14ac:dyDescent="0.25">
      <c r="A10" s="6">
        <v>9</v>
      </c>
      <c r="B10" s="7">
        <v>15792365</v>
      </c>
      <c r="C10" s="6" t="s">
        <v>27</v>
      </c>
      <c r="D10" s="7">
        <v>501</v>
      </c>
      <c r="E10" s="6" t="s">
        <v>15</v>
      </c>
      <c r="F10" s="6" t="s">
        <v>23</v>
      </c>
      <c r="G10" s="7">
        <v>44</v>
      </c>
      <c r="H10" s="7">
        <v>4</v>
      </c>
      <c r="I10" s="8">
        <v>142051.07</v>
      </c>
      <c r="J10" s="7">
        <v>2</v>
      </c>
      <c r="K10" s="7">
        <v>0</v>
      </c>
      <c r="L10" s="7">
        <v>1</v>
      </c>
      <c r="M10" s="9">
        <v>74940.5</v>
      </c>
      <c r="N10" s="7">
        <v>0</v>
      </c>
    </row>
    <row r="11" spans="1:14" x14ac:dyDescent="0.25">
      <c r="A11" s="6">
        <v>10</v>
      </c>
      <c r="B11" s="7">
        <v>15592389</v>
      </c>
      <c r="C11" s="6" t="s">
        <v>28</v>
      </c>
      <c r="D11" s="7">
        <v>684</v>
      </c>
      <c r="E11" s="6" t="s">
        <v>15</v>
      </c>
      <c r="F11" s="6" t="s">
        <v>23</v>
      </c>
      <c r="G11" s="7">
        <v>27</v>
      </c>
      <c r="H11" s="7">
        <v>2</v>
      </c>
      <c r="I11" s="8">
        <v>134603.88</v>
      </c>
      <c r="J11" s="7">
        <v>1</v>
      </c>
      <c r="K11" s="7">
        <v>1</v>
      </c>
      <c r="L11" s="7">
        <v>1</v>
      </c>
      <c r="M11" s="9">
        <v>71725.73</v>
      </c>
      <c r="N11" s="7">
        <v>0</v>
      </c>
    </row>
    <row r="12" spans="1:14" x14ac:dyDescent="0.25">
      <c r="A12" s="6">
        <v>11</v>
      </c>
      <c r="B12" s="7">
        <v>15767821</v>
      </c>
      <c r="C12" s="6" t="s">
        <v>29</v>
      </c>
      <c r="D12" s="7">
        <v>528</v>
      </c>
      <c r="E12" s="6" t="s">
        <v>15</v>
      </c>
      <c r="F12" s="6" t="s">
        <v>23</v>
      </c>
      <c r="G12" s="7">
        <v>31</v>
      </c>
      <c r="H12" s="7">
        <v>6</v>
      </c>
      <c r="I12" s="8">
        <v>102016.72</v>
      </c>
      <c r="J12" s="7">
        <v>2</v>
      </c>
      <c r="K12" s="7">
        <v>0</v>
      </c>
      <c r="L12" s="7">
        <v>0</v>
      </c>
      <c r="M12" s="9">
        <v>80181.119999999995</v>
      </c>
      <c r="N12" s="7">
        <v>0</v>
      </c>
    </row>
    <row r="13" spans="1:14" x14ac:dyDescent="0.25">
      <c r="A13" s="6">
        <v>12</v>
      </c>
      <c r="B13" s="7">
        <v>15737173</v>
      </c>
      <c r="C13" s="6" t="s">
        <v>30</v>
      </c>
      <c r="D13" s="7">
        <v>497</v>
      </c>
      <c r="E13" s="6" t="s">
        <v>18</v>
      </c>
      <c r="F13" s="6" t="s">
        <v>753</v>
      </c>
      <c r="G13" s="7">
        <v>24</v>
      </c>
      <c r="H13" s="7">
        <v>3</v>
      </c>
      <c r="I13" s="8">
        <v>0</v>
      </c>
      <c r="J13" s="7">
        <v>2</v>
      </c>
      <c r="K13" s="7">
        <v>1</v>
      </c>
      <c r="L13" s="7">
        <v>0</v>
      </c>
      <c r="M13" s="9">
        <v>76390.009999999995</v>
      </c>
      <c r="N13" s="7">
        <v>0</v>
      </c>
    </row>
    <row r="14" spans="1:14" x14ac:dyDescent="0.25">
      <c r="A14" s="6">
        <v>13</v>
      </c>
      <c r="B14" s="7">
        <v>15632264</v>
      </c>
      <c r="C14" s="6" t="s">
        <v>31</v>
      </c>
      <c r="D14" s="7">
        <v>476</v>
      </c>
      <c r="E14" s="6" t="s">
        <v>754</v>
      </c>
      <c r="F14" s="6" t="s">
        <v>16</v>
      </c>
      <c r="G14" s="7">
        <v>34</v>
      </c>
      <c r="H14" s="7">
        <v>10</v>
      </c>
      <c r="I14" s="8">
        <v>0</v>
      </c>
      <c r="J14" s="7">
        <v>2</v>
      </c>
      <c r="K14" s="7">
        <v>1</v>
      </c>
      <c r="L14" s="7">
        <v>0</v>
      </c>
      <c r="M14" s="9">
        <v>26260.98</v>
      </c>
      <c r="N14" s="7">
        <v>0</v>
      </c>
    </row>
    <row r="15" spans="1:14" x14ac:dyDescent="0.25">
      <c r="A15" s="6">
        <v>14</v>
      </c>
      <c r="B15" s="7">
        <v>15691483</v>
      </c>
      <c r="C15" s="6" t="s">
        <v>32</v>
      </c>
      <c r="D15" s="7">
        <v>549</v>
      </c>
      <c r="E15" s="6" t="s">
        <v>754</v>
      </c>
      <c r="F15" s="6" t="s">
        <v>16</v>
      </c>
      <c r="G15" s="7">
        <v>25</v>
      </c>
      <c r="H15" s="7">
        <v>5</v>
      </c>
      <c r="I15" s="8">
        <v>0</v>
      </c>
      <c r="J15" s="7">
        <v>2</v>
      </c>
      <c r="K15" s="7">
        <v>0</v>
      </c>
      <c r="L15" s="7">
        <v>0</v>
      </c>
      <c r="M15" s="9">
        <v>190857.79</v>
      </c>
      <c r="N15" s="7">
        <v>0</v>
      </c>
    </row>
    <row r="16" spans="1:14" x14ac:dyDescent="0.25">
      <c r="A16" s="6">
        <v>15</v>
      </c>
      <c r="B16" s="7">
        <v>15600882</v>
      </c>
      <c r="C16" s="6" t="s">
        <v>33</v>
      </c>
      <c r="D16" s="7">
        <v>635</v>
      </c>
      <c r="E16" s="6" t="s">
        <v>18</v>
      </c>
      <c r="F16" s="6" t="s">
        <v>16</v>
      </c>
      <c r="G16" s="7">
        <v>35</v>
      </c>
      <c r="H16" s="7">
        <v>7</v>
      </c>
      <c r="I16" s="8">
        <v>0</v>
      </c>
      <c r="J16" s="7">
        <v>2</v>
      </c>
      <c r="K16" s="7">
        <v>1</v>
      </c>
      <c r="L16" s="7">
        <v>1</v>
      </c>
      <c r="M16" s="9">
        <v>65951.649999999994</v>
      </c>
      <c r="N16" s="7">
        <v>0</v>
      </c>
    </row>
    <row r="17" spans="1:14" x14ac:dyDescent="0.25">
      <c r="A17" s="6">
        <v>16</v>
      </c>
      <c r="B17" s="7">
        <v>15643966</v>
      </c>
      <c r="C17" s="6" t="s">
        <v>34</v>
      </c>
      <c r="D17" s="7">
        <v>616</v>
      </c>
      <c r="E17" s="6" t="s">
        <v>26</v>
      </c>
      <c r="F17" s="6" t="s">
        <v>23</v>
      </c>
      <c r="G17" s="7">
        <v>45</v>
      </c>
      <c r="H17" s="7">
        <v>3</v>
      </c>
      <c r="I17" s="8">
        <v>143129.41</v>
      </c>
      <c r="J17" s="7">
        <v>2</v>
      </c>
      <c r="K17" s="7">
        <v>0</v>
      </c>
      <c r="L17" s="7">
        <v>1</v>
      </c>
      <c r="M17" s="9">
        <v>64327.26</v>
      </c>
      <c r="N17" s="7">
        <v>0</v>
      </c>
    </row>
    <row r="18" spans="1:14" x14ac:dyDescent="0.25">
      <c r="A18" s="6">
        <v>17</v>
      </c>
      <c r="B18" s="7">
        <v>15737452</v>
      </c>
      <c r="C18" s="6" t="s">
        <v>35</v>
      </c>
      <c r="D18" s="7">
        <v>653</v>
      </c>
      <c r="E18" s="6" t="s">
        <v>26</v>
      </c>
      <c r="F18" s="6" t="s">
        <v>23</v>
      </c>
      <c r="G18" s="7">
        <v>58</v>
      </c>
      <c r="H18" s="7">
        <v>1</v>
      </c>
      <c r="I18" s="8">
        <v>132602.88</v>
      </c>
      <c r="J18" s="7">
        <v>1</v>
      </c>
      <c r="K18" s="7">
        <v>1</v>
      </c>
      <c r="L18" s="7">
        <v>0</v>
      </c>
      <c r="M18" s="9">
        <v>5097.67</v>
      </c>
      <c r="N18" s="7">
        <v>1</v>
      </c>
    </row>
    <row r="19" spans="1:14" x14ac:dyDescent="0.25">
      <c r="A19" s="6">
        <v>18</v>
      </c>
      <c r="B19" s="7">
        <v>15788218</v>
      </c>
      <c r="C19" s="6" t="s">
        <v>36</v>
      </c>
      <c r="D19" s="7">
        <v>549</v>
      </c>
      <c r="E19" s="6" t="s">
        <v>18</v>
      </c>
      <c r="F19" s="6" t="s">
        <v>16</v>
      </c>
      <c r="G19" s="7">
        <v>24</v>
      </c>
      <c r="H19" s="7">
        <v>9</v>
      </c>
      <c r="I19" s="8">
        <v>0</v>
      </c>
      <c r="J19" s="7">
        <v>2</v>
      </c>
      <c r="K19" s="7">
        <v>1</v>
      </c>
      <c r="L19" s="7">
        <v>1</v>
      </c>
      <c r="M19" s="9">
        <v>14406.41</v>
      </c>
      <c r="N19" s="7">
        <v>0</v>
      </c>
    </row>
    <row r="20" spans="1:14" x14ac:dyDescent="0.25">
      <c r="A20" s="6">
        <v>19</v>
      </c>
      <c r="B20" s="7">
        <v>15661507</v>
      </c>
      <c r="C20" s="6" t="s">
        <v>37</v>
      </c>
      <c r="D20" s="7">
        <v>587</v>
      </c>
      <c r="E20" s="6" t="s">
        <v>18</v>
      </c>
      <c r="F20" s="6" t="s">
        <v>23</v>
      </c>
      <c r="G20" s="7">
        <v>45</v>
      </c>
      <c r="H20" s="7">
        <v>6</v>
      </c>
      <c r="I20" s="8">
        <v>0</v>
      </c>
      <c r="J20" s="7">
        <v>1</v>
      </c>
      <c r="K20" s="7">
        <v>0</v>
      </c>
      <c r="L20" s="7">
        <v>0</v>
      </c>
      <c r="M20" s="9">
        <v>158684.81</v>
      </c>
      <c r="N20" s="7">
        <v>0</v>
      </c>
    </row>
    <row r="21" spans="1:14" x14ac:dyDescent="0.25">
      <c r="A21" s="6">
        <v>20</v>
      </c>
      <c r="B21" s="7">
        <v>15568982</v>
      </c>
      <c r="C21" s="6" t="s">
        <v>38</v>
      </c>
      <c r="D21" s="7">
        <v>726</v>
      </c>
      <c r="E21" s="6" t="s">
        <v>754</v>
      </c>
      <c r="F21" s="6" t="s">
        <v>16</v>
      </c>
      <c r="G21" s="7">
        <v>24</v>
      </c>
      <c r="H21" s="7">
        <v>6</v>
      </c>
      <c r="I21" s="8">
        <v>0</v>
      </c>
      <c r="J21" s="7">
        <v>2</v>
      </c>
      <c r="K21" s="7">
        <v>1</v>
      </c>
      <c r="L21" s="7">
        <v>1</v>
      </c>
      <c r="M21" s="9">
        <v>54724.03</v>
      </c>
      <c r="N21" s="7">
        <v>0</v>
      </c>
    </row>
    <row r="22" spans="1:14" x14ac:dyDescent="0.25">
      <c r="A22" s="6">
        <v>21</v>
      </c>
      <c r="B22" s="7">
        <v>15577657</v>
      </c>
      <c r="C22" s="6" t="s">
        <v>39</v>
      </c>
      <c r="D22" s="7">
        <v>732</v>
      </c>
      <c r="E22" s="6" t="s">
        <v>754</v>
      </c>
      <c r="F22" s="6" t="s">
        <v>23</v>
      </c>
      <c r="G22" s="7">
        <v>41</v>
      </c>
      <c r="H22" s="7">
        <v>8</v>
      </c>
      <c r="I22" s="8">
        <v>0</v>
      </c>
      <c r="J22" s="7">
        <v>2</v>
      </c>
      <c r="K22" s="7">
        <v>1</v>
      </c>
      <c r="L22" s="7">
        <v>1</v>
      </c>
      <c r="M22" s="9">
        <v>170886.17</v>
      </c>
      <c r="N22" s="7">
        <v>0</v>
      </c>
    </row>
    <row r="23" spans="1:14" x14ac:dyDescent="0.25">
      <c r="A23" s="6">
        <v>22</v>
      </c>
      <c r="B23" s="7">
        <v>15597945</v>
      </c>
      <c r="C23" s="6" t="s">
        <v>40</v>
      </c>
      <c r="D23" s="7">
        <v>636</v>
      </c>
      <c r="E23" s="6" t="s">
        <v>18</v>
      </c>
      <c r="F23" s="6" t="s">
        <v>16</v>
      </c>
      <c r="G23" s="7">
        <v>32</v>
      </c>
      <c r="H23" s="7">
        <v>8</v>
      </c>
      <c r="I23" s="8">
        <v>0</v>
      </c>
      <c r="J23" s="7">
        <v>2</v>
      </c>
      <c r="K23" s="7">
        <v>1</v>
      </c>
      <c r="L23" s="7">
        <v>0</v>
      </c>
      <c r="M23" s="9"/>
      <c r="N23" s="7">
        <v>0</v>
      </c>
    </row>
    <row r="24" spans="1:14" x14ac:dyDescent="0.25">
      <c r="A24" s="6">
        <v>23</v>
      </c>
      <c r="B24" s="7">
        <v>15699309</v>
      </c>
      <c r="C24" s="6" t="s">
        <v>41</v>
      </c>
      <c r="D24" s="7">
        <v>510</v>
      </c>
      <c r="E24" s="6" t="s">
        <v>18</v>
      </c>
      <c r="F24" s="6" t="s">
        <v>16</v>
      </c>
      <c r="G24" s="7" t="s">
        <v>753</v>
      </c>
      <c r="H24" s="7">
        <v>4</v>
      </c>
      <c r="I24" s="8">
        <v>0</v>
      </c>
      <c r="J24" s="7">
        <v>1</v>
      </c>
      <c r="K24" s="7">
        <v>1</v>
      </c>
      <c r="L24" s="7">
        <v>0</v>
      </c>
      <c r="M24" s="9">
        <v>118913.53</v>
      </c>
      <c r="N24" s="7">
        <v>1</v>
      </c>
    </row>
    <row r="25" spans="1:14" x14ac:dyDescent="0.25">
      <c r="A25" s="6">
        <v>24</v>
      </c>
      <c r="B25" s="7">
        <v>15725737</v>
      </c>
      <c r="C25" s="6" t="s">
        <v>42</v>
      </c>
      <c r="D25" s="7">
        <v>669</v>
      </c>
      <c r="E25" s="6" t="s">
        <v>754</v>
      </c>
      <c r="F25" s="6" t="s">
        <v>23</v>
      </c>
      <c r="G25" s="7">
        <v>46</v>
      </c>
      <c r="H25" s="7">
        <v>3</v>
      </c>
      <c r="I25" s="8">
        <v>0</v>
      </c>
      <c r="J25" s="7">
        <v>2</v>
      </c>
      <c r="K25" s="7">
        <v>0</v>
      </c>
      <c r="L25" s="7">
        <v>1</v>
      </c>
      <c r="M25" s="9">
        <v>8487.75</v>
      </c>
      <c r="N25" s="7">
        <v>0</v>
      </c>
    </row>
    <row r="26" spans="1:14" x14ac:dyDescent="0.25">
      <c r="A26" s="6">
        <v>25</v>
      </c>
      <c r="B26" s="7">
        <v>15625047</v>
      </c>
      <c r="C26" s="6" t="s">
        <v>43</v>
      </c>
      <c r="D26" s="7">
        <v>846</v>
      </c>
      <c r="E26" s="6" t="s">
        <v>754</v>
      </c>
      <c r="F26" s="6" t="s">
        <v>16</v>
      </c>
      <c r="G26" s="7">
        <v>38</v>
      </c>
      <c r="H26" s="7">
        <v>5</v>
      </c>
      <c r="I26" s="8">
        <v>0</v>
      </c>
      <c r="J26" s="7">
        <v>1</v>
      </c>
      <c r="K26" s="7">
        <v>1</v>
      </c>
      <c r="L26" s="7">
        <v>1</v>
      </c>
      <c r="M26" s="9">
        <v>187616.16</v>
      </c>
      <c r="N26" s="7">
        <v>0</v>
      </c>
    </row>
    <row r="27" spans="1:14" x14ac:dyDescent="0.25">
      <c r="A27" s="6">
        <v>26</v>
      </c>
      <c r="B27" s="7">
        <v>15738191</v>
      </c>
      <c r="C27" s="6" t="s">
        <v>44</v>
      </c>
      <c r="D27" s="7">
        <v>577</v>
      </c>
      <c r="E27" s="6" t="s">
        <v>754</v>
      </c>
      <c r="F27" s="6" t="s">
        <v>23</v>
      </c>
      <c r="G27" s="7">
        <v>25</v>
      </c>
      <c r="H27" s="7">
        <v>3</v>
      </c>
      <c r="I27" s="8">
        <v>0</v>
      </c>
      <c r="J27" s="7">
        <v>2</v>
      </c>
      <c r="K27" s="7">
        <v>0</v>
      </c>
      <c r="L27" s="7">
        <v>1</v>
      </c>
      <c r="M27" s="9">
        <v>124508.29</v>
      </c>
      <c r="N27" s="7">
        <v>0</v>
      </c>
    </row>
    <row r="28" spans="1:14" x14ac:dyDescent="0.25">
      <c r="A28" s="6">
        <v>27</v>
      </c>
      <c r="B28" s="7">
        <v>15736816</v>
      </c>
      <c r="C28" s="6" t="s">
        <v>45</v>
      </c>
      <c r="D28" s="7">
        <v>756</v>
      </c>
      <c r="E28" s="6" t="s">
        <v>26</v>
      </c>
      <c r="F28" s="6" t="s">
        <v>23</v>
      </c>
      <c r="G28" s="7">
        <v>36</v>
      </c>
      <c r="H28" s="7">
        <v>2</v>
      </c>
      <c r="I28" s="8">
        <v>136815.64000000001</v>
      </c>
      <c r="J28" s="7">
        <v>1</v>
      </c>
      <c r="K28" s="7">
        <v>1</v>
      </c>
      <c r="L28" s="7">
        <v>1</v>
      </c>
      <c r="M28" s="9">
        <v>170041.95</v>
      </c>
      <c r="N28" s="7">
        <v>0</v>
      </c>
    </row>
    <row r="29" spans="1:14" x14ac:dyDescent="0.25">
      <c r="A29" s="6">
        <v>28</v>
      </c>
      <c r="B29" s="7">
        <v>15700772</v>
      </c>
      <c r="C29" s="6" t="s">
        <v>46</v>
      </c>
      <c r="D29" s="7">
        <v>571</v>
      </c>
      <c r="E29" s="6" t="s">
        <v>754</v>
      </c>
      <c r="F29" s="6" t="s">
        <v>23</v>
      </c>
      <c r="G29" s="7">
        <v>44</v>
      </c>
      <c r="H29" s="7">
        <v>9</v>
      </c>
      <c r="I29" s="8">
        <v>0</v>
      </c>
      <c r="J29" s="7">
        <v>2</v>
      </c>
      <c r="K29" s="7">
        <v>0</v>
      </c>
      <c r="L29" s="7">
        <v>0</v>
      </c>
      <c r="M29" s="9">
        <v>38433.35</v>
      </c>
      <c r="N29" s="7">
        <v>0</v>
      </c>
    </row>
    <row r="30" spans="1:14" x14ac:dyDescent="0.25">
      <c r="A30" s="6">
        <v>29</v>
      </c>
      <c r="B30" s="7">
        <v>15728693</v>
      </c>
      <c r="C30" s="6" t="s">
        <v>47</v>
      </c>
      <c r="D30" s="7">
        <v>574</v>
      </c>
      <c r="E30" s="6" t="s">
        <v>26</v>
      </c>
      <c r="F30" s="6" t="s">
        <v>16</v>
      </c>
      <c r="G30" s="7">
        <v>43</v>
      </c>
      <c r="H30" s="7">
        <v>3</v>
      </c>
      <c r="I30" s="8">
        <v>141349.43</v>
      </c>
      <c r="J30" s="7">
        <v>1</v>
      </c>
      <c r="K30" s="7">
        <v>1</v>
      </c>
      <c r="L30" s="7">
        <v>1</v>
      </c>
      <c r="M30" s="9">
        <v>100187.43</v>
      </c>
      <c r="N30" s="7">
        <v>0</v>
      </c>
    </row>
    <row r="31" spans="1:14" x14ac:dyDescent="0.25">
      <c r="A31" s="6">
        <v>30</v>
      </c>
      <c r="B31" s="7">
        <v>15656300</v>
      </c>
      <c r="C31" s="6" t="s">
        <v>48</v>
      </c>
      <c r="D31" s="7">
        <v>411</v>
      </c>
      <c r="E31" s="6" t="s">
        <v>754</v>
      </c>
      <c r="F31" s="6" t="s">
        <v>23</v>
      </c>
      <c r="G31" s="7">
        <v>29</v>
      </c>
      <c r="H31" s="7">
        <v>0</v>
      </c>
      <c r="I31" s="8">
        <v>59697.17</v>
      </c>
      <c r="J31" s="7">
        <v>2</v>
      </c>
      <c r="K31" s="7">
        <v>1</v>
      </c>
      <c r="L31" s="7">
        <v>1</v>
      </c>
      <c r="M31" s="9">
        <v>53483.21</v>
      </c>
      <c r="N31" s="7">
        <v>0</v>
      </c>
    </row>
    <row r="32" spans="1:14" x14ac:dyDescent="0.25">
      <c r="A32" s="6">
        <v>31</v>
      </c>
      <c r="B32" s="7">
        <v>15589475</v>
      </c>
      <c r="C32" s="6" t="s">
        <v>49</v>
      </c>
      <c r="D32" s="7">
        <v>591</v>
      </c>
      <c r="E32" s="6" t="s">
        <v>18</v>
      </c>
      <c r="F32" s="6" t="s">
        <v>16</v>
      </c>
      <c r="G32" s="7">
        <v>39</v>
      </c>
      <c r="H32" s="7">
        <v>3</v>
      </c>
      <c r="I32" s="8">
        <v>0</v>
      </c>
      <c r="J32" s="7">
        <v>3</v>
      </c>
      <c r="K32" s="7">
        <v>1</v>
      </c>
      <c r="L32" s="7">
        <v>0</v>
      </c>
      <c r="M32" s="9">
        <v>140469.38</v>
      </c>
      <c r="N32" s="7">
        <v>1</v>
      </c>
    </row>
    <row r="33" spans="1:14" ht="30" x14ac:dyDescent="0.25">
      <c r="A33" s="6">
        <v>32</v>
      </c>
      <c r="B33" s="7">
        <v>15706552</v>
      </c>
      <c r="C33" s="6" t="s">
        <v>50</v>
      </c>
      <c r="D33" s="7">
        <v>533</v>
      </c>
      <c r="E33" s="6" t="s">
        <v>754</v>
      </c>
      <c r="F33" s="6" t="s">
        <v>23</v>
      </c>
      <c r="G33" s="7">
        <v>36</v>
      </c>
      <c r="H33" s="7">
        <v>7</v>
      </c>
      <c r="I33" s="8">
        <v>85311.7</v>
      </c>
      <c r="J33" s="7">
        <v>1</v>
      </c>
      <c r="K33" s="7">
        <v>0</v>
      </c>
      <c r="L33" s="7">
        <v>1</v>
      </c>
      <c r="M33" s="9">
        <v>156731.91</v>
      </c>
      <c r="N33" s="7">
        <v>0</v>
      </c>
    </row>
    <row r="34" spans="1:14" x14ac:dyDescent="0.25">
      <c r="A34" s="6">
        <v>33</v>
      </c>
      <c r="B34" s="7">
        <v>15750181</v>
      </c>
      <c r="C34" s="6" t="s">
        <v>51</v>
      </c>
      <c r="D34" s="7">
        <v>553</v>
      </c>
      <c r="E34" s="6" t="s">
        <v>26</v>
      </c>
      <c r="F34" s="6" t="s">
        <v>23</v>
      </c>
      <c r="G34" s="7">
        <v>41</v>
      </c>
      <c r="H34" s="7">
        <v>9</v>
      </c>
      <c r="I34" s="8">
        <v>110112.54</v>
      </c>
      <c r="J34" s="7">
        <v>2</v>
      </c>
      <c r="K34" s="7">
        <v>0</v>
      </c>
      <c r="L34" s="7">
        <v>0</v>
      </c>
      <c r="M34" s="9">
        <v>81898.81</v>
      </c>
      <c r="N34" s="7">
        <v>0</v>
      </c>
    </row>
    <row r="35" spans="1:14" x14ac:dyDescent="0.25">
      <c r="A35" s="6">
        <v>34</v>
      </c>
      <c r="B35" s="7">
        <v>15659428</v>
      </c>
      <c r="C35" s="6" t="s">
        <v>52</v>
      </c>
      <c r="D35" s="7">
        <v>520</v>
      </c>
      <c r="E35" s="6" t="s">
        <v>18</v>
      </c>
      <c r="F35" s="6" t="s">
        <v>16</v>
      </c>
      <c r="G35" s="7">
        <v>42</v>
      </c>
      <c r="H35" s="7">
        <v>6</v>
      </c>
      <c r="I35" s="8">
        <v>0</v>
      </c>
      <c r="J35" s="7">
        <v>2</v>
      </c>
      <c r="K35" s="7">
        <v>1</v>
      </c>
      <c r="L35" s="7">
        <v>1</v>
      </c>
      <c r="M35" s="9">
        <v>34410.550000000003</v>
      </c>
      <c r="N35" s="7">
        <v>0</v>
      </c>
    </row>
    <row r="36" spans="1:14" x14ac:dyDescent="0.25">
      <c r="A36" s="6">
        <v>35</v>
      </c>
      <c r="B36" s="7">
        <v>15732963</v>
      </c>
      <c r="C36" s="6" t="s">
        <v>53</v>
      </c>
      <c r="D36" s="7">
        <v>722</v>
      </c>
      <c r="E36" s="6" t="s">
        <v>18</v>
      </c>
      <c r="F36" s="6" t="s">
        <v>16</v>
      </c>
      <c r="G36" s="7">
        <v>29</v>
      </c>
      <c r="H36" s="7">
        <v>9</v>
      </c>
      <c r="I36" s="8">
        <v>0</v>
      </c>
      <c r="J36" s="7">
        <v>2</v>
      </c>
      <c r="K36" s="7">
        <v>1</v>
      </c>
      <c r="L36" s="7">
        <v>1</v>
      </c>
      <c r="M36" s="9">
        <v>142033.07</v>
      </c>
      <c r="N36" s="7">
        <v>0</v>
      </c>
    </row>
    <row r="37" spans="1:14" x14ac:dyDescent="0.25">
      <c r="A37" s="6">
        <v>36</v>
      </c>
      <c r="B37" s="7">
        <v>15794171</v>
      </c>
      <c r="C37" s="6" t="s">
        <v>54</v>
      </c>
      <c r="D37" s="7">
        <v>475</v>
      </c>
      <c r="E37" s="6" t="s">
        <v>754</v>
      </c>
      <c r="F37" s="6" t="s">
        <v>16</v>
      </c>
      <c r="G37" s="7">
        <v>45</v>
      </c>
      <c r="H37" s="7">
        <v>0</v>
      </c>
      <c r="I37" s="8">
        <v>134264.04</v>
      </c>
      <c r="J37" s="7">
        <v>1</v>
      </c>
      <c r="K37" s="7">
        <v>1</v>
      </c>
      <c r="L37" s="7">
        <v>0</v>
      </c>
      <c r="M37" s="9">
        <v>27822.99</v>
      </c>
      <c r="N37" s="7">
        <v>1</v>
      </c>
    </row>
    <row r="38" spans="1:14" x14ac:dyDescent="0.25">
      <c r="A38" s="6">
        <v>37</v>
      </c>
      <c r="B38" s="7">
        <v>15788448</v>
      </c>
      <c r="C38" s="6" t="s">
        <v>55</v>
      </c>
      <c r="D38" s="7">
        <v>490</v>
      </c>
      <c r="E38" s="6" t="s">
        <v>755</v>
      </c>
      <c r="F38" s="6" t="s">
        <v>23</v>
      </c>
      <c r="G38" s="7">
        <v>31</v>
      </c>
      <c r="H38" s="7">
        <v>3</v>
      </c>
      <c r="I38" s="8">
        <v>145260.23000000001</v>
      </c>
      <c r="J38" s="7">
        <v>1</v>
      </c>
      <c r="K38" s="7">
        <v>0</v>
      </c>
      <c r="L38" s="7">
        <v>1</v>
      </c>
      <c r="M38" s="9">
        <v>114066.77</v>
      </c>
      <c r="N38" s="7">
        <v>0</v>
      </c>
    </row>
    <row r="39" spans="1:14" x14ac:dyDescent="0.25">
      <c r="A39" s="6">
        <v>38</v>
      </c>
      <c r="B39" s="7">
        <v>15729599</v>
      </c>
      <c r="C39" s="6" t="s">
        <v>56</v>
      </c>
      <c r="D39" s="7">
        <v>804</v>
      </c>
      <c r="E39" s="6" t="s">
        <v>755</v>
      </c>
      <c r="F39" s="6" t="s">
        <v>23</v>
      </c>
      <c r="G39" s="7">
        <v>33</v>
      </c>
      <c r="H39" s="7">
        <v>7</v>
      </c>
      <c r="I39" s="8">
        <v>76548.600000000006</v>
      </c>
      <c r="J39" s="7">
        <v>1</v>
      </c>
      <c r="K39" s="7">
        <v>0</v>
      </c>
      <c r="L39" s="7">
        <v>1</v>
      </c>
      <c r="M39" s="9">
        <v>98453.45</v>
      </c>
      <c r="N39" s="7">
        <v>0</v>
      </c>
    </row>
    <row r="40" spans="1:14" x14ac:dyDescent="0.25">
      <c r="A40" s="6">
        <v>39</v>
      </c>
      <c r="B40" s="7">
        <v>15717426</v>
      </c>
      <c r="C40" s="6" t="s">
        <v>57</v>
      </c>
      <c r="D40" s="7">
        <v>850</v>
      </c>
      <c r="E40" s="6" t="s">
        <v>754</v>
      </c>
      <c r="F40" s="6" t="s">
        <v>23</v>
      </c>
      <c r="G40" s="7">
        <v>36</v>
      </c>
      <c r="H40" s="7">
        <v>7</v>
      </c>
      <c r="I40" s="8">
        <v>0</v>
      </c>
      <c r="J40" s="7">
        <v>1</v>
      </c>
      <c r="K40" s="7">
        <v>1</v>
      </c>
      <c r="L40" s="7">
        <v>1</v>
      </c>
      <c r="M40" s="9">
        <v>40812.9</v>
      </c>
      <c r="N40" s="7">
        <v>0</v>
      </c>
    </row>
    <row r="41" spans="1:14" x14ac:dyDescent="0.25">
      <c r="A41" s="6">
        <v>40</v>
      </c>
      <c r="B41" s="7">
        <v>15585768</v>
      </c>
      <c r="C41" s="6" t="s">
        <v>58</v>
      </c>
      <c r="D41" s="7">
        <v>582</v>
      </c>
      <c r="E41" s="6" t="s">
        <v>26</v>
      </c>
      <c r="F41" s="6" t="s">
        <v>23</v>
      </c>
      <c r="G41" s="7">
        <v>41</v>
      </c>
      <c r="H41" s="7">
        <v>6</v>
      </c>
      <c r="I41" s="8">
        <v>70349.48</v>
      </c>
      <c r="J41" s="7">
        <v>2</v>
      </c>
      <c r="K41" s="7">
        <v>0</v>
      </c>
      <c r="L41" s="7">
        <v>1</v>
      </c>
      <c r="M41" s="9">
        <v>178074.04</v>
      </c>
      <c r="N41" s="7">
        <v>0</v>
      </c>
    </row>
    <row r="42" spans="1:14" x14ac:dyDescent="0.25">
      <c r="A42" s="6">
        <v>41</v>
      </c>
      <c r="B42" s="7">
        <v>15619360</v>
      </c>
      <c r="C42" s="6" t="s">
        <v>59</v>
      </c>
      <c r="D42" s="7">
        <v>472</v>
      </c>
      <c r="E42" s="6" t="s">
        <v>755</v>
      </c>
      <c r="F42" s="6" t="s">
        <v>23</v>
      </c>
      <c r="G42" s="7">
        <v>40</v>
      </c>
      <c r="H42" s="7">
        <v>4</v>
      </c>
      <c r="I42" s="8">
        <v>0</v>
      </c>
      <c r="J42" s="7">
        <v>1</v>
      </c>
      <c r="K42" s="7">
        <v>1</v>
      </c>
      <c r="L42" s="7">
        <v>0</v>
      </c>
      <c r="M42" s="9">
        <v>70154.22</v>
      </c>
      <c r="N42" s="7">
        <v>0</v>
      </c>
    </row>
    <row r="43" spans="1:14" x14ac:dyDescent="0.25">
      <c r="A43" s="6">
        <v>42</v>
      </c>
      <c r="B43" s="7">
        <v>15738148</v>
      </c>
      <c r="C43" s="6" t="s">
        <v>60</v>
      </c>
      <c r="D43" s="7">
        <v>465</v>
      </c>
      <c r="E43" s="6" t="s">
        <v>754</v>
      </c>
      <c r="F43" s="6" t="s">
        <v>16</v>
      </c>
      <c r="G43" s="7">
        <v>51</v>
      </c>
      <c r="H43" s="7">
        <v>8</v>
      </c>
      <c r="I43" s="8">
        <v>122522.32</v>
      </c>
      <c r="J43" s="7">
        <v>1</v>
      </c>
      <c r="K43" s="7">
        <v>0</v>
      </c>
      <c r="L43" s="7">
        <v>0</v>
      </c>
      <c r="M43" s="9">
        <v>181297.65</v>
      </c>
      <c r="N43" s="7">
        <v>1</v>
      </c>
    </row>
    <row r="44" spans="1:14" x14ac:dyDescent="0.25">
      <c r="A44" s="6">
        <v>43</v>
      </c>
      <c r="B44" s="7">
        <v>15687946</v>
      </c>
      <c r="C44" s="6" t="s">
        <v>61</v>
      </c>
      <c r="D44" s="7">
        <v>556</v>
      </c>
      <c r="E44" s="6" t="s">
        <v>754</v>
      </c>
      <c r="F44" s="6" t="s">
        <v>16</v>
      </c>
      <c r="G44" s="7">
        <v>61</v>
      </c>
      <c r="H44" s="7">
        <v>2</v>
      </c>
      <c r="I44" s="8">
        <v>117419.35</v>
      </c>
      <c r="J44" s="7">
        <v>1</v>
      </c>
      <c r="K44" s="7">
        <v>1</v>
      </c>
      <c r="L44" s="7">
        <v>1</v>
      </c>
      <c r="M44" s="9">
        <v>94153.83</v>
      </c>
      <c r="N44" s="7">
        <v>0</v>
      </c>
    </row>
    <row r="45" spans="1:14" x14ac:dyDescent="0.25">
      <c r="A45" s="6">
        <v>44</v>
      </c>
      <c r="B45" s="7">
        <v>15755196</v>
      </c>
      <c r="C45" s="6" t="s">
        <v>62</v>
      </c>
      <c r="D45" s="7">
        <v>834</v>
      </c>
      <c r="E45" s="6" t="s">
        <v>754</v>
      </c>
      <c r="F45" s="6" t="s">
        <v>16</v>
      </c>
      <c r="G45" s="7">
        <v>49</v>
      </c>
      <c r="H45" s="7">
        <v>2</v>
      </c>
      <c r="I45" s="8">
        <v>131394.56</v>
      </c>
      <c r="J45" s="7">
        <v>1</v>
      </c>
      <c r="K45" s="7">
        <v>0</v>
      </c>
      <c r="L45" s="7">
        <v>0</v>
      </c>
      <c r="M45" s="9">
        <v>194365.76</v>
      </c>
      <c r="N45" s="7">
        <v>1</v>
      </c>
    </row>
    <row r="46" spans="1:14" x14ac:dyDescent="0.25">
      <c r="A46" s="6">
        <v>45</v>
      </c>
      <c r="B46" s="7">
        <v>15684171</v>
      </c>
      <c r="C46" s="6" t="s">
        <v>63</v>
      </c>
      <c r="D46" s="7">
        <v>660</v>
      </c>
      <c r="E46" s="6" t="s">
        <v>755</v>
      </c>
      <c r="F46" s="6" t="s">
        <v>16</v>
      </c>
      <c r="G46" s="7">
        <v>61</v>
      </c>
      <c r="H46" s="7">
        <v>5</v>
      </c>
      <c r="I46" s="8">
        <v>155931.10999999999</v>
      </c>
      <c r="J46" s="7">
        <v>1</v>
      </c>
      <c r="K46" s="7">
        <v>1</v>
      </c>
      <c r="L46" s="7">
        <v>1</v>
      </c>
      <c r="M46" s="9">
        <v>158338.39000000001</v>
      </c>
      <c r="N46" s="7">
        <v>0</v>
      </c>
    </row>
    <row r="47" spans="1:14" x14ac:dyDescent="0.25">
      <c r="A47" s="6">
        <v>46</v>
      </c>
      <c r="B47" s="7">
        <v>15754849</v>
      </c>
      <c r="C47" s="6" t="s">
        <v>64</v>
      </c>
      <c r="D47" s="7">
        <v>776</v>
      </c>
      <c r="E47" s="6" t="s">
        <v>26</v>
      </c>
      <c r="F47" s="6" t="s">
        <v>16</v>
      </c>
      <c r="G47" s="7">
        <v>32</v>
      </c>
      <c r="H47" s="7">
        <v>4</v>
      </c>
      <c r="I47" s="8">
        <v>109421.13</v>
      </c>
      <c r="J47" s="7">
        <v>2</v>
      </c>
      <c r="K47" s="7">
        <v>1</v>
      </c>
      <c r="L47" s="7">
        <v>1</v>
      </c>
      <c r="M47" s="9">
        <v>126517.46</v>
      </c>
      <c r="N47" s="7">
        <v>0</v>
      </c>
    </row>
    <row r="48" spans="1:14" x14ac:dyDescent="0.25">
      <c r="A48" s="6">
        <v>47</v>
      </c>
      <c r="B48" s="7">
        <v>15602280</v>
      </c>
      <c r="C48" s="6" t="s">
        <v>65</v>
      </c>
      <c r="D48" s="7">
        <v>829</v>
      </c>
      <c r="E48" s="6" t="s">
        <v>26</v>
      </c>
      <c r="F48" s="6" t="s">
        <v>16</v>
      </c>
      <c r="G48" s="7">
        <v>27</v>
      </c>
      <c r="H48" s="7">
        <v>9</v>
      </c>
      <c r="I48" s="8">
        <v>112045.67</v>
      </c>
      <c r="J48" s="7">
        <v>1</v>
      </c>
      <c r="K48" s="7">
        <v>1</v>
      </c>
      <c r="L48" s="7">
        <v>1</v>
      </c>
      <c r="M48" s="9">
        <v>119708.21</v>
      </c>
      <c r="N48" s="7">
        <v>1</v>
      </c>
    </row>
    <row r="49" spans="1:14" x14ac:dyDescent="0.25">
      <c r="A49" s="6">
        <v>48</v>
      </c>
      <c r="B49" s="7">
        <v>15771573</v>
      </c>
      <c r="C49" s="6" t="s">
        <v>66</v>
      </c>
      <c r="D49" s="7">
        <v>637</v>
      </c>
      <c r="E49" s="6" t="s">
        <v>26</v>
      </c>
      <c r="F49" s="6" t="s">
        <v>16</v>
      </c>
      <c r="G49" s="7">
        <v>39</v>
      </c>
      <c r="H49" s="7">
        <v>9</v>
      </c>
      <c r="I49" s="8">
        <v>137843.79999999999</v>
      </c>
      <c r="J49" s="7">
        <v>1</v>
      </c>
      <c r="K49" s="7">
        <v>1</v>
      </c>
      <c r="L49" s="7">
        <v>1</v>
      </c>
      <c r="M49" s="9">
        <v>117622.8</v>
      </c>
      <c r="N49" s="7">
        <v>1</v>
      </c>
    </row>
    <row r="50" spans="1:14" x14ac:dyDescent="0.25">
      <c r="A50" s="6">
        <v>49</v>
      </c>
      <c r="B50" s="7">
        <v>15766205</v>
      </c>
      <c r="C50" s="6" t="s">
        <v>67</v>
      </c>
      <c r="D50" s="7">
        <v>550</v>
      </c>
      <c r="E50" s="6" t="s">
        <v>26</v>
      </c>
      <c r="F50" s="6" t="s">
        <v>23</v>
      </c>
      <c r="G50" s="7">
        <v>38</v>
      </c>
      <c r="H50" s="7">
        <v>2</v>
      </c>
      <c r="I50" s="8">
        <v>103391.38</v>
      </c>
      <c r="J50" s="7">
        <v>1</v>
      </c>
      <c r="K50" s="7">
        <v>0</v>
      </c>
      <c r="L50" s="7">
        <v>1</v>
      </c>
      <c r="M50" s="9">
        <v>90878.13</v>
      </c>
      <c r="N50" s="7">
        <v>0</v>
      </c>
    </row>
    <row r="51" spans="1:14" x14ac:dyDescent="0.25">
      <c r="A51" s="6">
        <v>50</v>
      </c>
      <c r="B51" s="7">
        <v>15771873</v>
      </c>
      <c r="C51" s="6" t="s">
        <v>68</v>
      </c>
      <c r="D51" s="7">
        <v>776</v>
      </c>
      <c r="E51" s="6" t="s">
        <v>26</v>
      </c>
      <c r="F51" s="6" t="s">
        <v>16</v>
      </c>
      <c r="G51" s="7">
        <v>37</v>
      </c>
      <c r="H51" s="7">
        <v>2</v>
      </c>
      <c r="I51" s="8">
        <v>103769.22</v>
      </c>
      <c r="J51" s="7">
        <v>2</v>
      </c>
      <c r="K51" s="7">
        <v>1</v>
      </c>
      <c r="L51" s="7">
        <v>0</v>
      </c>
      <c r="M51" s="9">
        <v>194099.12</v>
      </c>
      <c r="N51" s="7">
        <v>0</v>
      </c>
    </row>
    <row r="52" spans="1:14" x14ac:dyDescent="0.25">
      <c r="A52" s="6">
        <v>51</v>
      </c>
      <c r="B52" s="7">
        <v>15616550</v>
      </c>
      <c r="C52" s="6" t="s">
        <v>69</v>
      </c>
      <c r="D52" s="7">
        <v>698</v>
      </c>
      <c r="E52" s="6" t="s">
        <v>26</v>
      </c>
      <c r="F52" s="6" t="s">
        <v>23</v>
      </c>
      <c r="G52" s="7">
        <v>44</v>
      </c>
      <c r="H52" s="7">
        <v>10</v>
      </c>
      <c r="I52" s="8">
        <v>116363.37</v>
      </c>
      <c r="J52" s="7">
        <v>2</v>
      </c>
      <c r="K52" s="7">
        <v>1</v>
      </c>
      <c r="L52" s="7">
        <v>0</v>
      </c>
      <c r="M52" s="9">
        <v>198059.16</v>
      </c>
      <c r="N52" s="7">
        <v>0</v>
      </c>
    </row>
    <row r="53" spans="1:14" x14ac:dyDescent="0.25">
      <c r="A53" s="6">
        <v>52</v>
      </c>
      <c r="B53" s="7">
        <v>15768193</v>
      </c>
      <c r="C53" s="6" t="s">
        <v>70</v>
      </c>
      <c r="D53" s="7">
        <v>585</v>
      </c>
      <c r="E53" s="6" t="s">
        <v>758</v>
      </c>
      <c r="F53" s="6" t="s">
        <v>23</v>
      </c>
      <c r="G53" s="7">
        <v>36</v>
      </c>
      <c r="H53" s="7">
        <v>5</v>
      </c>
      <c r="I53" s="8">
        <v>146050.97</v>
      </c>
      <c r="J53" s="7">
        <v>2</v>
      </c>
      <c r="K53" s="7">
        <v>0</v>
      </c>
      <c r="L53" s="7">
        <v>0</v>
      </c>
      <c r="M53" s="9">
        <v>86424.57</v>
      </c>
      <c r="N53" s="7">
        <v>0</v>
      </c>
    </row>
    <row r="54" spans="1:14" x14ac:dyDescent="0.25">
      <c r="A54" s="6">
        <v>53</v>
      </c>
      <c r="B54" s="7">
        <v>15683553</v>
      </c>
      <c r="C54" s="6" t="s">
        <v>71</v>
      </c>
      <c r="D54" s="7">
        <v>788</v>
      </c>
      <c r="E54" s="6" t="s">
        <v>754</v>
      </c>
      <c r="F54" s="6" t="s">
        <v>16</v>
      </c>
      <c r="G54" s="7">
        <v>33</v>
      </c>
      <c r="H54" s="7">
        <v>5</v>
      </c>
      <c r="I54" s="8">
        <v>0</v>
      </c>
      <c r="J54" s="7">
        <v>2</v>
      </c>
      <c r="K54" s="7">
        <v>0</v>
      </c>
      <c r="L54" s="7">
        <v>0</v>
      </c>
      <c r="M54" s="9">
        <v>116978.19</v>
      </c>
      <c r="N54" s="7">
        <v>0</v>
      </c>
    </row>
    <row r="55" spans="1:14" x14ac:dyDescent="0.25">
      <c r="A55" s="6">
        <v>54</v>
      </c>
      <c r="B55" s="7">
        <v>15702298</v>
      </c>
      <c r="C55" s="6" t="s">
        <v>72</v>
      </c>
      <c r="D55" s="7">
        <v>655</v>
      </c>
      <c r="E55" s="6" t="s">
        <v>758</v>
      </c>
      <c r="F55" s="6" t="s">
        <v>23</v>
      </c>
      <c r="G55" s="7">
        <v>41</v>
      </c>
      <c r="H55" s="7">
        <v>8</v>
      </c>
      <c r="I55" s="8">
        <v>125561.97</v>
      </c>
      <c r="J55" s="7">
        <v>1</v>
      </c>
      <c r="K55" s="7">
        <v>0</v>
      </c>
      <c r="L55" s="7">
        <v>0</v>
      </c>
      <c r="M55" s="9">
        <v>164040.94</v>
      </c>
      <c r="N55" s="7">
        <v>1</v>
      </c>
    </row>
    <row r="56" spans="1:14" x14ac:dyDescent="0.25">
      <c r="A56" s="6">
        <v>55</v>
      </c>
      <c r="B56" s="7">
        <v>15569590</v>
      </c>
      <c r="C56" s="6" t="s">
        <v>73</v>
      </c>
      <c r="D56" s="7">
        <v>601</v>
      </c>
      <c r="E56" s="6" t="s">
        <v>758</v>
      </c>
      <c r="F56" s="6" t="s">
        <v>23</v>
      </c>
      <c r="G56" s="7">
        <v>42</v>
      </c>
      <c r="H56" s="7">
        <v>1</v>
      </c>
      <c r="I56" s="8">
        <v>98495.72</v>
      </c>
      <c r="J56" s="7">
        <v>1</v>
      </c>
      <c r="K56" s="7">
        <v>1</v>
      </c>
      <c r="L56" s="7">
        <v>0</v>
      </c>
      <c r="M56" s="9">
        <v>40014.76</v>
      </c>
      <c r="N56" s="7">
        <v>1</v>
      </c>
    </row>
    <row r="57" spans="1:14" x14ac:dyDescent="0.25">
      <c r="A57" s="6">
        <v>56</v>
      </c>
      <c r="B57" s="7">
        <v>15760861</v>
      </c>
      <c r="C57" s="6" t="s">
        <v>74</v>
      </c>
      <c r="D57" s="7">
        <v>619</v>
      </c>
      <c r="E57" s="6" t="s">
        <v>754</v>
      </c>
      <c r="F57" s="6" t="s">
        <v>23</v>
      </c>
      <c r="G57" s="7">
        <v>43</v>
      </c>
      <c r="H57" s="7">
        <v>1</v>
      </c>
      <c r="I57" s="8">
        <v>125211.92</v>
      </c>
      <c r="J57" s="7">
        <v>1</v>
      </c>
      <c r="K57" s="7">
        <v>1</v>
      </c>
      <c r="L57" s="7">
        <v>1</v>
      </c>
      <c r="M57" s="9">
        <v>113410.49</v>
      </c>
      <c r="N57" s="7">
        <v>0</v>
      </c>
    </row>
    <row r="58" spans="1:14" x14ac:dyDescent="0.25">
      <c r="A58" s="6">
        <v>57</v>
      </c>
      <c r="B58" s="7">
        <v>15630053</v>
      </c>
      <c r="C58" s="6" t="s">
        <v>75</v>
      </c>
      <c r="D58" s="7">
        <v>656</v>
      </c>
      <c r="E58" s="6" t="s">
        <v>754</v>
      </c>
      <c r="F58" s="6" t="s">
        <v>23</v>
      </c>
      <c r="G58" s="7">
        <v>45</v>
      </c>
      <c r="H58" s="7">
        <v>5</v>
      </c>
      <c r="I58" s="8">
        <v>127864.4</v>
      </c>
      <c r="J58" s="7">
        <v>1</v>
      </c>
      <c r="K58" s="7">
        <v>1</v>
      </c>
      <c r="L58" s="7">
        <v>0</v>
      </c>
      <c r="M58" s="9">
        <v>87107.57</v>
      </c>
      <c r="N58" s="7">
        <v>0</v>
      </c>
    </row>
    <row r="59" spans="1:14" x14ac:dyDescent="0.25">
      <c r="A59" s="6">
        <v>58</v>
      </c>
      <c r="B59" s="7">
        <v>15647091</v>
      </c>
      <c r="C59" s="6" t="s">
        <v>76</v>
      </c>
      <c r="D59" s="7">
        <v>725</v>
      </c>
      <c r="E59" s="6" t="s">
        <v>758</v>
      </c>
      <c r="F59" s="6" t="s">
        <v>23</v>
      </c>
      <c r="G59" s="7">
        <v>19</v>
      </c>
      <c r="H59" s="7">
        <v>0</v>
      </c>
      <c r="I59" s="8">
        <v>75888.2</v>
      </c>
      <c r="J59" s="7">
        <v>1</v>
      </c>
      <c r="K59" s="7">
        <v>0</v>
      </c>
      <c r="L59" s="7">
        <v>0</v>
      </c>
      <c r="M59" s="9">
        <v>45613.75</v>
      </c>
      <c r="N59" s="7">
        <v>0</v>
      </c>
    </row>
    <row r="60" spans="1:14" x14ac:dyDescent="0.25">
      <c r="A60" s="6">
        <v>59</v>
      </c>
      <c r="B60" s="7">
        <v>15623944</v>
      </c>
      <c r="C60" s="6" t="s">
        <v>77</v>
      </c>
      <c r="D60" s="7">
        <v>511</v>
      </c>
      <c r="E60" s="6" t="s">
        <v>755</v>
      </c>
      <c r="F60" s="6" t="s">
        <v>16</v>
      </c>
      <c r="G60" s="7">
        <v>66</v>
      </c>
      <c r="H60" s="7">
        <v>4</v>
      </c>
      <c r="I60" s="8">
        <v>0</v>
      </c>
      <c r="J60" s="7">
        <v>1</v>
      </c>
      <c r="K60" s="7">
        <v>1</v>
      </c>
      <c r="L60" s="7">
        <v>0</v>
      </c>
      <c r="M60" s="9">
        <v>1643.11</v>
      </c>
      <c r="N60" s="7">
        <v>1</v>
      </c>
    </row>
    <row r="61" spans="1:14" x14ac:dyDescent="0.25">
      <c r="A61" s="6">
        <v>60</v>
      </c>
      <c r="B61" s="7">
        <v>15804771</v>
      </c>
      <c r="C61" s="6" t="s">
        <v>78</v>
      </c>
      <c r="D61" s="7">
        <v>614</v>
      </c>
      <c r="E61" s="6" t="s">
        <v>754</v>
      </c>
      <c r="F61" s="6" t="s">
        <v>23</v>
      </c>
      <c r="G61" s="7">
        <v>51</v>
      </c>
      <c r="H61" s="7">
        <v>4</v>
      </c>
      <c r="I61" s="8">
        <v>40685.919999999998</v>
      </c>
      <c r="J61" s="7">
        <v>1</v>
      </c>
      <c r="K61" s="7">
        <v>1</v>
      </c>
      <c r="L61" s="7">
        <v>1</v>
      </c>
      <c r="M61" s="9">
        <v>46775.28</v>
      </c>
      <c r="N61" s="7">
        <v>0</v>
      </c>
    </row>
    <row r="62" spans="1:14" x14ac:dyDescent="0.25">
      <c r="A62" s="6">
        <v>61</v>
      </c>
      <c r="B62" s="7">
        <v>15651280</v>
      </c>
      <c r="C62" s="6" t="s">
        <v>79</v>
      </c>
      <c r="D62" s="7">
        <v>742</v>
      </c>
      <c r="E62" s="6" t="s">
        <v>758</v>
      </c>
      <c r="F62" s="6" t="s">
        <v>23</v>
      </c>
      <c r="G62" s="7">
        <v>35</v>
      </c>
      <c r="H62" s="7">
        <v>5</v>
      </c>
      <c r="I62" s="8">
        <v>136857</v>
      </c>
      <c r="J62" s="7">
        <v>1</v>
      </c>
      <c r="K62" s="7">
        <v>0</v>
      </c>
      <c r="L62" s="7">
        <v>0</v>
      </c>
      <c r="M62" s="9">
        <v>84509.57</v>
      </c>
      <c r="N62" s="7">
        <v>0</v>
      </c>
    </row>
    <row r="63" spans="1:14" x14ac:dyDescent="0.25">
      <c r="A63" s="6">
        <v>62</v>
      </c>
      <c r="B63" s="7">
        <v>15773469</v>
      </c>
      <c r="C63" s="6" t="s">
        <v>80</v>
      </c>
      <c r="D63" s="7">
        <v>687</v>
      </c>
      <c r="E63" s="6" t="s">
        <v>758</v>
      </c>
      <c r="F63" s="6" t="s">
        <v>16</v>
      </c>
      <c r="G63" s="7">
        <v>27</v>
      </c>
      <c r="H63" s="7">
        <v>9</v>
      </c>
      <c r="I63" s="8">
        <v>152328.88</v>
      </c>
      <c r="J63" s="7">
        <v>2</v>
      </c>
      <c r="K63" s="7">
        <v>0</v>
      </c>
      <c r="L63" s="7">
        <v>0</v>
      </c>
      <c r="M63" s="9">
        <v>126494.82</v>
      </c>
      <c r="N63" s="7">
        <v>0</v>
      </c>
    </row>
    <row r="64" spans="1:14" x14ac:dyDescent="0.25">
      <c r="A64" s="6">
        <v>63</v>
      </c>
      <c r="B64" s="7">
        <v>15702014</v>
      </c>
      <c r="C64" s="6" t="s">
        <v>81</v>
      </c>
      <c r="D64" s="7">
        <v>555</v>
      </c>
      <c r="E64" s="6" t="s">
        <v>755</v>
      </c>
      <c r="F64" s="6" t="s">
        <v>23</v>
      </c>
      <c r="G64" s="7">
        <v>33</v>
      </c>
      <c r="H64" s="7">
        <v>1</v>
      </c>
      <c r="I64" s="8">
        <v>56084.69</v>
      </c>
      <c r="J64" s="7">
        <v>2</v>
      </c>
      <c r="K64" s="7">
        <v>0</v>
      </c>
      <c r="L64" s="7">
        <v>0</v>
      </c>
      <c r="M64" s="9">
        <v>178798.13</v>
      </c>
      <c r="N64" s="7">
        <v>0</v>
      </c>
    </row>
    <row r="65" spans="1:14" x14ac:dyDescent="0.25">
      <c r="A65" s="6">
        <v>64</v>
      </c>
      <c r="B65" s="7">
        <v>15751208</v>
      </c>
      <c r="C65" s="6" t="s">
        <v>82</v>
      </c>
      <c r="D65" s="7">
        <v>684</v>
      </c>
      <c r="E65" s="6" t="s">
        <v>755</v>
      </c>
      <c r="F65" s="6" t="s">
        <v>23</v>
      </c>
      <c r="G65" s="7">
        <v>56</v>
      </c>
      <c r="H65" s="7">
        <v>8</v>
      </c>
      <c r="I65" s="8">
        <v>78707.16</v>
      </c>
      <c r="J65" s="7">
        <v>1</v>
      </c>
      <c r="K65" s="7">
        <v>1</v>
      </c>
      <c r="L65" s="7">
        <v>1</v>
      </c>
      <c r="M65" s="9">
        <v>99398.36</v>
      </c>
      <c r="N65" s="7">
        <v>0</v>
      </c>
    </row>
    <row r="66" spans="1:14" x14ac:dyDescent="0.25">
      <c r="A66" s="6">
        <v>65</v>
      </c>
      <c r="B66" s="7">
        <v>15592461</v>
      </c>
      <c r="C66" s="6" t="s">
        <v>83</v>
      </c>
      <c r="D66" s="7">
        <v>603</v>
      </c>
      <c r="E66" s="6" t="s">
        <v>758</v>
      </c>
      <c r="F66" s="6" t="s">
        <v>23</v>
      </c>
      <c r="G66" s="7">
        <v>26</v>
      </c>
      <c r="H66" s="7">
        <v>4</v>
      </c>
      <c r="I66" s="8">
        <v>109166.37</v>
      </c>
      <c r="J66" s="7">
        <v>1</v>
      </c>
      <c r="K66" s="7">
        <v>1</v>
      </c>
      <c r="L66" s="7">
        <v>1</v>
      </c>
      <c r="M66" s="9">
        <v>92840.67</v>
      </c>
      <c r="N66" s="7">
        <v>0</v>
      </c>
    </row>
    <row r="67" spans="1:14" x14ac:dyDescent="0.25">
      <c r="A67" s="6">
        <v>66</v>
      </c>
      <c r="B67" s="7">
        <v>15789484</v>
      </c>
      <c r="C67" s="6" t="s">
        <v>84</v>
      </c>
      <c r="D67" s="7">
        <v>751</v>
      </c>
      <c r="E67" s="6" t="s">
        <v>758</v>
      </c>
      <c r="F67" s="6" t="s">
        <v>16</v>
      </c>
      <c r="G67" s="7">
        <v>36</v>
      </c>
      <c r="H67" s="7">
        <v>6</v>
      </c>
      <c r="I67" s="8">
        <v>169831.46</v>
      </c>
      <c r="J67" s="7">
        <v>2</v>
      </c>
      <c r="K67" s="7">
        <v>1</v>
      </c>
      <c r="L67" s="7">
        <v>1</v>
      </c>
      <c r="M67" s="9">
        <v>27758.36</v>
      </c>
      <c r="N67" s="7">
        <v>0</v>
      </c>
    </row>
    <row r="68" spans="1:14" x14ac:dyDescent="0.25">
      <c r="A68" s="6">
        <v>67</v>
      </c>
      <c r="B68" s="7">
        <v>15696061</v>
      </c>
      <c r="C68" s="6" t="s">
        <v>85</v>
      </c>
      <c r="D68" s="7">
        <v>581</v>
      </c>
      <c r="E68" s="6" t="s">
        <v>758</v>
      </c>
      <c r="F68" s="6" t="s">
        <v>16</v>
      </c>
      <c r="G68" s="7">
        <v>34</v>
      </c>
      <c r="H68" s="7">
        <v>1</v>
      </c>
      <c r="I68" s="8">
        <v>101633.04</v>
      </c>
      <c r="J68" s="7">
        <v>1</v>
      </c>
      <c r="K68" s="7">
        <v>1</v>
      </c>
      <c r="L68" s="7">
        <v>0</v>
      </c>
      <c r="M68" s="9">
        <v>110431.51</v>
      </c>
      <c r="N68" s="7">
        <v>0</v>
      </c>
    </row>
    <row r="69" spans="1:14" x14ac:dyDescent="0.25">
      <c r="A69" s="6">
        <v>68</v>
      </c>
      <c r="B69" s="7">
        <v>15641582</v>
      </c>
      <c r="C69" s="6" t="s">
        <v>86</v>
      </c>
      <c r="D69" s="7">
        <v>735</v>
      </c>
      <c r="E69" s="6" t="s">
        <v>758</v>
      </c>
      <c r="F69" s="6" t="s">
        <v>23</v>
      </c>
      <c r="G69" s="7">
        <v>43</v>
      </c>
      <c r="H69" s="7">
        <v>10</v>
      </c>
      <c r="I69" s="8">
        <v>123180.01</v>
      </c>
      <c r="J69" s="7">
        <v>2</v>
      </c>
      <c r="K69" s="7">
        <v>1</v>
      </c>
      <c r="L69" s="7">
        <v>1</v>
      </c>
      <c r="M69" s="9">
        <v>196673.28</v>
      </c>
      <c r="N69" s="7">
        <v>0</v>
      </c>
    </row>
    <row r="70" spans="1:14" x14ac:dyDescent="0.25">
      <c r="A70" s="6">
        <v>69</v>
      </c>
      <c r="B70" s="7">
        <v>15638424</v>
      </c>
      <c r="C70" s="6" t="s">
        <v>87</v>
      </c>
      <c r="D70" s="7">
        <v>661</v>
      </c>
      <c r="E70" s="6" t="s">
        <v>26</v>
      </c>
      <c r="F70" s="6" t="s">
        <v>16</v>
      </c>
      <c r="G70" s="7">
        <v>35</v>
      </c>
      <c r="H70" s="7">
        <v>5</v>
      </c>
      <c r="I70" s="8">
        <v>150725.53</v>
      </c>
      <c r="J70" s="7">
        <v>2</v>
      </c>
      <c r="K70" s="7">
        <v>0</v>
      </c>
      <c r="L70" s="7">
        <v>1</v>
      </c>
      <c r="M70" s="9">
        <v>113656.85</v>
      </c>
      <c r="N70" s="7">
        <v>0</v>
      </c>
    </row>
    <row r="71" spans="1:14" x14ac:dyDescent="0.25">
      <c r="A71" s="6">
        <v>70</v>
      </c>
      <c r="B71" s="7">
        <v>15755648</v>
      </c>
      <c r="C71" s="6" t="s">
        <v>88</v>
      </c>
      <c r="D71" s="7">
        <v>675</v>
      </c>
      <c r="E71" s="6" t="s">
        <v>754</v>
      </c>
      <c r="F71" s="6" t="s">
        <v>16</v>
      </c>
      <c r="G71" s="7">
        <v>21</v>
      </c>
      <c r="H71" s="7">
        <v>8</v>
      </c>
      <c r="I71" s="8">
        <v>98373.26</v>
      </c>
      <c r="J71" s="7">
        <v>1</v>
      </c>
      <c r="K71" s="7">
        <v>1</v>
      </c>
      <c r="L71" s="7">
        <v>0</v>
      </c>
      <c r="M71" s="9">
        <v>18203</v>
      </c>
      <c r="N71" s="7">
        <v>0</v>
      </c>
    </row>
    <row r="72" spans="1:14" x14ac:dyDescent="0.25">
      <c r="A72" s="6">
        <v>71</v>
      </c>
      <c r="B72" s="7">
        <v>15703793</v>
      </c>
      <c r="C72" s="6" t="s">
        <v>89</v>
      </c>
      <c r="D72" s="7">
        <v>738</v>
      </c>
      <c r="E72" s="6" t="s">
        <v>26</v>
      </c>
      <c r="F72" s="6" t="s">
        <v>23</v>
      </c>
      <c r="G72" s="7">
        <v>58</v>
      </c>
      <c r="H72" s="7">
        <v>2</v>
      </c>
      <c r="I72" s="8">
        <v>133745.44</v>
      </c>
      <c r="J72" s="7">
        <v>4</v>
      </c>
      <c r="K72" s="7">
        <v>1</v>
      </c>
      <c r="L72" s="7">
        <v>0</v>
      </c>
      <c r="M72" s="9">
        <v>28373.86</v>
      </c>
      <c r="N72" s="7">
        <v>1</v>
      </c>
    </row>
    <row r="73" spans="1:14" x14ac:dyDescent="0.25">
      <c r="A73" s="6">
        <v>72</v>
      </c>
      <c r="B73" s="7">
        <v>15620344</v>
      </c>
      <c r="C73" s="6" t="s">
        <v>90</v>
      </c>
      <c r="D73" s="7">
        <v>813</v>
      </c>
      <c r="E73" s="6" t="s">
        <v>754</v>
      </c>
      <c r="F73" s="6" t="s">
        <v>23</v>
      </c>
      <c r="G73" s="7">
        <v>29</v>
      </c>
      <c r="H73" s="7">
        <v>6</v>
      </c>
      <c r="I73" s="8">
        <v>0</v>
      </c>
      <c r="J73" s="7">
        <v>1</v>
      </c>
      <c r="K73" s="7">
        <v>1</v>
      </c>
      <c r="L73" s="7">
        <v>0</v>
      </c>
      <c r="M73" s="9">
        <v>33953.870000000003</v>
      </c>
      <c r="N73" s="7">
        <v>0</v>
      </c>
    </row>
    <row r="74" spans="1:14" x14ac:dyDescent="0.25">
      <c r="A74" s="6">
        <v>73</v>
      </c>
      <c r="B74" s="7">
        <v>15812518</v>
      </c>
      <c r="C74" s="6" t="s">
        <v>91</v>
      </c>
      <c r="D74" s="7">
        <v>657</v>
      </c>
      <c r="E74" s="6" t="s">
        <v>755</v>
      </c>
      <c r="F74" s="6" t="s">
        <v>16</v>
      </c>
      <c r="G74" s="7">
        <v>37</v>
      </c>
      <c r="H74" s="7">
        <v>0</v>
      </c>
      <c r="I74" s="8">
        <v>163607.18</v>
      </c>
      <c r="J74" s="7">
        <v>1</v>
      </c>
      <c r="K74" s="7">
        <v>0</v>
      </c>
      <c r="L74" s="7">
        <v>1</v>
      </c>
      <c r="M74" s="9">
        <v>44203.55</v>
      </c>
      <c r="N74" s="7">
        <v>0</v>
      </c>
    </row>
    <row r="75" spans="1:14" x14ac:dyDescent="0.25">
      <c r="A75" s="6">
        <v>74</v>
      </c>
      <c r="B75" s="7">
        <v>15779052</v>
      </c>
      <c r="C75" s="6" t="s">
        <v>92</v>
      </c>
      <c r="D75" s="7">
        <v>604</v>
      </c>
      <c r="E75" s="6" t="s">
        <v>26</v>
      </c>
      <c r="F75" s="6" t="s">
        <v>16</v>
      </c>
      <c r="G75" s="7">
        <v>25</v>
      </c>
      <c r="H75" s="7">
        <v>5</v>
      </c>
      <c r="I75" s="8">
        <v>157780.84</v>
      </c>
      <c r="J75" s="7">
        <v>2</v>
      </c>
      <c r="K75" s="7">
        <v>1</v>
      </c>
      <c r="L75" s="7">
        <v>1</v>
      </c>
      <c r="M75" s="9">
        <v>58426.81</v>
      </c>
      <c r="N75" s="7">
        <v>0</v>
      </c>
    </row>
    <row r="76" spans="1:14" x14ac:dyDescent="0.25">
      <c r="A76" s="6">
        <v>75</v>
      </c>
      <c r="B76" s="7">
        <v>15770811</v>
      </c>
      <c r="C76" s="6" t="s">
        <v>93</v>
      </c>
      <c r="D76" s="7">
        <v>519</v>
      </c>
      <c r="E76" s="6" t="s">
        <v>754</v>
      </c>
      <c r="F76" s="6" t="s">
        <v>23</v>
      </c>
      <c r="G76" s="7">
        <v>36</v>
      </c>
      <c r="H76" s="7">
        <v>9</v>
      </c>
      <c r="I76" s="8">
        <v>0</v>
      </c>
      <c r="J76" s="7">
        <v>2</v>
      </c>
      <c r="K76" s="7">
        <v>0</v>
      </c>
      <c r="L76" s="7">
        <v>1</v>
      </c>
      <c r="M76" s="9">
        <v>145562.4</v>
      </c>
      <c r="N76" s="7">
        <v>0</v>
      </c>
    </row>
    <row r="77" spans="1:14" x14ac:dyDescent="0.25">
      <c r="A77" s="6">
        <v>76</v>
      </c>
      <c r="B77" s="7">
        <v>15780961</v>
      </c>
      <c r="C77" s="6" t="s">
        <v>94</v>
      </c>
      <c r="D77" s="7">
        <v>735</v>
      </c>
      <c r="E77" s="6" t="s">
        <v>754</v>
      </c>
      <c r="F77" s="6" t="s">
        <v>16</v>
      </c>
      <c r="G77" s="7">
        <v>21</v>
      </c>
      <c r="H77" s="7">
        <v>1</v>
      </c>
      <c r="I77" s="8">
        <v>178718.19</v>
      </c>
      <c r="J77" s="7">
        <v>2</v>
      </c>
      <c r="K77" s="7">
        <v>1</v>
      </c>
      <c r="L77" s="7">
        <v>0</v>
      </c>
      <c r="M77" s="9">
        <v>22388</v>
      </c>
      <c r="N77" s="7">
        <v>0</v>
      </c>
    </row>
    <row r="78" spans="1:14" x14ac:dyDescent="0.25">
      <c r="A78" s="6">
        <v>77</v>
      </c>
      <c r="B78" s="7">
        <v>15614049</v>
      </c>
      <c r="C78" s="6" t="s">
        <v>95</v>
      </c>
      <c r="D78" s="7">
        <v>664</v>
      </c>
      <c r="E78" s="6" t="s">
        <v>754</v>
      </c>
      <c r="F78" s="6" t="s">
        <v>23</v>
      </c>
      <c r="G78" s="7">
        <v>55</v>
      </c>
      <c r="H78" s="7">
        <v>8</v>
      </c>
      <c r="I78" s="8">
        <v>0</v>
      </c>
      <c r="J78" s="7">
        <v>2</v>
      </c>
      <c r="K78" s="7">
        <v>1</v>
      </c>
      <c r="L78" s="7">
        <v>1</v>
      </c>
      <c r="M78" s="9">
        <v>139161.64000000001</v>
      </c>
      <c r="N78" s="7">
        <v>0</v>
      </c>
    </row>
    <row r="79" spans="1:14" x14ac:dyDescent="0.25">
      <c r="A79" s="6">
        <v>78</v>
      </c>
      <c r="B79" s="7">
        <v>15662085</v>
      </c>
      <c r="C79" s="6" t="s">
        <v>96</v>
      </c>
      <c r="D79" s="7">
        <v>678</v>
      </c>
      <c r="E79" s="6" t="s">
        <v>754</v>
      </c>
      <c r="F79" s="6" t="s">
        <v>16</v>
      </c>
      <c r="G79" s="7">
        <v>32</v>
      </c>
      <c r="H79" s="7">
        <v>9</v>
      </c>
      <c r="I79" s="8">
        <v>0</v>
      </c>
      <c r="J79" s="7">
        <v>1</v>
      </c>
      <c r="K79" s="7">
        <v>1</v>
      </c>
      <c r="L79" s="7">
        <v>1</v>
      </c>
      <c r="M79" s="9">
        <v>148210.64000000001</v>
      </c>
      <c r="N79" s="7">
        <v>0</v>
      </c>
    </row>
    <row r="80" spans="1:14" x14ac:dyDescent="0.25">
      <c r="A80" s="6">
        <v>79</v>
      </c>
      <c r="B80" s="7">
        <v>15575185</v>
      </c>
      <c r="C80" s="6" t="s">
        <v>97</v>
      </c>
      <c r="D80" s="7">
        <v>757</v>
      </c>
      <c r="E80" s="6" t="s">
        <v>755</v>
      </c>
      <c r="F80" s="6" t="s">
        <v>23</v>
      </c>
      <c r="G80" s="7">
        <v>33</v>
      </c>
      <c r="H80" s="7">
        <v>5</v>
      </c>
      <c r="I80" s="8">
        <v>77253.22</v>
      </c>
      <c r="J80" s="7">
        <v>1</v>
      </c>
      <c r="K80" s="7">
        <v>0</v>
      </c>
      <c r="L80" s="7">
        <v>1</v>
      </c>
      <c r="M80" s="9">
        <v>194239.63</v>
      </c>
      <c r="N80" s="7">
        <v>0</v>
      </c>
    </row>
    <row r="81" spans="1:14" x14ac:dyDescent="0.25">
      <c r="A81" s="6">
        <v>80</v>
      </c>
      <c r="B81" s="7">
        <v>15803136</v>
      </c>
      <c r="C81" s="6" t="s">
        <v>98</v>
      </c>
      <c r="D81" s="7">
        <v>416</v>
      </c>
      <c r="E81" s="6" t="s">
        <v>26</v>
      </c>
      <c r="F81" s="6" t="s">
        <v>16</v>
      </c>
      <c r="G81" s="7">
        <v>41</v>
      </c>
      <c r="H81" s="7">
        <v>10</v>
      </c>
      <c r="I81" s="8">
        <v>122189.66</v>
      </c>
      <c r="J81" s="7">
        <v>2</v>
      </c>
      <c r="K81" s="7">
        <v>1</v>
      </c>
      <c r="L81" s="7">
        <v>0</v>
      </c>
      <c r="M81" s="9">
        <v>98301.61</v>
      </c>
      <c r="N81" s="7">
        <v>0</v>
      </c>
    </row>
    <row r="82" spans="1:14" x14ac:dyDescent="0.25">
      <c r="A82" s="6">
        <v>81</v>
      </c>
      <c r="B82" s="7">
        <v>15706021</v>
      </c>
      <c r="C82" s="6" t="s">
        <v>99</v>
      </c>
      <c r="D82" s="7">
        <v>665</v>
      </c>
      <c r="E82" s="6" t="s">
        <v>754</v>
      </c>
      <c r="F82" s="6" t="s">
        <v>16</v>
      </c>
      <c r="G82" s="7">
        <v>34</v>
      </c>
      <c r="H82" s="7">
        <v>1</v>
      </c>
      <c r="I82" s="8">
        <v>96645.54</v>
      </c>
      <c r="J82" s="7">
        <v>2</v>
      </c>
      <c r="K82" s="7">
        <v>0</v>
      </c>
      <c r="L82" s="7">
        <v>0</v>
      </c>
      <c r="M82" s="9">
        <v>171413.66</v>
      </c>
      <c r="N82" s="7">
        <v>0</v>
      </c>
    </row>
    <row r="83" spans="1:14" x14ac:dyDescent="0.25">
      <c r="A83" s="6">
        <v>82</v>
      </c>
      <c r="B83" s="7">
        <v>15663706</v>
      </c>
      <c r="C83" s="6" t="s">
        <v>100</v>
      </c>
      <c r="D83" s="7">
        <v>777</v>
      </c>
      <c r="E83" s="6" t="s">
        <v>754</v>
      </c>
      <c r="F83" s="6" t="s">
        <v>16</v>
      </c>
      <c r="G83" s="7">
        <v>32</v>
      </c>
      <c r="H83" s="7">
        <v>2</v>
      </c>
      <c r="I83" s="8">
        <v>0</v>
      </c>
      <c r="J83" s="7">
        <v>1</v>
      </c>
      <c r="K83" s="7">
        <v>1</v>
      </c>
      <c r="L83" s="7">
        <v>0</v>
      </c>
      <c r="M83" s="9">
        <v>136458.19</v>
      </c>
      <c r="N83" s="7">
        <v>1</v>
      </c>
    </row>
    <row r="84" spans="1:14" x14ac:dyDescent="0.25">
      <c r="A84" s="6">
        <v>83</v>
      </c>
      <c r="B84" s="7">
        <v>15641732</v>
      </c>
      <c r="C84" s="6" t="s">
        <v>101</v>
      </c>
      <c r="D84" s="7">
        <v>543</v>
      </c>
      <c r="E84" s="6" t="s">
        <v>754</v>
      </c>
      <c r="F84" s="6" t="s">
        <v>16</v>
      </c>
      <c r="G84" s="7">
        <v>36</v>
      </c>
      <c r="H84" s="7">
        <v>3</v>
      </c>
      <c r="I84" s="8">
        <v>0</v>
      </c>
      <c r="J84" s="7">
        <v>2</v>
      </c>
      <c r="K84" s="7">
        <v>0</v>
      </c>
      <c r="L84" s="7">
        <v>0</v>
      </c>
      <c r="M84" s="9">
        <v>26019.59</v>
      </c>
      <c r="N84" s="7">
        <v>0</v>
      </c>
    </row>
    <row r="85" spans="1:14" x14ac:dyDescent="0.25">
      <c r="A85" s="6">
        <v>84</v>
      </c>
      <c r="B85" s="7">
        <v>15701164</v>
      </c>
      <c r="C85" s="6" t="s">
        <v>102</v>
      </c>
      <c r="D85" s="7">
        <v>506</v>
      </c>
      <c r="E85" s="6" t="s">
        <v>754</v>
      </c>
      <c r="F85" s="6" t="s">
        <v>16</v>
      </c>
      <c r="G85" s="7">
        <v>34</v>
      </c>
      <c r="H85" s="7">
        <v>4</v>
      </c>
      <c r="I85" s="8">
        <v>90307.62</v>
      </c>
      <c r="J85" s="7">
        <v>1</v>
      </c>
      <c r="K85" s="7">
        <v>1</v>
      </c>
      <c r="L85" s="7">
        <v>1</v>
      </c>
      <c r="M85" s="9">
        <v>159235.29</v>
      </c>
      <c r="N85" s="7">
        <v>0</v>
      </c>
    </row>
    <row r="86" spans="1:14" x14ac:dyDescent="0.25">
      <c r="A86" s="6">
        <v>85</v>
      </c>
      <c r="B86" s="7">
        <v>15738751</v>
      </c>
      <c r="C86" s="6" t="s">
        <v>103</v>
      </c>
      <c r="D86" s="7">
        <v>493</v>
      </c>
      <c r="E86" s="6" t="s">
        <v>754</v>
      </c>
      <c r="F86" s="6" t="s">
        <v>16</v>
      </c>
      <c r="G86" s="7">
        <v>46</v>
      </c>
      <c r="H86" s="7">
        <v>4</v>
      </c>
      <c r="I86" s="8">
        <v>0</v>
      </c>
      <c r="J86" s="7">
        <v>2</v>
      </c>
      <c r="K86" s="7">
        <v>1</v>
      </c>
      <c r="L86" s="7">
        <v>0</v>
      </c>
      <c r="M86" s="9">
        <v>1907.66</v>
      </c>
      <c r="N86" s="7">
        <v>0</v>
      </c>
    </row>
    <row r="87" spans="1:14" x14ac:dyDescent="0.25">
      <c r="A87" s="6">
        <v>86</v>
      </c>
      <c r="B87" s="7">
        <v>15805254</v>
      </c>
      <c r="C87" s="6" t="s">
        <v>104</v>
      </c>
      <c r="D87" s="7">
        <v>652</v>
      </c>
      <c r="E87" s="6" t="s">
        <v>755</v>
      </c>
      <c r="F87" s="6" t="s">
        <v>16</v>
      </c>
      <c r="G87" s="7">
        <v>75</v>
      </c>
      <c r="H87" s="7">
        <v>10</v>
      </c>
      <c r="I87" s="8">
        <v>0</v>
      </c>
      <c r="J87" s="7">
        <v>2</v>
      </c>
      <c r="K87" s="7">
        <v>1</v>
      </c>
      <c r="L87" s="7">
        <v>1</v>
      </c>
      <c r="M87" s="9">
        <v>114675.75</v>
      </c>
      <c r="N87" s="7">
        <v>0</v>
      </c>
    </row>
    <row r="88" spans="1:14" x14ac:dyDescent="0.25">
      <c r="A88" s="6">
        <v>87</v>
      </c>
      <c r="B88" s="7">
        <v>15762418</v>
      </c>
      <c r="C88" s="6" t="s">
        <v>105</v>
      </c>
      <c r="D88" s="7">
        <v>750</v>
      </c>
      <c r="E88" s="6" t="s">
        <v>755</v>
      </c>
      <c r="F88" s="6" t="s">
        <v>23</v>
      </c>
      <c r="G88" s="7">
        <v>22</v>
      </c>
      <c r="H88" s="7">
        <v>3</v>
      </c>
      <c r="I88" s="8">
        <v>121681.82</v>
      </c>
      <c r="J88" s="7">
        <v>1</v>
      </c>
      <c r="K88" s="7">
        <v>1</v>
      </c>
      <c r="L88" s="7">
        <v>0</v>
      </c>
      <c r="M88" s="9">
        <v>128643.35</v>
      </c>
      <c r="N88" s="7">
        <v>1</v>
      </c>
    </row>
    <row r="89" spans="1:14" x14ac:dyDescent="0.25">
      <c r="A89" s="6">
        <v>88</v>
      </c>
      <c r="B89" s="7">
        <v>15625759</v>
      </c>
      <c r="C89" s="6" t="s">
        <v>106</v>
      </c>
      <c r="D89" s="7">
        <v>729</v>
      </c>
      <c r="E89" s="6" t="s">
        <v>754</v>
      </c>
      <c r="F89" s="6" t="s">
        <v>23</v>
      </c>
      <c r="G89" s="7">
        <v>30</v>
      </c>
      <c r="H89" s="7">
        <v>9</v>
      </c>
      <c r="I89" s="8">
        <v>0</v>
      </c>
      <c r="J89" s="7">
        <v>2</v>
      </c>
      <c r="K89" s="7">
        <v>1</v>
      </c>
      <c r="L89" s="7">
        <v>0</v>
      </c>
      <c r="M89" s="9">
        <v>151869.35</v>
      </c>
      <c r="N89" s="7">
        <v>0</v>
      </c>
    </row>
    <row r="90" spans="1:14" x14ac:dyDescent="0.25">
      <c r="A90" s="6">
        <v>89</v>
      </c>
      <c r="B90" s="7">
        <v>15622897</v>
      </c>
      <c r="C90" s="6" t="s">
        <v>107</v>
      </c>
      <c r="D90" s="7">
        <v>646</v>
      </c>
      <c r="E90" s="6" t="s">
        <v>754</v>
      </c>
      <c r="F90" s="6" t="s">
        <v>16</v>
      </c>
      <c r="G90" s="7">
        <v>46</v>
      </c>
      <c r="H90" s="7">
        <v>4</v>
      </c>
      <c r="I90" s="8">
        <v>0</v>
      </c>
      <c r="J90" s="7">
        <v>3</v>
      </c>
      <c r="K90" s="7">
        <v>1</v>
      </c>
      <c r="L90" s="7">
        <v>0</v>
      </c>
      <c r="M90" s="9">
        <v>93251.42</v>
      </c>
      <c r="N90" s="7">
        <v>1</v>
      </c>
    </row>
    <row r="91" spans="1:14" x14ac:dyDescent="0.25">
      <c r="A91" s="6">
        <v>90</v>
      </c>
      <c r="B91" s="7">
        <v>15767954</v>
      </c>
      <c r="C91" s="6" t="s">
        <v>61</v>
      </c>
      <c r="D91" s="7">
        <v>635</v>
      </c>
      <c r="E91" s="6" t="s">
        <v>26</v>
      </c>
      <c r="F91" s="6" t="s">
        <v>16</v>
      </c>
      <c r="G91" s="7">
        <v>28</v>
      </c>
      <c r="H91" s="7">
        <v>3</v>
      </c>
      <c r="I91" s="8">
        <v>81623.67</v>
      </c>
      <c r="J91" s="7">
        <v>2</v>
      </c>
      <c r="K91" s="7">
        <v>1</v>
      </c>
      <c r="L91" s="7">
        <v>1</v>
      </c>
      <c r="M91" s="9">
        <v>156791.35999999999</v>
      </c>
      <c r="N91" s="7">
        <v>0</v>
      </c>
    </row>
    <row r="92" spans="1:14" x14ac:dyDescent="0.25">
      <c r="A92" s="6">
        <v>91</v>
      </c>
      <c r="B92" s="7">
        <v>15757535</v>
      </c>
      <c r="C92" s="6" t="s">
        <v>108</v>
      </c>
      <c r="D92" s="7">
        <v>647</v>
      </c>
      <c r="E92" s="6" t="s">
        <v>755</v>
      </c>
      <c r="F92" s="6" t="s">
        <v>16</v>
      </c>
      <c r="G92" s="7">
        <v>44</v>
      </c>
      <c r="H92" s="7">
        <v>5</v>
      </c>
      <c r="I92" s="8">
        <v>0</v>
      </c>
      <c r="J92" s="7">
        <v>3</v>
      </c>
      <c r="K92" s="7">
        <v>1</v>
      </c>
      <c r="L92" s="7">
        <v>1</v>
      </c>
      <c r="M92" s="9">
        <v>174205.22</v>
      </c>
      <c r="N92" s="7">
        <v>1</v>
      </c>
    </row>
    <row r="93" spans="1:14" x14ac:dyDescent="0.25">
      <c r="A93" s="6">
        <v>92</v>
      </c>
      <c r="B93" s="7">
        <v>15731511</v>
      </c>
      <c r="C93" s="6" t="s">
        <v>109</v>
      </c>
      <c r="D93" s="7">
        <v>808</v>
      </c>
      <c r="E93" s="6" t="s">
        <v>754</v>
      </c>
      <c r="F93" s="6" t="s">
        <v>23</v>
      </c>
      <c r="G93" s="7">
        <v>45</v>
      </c>
      <c r="H93" s="7">
        <v>7</v>
      </c>
      <c r="I93" s="8">
        <v>118626.55</v>
      </c>
      <c r="J93" s="7">
        <v>2</v>
      </c>
      <c r="K93" s="7">
        <v>1</v>
      </c>
      <c r="L93" s="7">
        <v>0</v>
      </c>
      <c r="M93" s="9">
        <v>147132.46</v>
      </c>
      <c r="N93" s="7">
        <v>0</v>
      </c>
    </row>
    <row r="94" spans="1:14" x14ac:dyDescent="0.25">
      <c r="A94" s="6">
        <v>93</v>
      </c>
      <c r="B94" s="7">
        <v>15809248</v>
      </c>
      <c r="C94" s="6" t="s">
        <v>110</v>
      </c>
      <c r="D94" s="7">
        <v>524</v>
      </c>
      <c r="E94" s="6" t="s">
        <v>754</v>
      </c>
      <c r="F94" s="6" t="s">
        <v>16</v>
      </c>
      <c r="G94" s="7">
        <v>36</v>
      </c>
      <c r="H94" s="7">
        <v>10</v>
      </c>
      <c r="I94" s="8">
        <v>0</v>
      </c>
      <c r="J94" s="7">
        <v>2</v>
      </c>
      <c r="K94" s="7">
        <v>1</v>
      </c>
      <c r="L94" s="7">
        <v>0</v>
      </c>
      <c r="M94" s="9">
        <v>109614.57</v>
      </c>
      <c r="N94" s="7">
        <v>0</v>
      </c>
    </row>
    <row r="95" spans="1:14" x14ac:dyDescent="0.25">
      <c r="A95" s="6">
        <v>94</v>
      </c>
      <c r="B95" s="7">
        <v>15640635</v>
      </c>
      <c r="C95" s="6" t="s">
        <v>111</v>
      </c>
      <c r="D95" s="7">
        <v>769</v>
      </c>
      <c r="E95" s="6" t="s">
        <v>754</v>
      </c>
      <c r="F95" s="6" t="s">
        <v>23</v>
      </c>
      <c r="G95" s="7">
        <v>29</v>
      </c>
      <c r="H95" s="7">
        <v>8</v>
      </c>
      <c r="I95" s="8">
        <v>0</v>
      </c>
      <c r="J95" s="7">
        <v>2</v>
      </c>
      <c r="K95" s="7">
        <v>1</v>
      </c>
      <c r="L95" s="7">
        <v>1</v>
      </c>
      <c r="M95" s="9">
        <v>172290.61</v>
      </c>
      <c r="N95" s="7">
        <v>0</v>
      </c>
    </row>
    <row r="96" spans="1:14" x14ac:dyDescent="0.25">
      <c r="A96" s="6">
        <v>95</v>
      </c>
      <c r="B96" s="7">
        <v>15676966</v>
      </c>
      <c r="C96" s="6" t="s">
        <v>111</v>
      </c>
      <c r="D96" s="7">
        <v>730</v>
      </c>
      <c r="E96" s="6" t="s">
        <v>755</v>
      </c>
      <c r="F96" s="6" t="s">
        <v>23</v>
      </c>
      <c r="G96" s="7">
        <v>42</v>
      </c>
      <c r="H96" s="7">
        <v>4</v>
      </c>
      <c r="I96" s="8">
        <v>0</v>
      </c>
      <c r="J96" s="7">
        <v>2</v>
      </c>
      <c r="K96" s="7">
        <v>0</v>
      </c>
      <c r="L96" s="7">
        <v>1</v>
      </c>
      <c r="M96" s="9">
        <v>85982.47</v>
      </c>
      <c r="N96" s="7">
        <v>0</v>
      </c>
    </row>
    <row r="97" spans="1:14" x14ac:dyDescent="0.25">
      <c r="A97" s="6">
        <v>96</v>
      </c>
      <c r="B97" s="7">
        <v>15699461</v>
      </c>
      <c r="C97" s="6" t="s">
        <v>112</v>
      </c>
      <c r="D97" s="7">
        <v>515</v>
      </c>
      <c r="E97" s="6" t="s">
        <v>755</v>
      </c>
      <c r="F97" s="6" t="s">
        <v>23</v>
      </c>
      <c r="G97" s="7">
        <v>35</v>
      </c>
      <c r="H97" s="7">
        <v>10</v>
      </c>
      <c r="I97" s="8">
        <v>176273.95</v>
      </c>
      <c r="J97" s="7">
        <v>1</v>
      </c>
      <c r="K97" s="7">
        <v>0</v>
      </c>
      <c r="L97" s="7">
        <v>1</v>
      </c>
      <c r="M97" s="9">
        <v>121277.78</v>
      </c>
      <c r="N97" s="7">
        <v>0</v>
      </c>
    </row>
    <row r="98" spans="1:14" x14ac:dyDescent="0.25">
      <c r="A98" s="6">
        <v>97</v>
      </c>
      <c r="B98" s="7">
        <v>15738721</v>
      </c>
      <c r="C98" s="6" t="s">
        <v>113</v>
      </c>
      <c r="D98" s="7">
        <v>773</v>
      </c>
      <c r="E98" s="6" t="s">
        <v>755</v>
      </c>
      <c r="F98" s="6" t="s">
        <v>23</v>
      </c>
      <c r="G98" s="7">
        <v>41</v>
      </c>
      <c r="H98" s="7">
        <v>9</v>
      </c>
      <c r="I98" s="8">
        <v>102827.44</v>
      </c>
      <c r="J98" s="7">
        <v>1</v>
      </c>
      <c r="K98" s="7">
        <v>0</v>
      </c>
      <c r="L98" s="7">
        <v>1</v>
      </c>
      <c r="M98" s="9">
        <v>64595.25</v>
      </c>
      <c r="N98" s="7">
        <v>0</v>
      </c>
    </row>
    <row r="99" spans="1:14" x14ac:dyDescent="0.25">
      <c r="A99" s="6">
        <v>98</v>
      </c>
      <c r="B99" s="7">
        <v>15693683</v>
      </c>
      <c r="C99" s="6" t="s">
        <v>114</v>
      </c>
      <c r="D99" s="7">
        <v>814</v>
      </c>
      <c r="E99" s="6" t="s">
        <v>26</v>
      </c>
      <c r="F99" s="6" t="s">
        <v>23</v>
      </c>
      <c r="G99" s="7">
        <v>29</v>
      </c>
      <c r="H99" s="7">
        <v>8</v>
      </c>
      <c r="I99" s="8">
        <v>97086.399999999994</v>
      </c>
      <c r="J99" s="7">
        <v>2</v>
      </c>
      <c r="K99" s="7">
        <v>1</v>
      </c>
      <c r="L99" s="7">
        <v>1</v>
      </c>
      <c r="M99" s="9">
        <v>197276.13</v>
      </c>
      <c r="N99" s="7">
        <v>0</v>
      </c>
    </row>
    <row r="100" spans="1:14" x14ac:dyDescent="0.25">
      <c r="A100" s="6">
        <v>99</v>
      </c>
      <c r="B100" s="7">
        <v>15604348</v>
      </c>
      <c r="C100" s="6" t="s">
        <v>115</v>
      </c>
      <c r="D100" s="7">
        <v>710</v>
      </c>
      <c r="E100" s="6" t="s">
        <v>755</v>
      </c>
      <c r="F100" s="6" t="s">
        <v>23</v>
      </c>
      <c r="G100" s="7">
        <v>22</v>
      </c>
      <c r="H100" s="7">
        <v>8</v>
      </c>
      <c r="I100" s="8">
        <v>0</v>
      </c>
      <c r="J100" s="7">
        <v>2</v>
      </c>
      <c r="K100" s="7">
        <v>0</v>
      </c>
      <c r="L100" s="7">
        <v>0</v>
      </c>
      <c r="M100" s="9">
        <v>99645.04</v>
      </c>
      <c r="N100" s="7">
        <v>0</v>
      </c>
    </row>
    <row r="101" spans="1:14" x14ac:dyDescent="0.25">
      <c r="A101" s="6">
        <v>100</v>
      </c>
      <c r="B101" s="7">
        <v>15633059</v>
      </c>
      <c r="C101" s="6" t="s">
        <v>116</v>
      </c>
      <c r="D101" s="7">
        <v>413</v>
      </c>
      <c r="E101" s="6" t="s">
        <v>754</v>
      </c>
      <c r="F101" s="6" t="s">
        <v>23</v>
      </c>
      <c r="G101" s="7">
        <v>34</v>
      </c>
      <c r="H101" s="7">
        <v>9</v>
      </c>
      <c r="I101" s="8">
        <v>0</v>
      </c>
      <c r="J101" s="7">
        <v>2</v>
      </c>
      <c r="K101" s="7">
        <v>0</v>
      </c>
      <c r="L101" s="7">
        <v>0</v>
      </c>
      <c r="M101" s="9">
        <v>6534.18</v>
      </c>
      <c r="N101" s="7">
        <v>0</v>
      </c>
    </row>
    <row r="102" spans="1:14" x14ac:dyDescent="0.25">
      <c r="A102" s="6">
        <v>101</v>
      </c>
      <c r="B102" s="7">
        <v>15808582</v>
      </c>
      <c r="C102" s="6" t="s">
        <v>117</v>
      </c>
      <c r="D102" s="7">
        <v>665</v>
      </c>
      <c r="E102" s="6" t="s">
        <v>754</v>
      </c>
      <c r="F102" s="6" t="s">
        <v>16</v>
      </c>
      <c r="G102" s="7">
        <v>40</v>
      </c>
      <c r="H102" s="7">
        <v>6</v>
      </c>
      <c r="I102" s="8">
        <v>0</v>
      </c>
      <c r="J102" s="7">
        <v>1</v>
      </c>
      <c r="K102" s="7">
        <v>1</v>
      </c>
      <c r="L102" s="7">
        <v>1</v>
      </c>
      <c r="M102" s="9">
        <v>161848.03</v>
      </c>
      <c r="N102" s="7">
        <v>0</v>
      </c>
    </row>
    <row r="103" spans="1:14" x14ac:dyDescent="0.25">
      <c r="A103" s="6">
        <v>102</v>
      </c>
      <c r="B103" s="7">
        <v>15743192</v>
      </c>
      <c r="C103" s="6" t="s">
        <v>118</v>
      </c>
      <c r="D103" s="7">
        <v>623</v>
      </c>
      <c r="E103" s="6" t="s">
        <v>754</v>
      </c>
      <c r="F103" s="6" t="s">
        <v>16</v>
      </c>
      <c r="G103" s="7">
        <v>44</v>
      </c>
      <c r="H103" s="7">
        <v>6</v>
      </c>
      <c r="I103" s="8">
        <v>0</v>
      </c>
      <c r="J103" s="7">
        <v>2</v>
      </c>
      <c r="K103" s="7">
        <v>0</v>
      </c>
      <c r="L103" s="7">
        <v>0</v>
      </c>
      <c r="M103" s="9">
        <v>167162.43</v>
      </c>
      <c r="N103" s="7">
        <v>0</v>
      </c>
    </row>
    <row r="104" spans="1:14" x14ac:dyDescent="0.25">
      <c r="A104" s="6">
        <v>103</v>
      </c>
      <c r="B104" s="7">
        <v>15580146</v>
      </c>
      <c r="C104" s="6" t="s">
        <v>118</v>
      </c>
      <c r="D104" s="7">
        <v>738</v>
      </c>
      <c r="E104" s="6" t="s">
        <v>754</v>
      </c>
      <c r="F104" s="6" t="s">
        <v>23</v>
      </c>
      <c r="G104" s="7">
        <v>31</v>
      </c>
      <c r="H104" s="7">
        <v>9</v>
      </c>
      <c r="I104" s="8">
        <v>82674.149999999994</v>
      </c>
      <c r="J104" s="7">
        <v>1</v>
      </c>
      <c r="K104" s="7">
        <v>1</v>
      </c>
      <c r="L104" s="7">
        <v>0</v>
      </c>
      <c r="M104" s="9">
        <v>41970.720000000001</v>
      </c>
      <c r="N104" s="7">
        <v>0</v>
      </c>
    </row>
    <row r="105" spans="1:14" x14ac:dyDescent="0.25">
      <c r="A105" s="6">
        <v>104</v>
      </c>
      <c r="B105" s="7">
        <v>15776605</v>
      </c>
      <c r="C105" s="6" t="s">
        <v>119</v>
      </c>
      <c r="D105" s="7">
        <v>528</v>
      </c>
      <c r="E105" s="6" t="s">
        <v>755</v>
      </c>
      <c r="F105" s="6" t="s">
        <v>23</v>
      </c>
      <c r="G105" s="7">
        <v>36</v>
      </c>
      <c r="H105" s="7">
        <v>7</v>
      </c>
      <c r="I105" s="8">
        <v>0</v>
      </c>
      <c r="J105" s="7">
        <v>2</v>
      </c>
      <c r="K105" s="7">
        <v>1</v>
      </c>
      <c r="L105" s="7">
        <v>0</v>
      </c>
      <c r="M105" s="9">
        <v>60536.56</v>
      </c>
      <c r="N105" s="7">
        <v>0</v>
      </c>
    </row>
    <row r="106" spans="1:14" x14ac:dyDescent="0.25">
      <c r="A106" s="6">
        <v>105</v>
      </c>
      <c r="B106" s="7">
        <v>15804919</v>
      </c>
      <c r="C106" s="6" t="s">
        <v>120</v>
      </c>
      <c r="D106" s="7">
        <v>670</v>
      </c>
      <c r="E106" s="6" t="s">
        <v>755</v>
      </c>
      <c r="F106" s="6" t="s">
        <v>16</v>
      </c>
      <c r="G106" s="7">
        <v>65</v>
      </c>
      <c r="H106" s="7">
        <v>1</v>
      </c>
      <c r="I106" s="8">
        <v>0</v>
      </c>
      <c r="J106" s="7">
        <v>1</v>
      </c>
      <c r="K106" s="7">
        <v>1</v>
      </c>
      <c r="L106" s="7">
        <v>1</v>
      </c>
      <c r="M106" s="9">
        <v>177655.67999999999</v>
      </c>
      <c r="N106" s="7">
        <v>1</v>
      </c>
    </row>
    <row r="107" spans="1:14" x14ac:dyDescent="0.25">
      <c r="A107" s="6">
        <v>106</v>
      </c>
      <c r="B107" s="7">
        <v>15613854</v>
      </c>
      <c r="C107" s="6" t="s">
        <v>121</v>
      </c>
      <c r="D107" s="7">
        <v>622</v>
      </c>
      <c r="E107" s="6" t="s">
        <v>755</v>
      </c>
      <c r="F107" s="6" t="s">
        <v>16</v>
      </c>
      <c r="G107" s="7">
        <v>46</v>
      </c>
      <c r="H107" s="7">
        <v>4</v>
      </c>
      <c r="I107" s="8">
        <v>107073.27</v>
      </c>
      <c r="J107" s="7">
        <v>2</v>
      </c>
      <c r="K107" s="7">
        <v>1</v>
      </c>
      <c r="L107" s="7">
        <v>1</v>
      </c>
      <c r="M107" s="9">
        <v>30984.59</v>
      </c>
      <c r="N107" s="7">
        <v>1</v>
      </c>
    </row>
    <row r="108" spans="1:14" x14ac:dyDescent="0.25">
      <c r="A108" s="6">
        <v>107</v>
      </c>
      <c r="B108" s="7">
        <v>15599195</v>
      </c>
      <c r="C108" s="6" t="s">
        <v>122</v>
      </c>
      <c r="D108" s="7">
        <v>582</v>
      </c>
      <c r="E108" s="6" t="s">
        <v>26</v>
      </c>
      <c r="F108" s="6" t="s">
        <v>23</v>
      </c>
      <c r="G108" s="7">
        <v>32</v>
      </c>
      <c r="H108" s="7">
        <v>1</v>
      </c>
      <c r="I108" s="8">
        <v>88938.62</v>
      </c>
      <c r="J108" s="7">
        <v>1</v>
      </c>
      <c r="K108" s="7">
        <v>1</v>
      </c>
      <c r="L108" s="7">
        <v>1</v>
      </c>
      <c r="M108" s="9">
        <v>10054.530000000001</v>
      </c>
      <c r="N108" s="7">
        <v>0</v>
      </c>
    </row>
    <row r="109" spans="1:14" x14ac:dyDescent="0.25">
      <c r="A109" s="6">
        <v>108</v>
      </c>
      <c r="B109" s="7">
        <v>15812878</v>
      </c>
      <c r="C109" s="6" t="s">
        <v>123</v>
      </c>
      <c r="D109" s="7">
        <v>785</v>
      </c>
      <c r="E109" s="6" t="s">
        <v>26</v>
      </c>
      <c r="F109" s="6" t="s">
        <v>16</v>
      </c>
      <c r="G109" s="7">
        <v>36</v>
      </c>
      <c r="H109" s="7">
        <v>2</v>
      </c>
      <c r="I109" s="8">
        <v>99806.85</v>
      </c>
      <c r="J109" s="7">
        <v>1</v>
      </c>
      <c r="K109" s="7">
        <v>0</v>
      </c>
      <c r="L109" s="7">
        <v>1</v>
      </c>
      <c r="M109" s="9">
        <v>36976.519999999997</v>
      </c>
      <c r="N109" s="7">
        <v>0</v>
      </c>
    </row>
    <row r="110" spans="1:14" x14ac:dyDescent="0.25">
      <c r="A110" s="6">
        <v>109</v>
      </c>
      <c r="B110" s="7">
        <v>15602312</v>
      </c>
      <c r="C110" s="6" t="s">
        <v>124</v>
      </c>
      <c r="D110" s="7">
        <v>605</v>
      </c>
      <c r="E110" s="6" t="s">
        <v>755</v>
      </c>
      <c r="F110" s="6" t="s">
        <v>23</v>
      </c>
      <c r="G110" s="7">
        <v>33</v>
      </c>
      <c r="H110" s="7">
        <v>5</v>
      </c>
      <c r="I110" s="8">
        <v>150092.79999999999</v>
      </c>
      <c r="J110" s="7">
        <v>1</v>
      </c>
      <c r="K110" s="7">
        <v>0</v>
      </c>
      <c r="L110" s="7">
        <v>0</v>
      </c>
      <c r="M110" s="9">
        <v>71862.789999999994</v>
      </c>
      <c r="N110" s="7">
        <v>0</v>
      </c>
    </row>
    <row r="111" spans="1:14" x14ac:dyDescent="0.25">
      <c r="A111" s="6">
        <v>110</v>
      </c>
      <c r="B111" s="7">
        <v>15744689</v>
      </c>
      <c r="C111" s="6" t="s">
        <v>125</v>
      </c>
      <c r="D111" s="7">
        <v>479</v>
      </c>
      <c r="E111" s="6" t="s">
        <v>26</v>
      </c>
      <c r="F111" s="6" t="s">
        <v>23</v>
      </c>
      <c r="G111" s="7">
        <v>35</v>
      </c>
      <c r="H111" s="7">
        <v>9</v>
      </c>
      <c r="I111" s="8">
        <v>92833.89</v>
      </c>
      <c r="J111" s="7">
        <v>1</v>
      </c>
      <c r="K111" s="7">
        <v>1</v>
      </c>
      <c r="L111" s="7">
        <v>0</v>
      </c>
      <c r="M111" s="9">
        <v>99449.86</v>
      </c>
      <c r="N111" s="7">
        <v>1</v>
      </c>
    </row>
    <row r="112" spans="1:14" x14ac:dyDescent="0.25">
      <c r="A112" s="6">
        <v>111</v>
      </c>
      <c r="B112" s="7">
        <v>15803526</v>
      </c>
      <c r="C112" s="6" t="s">
        <v>126</v>
      </c>
      <c r="D112" s="7">
        <v>685</v>
      </c>
      <c r="E112" s="6" t="s">
        <v>26</v>
      </c>
      <c r="F112" s="6" t="s">
        <v>23</v>
      </c>
      <c r="G112" s="7">
        <v>30</v>
      </c>
      <c r="H112" s="7">
        <v>3</v>
      </c>
      <c r="I112" s="8">
        <v>90536.81</v>
      </c>
      <c r="J112" s="7">
        <v>1</v>
      </c>
      <c r="K112" s="7">
        <v>0</v>
      </c>
      <c r="L112" s="7">
        <v>1</v>
      </c>
      <c r="M112" s="9">
        <v>63082.879999999997</v>
      </c>
      <c r="N112" s="7">
        <v>0</v>
      </c>
    </row>
    <row r="113" spans="1:14" x14ac:dyDescent="0.25">
      <c r="A113" s="6">
        <v>112</v>
      </c>
      <c r="B113" s="7">
        <v>15665790</v>
      </c>
      <c r="C113" s="6" t="s">
        <v>127</v>
      </c>
      <c r="D113" s="7">
        <v>538</v>
      </c>
      <c r="E113" s="6" t="s">
        <v>26</v>
      </c>
      <c r="F113" s="6" t="s">
        <v>23</v>
      </c>
      <c r="G113" s="7">
        <v>39</v>
      </c>
      <c r="H113" s="7">
        <v>7</v>
      </c>
      <c r="I113" s="8">
        <v>108055.1</v>
      </c>
      <c r="J113" s="7">
        <v>2</v>
      </c>
      <c r="K113" s="7">
        <v>1</v>
      </c>
      <c r="L113" s="7">
        <v>0</v>
      </c>
      <c r="M113" s="9">
        <v>27231.26</v>
      </c>
      <c r="N113" s="7">
        <v>0</v>
      </c>
    </row>
    <row r="114" spans="1:14" x14ac:dyDescent="0.25">
      <c r="A114" s="6">
        <v>113</v>
      </c>
      <c r="B114" s="7">
        <v>15715951</v>
      </c>
      <c r="C114" s="6" t="s">
        <v>128</v>
      </c>
      <c r="D114" s="7">
        <v>562</v>
      </c>
      <c r="E114" s="6" t="s">
        <v>754</v>
      </c>
      <c r="F114" s="6" t="s">
        <v>23</v>
      </c>
      <c r="G114" s="7">
        <v>42</v>
      </c>
      <c r="H114" s="7">
        <v>2</v>
      </c>
      <c r="I114" s="8">
        <v>100238.35</v>
      </c>
      <c r="J114" s="7">
        <v>1</v>
      </c>
      <c r="K114" s="7">
        <v>0</v>
      </c>
      <c r="L114" s="7">
        <v>0</v>
      </c>
      <c r="M114" s="9">
        <v>86797.41</v>
      </c>
      <c r="N114" s="7">
        <v>0</v>
      </c>
    </row>
    <row r="115" spans="1:14" x14ac:dyDescent="0.25">
      <c r="A115" s="6">
        <v>114</v>
      </c>
      <c r="B115" s="7">
        <v>15591100</v>
      </c>
      <c r="C115" s="6" t="s">
        <v>129</v>
      </c>
      <c r="D115" s="7">
        <v>675</v>
      </c>
      <c r="E115" s="6" t="s">
        <v>755</v>
      </c>
      <c r="F115" s="6" t="s">
        <v>23</v>
      </c>
      <c r="G115" s="7">
        <v>36</v>
      </c>
      <c r="H115" s="7">
        <v>9</v>
      </c>
      <c r="I115" s="8">
        <v>106190.55</v>
      </c>
      <c r="J115" s="7">
        <v>1</v>
      </c>
      <c r="K115" s="7">
        <v>0</v>
      </c>
      <c r="L115" s="7">
        <v>1</v>
      </c>
      <c r="M115" s="9">
        <v>22994.32</v>
      </c>
      <c r="N115" s="7">
        <v>0</v>
      </c>
    </row>
    <row r="116" spans="1:14" x14ac:dyDescent="0.25">
      <c r="A116" s="6">
        <v>115</v>
      </c>
      <c r="B116" s="7">
        <v>15609618</v>
      </c>
      <c r="C116" s="6" t="s">
        <v>116</v>
      </c>
      <c r="D116" s="7">
        <v>721</v>
      </c>
      <c r="E116" s="6" t="s">
        <v>26</v>
      </c>
      <c r="F116" s="6" t="s">
        <v>23</v>
      </c>
      <c r="G116" s="7">
        <v>28</v>
      </c>
      <c r="H116" s="7">
        <v>9</v>
      </c>
      <c r="I116" s="8">
        <v>154475.54</v>
      </c>
      <c r="J116" s="7">
        <v>2</v>
      </c>
      <c r="K116" s="7">
        <v>0</v>
      </c>
      <c r="L116" s="7">
        <v>1</v>
      </c>
      <c r="M116" s="9">
        <v>101300.94</v>
      </c>
      <c r="N116" s="7">
        <v>1</v>
      </c>
    </row>
    <row r="117" spans="1:14" x14ac:dyDescent="0.25">
      <c r="A117" s="6">
        <v>116</v>
      </c>
      <c r="B117" s="7">
        <v>15675522</v>
      </c>
      <c r="C117" s="6" t="s">
        <v>130</v>
      </c>
      <c r="D117" s="7">
        <v>628</v>
      </c>
      <c r="E117" s="6" t="s">
        <v>26</v>
      </c>
      <c r="F117" s="6" t="s">
        <v>16</v>
      </c>
      <c r="G117" s="7">
        <v>30</v>
      </c>
      <c r="H117" s="7">
        <v>9</v>
      </c>
      <c r="I117" s="8">
        <v>132351.29</v>
      </c>
      <c r="J117" s="7">
        <v>2</v>
      </c>
      <c r="K117" s="7">
        <v>1</v>
      </c>
      <c r="L117" s="7">
        <v>1</v>
      </c>
      <c r="M117" s="9">
        <v>74169.13</v>
      </c>
      <c r="N117" s="7">
        <v>0</v>
      </c>
    </row>
    <row r="118" spans="1:14" x14ac:dyDescent="0.25">
      <c r="A118" s="6">
        <v>117</v>
      </c>
      <c r="B118" s="7">
        <v>15705512</v>
      </c>
      <c r="C118" s="6" t="s">
        <v>131</v>
      </c>
      <c r="D118" s="7">
        <v>668</v>
      </c>
      <c r="E118" s="6" t="s">
        <v>26</v>
      </c>
      <c r="F118" s="6" t="s">
        <v>16</v>
      </c>
      <c r="G118" s="7">
        <v>37</v>
      </c>
      <c r="H118" s="7">
        <v>6</v>
      </c>
      <c r="I118" s="8">
        <v>167864.4</v>
      </c>
      <c r="J118" s="7">
        <v>1</v>
      </c>
      <c r="K118" s="7">
        <v>1</v>
      </c>
      <c r="L118" s="7">
        <v>0</v>
      </c>
      <c r="M118" s="9">
        <v>115638.29</v>
      </c>
      <c r="N118" s="7">
        <v>0</v>
      </c>
    </row>
    <row r="119" spans="1:14" x14ac:dyDescent="0.25">
      <c r="A119" s="6">
        <v>118</v>
      </c>
      <c r="B119" s="7">
        <v>15698028</v>
      </c>
      <c r="C119" s="6" t="s">
        <v>132</v>
      </c>
      <c r="D119" s="7">
        <v>506</v>
      </c>
      <c r="E119" s="6" t="s">
        <v>754</v>
      </c>
      <c r="F119" s="6" t="s">
        <v>16</v>
      </c>
      <c r="G119" s="7">
        <v>41</v>
      </c>
      <c r="H119" s="7">
        <v>1</v>
      </c>
      <c r="I119" s="8">
        <v>0</v>
      </c>
      <c r="J119" s="7">
        <v>2</v>
      </c>
      <c r="K119" s="7">
        <v>1</v>
      </c>
      <c r="L119" s="7">
        <v>0</v>
      </c>
      <c r="M119" s="9">
        <v>31766.3</v>
      </c>
      <c r="N119" s="7">
        <v>0</v>
      </c>
    </row>
    <row r="120" spans="1:14" x14ac:dyDescent="0.25">
      <c r="A120" s="6">
        <v>119</v>
      </c>
      <c r="B120" s="7">
        <v>15661670</v>
      </c>
      <c r="C120" s="6" t="s">
        <v>133</v>
      </c>
      <c r="D120" s="7">
        <v>524</v>
      </c>
      <c r="E120" s="6" t="s">
        <v>26</v>
      </c>
      <c r="F120" s="6" t="s">
        <v>16</v>
      </c>
      <c r="G120" s="7">
        <v>31</v>
      </c>
      <c r="H120" s="7">
        <v>8</v>
      </c>
      <c r="I120" s="8">
        <v>107818.63</v>
      </c>
      <c r="J120" s="7">
        <v>1</v>
      </c>
      <c r="K120" s="7">
        <v>1</v>
      </c>
      <c r="L120" s="7">
        <v>0</v>
      </c>
      <c r="M120" s="9">
        <v>199725.39</v>
      </c>
      <c r="N120" s="7">
        <v>1</v>
      </c>
    </row>
    <row r="121" spans="1:14" x14ac:dyDescent="0.25">
      <c r="A121" s="6">
        <v>120</v>
      </c>
      <c r="B121" s="7">
        <v>15600781</v>
      </c>
      <c r="C121" s="6" t="s">
        <v>134</v>
      </c>
      <c r="D121" s="7">
        <v>699</v>
      </c>
      <c r="E121" s="6" t="s">
        <v>26</v>
      </c>
      <c r="F121" s="6" t="s">
        <v>23</v>
      </c>
      <c r="G121" s="7">
        <v>34</v>
      </c>
      <c r="H121" s="7">
        <v>4</v>
      </c>
      <c r="I121" s="8">
        <v>185173.81</v>
      </c>
      <c r="J121" s="7">
        <v>2</v>
      </c>
      <c r="K121" s="7">
        <v>1</v>
      </c>
      <c r="L121" s="7">
        <v>0</v>
      </c>
      <c r="M121" s="9">
        <v>120834.48</v>
      </c>
      <c r="N121" s="7">
        <v>0</v>
      </c>
    </row>
    <row r="122" spans="1:14" x14ac:dyDescent="0.25">
      <c r="A122" s="6">
        <v>121</v>
      </c>
      <c r="B122" s="7">
        <v>15682472</v>
      </c>
      <c r="C122" s="6" t="s">
        <v>135</v>
      </c>
      <c r="D122" s="7">
        <v>828</v>
      </c>
      <c r="E122" s="6" t="s">
        <v>754</v>
      </c>
      <c r="F122" s="6" t="s">
        <v>23</v>
      </c>
      <c r="G122" s="7">
        <v>34</v>
      </c>
      <c r="H122" s="7">
        <v>8</v>
      </c>
      <c r="I122" s="8">
        <v>129433.34</v>
      </c>
      <c r="J122" s="7">
        <v>2</v>
      </c>
      <c r="K122" s="7">
        <v>0</v>
      </c>
      <c r="L122" s="7">
        <v>0</v>
      </c>
      <c r="M122" s="9">
        <v>38131.769999999997</v>
      </c>
      <c r="N122" s="7">
        <v>0</v>
      </c>
    </row>
    <row r="123" spans="1:14" x14ac:dyDescent="0.25">
      <c r="A123" s="6">
        <v>122</v>
      </c>
      <c r="B123" s="7">
        <v>15580203</v>
      </c>
      <c r="C123" s="6" t="s">
        <v>136</v>
      </c>
      <c r="D123" s="7">
        <v>674</v>
      </c>
      <c r="E123" s="6" t="s">
        <v>755</v>
      </c>
      <c r="F123" s="6" t="s">
        <v>23</v>
      </c>
      <c r="G123" s="7">
        <v>39</v>
      </c>
      <c r="H123" s="7">
        <v>6</v>
      </c>
      <c r="I123" s="8">
        <v>120193.42</v>
      </c>
      <c r="J123" s="7">
        <v>1</v>
      </c>
      <c r="K123" s="7">
        <v>0</v>
      </c>
      <c r="L123" s="7">
        <v>0</v>
      </c>
      <c r="M123" s="9">
        <v>100130.95</v>
      </c>
      <c r="N123" s="7">
        <v>0</v>
      </c>
    </row>
    <row r="124" spans="1:14" x14ac:dyDescent="0.25">
      <c r="A124" s="6">
        <v>123</v>
      </c>
      <c r="B124" s="7">
        <v>15690673</v>
      </c>
      <c r="C124" s="6" t="s">
        <v>58</v>
      </c>
      <c r="D124" s="7">
        <v>656</v>
      </c>
      <c r="E124" s="6" t="s">
        <v>754</v>
      </c>
      <c r="F124" s="6" t="s">
        <v>16</v>
      </c>
      <c r="G124" s="7">
        <v>39</v>
      </c>
      <c r="H124" s="7">
        <v>6</v>
      </c>
      <c r="I124" s="8">
        <v>0</v>
      </c>
      <c r="J124" s="7">
        <v>2</v>
      </c>
      <c r="K124" s="7">
        <v>1</v>
      </c>
      <c r="L124" s="7">
        <v>0</v>
      </c>
      <c r="M124" s="9">
        <v>141069.88</v>
      </c>
      <c r="N124" s="7">
        <v>0</v>
      </c>
    </row>
    <row r="125" spans="1:14" x14ac:dyDescent="0.25">
      <c r="A125" s="6">
        <v>124</v>
      </c>
      <c r="B125" s="7">
        <v>15760085</v>
      </c>
      <c r="C125" s="6" t="s">
        <v>137</v>
      </c>
      <c r="D125" s="7">
        <v>684</v>
      </c>
      <c r="E125" s="6" t="s">
        <v>26</v>
      </c>
      <c r="F125" s="6" t="s">
        <v>16</v>
      </c>
      <c r="G125" s="7">
        <v>48</v>
      </c>
      <c r="H125" s="7">
        <v>10</v>
      </c>
      <c r="I125" s="8">
        <v>126384.42</v>
      </c>
      <c r="J125" s="7">
        <v>1</v>
      </c>
      <c r="K125" s="7">
        <v>1</v>
      </c>
      <c r="L125" s="7">
        <v>1</v>
      </c>
      <c r="M125" s="9">
        <v>198129.36</v>
      </c>
      <c r="N125" s="7">
        <v>0</v>
      </c>
    </row>
    <row r="126" spans="1:14" x14ac:dyDescent="0.25">
      <c r="A126" s="6">
        <v>125</v>
      </c>
      <c r="B126" s="7">
        <v>15779659</v>
      </c>
      <c r="C126" s="6" t="s">
        <v>138</v>
      </c>
      <c r="D126" s="7">
        <v>625</v>
      </c>
      <c r="E126" s="6" t="s">
        <v>754</v>
      </c>
      <c r="F126" s="6" t="s">
        <v>16</v>
      </c>
      <c r="G126" s="7">
        <v>28</v>
      </c>
      <c r="H126" s="7">
        <v>3</v>
      </c>
      <c r="I126" s="8">
        <v>0</v>
      </c>
      <c r="J126" s="7">
        <v>1</v>
      </c>
      <c r="K126" s="7">
        <v>0</v>
      </c>
      <c r="L126" s="7">
        <v>0</v>
      </c>
      <c r="M126" s="9">
        <v>183646.41</v>
      </c>
      <c r="N126" s="7">
        <v>0</v>
      </c>
    </row>
    <row r="127" spans="1:14" x14ac:dyDescent="0.25">
      <c r="A127" s="6">
        <v>126</v>
      </c>
      <c r="B127" s="7">
        <v>15627360</v>
      </c>
      <c r="C127" s="6" t="s">
        <v>139</v>
      </c>
      <c r="D127" s="7">
        <v>432</v>
      </c>
      <c r="E127" s="6" t="s">
        <v>754</v>
      </c>
      <c r="F127" s="6" t="s">
        <v>23</v>
      </c>
      <c r="G127" s="7">
        <v>42</v>
      </c>
      <c r="H127" s="7">
        <v>9</v>
      </c>
      <c r="I127" s="8">
        <v>152603.45000000001</v>
      </c>
      <c r="J127" s="7">
        <v>1</v>
      </c>
      <c r="K127" s="7">
        <v>1</v>
      </c>
      <c r="L127" s="7">
        <v>0</v>
      </c>
      <c r="M127" s="9">
        <v>110265.24</v>
      </c>
      <c r="N127" s="7">
        <v>1</v>
      </c>
    </row>
    <row r="128" spans="1:14" x14ac:dyDescent="0.25">
      <c r="A128" s="6">
        <v>127</v>
      </c>
      <c r="B128" s="7">
        <v>15671137</v>
      </c>
      <c r="C128" s="6" t="s">
        <v>140</v>
      </c>
      <c r="D128" s="7">
        <v>549</v>
      </c>
      <c r="E128" s="6" t="s">
        <v>754</v>
      </c>
      <c r="F128" s="6" t="s">
        <v>16</v>
      </c>
      <c r="G128" s="7">
        <v>52</v>
      </c>
      <c r="H128" s="7">
        <v>1</v>
      </c>
      <c r="I128" s="8">
        <v>0</v>
      </c>
      <c r="J128" s="7">
        <v>1</v>
      </c>
      <c r="K128" s="7">
        <v>0</v>
      </c>
      <c r="L128" s="7">
        <v>1</v>
      </c>
      <c r="M128" s="9">
        <v>8636.0499999999993</v>
      </c>
      <c r="N128" s="7">
        <v>1</v>
      </c>
    </row>
    <row r="129" spans="1:14" x14ac:dyDescent="0.25">
      <c r="A129" s="6">
        <v>128</v>
      </c>
      <c r="B129" s="7">
        <v>15782688</v>
      </c>
      <c r="C129" s="6" t="s">
        <v>141</v>
      </c>
      <c r="D129" s="7">
        <v>625</v>
      </c>
      <c r="E129" s="6" t="s">
        <v>26</v>
      </c>
      <c r="F129" s="6" t="s">
        <v>23</v>
      </c>
      <c r="G129" s="7">
        <v>56</v>
      </c>
      <c r="H129" s="7">
        <v>0</v>
      </c>
      <c r="I129" s="8">
        <v>148507.24</v>
      </c>
      <c r="J129" s="7">
        <v>1</v>
      </c>
      <c r="K129" s="7">
        <v>1</v>
      </c>
      <c r="L129" s="7">
        <v>0</v>
      </c>
      <c r="M129" s="9">
        <v>46824.08</v>
      </c>
      <c r="N129" s="7">
        <v>1</v>
      </c>
    </row>
    <row r="130" spans="1:14" x14ac:dyDescent="0.25">
      <c r="A130" s="6">
        <v>129</v>
      </c>
      <c r="B130" s="7">
        <v>15575492</v>
      </c>
      <c r="C130" s="6" t="s">
        <v>136</v>
      </c>
      <c r="D130" s="7">
        <v>828</v>
      </c>
      <c r="E130" s="6" t="s">
        <v>754</v>
      </c>
      <c r="F130" s="6" t="s">
        <v>16</v>
      </c>
      <c r="G130" s="7">
        <v>41</v>
      </c>
      <c r="H130" s="7">
        <v>7</v>
      </c>
      <c r="I130" s="8">
        <v>0</v>
      </c>
      <c r="J130" s="7">
        <v>2</v>
      </c>
      <c r="K130" s="7">
        <v>1</v>
      </c>
      <c r="L130" s="7">
        <v>0</v>
      </c>
      <c r="M130" s="9">
        <v>171378.77</v>
      </c>
      <c r="N130" s="7">
        <v>0</v>
      </c>
    </row>
    <row r="131" spans="1:14" x14ac:dyDescent="0.25">
      <c r="A131" s="6">
        <v>130</v>
      </c>
      <c r="B131" s="7">
        <v>15591607</v>
      </c>
      <c r="C131" s="6" t="s">
        <v>142</v>
      </c>
      <c r="D131" s="7">
        <v>770</v>
      </c>
      <c r="E131" s="6" t="s">
        <v>754</v>
      </c>
      <c r="F131" s="6" t="s">
        <v>23</v>
      </c>
      <c r="G131" s="7">
        <v>24</v>
      </c>
      <c r="H131" s="7">
        <v>9</v>
      </c>
      <c r="I131" s="8">
        <v>101827.07</v>
      </c>
      <c r="J131" s="7">
        <v>1</v>
      </c>
      <c r="K131" s="7">
        <v>1</v>
      </c>
      <c r="L131" s="7">
        <v>0</v>
      </c>
      <c r="M131" s="9">
        <v>167256.35</v>
      </c>
      <c r="N131" s="7">
        <v>0</v>
      </c>
    </row>
    <row r="132" spans="1:14" x14ac:dyDescent="0.25">
      <c r="A132" s="6">
        <v>131</v>
      </c>
      <c r="B132" s="7">
        <v>15740404</v>
      </c>
      <c r="C132" s="6" t="s">
        <v>27</v>
      </c>
      <c r="D132" s="7">
        <v>758</v>
      </c>
      <c r="E132" s="6" t="s">
        <v>754</v>
      </c>
      <c r="F132" s="6" t="s">
        <v>16</v>
      </c>
      <c r="G132" s="7">
        <v>34</v>
      </c>
      <c r="H132" s="7">
        <v>3</v>
      </c>
      <c r="I132" s="8">
        <v>0</v>
      </c>
      <c r="J132" s="7">
        <v>2</v>
      </c>
      <c r="K132" s="7">
        <v>1</v>
      </c>
      <c r="L132" s="7">
        <v>1</v>
      </c>
      <c r="M132" s="9">
        <v>124226.16</v>
      </c>
      <c r="N132" s="7">
        <v>0</v>
      </c>
    </row>
    <row r="133" spans="1:14" ht="30" x14ac:dyDescent="0.25">
      <c r="A133" s="6">
        <v>132</v>
      </c>
      <c r="B133" s="7">
        <v>15718369</v>
      </c>
      <c r="C133" s="6" t="s">
        <v>143</v>
      </c>
      <c r="D133" s="7">
        <v>795</v>
      </c>
      <c r="E133" s="6" t="s">
        <v>26</v>
      </c>
      <c r="F133" s="6" t="s">
        <v>16</v>
      </c>
      <c r="G133" s="7">
        <v>33</v>
      </c>
      <c r="H133" s="7">
        <v>9</v>
      </c>
      <c r="I133" s="8">
        <v>130862.43</v>
      </c>
      <c r="J133" s="7">
        <v>1</v>
      </c>
      <c r="K133" s="7">
        <v>1</v>
      </c>
      <c r="L133" s="7">
        <v>1</v>
      </c>
      <c r="M133" s="9">
        <v>114935.21</v>
      </c>
      <c r="N133" s="7">
        <v>0</v>
      </c>
    </row>
    <row r="134" spans="1:14" x14ac:dyDescent="0.25">
      <c r="A134" s="6">
        <v>133</v>
      </c>
      <c r="B134" s="7">
        <v>15677871</v>
      </c>
      <c r="C134" s="6" t="s">
        <v>144</v>
      </c>
      <c r="D134" s="7">
        <v>687</v>
      </c>
      <c r="E134" s="6" t="s">
        <v>754</v>
      </c>
      <c r="F134" s="6" t="s">
        <v>23</v>
      </c>
      <c r="G134" s="7">
        <v>38</v>
      </c>
      <c r="H134" s="7">
        <v>9</v>
      </c>
      <c r="I134" s="8">
        <v>122570.87</v>
      </c>
      <c r="J134" s="7">
        <v>1</v>
      </c>
      <c r="K134" s="7">
        <v>1</v>
      </c>
      <c r="L134" s="7">
        <v>1</v>
      </c>
      <c r="M134" s="9">
        <v>35608.879999999997</v>
      </c>
      <c r="N134" s="7">
        <v>0</v>
      </c>
    </row>
    <row r="135" spans="1:14" x14ac:dyDescent="0.25">
      <c r="A135" s="6">
        <v>134</v>
      </c>
      <c r="B135" s="7">
        <v>15642004</v>
      </c>
      <c r="C135" s="6" t="s">
        <v>145</v>
      </c>
      <c r="D135" s="7">
        <v>686</v>
      </c>
      <c r="E135" s="6" t="s">
        <v>754</v>
      </c>
      <c r="F135" s="6" t="s">
        <v>23</v>
      </c>
      <c r="G135" s="7">
        <v>25</v>
      </c>
      <c r="H135" s="7">
        <v>1</v>
      </c>
      <c r="I135" s="8">
        <v>0</v>
      </c>
      <c r="J135" s="7">
        <v>2</v>
      </c>
      <c r="K135" s="7">
        <v>0</v>
      </c>
      <c r="L135" s="7">
        <v>1</v>
      </c>
      <c r="M135" s="9">
        <v>16459.37</v>
      </c>
      <c r="N135" s="7">
        <v>0</v>
      </c>
    </row>
    <row r="136" spans="1:14" x14ac:dyDescent="0.25">
      <c r="A136" s="6">
        <v>135</v>
      </c>
      <c r="B136" s="7">
        <v>15712543</v>
      </c>
      <c r="C136" s="6" t="s">
        <v>146</v>
      </c>
      <c r="D136" s="7">
        <v>789</v>
      </c>
      <c r="E136" s="6" t="s">
        <v>26</v>
      </c>
      <c r="F136" s="6" t="s">
        <v>23</v>
      </c>
      <c r="G136" s="7">
        <v>39</v>
      </c>
      <c r="H136" s="7">
        <v>7</v>
      </c>
      <c r="I136" s="8">
        <v>124828.46</v>
      </c>
      <c r="J136" s="7">
        <v>2</v>
      </c>
      <c r="K136" s="7">
        <v>1</v>
      </c>
      <c r="L136" s="7">
        <v>1</v>
      </c>
      <c r="M136" s="9">
        <v>124411.08</v>
      </c>
      <c r="N136" s="7">
        <v>0</v>
      </c>
    </row>
    <row r="137" spans="1:14" x14ac:dyDescent="0.25">
      <c r="A137" s="6">
        <v>136</v>
      </c>
      <c r="B137" s="7">
        <v>15584518</v>
      </c>
      <c r="C137" s="6" t="s">
        <v>147</v>
      </c>
      <c r="D137" s="7">
        <v>589</v>
      </c>
      <c r="E137" s="6" t="s">
        <v>26</v>
      </c>
      <c r="F137" s="6" t="s">
        <v>16</v>
      </c>
      <c r="G137" s="7">
        <v>50</v>
      </c>
      <c r="H137" s="7">
        <v>5</v>
      </c>
      <c r="I137" s="8">
        <v>144895.04999999999</v>
      </c>
      <c r="J137" s="7">
        <v>2</v>
      </c>
      <c r="K137" s="7">
        <v>1</v>
      </c>
      <c r="L137" s="7">
        <v>1</v>
      </c>
      <c r="M137" s="9">
        <v>34941.230000000003</v>
      </c>
      <c r="N137" s="7">
        <v>0</v>
      </c>
    </row>
    <row r="138" spans="1:14" x14ac:dyDescent="0.25">
      <c r="A138" s="6">
        <v>137</v>
      </c>
      <c r="B138" s="7">
        <v>15802381</v>
      </c>
      <c r="C138" s="6" t="s">
        <v>148</v>
      </c>
      <c r="D138" s="7">
        <v>461</v>
      </c>
      <c r="E138" s="6" t="s">
        <v>26</v>
      </c>
      <c r="F138" s="6" t="s">
        <v>16</v>
      </c>
      <c r="G138" s="7">
        <v>34</v>
      </c>
      <c r="H138" s="7">
        <v>5</v>
      </c>
      <c r="I138" s="8">
        <v>63663.93</v>
      </c>
      <c r="J138" s="7">
        <v>1</v>
      </c>
      <c r="K138" s="7">
        <v>0</v>
      </c>
      <c r="L138" s="7">
        <v>1</v>
      </c>
      <c r="M138" s="9">
        <v>167784.28</v>
      </c>
      <c r="N138" s="7">
        <v>0</v>
      </c>
    </row>
    <row r="139" spans="1:14" x14ac:dyDescent="0.25">
      <c r="A139" s="6">
        <v>138</v>
      </c>
      <c r="B139" s="7">
        <v>15610156</v>
      </c>
      <c r="C139" s="6" t="s">
        <v>149</v>
      </c>
      <c r="D139" s="7">
        <v>637</v>
      </c>
      <c r="E139" s="6" t="s">
        <v>754</v>
      </c>
      <c r="F139" s="6" t="s">
        <v>23</v>
      </c>
      <c r="G139" s="7">
        <v>40</v>
      </c>
      <c r="H139" s="7">
        <v>2</v>
      </c>
      <c r="I139" s="8">
        <v>133463.1</v>
      </c>
      <c r="J139" s="7">
        <v>1</v>
      </c>
      <c r="K139" s="7">
        <v>0</v>
      </c>
      <c r="L139" s="7">
        <v>1</v>
      </c>
      <c r="M139" s="9">
        <v>93165.34</v>
      </c>
      <c r="N139" s="7">
        <v>0</v>
      </c>
    </row>
    <row r="140" spans="1:14" x14ac:dyDescent="0.25">
      <c r="A140" s="6">
        <v>139</v>
      </c>
      <c r="B140" s="7">
        <v>15594408</v>
      </c>
      <c r="C140" s="6" t="s">
        <v>150</v>
      </c>
      <c r="D140" s="7">
        <v>584</v>
      </c>
      <c r="E140" s="6" t="s">
        <v>755</v>
      </c>
      <c r="F140" s="6" t="s">
        <v>16</v>
      </c>
      <c r="G140" s="7">
        <v>48</v>
      </c>
      <c r="H140" s="7">
        <v>2</v>
      </c>
      <c r="I140" s="8">
        <v>213146.2</v>
      </c>
      <c r="J140" s="7">
        <v>1</v>
      </c>
      <c r="K140" s="7">
        <v>1</v>
      </c>
      <c r="L140" s="7">
        <v>0</v>
      </c>
      <c r="M140" s="9">
        <v>75161.25</v>
      </c>
      <c r="N140" s="7">
        <v>1</v>
      </c>
    </row>
    <row r="141" spans="1:14" x14ac:dyDescent="0.25">
      <c r="A141" s="6">
        <v>140</v>
      </c>
      <c r="B141" s="7">
        <v>15640905</v>
      </c>
      <c r="C141" s="6" t="s">
        <v>151</v>
      </c>
      <c r="D141" s="7">
        <v>579</v>
      </c>
      <c r="E141" s="6" t="s">
        <v>755</v>
      </c>
      <c r="F141" s="6" t="s">
        <v>16</v>
      </c>
      <c r="G141" s="7">
        <v>35</v>
      </c>
      <c r="H141" s="7">
        <v>1</v>
      </c>
      <c r="I141" s="8">
        <v>129490.36</v>
      </c>
      <c r="J141" s="7">
        <v>2</v>
      </c>
      <c r="K141" s="7">
        <v>0</v>
      </c>
      <c r="L141" s="7">
        <v>1</v>
      </c>
      <c r="M141" s="9">
        <v>8590.83</v>
      </c>
      <c r="N141" s="7">
        <v>1</v>
      </c>
    </row>
    <row r="142" spans="1:14" x14ac:dyDescent="0.25">
      <c r="A142" s="6">
        <v>141</v>
      </c>
      <c r="B142" s="7">
        <v>15698932</v>
      </c>
      <c r="C142" s="6" t="s">
        <v>152</v>
      </c>
      <c r="D142" s="7">
        <v>756</v>
      </c>
      <c r="E142" s="6" t="s">
        <v>26</v>
      </c>
      <c r="F142" s="6" t="s">
        <v>23</v>
      </c>
      <c r="G142" s="7">
        <v>44</v>
      </c>
      <c r="H142" s="7">
        <v>10</v>
      </c>
      <c r="I142" s="8">
        <v>137452.09</v>
      </c>
      <c r="J142" s="7">
        <v>1</v>
      </c>
      <c r="K142" s="7">
        <v>1</v>
      </c>
      <c r="L142" s="7">
        <v>0</v>
      </c>
      <c r="M142" s="9">
        <v>189543.9</v>
      </c>
      <c r="N142" s="7">
        <v>0</v>
      </c>
    </row>
    <row r="143" spans="1:14" x14ac:dyDescent="0.25">
      <c r="A143" s="6">
        <v>142</v>
      </c>
      <c r="B143" s="7">
        <v>15724944</v>
      </c>
      <c r="C143" s="6" t="s">
        <v>153</v>
      </c>
      <c r="D143" s="7">
        <v>663</v>
      </c>
      <c r="E143" s="6" t="s">
        <v>754</v>
      </c>
      <c r="F143" s="6" t="s">
        <v>23</v>
      </c>
      <c r="G143" s="7">
        <v>34</v>
      </c>
      <c r="H143" s="7">
        <v>7</v>
      </c>
      <c r="I143" s="8">
        <v>0</v>
      </c>
      <c r="J143" s="7">
        <v>2</v>
      </c>
      <c r="K143" s="7">
        <v>1</v>
      </c>
      <c r="L143" s="7">
        <v>1</v>
      </c>
      <c r="M143" s="9">
        <v>180427.24</v>
      </c>
      <c r="N143" s="7">
        <v>0</v>
      </c>
    </row>
    <row r="144" spans="1:14" x14ac:dyDescent="0.25">
      <c r="A144" s="6">
        <v>143</v>
      </c>
      <c r="B144" s="7">
        <v>15628145</v>
      </c>
      <c r="C144" s="6" t="s">
        <v>154</v>
      </c>
      <c r="D144" s="7">
        <v>682</v>
      </c>
      <c r="E144" s="6" t="s">
        <v>754</v>
      </c>
      <c r="F144" s="6" t="s">
        <v>16</v>
      </c>
      <c r="G144" s="7">
        <v>43</v>
      </c>
      <c r="H144" s="7">
        <v>5</v>
      </c>
      <c r="I144" s="8">
        <v>125851.93</v>
      </c>
      <c r="J144" s="7">
        <v>1</v>
      </c>
      <c r="K144" s="7">
        <v>1</v>
      </c>
      <c r="L144" s="7">
        <v>1</v>
      </c>
      <c r="M144" s="9">
        <v>193318.33</v>
      </c>
      <c r="N144" s="7">
        <v>0</v>
      </c>
    </row>
    <row r="145" spans="1:14" x14ac:dyDescent="0.25">
      <c r="A145" s="6">
        <v>144</v>
      </c>
      <c r="B145" s="7">
        <v>15713483</v>
      </c>
      <c r="C145" s="6" t="s">
        <v>155</v>
      </c>
      <c r="D145" s="7">
        <v>793</v>
      </c>
      <c r="E145" s="6" t="s">
        <v>755</v>
      </c>
      <c r="F145" s="6" t="s">
        <v>23</v>
      </c>
      <c r="G145" s="7">
        <v>52</v>
      </c>
      <c r="H145" s="7">
        <v>2</v>
      </c>
      <c r="I145" s="8">
        <v>0</v>
      </c>
      <c r="J145" s="7">
        <v>1</v>
      </c>
      <c r="K145" s="7">
        <v>1</v>
      </c>
      <c r="L145" s="7">
        <v>0</v>
      </c>
      <c r="M145" s="9">
        <v>159123.82</v>
      </c>
      <c r="N145" s="7">
        <v>1</v>
      </c>
    </row>
    <row r="146" spans="1:14" x14ac:dyDescent="0.25">
      <c r="A146" s="6">
        <v>145</v>
      </c>
      <c r="B146" s="7">
        <v>15612350</v>
      </c>
      <c r="C146" s="6" t="s">
        <v>156</v>
      </c>
      <c r="D146" s="7">
        <v>691</v>
      </c>
      <c r="E146" s="6" t="s">
        <v>754</v>
      </c>
      <c r="F146" s="6" t="s">
        <v>16</v>
      </c>
      <c r="G146" s="7">
        <v>31</v>
      </c>
      <c r="H146" s="7">
        <v>5</v>
      </c>
      <c r="I146" s="8">
        <v>40915.550000000003</v>
      </c>
      <c r="J146" s="7">
        <v>1</v>
      </c>
      <c r="K146" s="7">
        <v>1</v>
      </c>
      <c r="L146" s="7">
        <v>0</v>
      </c>
      <c r="M146" s="9">
        <v>126213.84</v>
      </c>
      <c r="N146" s="7">
        <v>1</v>
      </c>
    </row>
    <row r="147" spans="1:14" x14ac:dyDescent="0.25">
      <c r="A147" s="6">
        <v>146</v>
      </c>
      <c r="B147" s="7">
        <v>15800703</v>
      </c>
      <c r="C147" s="6" t="s">
        <v>157</v>
      </c>
      <c r="D147" s="7">
        <v>485</v>
      </c>
      <c r="E147" s="6" t="s">
        <v>755</v>
      </c>
      <c r="F147" s="6" t="s">
        <v>16</v>
      </c>
      <c r="G147" s="7">
        <v>21</v>
      </c>
      <c r="H147" s="7">
        <v>5</v>
      </c>
      <c r="I147" s="8">
        <v>113157.22</v>
      </c>
      <c r="J147" s="7">
        <v>1</v>
      </c>
      <c r="K147" s="7">
        <v>1</v>
      </c>
      <c r="L147" s="7">
        <v>1</v>
      </c>
      <c r="M147" s="9">
        <v>54141.5</v>
      </c>
      <c r="N147" s="7">
        <v>0</v>
      </c>
    </row>
    <row r="148" spans="1:14" x14ac:dyDescent="0.25">
      <c r="A148" s="6">
        <v>147</v>
      </c>
      <c r="B148" s="7">
        <v>15705707</v>
      </c>
      <c r="C148" s="6" t="s">
        <v>158</v>
      </c>
      <c r="D148" s="7">
        <v>635</v>
      </c>
      <c r="E148" s="6" t="s">
        <v>755</v>
      </c>
      <c r="F148" s="6" t="s">
        <v>16</v>
      </c>
      <c r="G148" s="7">
        <v>29</v>
      </c>
      <c r="H148" s="7">
        <v>8</v>
      </c>
      <c r="I148" s="8">
        <v>138296.94</v>
      </c>
      <c r="J148" s="7">
        <v>2</v>
      </c>
      <c r="K148" s="7">
        <v>1</v>
      </c>
      <c r="L148" s="7">
        <v>0</v>
      </c>
      <c r="M148" s="9">
        <v>141075.51</v>
      </c>
      <c r="N148" s="7">
        <v>0</v>
      </c>
    </row>
    <row r="149" spans="1:14" x14ac:dyDescent="0.25">
      <c r="A149" s="6">
        <v>148</v>
      </c>
      <c r="B149" s="7">
        <v>15754105</v>
      </c>
      <c r="C149" s="6" t="s">
        <v>159</v>
      </c>
      <c r="D149" s="7">
        <v>650</v>
      </c>
      <c r="E149" s="6" t="s">
        <v>754</v>
      </c>
      <c r="F149" s="6" t="s">
        <v>23</v>
      </c>
      <c r="G149" s="7">
        <v>37</v>
      </c>
      <c r="H149" s="7">
        <v>5</v>
      </c>
      <c r="I149" s="8">
        <v>106967.18</v>
      </c>
      <c r="J149" s="7">
        <v>1</v>
      </c>
      <c r="K149" s="7">
        <v>0</v>
      </c>
      <c r="L149" s="7">
        <v>0</v>
      </c>
      <c r="M149" s="9">
        <v>24495.03</v>
      </c>
      <c r="N149" s="7">
        <v>0</v>
      </c>
    </row>
    <row r="150" spans="1:14" ht="30" x14ac:dyDescent="0.25">
      <c r="A150" s="6">
        <v>149</v>
      </c>
      <c r="B150" s="7">
        <v>15703264</v>
      </c>
      <c r="C150" s="6" t="s">
        <v>160</v>
      </c>
      <c r="D150" s="7">
        <v>735</v>
      </c>
      <c r="E150" s="6" t="s">
        <v>754</v>
      </c>
      <c r="F150" s="6" t="s">
        <v>23</v>
      </c>
      <c r="G150" s="7">
        <v>44</v>
      </c>
      <c r="H150" s="7">
        <v>9</v>
      </c>
      <c r="I150" s="8">
        <v>120681.63</v>
      </c>
      <c r="J150" s="7">
        <v>1</v>
      </c>
      <c r="K150" s="7">
        <v>1</v>
      </c>
      <c r="L150" s="7">
        <v>0</v>
      </c>
      <c r="M150" s="9">
        <v>74836.34</v>
      </c>
      <c r="N150" s="7">
        <v>0</v>
      </c>
    </row>
    <row r="151" spans="1:14" x14ac:dyDescent="0.25">
      <c r="A151" s="6">
        <v>150</v>
      </c>
      <c r="B151" s="7">
        <v>15794413</v>
      </c>
      <c r="C151" s="6" t="s">
        <v>161</v>
      </c>
      <c r="D151" s="7">
        <v>416</v>
      </c>
      <c r="E151" s="6" t="s">
        <v>754</v>
      </c>
      <c r="F151" s="6" t="s">
        <v>23</v>
      </c>
      <c r="G151" s="7">
        <v>32</v>
      </c>
      <c r="H151" s="7">
        <v>0</v>
      </c>
      <c r="I151" s="8">
        <v>0</v>
      </c>
      <c r="J151" s="7">
        <v>2</v>
      </c>
      <c r="K151" s="7">
        <v>0</v>
      </c>
      <c r="L151" s="7">
        <v>1</v>
      </c>
      <c r="M151" s="9">
        <v>878.87</v>
      </c>
      <c r="N151" s="7">
        <v>0</v>
      </c>
    </row>
    <row r="152" spans="1:14" x14ac:dyDescent="0.25">
      <c r="A152" s="6">
        <v>151</v>
      </c>
      <c r="B152" s="7">
        <v>15650237</v>
      </c>
      <c r="C152" s="6" t="s">
        <v>162</v>
      </c>
      <c r="D152" s="7">
        <v>754</v>
      </c>
      <c r="E152" s="6" t="s">
        <v>755</v>
      </c>
      <c r="F152" s="6" t="s">
        <v>16</v>
      </c>
      <c r="G152" s="7">
        <v>32</v>
      </c>
      <c r="H152" s="7">
        <v>7</v>
      </c>
      <c r="I152" s="8">
        <v>0</v>
      </c>
      <c r="J152" s="7">
        <v>2</v>
      </c>
      <c r="K152" s="7">
        <v>1</v>
      </c>
      <c r="L152" s="7">
        <v>0</v>
      </c>
      <c r="M152" s="9">
        <v>89520.75</v>
      </c>
      <c r="N152" s="7">
        <v>0</v>
      </c>
    </row>
    <row r="153" spans="1:14" x14ac:dyDescent="0.25">
      <c r="A153" s="6">
        <v>152</v>
      </c>
      <c r="B153" s="7">
        <v>15759618</v>
      </c>
      <c r="C153" s="6" t="s">
        <v>163</v>
      </c>
      <c r="D153" s="7">
        <v>535</v>
      </c>
      <c r="E153" s="6" t="s">
        <v>754</v>
      </c>
      <c r="F153" s="6" t="s">
        <v>16</v>
      </c>
      <c r="G153" s="7">
        <v>48</v>
      </c>
      <c r="H153" s="7">
        <v>9</v>
      </c>
      <c r="I153" s="8">
        <v>0</v>
      </c>
      <c r="J153" s="7">
        <v>1</v>
      </c>
      <c r="K153" s="7">
        <v>1</v>
      </c>
      <c r="L153" s="7">
        <v>0</v>
      </c>
      <c r="M153" s="9">
        <v>149892.79</v>
      </c>
      <c r="N153" s="7">
        <v>1</v>
      </c>
    </row>
    <row r="154" spans="1:14" x14ac:dyDescent="0.25">
      <c r="A154" s="6">
        <v>153</v>
      </c>
      <c r="B154" s="7">
        <v>15811589</v>
      </c>
      <c r="C154" s="6" t="s">
        <v>164</v>
      </c>
      <c r="D154" s="7">
        <v>716</v>
      </c>
      <c r="E154" s="6" t="s">
        <v>755</v>
      </c>
      <c r="F154" s="6" t="s">
        <v>23</v>
      </c>
      <c r="G154" s="7">
        <v>42</v>
      </c>
      <c r="H154" s="7">
        <v>8</v>
      </c>
      <c r="I154" s="8">
        <v>0</v>
      </c>
      <c r="J154" s="7">
        <v>2</v>
      </c>
      <c r="K154" s="7">
        <v>1</v>
      </c>
      <c r="L154" s="7">
        <v>0</v>
      </c>
      <c r="M154" s="9">
        <v>180800.42</v>
      </c>
      <c r="N154" s="7">
        <v>0</v>
      </c>
    </row>
    <row r="155" spans="1:14" x14ac:dyDescent="0.25">
      <c r="A155" s="6">
        <v>154</v>
      </c>
      <c r="B155" s="7">
        <v>15689044</v>
      </c>
      <c r="C155" s="6" t="s">
        <v>165</v>
      </c>
      <c r="D155" s="7">
        <v>539</v>
      </c>
      <c r="E155" s="6" t="s">
        <v>754</v>
      </c>
      <c r="F155" s="6" t="s">
        <v>23</v>
      </c>
      <c r="G155" s="7">
        <v>37</v>
      </c>
      <c r="H155" s="7">
        <v>2</v>
      </c>
      <c r="I155" s="8">
        <v>127609.59</v>
      </c>
      <c r="J155" s="7">
        <v>1</v>
      </c>
      <c r="K155" s="7">
        <v>1</v>
      </c>
      <c r="L155" s="7">
        <v>0</v>
      </c>
      <c r="M155" s="9">
        <v>98646.22</v>
      </c>
      <c r="N155" s="7">
        <v>0</v>
      </c>
    </row>
    <row r="156" spans="1:14" x14ac:dyDescent="0.25">
      <c r="A156" s="6">
        <v>155</v>
      </c>
      <c r="B156" s="7">
        <v>15709368</v>
      </c>
      <c r="C156" s="6" t="s">
        <v>166</v>
      </c>
      <c r="D156" s="7">
        <v>614</v>
      </c>
      <c r="E156" s="6" t="s">
        <v>754</v>
      </c>
      <c r="F156" s="6" t="s">
        <v>16</v>
      </c>
      <c r="G156" s="7">
        <v>43</v>
      </c>
      <c r="H156" s="7">
        <v>6</v>
      </c>
      <c r="I156" s="8">
        <v>0</v>
      </c>
      <c r="J156" s="7">
        <v>2</v>
      </c>
      <c r="K156" s="7">
        <v>1</v>
      </c>
      <c r="L156" s="7">
        <v>1</v>
      </c>
      <c r="M156" s="9">
        <v>109041.53</v>
      </c>
      <c r="N156" s="7">
        <v>0</v>
      </c>
    </row>
    <row r="157" spans="1:14" x14ac:dyDescent="0.25">
      <c r="A157" s="6">
        <v>156</v>
      </c>
      <c r="B157" s="7">
        <v>15679145</v>
      </c>
      <c r="C157" s="6" t="s">
        <v>167</v>
      </c>
      <c r="D157" s="7">
        <v>706</v>
      </c>
      <c r="E157" s="6" t="s">
        <v>755</v>
      </c>
      <c r="F157" s="6" t="s">
        <v>23</v>
      </c>
      <c r="G157" s="7">
        <v>57</v>
      </c>
      <c r="H157" s="7">
        <v>7</v>
      </c>
      <c r="I157" s="8">
        <v>0</v>
      </c>
      <c r="J157" s="7">
        <v>1</v>
      </c>
      <c r="K157" s="7">
        <v>1</v>
      </c>
      <c r="L157" s="7">
        <v>0</v>
      </c>
      <c r="M157" s="9">
        <v>17941.16</v>
      </c>
      <c r="N157" s="7">
        <v>1</v>
      </c>
    </row>
    <row r="158" spans="1:14" x14ac:dyDescent="0.25">
      <c r="A158" s="6">
        <v>157</v>
      </c>
      <c r="B158" s="7">
        <v>15655007</v>
      </c>
      <c r="C158" s="6" t="s">
        <v>148</v>
      </c>
      <c r="D158" s="7">
        <v>758</v>
      </c>
      <c r="E158" s="6" t="s">
        <v>754</v>
      </c>
      <c r="F158" s="6" t="s">
        <v>16</v>
      </c>
      <c r="G158" s="7">
        <v>33</v>
      </c>
      <c r="H158" s="7">
        <v>7</v>
      </c>
      <c r="I158" s="8">
        <v>0</v>
      </c>
      <c r="J158" s="7">
        <v>2</v>
      </c>
      <c r="K158" s="7">
        <v>0</v>
      </c>
      <c r="L158" s="7">
        <v>0</v>
      </c>
      <c r="M158" s="9">
        <v>82996.47</v>
      </c>
      <c r="N158" s="7">
        <v>0</v>
      </c>
    </row>
    <row r="159" spans="1:14" x14ac:dyDescent="0.25">
      <c r="A159" s="6">
        <v>158</v>
      </c>
      <c r="B159" s="7">
        <v>15623595</v>
      </c>
      <c r="C159" s="6" t="s">
        <v>168</v>
      </c>
      <c r="D159" s="7">
        <v>586</v>
      </c>
      <c r="E159" s="6" t="s">
        <v>755</v>
      </c>
      <c r="F159" s="6" t="s">
        <v>16</v>
      </c>
      <c r="G159" s="7">
        <v>28</v>
      </c>
      <c r="H159" s="7">
        <v>2</v>
      </c>
      <c r="I159" s="8">
        <v>0</v>
      </c>
      <c r="J159" s="7">
        <v>2</v>
      </c>
      <c r="K159" s="7">
        <v>1</v>
      </c>
      <c r="L159" s="7">
        <v>1</v>
      </c>
      <c r="M159" s="9">
        <v>92067.35</v>
      </c>
      <c r="N159" s="7">
        <v>0</v>
      </c>
    </row>
    <row r="160" spans="1:14" x14ac:dyDescent="0.25">
      <c r="A160" s="6">
        <v>159</v>
      </c>
      <c r="B160" s="7">
        <v>15589975</v>
      </c>
      <c r="C160" s="6" t="s">
        <v>44</v>
      </c>
      <c r="D160" s="7">
        <v>646</v>
      </c>
      <c r="E160" s="6" t="s">
        <v>754</v>
      </c>
      <c r="F160" s="6" t="s">
        <v>16</v>
      </c>
      <c r="G160" s="7">
        <v>73</v>
      </c>
      <c r="H160" s="7">
        <v>6</v>
      </c>
      <c r="I160" s="8">
        <v>97259.25</v>
      </c>
      <c r="J160" s="7">
        <v>1</v>
      </c>
      <c r="K160" s="7">
        <v>0</v>
      </c>
      <c r="L160" s="7">
        <v>1</v>
      </c>
      <c r="M160" s="9">
        <v>104719.66</v>
      </c>
      <c r="N160" s="7">
        <v>0</v>
      </c>
    </row>
    <row r="161" spans="1:14" x14ac:dyDescent="0.25">
      <c r="A161" s="6">
        <v>160</v>
      </c>
      <c r="B161" s="7">
        <v>15804017</v>
      </c>
      <c r="C161" s="6" t="s">
        <v>169</v>
      </c>
      <c r="D161" s="7">
        <v>631</v>
      </c>
      <c r="E161" s="6" t="s">
        <v>26</v>
      </c>
      <c r="F161" s="6" t="s">
        <v>16</v>
      </c>
      <c r="G161" s="7">
        <v>33</v>
      </c>
      <c r="H161" s="7">
        <v>4</v>
      </c>
      <c r="I161" s="8">
        <v>123246.7</v>
      </c>
      <c r="J161" s="7">
        <v>1</v>
      </c>
      <c r="K161" s="7">
        <v>0</v>
      </c>
      <c r="L161" s="7">
        <v>0</v>
      </c>
      <c r="M161" s="9">
        <v>112687.57</v>
      </c>
      <c r="N161" s="7">
        <v>0</v>
      </c>
    </row>
    <row r="162" spans="1:14" x14ac:dyDescent="0.25">
      <c r="A162" s="6">
        <v>161</v>
      </c>
      <c r="B162" s="7">
        <v>15692132</v>
      </c>
      <c r="C162" s="6" t="s">
        <v>170</v>
      </c>
      <c r="D162" s="7">
        <v>717</v>
      </c>
      <c r="E162" s="6" t="s">
        <v>755</v>
      </c>
      <c r="F162" s="6" t="s">
        <v>16</v>
      </c>
      <c r="G162" s="7">
        <v>22</v>
      </c>
      <c r="H162" s="7">
        <v>6</v>
      </c>
      <c r="I162" s="8">
        <v>101060.25</v>
      </c>
      <c r="J162" s="7">
        <v>1</v>
      </c>
      <c r="K162" s="7">
        <v>0</v>
      </c>
      <c r="L162" s="7">
        <v>1</v>
      </c>
      <c r="M162" s="9">
        <v>84699.56</v>
      </c>
      <c r="N162" s="7">
        <v>0</v>
      </c>
    </row>
    <row r="163" spans="1:14" x14ac:dyDescent="0.25">
      <c r="A163" s="6">
        <v>162</v>
      </c>
      <c r="B163" s="7">
        <v>15641122</v>
      </c>
      <c r="C163" s="6" t="s">
        <v>171</v>
      </c>
      <c r="D163" s="7">
        <v>684</v>
      </c>
      <c r="E163" s="6" t="s">
        <v>754</v>
      </c>
      <c r="F163" s="6" t="s">
        <v>23</v>
      </c>
      <c r="G163" s="7">
        <v>30</v>
      </c>
      <c r="H163" s="7">
        <v>2</v>
      </c>
      <c r="I163" s="8">
        <v>0</v>
      </c>
      <c r="J163" s="7">
        <v>2</v>
      </c>
      <c r="K163" s="7">
        <v>1</v>
      </c>
      <c r="L163" s="7">
        <v>0</v>
      </c>
      <c r="M163" s="9">
        <v>83473.820000000007</v>
      </c>
      <c r="N163" s="7">
        <v>0</v>
      </c>
    </row>
    <row r="164" spans="1:14" x14ac:dyDescent="0.25">
      <c r="A164" s="6">
        <v>163</v>
      </c>
      <c r="B164" s="7">
        <v>15630910</v>
      </c>
      <c r="C164" s="6" t="s">
        <v>172</v>
      </c>
      <c r="D164" s="7">
        <v>800</v>
      </c>
      <c r="E164" s="6" t="s">
        <v>754</v>
      </c>
      <c r="F164" s="6" t="s">
        <v>16</v>
      </c>
      <c r="G164" s="7">
        <v>49</v>
      </c>
      <c r="H164" s="7">
        <v>7</v>
      </c>
      <c r="I164" s="8">
        <v>108007.36</v>
      </c>
      <c r="J164" s="7">
        <v>1</v>
      </c>
      <c r="K164" s="7">
        <v>0</v>
      </c>
      <c r="L164" s="7">
        <v>0</v>
      </c>
      <c r="M164" s="9">
        <v>47125.11</v>
      </c>
      <c r="N164" s="7">
        <v>0</v>
      </c>
    </row>
    <row r="165" spans="1:14" x14ac:dyDescent="0.25">
      <c r="A165" s="6">
        <v>164</v>
      </c>
      <c r="B165" s="7">
        <v>15680772</v>
      </c>
      <c r="C165" s="6" t="s">
        <v>95</v>
      </c>
      <c r="D165" s="7">
        <v>721</v>
      </c>
      <c r="E165" s="6" t="s">
        <v>755</v>
      </c>
      <c r="F165" s="6" t="s">
        <v>16</v>
      </c>
      <c r="G165" s="7">
        <v>36</v>
      </c>
      <c r="H165" s="7">
        <v>2</v>
      </c>
      <c r="I165" s="8">
        <v>0</v>
      </c>
      <c r="J165" s="7">
        <v>2</v>
      </c>
      <c r="K165" s="7">
        <v>1</v>
      </c>
      <c r="L165" s="7">
        <v>1</v>
      </c>
      <c r="M165" s="9">
        <v>106977.8</v>
      </c>
      <c r="N165" s="7">
        <v>0</v>
      </c>
    </row>
    <row r="166" spans="1:14" x14ac:dyDescent="0.25">
      <c r="A166" s="6">
        <v>165</v>
      </c>
      <c r="B166" s="7">
        <v>15658929</v>
      </c>
      <c r="C166" s="6" t="s">
        <v>173</v>
      </c>
      <c r="D166" s="7">
        <v>683</v>
      </c>
      <c r="E166" s="6" t="s">
        <v>755</v>
      </c>
      <c r="F166" s="6" t="s">
        <v>23</v>
      </c>
      <c r="G166" s="7">
        <v>29</v>
      </c>
      <c r="H166" s="7">
        <v>0</v>
      </c>
      <c r="I166" s="8">
        <v>133702.89000000001</v>
      </c>
      <c r="J166" s="7">
        <v>1</v>
      </c>
      <c r="K166" s="7">
        <v>1</v>
      </c>
      <c r="L166" s="7">
        <v>0</v>
      </c>
      <c r="M166" s="9">
        <v>55582.54</v>
      </c>
      <c r="N166" s="7">
        <v>1</v>
      </c>
    </row>
    <row r="167" spans="1:14" x14ac:dyDescent="0.25">
      <c r="A167" s="6">
        <v>166</v>
      </c>
      <c r="B167" s="7">
        <v>15585388</v>
      </c>
      <c r="C167" s="6" t="s">
        <v>174</v>
      </c>
      <c r="D167" s="7">
        <v>660</v>
      </c>
      <c r="E167" s="6" t="s">
        <v>26</v>
      </c>
      <c r="F167" s="6" t="s">
        <v>23</v>
      </c>
      <c r="G167" s="7">
        <v>31</v>
      </c>
      <c r="H167" s="7">
        <v>9</v>
      </c>
      <c r="I167" s="8">
        <v>125189.75</v>
      </c>
      <c r="J167" s="7">
        <v>2</v>
      </c>
      <c r="K167" s="7">
        <v>1</v>
      </c>
      <c r="L167" s="7">
        <v>1</v>
      </c>
      <c r="M167" s="9">
        <v>139874.43</v>
      </c>
      <c r="N167" s="7">
        <v>0</v>
      </c>
    </row>
    <row r="168" spans="1:14" x14ac:dyDescent="0.25">
      <c r="A168" s="6">
        <v>167</v>
      </c>
      <c r="B168" s="7">
        <v>15724623</v>
      </c>
      <c r="C168" s="6" t="s">
        <v>175</v>
      </c>
      <c r="D168" s="7">
        <v>704</v>
      </c>
      <c r="E168" s="6" t="s">
        <v>26</v>
      </c>
      <c r="F168" s="6" t="s">
        <v>16</v>
      </c>
      <c r="G168" s="7">
        <v>24</v>
      </c>
      <c r="H168" s="7">
        <v>7</v>
      </c>
      <c r="I168" s="8">
        <v>113034.22</v>
      </c>
      <c r="J168" s="7">
        <v>1</v>
      </c>
      <c r="K168" s="7">
        <v>1</v>
      </c>
      <c r="L168" s="7">
        <v>0</v>
      </c>
      <c r="M168" s="9">
        <v>162503.48000000001</v>
      </c>
      <c r="N168" s="7">
        <v>1</v>
      </c>
    </row>
    <row r="169" spans="1:14" x14ac:dyDescent="0.25">
      <c r="A169" s="6">
        <v>168</v>
      </c>
      <c r="B169" s="7">
        <v>15588537</v>
      </c>
      <c r="C169" s="6" t="s">
        <v>176</v>
      </c>
      <c r="D169" s="7">
        <v>615</v>
      </c>
      <c r="E169" s="6" t="s">
        <v>755</v>
      </c>
      <c r="F169" s="6" t="s">
        <v>16</v>
      </c>
      <c r="G169" s="7">
        <v>41</v>
      </c>
      <c r="H169" s="7">
        <v>9</v>
      </c>
      <c r="I169" s="8">
        <v>109013.23</v>
      </c>
      <c r="J169" s="7">
        <v>1</v>
      </c>
      <c r="K169" s="7">
        <v>1</v>
      </c>
      <c r="L169" s="7">
        <v>0</v>
      </c>
      <c r="M169" s="9">
        <v>196499.96</v>
      </c>
      <c r="N169" s="7">
        <v>0</v>
      </c>
    </row>
    <row r="170" spans="1:14" x14ac:dyDescent="0.25">
      <c r="A170" s="6">
        <v>169</v>
      </c>
      <c r="B170" s="7">
        <v>15574692</v>
      </c>
      <c r="C170" s="6" t="s">
        <v>177</v>
      </c>
      <c r="D170" s="7">
        <v>667</v>
      </c>
      <c r="E170" s="6" t="s">
        <v>755</v>
      </c>
      <c r="F170" s="6" t="s">
        <v>16</v>
      </c>
      <c r="G170" s="7">
        <v>39</v>
      </c>
      <c r="H170" s="7">
        <v>2</v>
      </c>
      <c r="I170" s="8">
        <v>0</v>
      </c>
      <c r="J170" s="7">
        <v>2</v>
      </c>
      <c r="K170" s="7">
        <v>1</v>
      </c>
      <c r="L170" s="7">
        <v>0</v>
      </c>
      <c r="M170" s="9">
        <v>40721.24</v>
      </c>
      <c r="N170" s="7">
        <v>1</v>
      </c>
    </row>
    <row r="171" spans="1:14" x14ac:dyDescent="0.25">
      <c r="A171" s="6">
        <v>170</v>
      </c>
      <c r="B171" s="7">
        <v>15611325</v>
      </c>
      <c r="C171" s="6" t="s">
        <v>178</v>
      </c>
      <c r="D171" s="7">
        <v>682</v>
      </c>
      <c r="E171" s="6" t="s">
        <v>26</v>
      </c>
      <c r="F171" s="6" t="s">
        <v>23</v>
      </c>
      <c r="G171" s="7">
        <v>24</v>
      </c>
      <c r="H171" s="7">
        <v>9</v>
      </c>
      <c r="I171" s="8">
        <v>57929.81</v>
      </c>
      <c r="J171" s="7">
        <v>2</v>
      </c>
      <c r="K171" s="7">
        <v>0</v>
      </c>
      <c r="L171" s="7">
        <v>0</v>
      </c>
      <c r="M171" s="9">
        <v>53134.3</v>
      </c>
      <c r="N171" s="7">
        <v>0</v>
      </c>
    </row>
    <row r="172" spans="1:14" x14ac:dyDescent="0.25">
      <c r="A172" s="6">
        <v>171</v>
      </c>
      <c r="B172" s="7">
        <v>15587562</v>
      </c>
      <c r="C172" s="6" t="s">
        <v>179</v>
      </c>
      <c r="D172" s="7">
        <v>484</v>
      </c>
      <c r="E172" s="6" t="s">
        <v>754</v>
      </c>
      <c r="F172" s="6" t="s">
        <v>16</v>
      </c>
      <c r="G172" s="7">
        <v>29</v>
      </c>
      <c r="H172" s="7">
        <v>4</v>
      </c>
      <c r="I172" s="8">
        <v>130114.39</v>
      </c>
      <c r="J172" s="7">
        <v>1</v>
      </c>
      <c r="K172" s="7">
        <v>1</v>
      </c>
      <c r="L172" s="7">
        <v>0</v>
      </c>
      <c r="M172" s="9">
        <v>164017.89000000001</v>
      </c>
      <c r="N172" s="7">
        <v>0</v>
      </c>
    </row>
    <row r="173" spans="1:14" x14ac:dyDescent="0.25">
      <c r="A173" s="6">
        <v>172</v>
      </c>
      <c r="B173" s="7">
        <v>15613172</v>
      </c>
      <c r="C173" s="6" t="s">
        <v>180</v>
      </c>
      <c r="D173" s="7">
        <v>628</v>
      </c>
      <c r="E173" s="6" t="s">
        <v>26</v>
      </c>
      <c r="F173" s="6" t="s">
        <v>23</v>
      </c>
      <c r="G173" s="7">
        <v>27</v>
      </c>
      <c r="H173" s="7">
        <v>5</v>
      </c>
      <c r="I173" s="8">
        <v>95826.49</v>
      </c>
      <c r="J173" s="7">
        <v>2</v>
      </c>
      <c r="K173" s="7">
        <v>1</v>
      </c>
      <c r="L173" s="7">
        <v>0</v>
      </c>
      <c r="M173" s="9">
        <v>155996.96</v>
      </c>
      <c r="N173" s="7">
        <v>0</v>
      </c>
    </row>
    <row r="174" spans="1:14" x14ac:dyDescent="0.25">
      <c r="A174" s="6">
        <v>173</v>
      </c>
      <c r="B174" s="7">
        <v>15651022</v>
      </c>
      <c r="C174" s="6" t="s">
        <v>181</v>
      </c>
      <c r="D174" s="7">
        <v>480</v>
      </c>
      <c r="E174" s="6" t="s">
        <v>26</v>
      </c>
      <c r="F174" s="6" t="s">
        <v>23</v>
      </c>
      <c r="G174" s="7">
        <v>44</v>
      </c>
      <c r="H174" s="7">
        <v>10</v>
      </c>
      <c r="I174" s="8">
        <v>129608.57</v>
      </c>
      <c r="J174" s="7">
        <v>1</v>
      </c>
      <c r="K174" s="7">
        <v>1</v>
      </c>
      <c r="L174" s="7">
        <v>0</v>
      </c>
      <c r="M174" s="9">
        <v>5472.7</v>
      </c>
      <c r="N174" s="7">
        <v>1</v>
      </c>
    </row>
    <row r="175" spans="1:14" x14ac:dyDescent="0.25">
      <c r="A175" s="6">
        <v>174</v>
      </c>
      <c r="B175" s="7">
        <v>15586310</v>
      </c>
      <c r="C175" s="6" t="s">
        <v>182</v>
      </c>
      <c r="D175" s="7">
        <v>578</v>
      </c>
      <c r="E175" s="6" t="s">
        <v>754</v>
      </c>
      <c r="F175" s="6" t="s">
        <v>23</v>
      </c>
      <c r="G175" s="7">
        <v>30</v>
      </c>
      <c r="H175" s="7">
        <v>4</v>
      </c>
      <c r="I175" s="8">
        <v>169462.09</v>
      </c>
      <c r="J175" s="7">
        <v>1</v>
      </c>
      <c r="K175" s="7">
        <v>1</v>
      </c>
      <c r="L175" s="7">
        <v>0</v>
      </c>
      <c r="M175" s="9">
        <v>112187.11</v>
      </c>
      <c r="N175" s="7">
        <v>0</v>
      </c>
    </row>
    <row r="176" spans="1:14" x14ac:dyDescent="0.25">
      <c r="A176" s="6">
        <v>175</v>
      </c>
      <c r="B176" s="7">
        <v>15625524</v>
      </c>
      <c r="C176" s="6" t="s">
        <v>183</v>
      </c>
      <c r="D176" s="7">
        <v>512</v>
      </c>
      <c r="E176" s="6" t="s">
        <v>754</v>
      </c>
      <c r="F176" s="6" t="s">
        <v>23</v>
      </c>
      <c r="G176" s="7">
        <v>40</v>
      </c>
      <c r="H176" s="7">
        <v>5</v>
      </c>
      <c r="I176" s="8">
        <v>0</v>
      </c>
      <c r="J176" s="7">
        <v>2</v>
      </c>
      <c r="K176" s="7">
        <v>1</v>
      </c>
      <c r="L176" s="7">
        <v>1</v>
      </c>
      <c r="M176" s="9">
        <v>146457.82999999999</v>
      </c>
      <c r="N176" s="7">
        <v>0</v>
      </c>
    </row>
    <row r="177" spans="1:14" x14ac:dyDescent="0.25">
      <c r="A177" s="6">
        <v>176</v>
      </c>
      <c r="B177" s="7">
        <v>15755209</v>
      </c>
      <c r="C177" s="6" t="s">
        <v>117</v>
      </c>
      <c r="D177" s="7">
        <v>484</v>
      </c>
      <c r="E177" s="6" t="s">
        <v>755</v>
      </c>
      <c r="F177" s="6" t="s">
        <v>16</v>
      </c>
      <c r="G177" s="7">
        <v>35</v>
      </c>
      <c r="H177" s="7">
        <v>7</v>
      </c>
      <c r="I177" s="8">
        <v>133868.21</v>
      </c>
      <c r="J177" s="7">
        <v>1</v>
      </c>
      <c r="K177" s="7">
        <v>1</v>
      </c>
      <c r="L177" s="7">
        <v>1</v>
      </c>
      <c r="M177" s="9">
        <v>27286.1</v>
      </c>
      <c r="N177" s="7">
        <v>0</v>
      </c>
    </row>
    <row r="178" spans="1:14" x14ac:dyDescent="0.25">
      <c r="A178" s="6">
        <v>177</v>
      </c>
      <c r="B178" s="7">
        <v>15645248</v>
      </c>
      <c r="C178" s="6" t="s">
        <v>184</v>
      </c>
      <c r="D178" s="7">
        <v>510</v>
      </c>
      <c r="E178" s="6" t="s">
        <v>754</v>
      </c>
      <c r="F178" s="6" t="s">
        <v>16</v>
      </c>
      <c r="G178" s="7">
        <v>30</v>
      </c>
      <c r="H178" s="7">
        <v>0</v>
      </c>
      <c r="I178" s="8">
        <v>0</v>
      </c>
      <c r="J178" s="7">
        <v>2</v>
      </c>
      <c r="K178" s="7">
        <v>1</v>
      </c>
      <c r="L178" s="7">
        <v>1</v>
      </c>
      <c r="M178" s="9">
        <v>130553.47</v>
      </c>
      <c r="N178" s="7">
        <v>0</v>
      </c>
    </row>
    <row r="179" spans="1:14" x14ac:dyDescent="0.25">
      <c r="A179" s="6">
        <v>178</v>
      </c>
      <c r="B179" s="7">
        <v>15790355</v>
      </c>
      <c r="C179" s="6" t="s">
        <v>185</v>
      </c>
      <c r="D179" s="7">
        <v>606</v>
      </c>
      <c r="E179" s="6" t="s">
        <v>26</v>
      </c>
      <c r="F179" s="6" t="s">
        <v>23</v>
      </c>
      <c r="G179" s="7">
        <v>36</v>
      </c>
      <c r="H179" s="7">
        <v>5</v>
      </c>
      <c r="I179" s="8">
        <v>190479.48</v>
      </c>
      <c r="J179" s="7">
        <v>2</v>
      </c>
      <c r="K179" s="7">
        <v>0</v>
      </c>
      <c r="L179" s="7">
        <v>0</v>
      </c>
      <c r="M179" s="9">
        <v>179351.89</v>
      </c>
      <c r="N179" s="7">
        <v>0</v>
      </c>
    </row>
    <row r="180" spans="1:14" x14ac:dyDescent="0.25">
      <c r="A180" s="6">
        <v>179</v>
      </c>
      <c r="B180" s="7">
        <v>15762615</v>
      </c>
      <c r="C180" s="6" t="s">
        <v>186</v>
      </c>
      <c r="D180" s="7">
        <v>597</v>
      </c>
      <c r="E180" s="6" t="s">
        <v>755</v>
      </c>
      <c r="F180" s="6" t="s">
        <v>16</v>
      </c>
      <c r="G180" s="7">
        <v>40</v>
      </c>
      <c r="H180" s="7">
        <v>8</v>
      </c>
      <c r="I180" s="8">
        <v>101993.12</v>
      </c>
      <c r="J180" s="7">
        <v>1</v>
      </c>
      <c r="K180" s="7">
        <v>0</v>
      </c>
      <c r="L180" s="7">
        <v>1</v>
      </c>
      <c r="M180" s="9">
        <v>94774.12</v>
      </c>
      <c r="N180" s="7">
        <v>0</v>
      </c>
    </row>
    <row r="181" spans="1:14" x14ac:dyDescent="0.25">
      <c r="A181" s="6">
        <v>180</v>
      </c>
      <c r="B181" s="7">
        <v>15625426</v>
      </c>
      <c r="C181" s="6" t="s">
        <v>187</v>
      </c>
      <c r="D181" s="7">
        <v>754</v>
      </c>
      <c r="E181" s="6" t="s">
        <v>26</v>
      </c>
      <c r="F181" s="6" t="s">
        <v>16</v>
      </c>
      <c r="G181" s="7">
        <v>55</v>
      </c>
      <c r="H181" s="7">
        <v>3</v>
      </c>
      <c r="I181" s="8">
        <v>161608.81</v>
      </c>
      <c r="J181" s="7">
        <v>1</v>
      </c>
      <c r="K181" s="7">
        <v>1</v>
      </c>
      <c r="L181" s="7">
        <v>0</v>
      </c>
      <c r="M181" s="9">
        <v>8080.85</v>
      </c>
      <c r="N181" s="7">
        <v>1</v>
      </c>
    </row>
    <row r="182" spans="1:14" x14ac:dyDescent="0.25">
      <c r="A182" s="6">
        <v>181</v>
      </c>
      <c r="B182" s="7">
        <v>15716334</v>
      </c>
      <c r="C182" s="6" t="s">
        <v>188</v>
      </c>
      <c r="D182" s="7">
        <v>850</v>
      </c>
      <c r="E182" s="6" t="s">
        <v>755</v>
      </c>
      <c r="F182" s="6" t="s">
        <v>16</v>
      </c>
      <c r="G182" s="7">
        <v>45</v>
      </c>
      <c r="H182" s="7">
        <v>2</v>
      </c>
      <c r="I182" s="8">
        <v>122311.21</v>
      </c>
      <c r="J182" s="7">
        <v>1</v>
      </c>
      <c r="K182" s="7">
        <v>1</v>
      </c>
      <c r="L182" s="7">
        <v>1</v>
      </c>
      <c r="M182" s="9">
        <v>19482.5</v>
      </c>
      <c r="N182" s="7">
        <v>0</v>
      </c>
    </row>
    <row r="183" spans="1:14" x14ac:dyDescent="0.25">
      <c r="A183" s="6">
        <v>182</v>
      </c>
      <c r="B183" s="7">
        <v>15789669</v>
      </c>
      <c r="C183" s="6" t="s">
        <v>189</v>
      </c>
      <c r="D183" s="7">
        <v>510</v>
      </c>
      <c r="E183" s="6" t="s">
        <v>754</v>
      </c>
      <c r="F183" s="6" t="s">
        <v>23</v>
      </c>
      <c r="G183" s="7">
        <v>65</v>
      </c>
      <c r="H183" s="7">
        <v>2</v>
      </c>
      <c r="I183" s="8">
        <v>0</v>
      </c>
      <c r="J183" s="7">
        <v>2</v>
      </c>
      <c r="K183" s="7">
        <v>1</v>
      </c>
      <c r="L183" s="7">
        <v>1</v>
      </c>
      <c r="M183" s="9">
        <v>48071.61</v>
      </c>
      <c r="N183" s="7">
        <v>0</v>
      </c>
    </row>
    <row r="184" spans="1:14" x14ac:dyDescent="0.25">
      <c r="A184" s="6">
        <v>183</v>
      </c>
      <c r="B184" s="7">
        <v>15621075</v>
      </c>
      <c r="C184" s="6" t="s">
        <v>190</v>
      </c>
      <c r="D184" s="7">
        <v>778</v>
      </c>
      <c r="E184" s="6" t="s">
        <v>26</v>
      </c>
      <c r="F184" s="6" t="s">
        <v>16</v>
      </c>
      <c r="G184" s="7">
        <v>45</v>
      </c>
      <c r="H184" s="7">
        <v>1</v>
      </c>
      <c r="I184" s="8">
        <v>162150.42000000001</v>
      </c>
      <c r="J184" s="7">
        <v>2</v>
      </c>
      <c r="K184" s="7">
        <v>1</v>
      </c>
      <c r="L184" s="7">
        <v>0</v>
      </c>
      <c r="M184" s="9">
        <v>174531.27</v>
      </c>
      <c r="N184" s="7">
        <v>0</v>
      </c>
    </row>
    <row r="185" spans="1:14" x14ac:dyDescent="0.25">
      <c r="A185" s="6">
        <v>184</v>
      </c>
      <c r="B185" s="7">
        <v>15810845</v>
      </c>
      <c r="C185" s="6" t="s">
        <v>125</v>
      </c>
      <c r="D185" s="7">
        <v>636</v>
      </c>
      <c r="E185" s="6" t="s">
        <v>754</v>
      </c>
      <c r="F185" s="6" t="s">
        <v>23</v>
      </c>
      <c r="G185" s="7">
        <v>42</v>
      </c>
      <c r="H185" s="7">
        <v>2</v>
      </c>
      <c r="I185" s="8">
        <v>0</v>
      </c>
      <c r="J185" s="7">
        <v>2</v>
      </c>
      <c r="K185" s="7">
        <v>1</v>
      </c>
      <c r="L185" s="7">
        <v>1</v>
      </c>
      <c r="M185" s="9">
        <v>55470.78</v>
      </c>
      <c r="N185" s="7">
        <v>0</v>
      </c>
    </row>
    <row r="186" spans="1:14" x14ac:dyDescent="0.25">
      <c r="A186" s="6">
        <v>185</v>
      </c>
      <c r="B186" s="7">
        <v>15719377</v>
      </c>
      <c r="C186" s="6" t="s">
        <v>144</v>
      </c>
      <c r="D186" s="7">
        <v>804</v>
      </c>
      <c r="E186" s="6" t="s">
        <v>754</v>
      </c>
      <c r="F186" s="6" t="s">
        <v>16</v>
      </c>
      <c r="G186" s="7">
        <v>50</v>
      </c>
      <c r="H186" s="7">
        <v>4</v>
      </c>
      <c r="I186" s="8">
        <v>0</v>
      </c>
      <c r="J186" s="7">
        <v>1</v>
      </c>
      <c r="K186" s="7">
        <v>1</v>
      </c>
      <c r="L186" s="7">
        <v>1</v>
      </c>
      <c r="M186" s="9">
        <v>8546.8700000000008</v>
      </c>
      <c r="N186" s="7">
        <v>1</v>
      </c>
    </row>
    <row r="187" spans="1:14" x14ac:dyDescent="0.25">
      <c r="A187" s="6">
        <v>186</v>
      </c>
      <c r="B187" s="7">
        <v>15654506</v>
      </c>
      <c r="C187" s="6" t="s">
        <v>191</v>
      </c>
      <c r="D187" s="7">
        <v>514</v>
      </c>
      <c r="E187" s="6" t="s">
        <v>754</v>
      </c>
      <c r="F187" s="6" t="s">
        <v>23</v>
      </c>
      <c r="G187" s="7">
        <v>32</v>
      </c>
      <c r="H187" s="7">
        <v>8</v>
      </c>
      <c r="I187" s="8">
        <v>0</v>
      </c>
      <c r="J187" s="7">
        <v>2</v>
      </c>
      <c r="K187" s="7">
        <v>1</v>
      </c>
      <c r="L187" s="7">
        <v>0</v>
      </c>
      <c r="M187" s="9">
        <v>95857.18</v>
      </c>
      <c r="N187" s="7">
        <v>0</v>
      </c>
    </row>
    <row r="188" spans="1:14" x14ac:dyDescent="0.25">
      <c r="A188" s="6">
        <v>187</v>
      </c>
      <c r="B188" s="7">
        <v>15771977</v>
      </c>
      <c r="C188" s="6" t="s">
        <v>192</v>
      </c>
      <c r="D188" s="7">
        <v>730</v>
      </c>
      <c r="E188" s="6" t="s">
        <v>754</v>
      </c>
      <c r="F188" s="6" t="s">
        <v>16</v>
      </c>
      <c r="G188" s="7">
        <v>39</v>
      </c>
      <c r="H188" s="7">
        <v>1</v>
      </c>
      <c r="I188" s="8">
        <v>99010.67</v>
      </c>
      <c r="J188" s="7">
        <v>1</v>
      </c>
      <c r="K188" s="7">
        <v>1</v>
      </c>
      <c r="L188" s="7">
        <v>0</v>
      </c>
      <c r="M188" s="9">
        <v>194945.8</v>
      </c>
      <c r="N188" s="7">
        <v>0</v>
      </c>
    </row>
    <row r="189" spans="1:14" x14ac:dyDescent="0.25">
      <c r="A189" s="6">
        <v>188</v>
      </c>
      <c r="B189" s="7">
        <v>15708710</v>
      </c>
      <c r="C189" s="6" t="s">
        <v>193</v>
      </c>
      <c r="D189" s="7">
        <v>525</v>
      </c>
      <c r="E189" s="6" t="s">
        <v>755</v>
      </c>
      <c r="F189" s="6" t="s">
        <v>16</v>
      </c>
      <c r="G189" s="7">
        <v>37</v>
      </c>
      <c r="H189" s="7">
        <v>0</v>
      </c>
      <c r="I189" s="8">
        <v>0</v>
      </c>
      <c r="J189" s="7">
        <v>1</v>
      </c>
      <c r="K189" s="7">
        <v>0</v>
      </c>
      <c r="L189" s="7">
        <v>1</v>
      </c>
      <c r="M189" s="9">
        <v>131521.72</v>
      </c>
      <c r="N189" s="7">
        <v>0</v>
      </c>
    </row>
    <row r="190" spans="1:14" x14ac:dyDescent="0.25">
      <c r="A190" s="6">
        <v>189</v>
      </c>
      <c r="B190" s="7">
        <v>15726676</v>
      </c>
      <c r="C190" s="6" t="s">
        <v>194</v>
      </c>
      <c r="D190" s="7">
        <v>616</v>
      </c>
      <c r="E190" s="6" t="s">
        <v>755</v>
      </c>
      <c r="F190" s="6" t="s">
        <v>23</v>
      </c>
      <c r="G190" s="7">
        <v>30</v>
      </c>
      <c r="H190" s="7">
        <v>5</v>
      </c>
      <c r="I190" s="8">
        <v>0</v>
      </c>
      <c r="J190" s="7">
        <v>2</v>
      </c>
      <c r="K190" s="7">
        <v>0</v>
      </c>
      <c r="L190" s="7">
        <v>1</v>
      </c>
      <c r="M190" s="9">
        <v>196108.51</v>
      </c>
      <c r="N190" s="7">
        <v>0</v>
      </c>
    </row>
    <row r="191" spans="1:14" x14ac:dyDescent="0.25">
      <c r="A191" s="6">
        <v>190</v>
      </c>
      <c r="B191" s="7">
        <v>15587421</v>
      </c>
      <c r="C191" s="6" t="s">
        <v>195</v>
      </c>
      <c r="D191" s="7">
        <v>687</v>
      </c>
      <c r="E191" s="6" t="s">
        <v>26</v>
      </c>
      <c r="F191" s="6" t="s">
        <v>16</v>
      </c>
      <c r="G191" s="7">
        <v>34</v>
      </c>
      <c r="H191" s="7">
        <v>7</v>
      </c>
      <c r="I191" s="8">
        <v>111388.18</v>
      </c>
      <c r="J191" s="7">
        <v>2</v>
      </c>
      <c r="K191" s="7">
        <v>1</v>
      </c>
      <c r="L191" s="7">
        <v>0</v>
      </c>
      <c r="M191" s="9">
        <v>148564.76</v>
      </c>
      <c r="N191" s="7">
        <v>0</v>
      </c>
    </row>
    <row r="192" spans="1:14" x14ac:dyDescent="0.25">
      <c r="A192" s="6">
        <v>191</v>
      </c>
      <c r="B192" s="7">
        <v>15726931</v>
      </c>
      <c r="C192" s="6" t="s">
        <v>196</v>
      </c>
      <c r="D192" s="7">
        <v>715</v>
      </c>
      <c r="E192" s="6" t="s">
        <v>754</v>
      </c>
      <c r="F192" s="6" t="s">
        <v>16</v>
      </c>
      <c r="G192" s="7">
        <v>41</v>
      </c>
      <c r="H192" s="7">
        <v>8</v>
      </c>
      <c r="I192" s="8">
        <v>56214.85</v>
      </c>
      <c r="J192" s="7">
        <v>2</v>
      </c>
      <c r="K192" s="7">
        <v>0</v>
      </c>
      <c r="L192" s="7">
        <v>0</v>
      </c>
      <c r="M192" s="9">
        <v>92982.61</v>
      </c>
      <c r="N192" s="7">
        <v>1</v>
      </c>
    </row>
    <row r="193" spans="1:14" x14ac:dyDescent="0.25">
      <c r="A193" s="6">
        <v>192</v>
      </c>
      <c r="B193" s="7">
        <v>15771086</v>
      </c>
      <c r="C193" s="6" t="s">
        <v>113</v>
      </c>
      <c r="D193" s="7">
        <v>512</v>
      </c>
      <c r="E193" s="6" t="s">
        <v>754</v>
      </c>
      <c r="F193" s="6" t="s">
        <v>16</v>
      </c>
      <c r="G193" s="7">
        <v>36</v>
      </c>
      <c r="H193" s="7">
        <v>3</v>
      </c>
      <c r="I193" s="8">
        <v>84327.77</v>
      </c>
      <c r="J193" s="7">
        <v>2</v>
      </c>
      <c r="K193" s="7">
        <v>1</v>
      </c>
      <c r="L193" s="7">
        <v>0</v>
      </c>
      <c r="M193" s="9">
        <v>17675.36</v>
      </c>
      <c r="N193" s="7">
        <v>0</v>
      </c>
    </row>
    <row r="194" spans="1:14" x14ac:dyDescent="0.25">
      <c r="A194" s="6">
        <v>193</v>
      </c>
      <c r="B194" s="7">
        <v>15756850</v>
      </c>
      <c r="C194" s="6" t="s">
        <v>197</v>
      </c>
      <c r="D194" s="7">
        <v>479</v>
      </c>
      <c r="E194" s="6" t="s">
        <v>754</v>
      </c>
      <c r="F194" s="6" t="s">
        <v>23</v>
      </c>
      <c r="G194" s="7">
        <v>40</v>
      </c>
      <c r="H194" s="7">
        <v>1</v>
      </c>
      <c r="I194" s="8">
        <v>0</v>
      </c>
      <c r="J194" s="7">
        <v>2</v>
      </c>
      <c r="K194" s="7">
        <v>0</v>
      </c>
      <c r="L194" s="7">
        <v>0</v>
      </c>
      <c r="M194" s="9">
        <v>114996.43</v>
      </c>
      <c r="N194" s="7">
        <v>0</v>
      </c>
    </row>
    <row r="195" spans="1:14" x14ac:dyDescent="0.25">
      <c r="A195" s="6">
        <v>194</v>
      </c>
      <c r="B195" s="7">
        <v>15702741</v>
      </c>
      <c r="C195" s="6" t="s">
        <v>198</v>
      </c>
      <c r="D195" s="7">
        <v>601</v>
      </c>
      <c r="E195" s="6" t="s">
        <v>754</v>
      </c>
      <c r="F195" s="6" t="s">
        <v>23</v>
      </c>
      <c r="G195" s="7">
        <v>32</v>
      </c>
      <c r="H195" s="7">
        <v>8</v>
      </c>
      <c r="I195" s="8">
        <v>93012.89</v>
      </c>
      <c r="J195" s="7">
        <v>1</v>
      </c>
      <c r="K195" s="7">
        <v>1</v>
      </c>
      <c r="L195" s="7">
        <v>0</v>
      </c>
      <c r="M195" s="9">
        <v>86957.42</v>
      </c>
      <c r="N195" s="7">
        <v>0</v>
      </c>
    </row>
    <row r="196" spans="1:14" x14ac:dyDescent="0.25">
      <c r="A196" s="6">
        <v>195</v>
      </c>
      <c r="B196" s="7">
        <v>15679200</v>
      </c>
      <c r="C196" s="6" t="s">
        <v>199</v>
      </c>
      <c r="D196" s="7">
        <v>580</v>
      </c>
      <c r="E196" s="6" t="s">
        <v>755</v>
      </c>
      <c r="F196" s="6" t="s">
        <v>23</v>
      </c>
      <c r="G196" s="7">
        <v>29</v>
      </c>
      <c r="H196" s="7">
        <v>9</v>
      </c>
      <c r="I196" s="8">
        <v>61710.44</v>
      </c>
      <c r="J196" s="7">
        <v>2</v>
      </c>
      <c r="K196" s="7">
        <v>1</v>
      </c>
      <c r="L196" s="7">
        <v>0</v>
      </c>
      <c r="M196" s="9">
        <v>128077.8</v>
      </c>
      <c r="N196" s="7">
        <v>0</v>
      </c>
    </row>
    <row r="197" spans="1:14" x14ac:dyDescent="0.25">
      <c r="A197" s="6">
        <v>196</v>
      </c>
      <c r="B197" s="7">
        <v>15594815</v>
      </c>
      <c r="C197" s="6" t="s">
        <v>200</v>
      </c>
      <c r="D197" s="7">
        <v>807</v>
      </c>
      <c r="E197" s="6" t="s">
        <v>754</v>
      </c>
      <c r="F197" s="6" t="s">
        <v>23</v>
      </c>
      <c r="G197" s="7">
        <v>35</v>
      </c>
      <c r="H197" s="7">
        <v>3</v>
      </c>
      <c r="I197" s="8">
        <v>174790.15</v>
      </c>
      <c r="J197" s="7">
        <v>1</v>
      </c>
      <c r="K197" s="7">
        <v>1</v>
      </c>
      <c r="L197" s="7">
        <v>1</v>
      </c>
      <c r="M197" s="9">
        <v>600.36</v>
      </c>
      <c r="N197" s="7">
        <v>0</v>
      </c>
    </row>
    <row r="198" spans="1:14" x14ac:dyDescent="0.25">
      <c r="A198" s="6">
        <v>197</v>
      </c>
      <c r="B198" s="7">
        <v>15635905</v>
      </c>
      <c r="C198" s="6" t="s">
        <v>201</v>
      </c>
      <c r="D198" s="7">
        <v>616</v>
      </c>
      <c r="E198" s="6" t="s">
        <v>755</v>
      </c>
      <c r="F198" s="6" t="s">
        <v>16</v>
      </c>
      <c r="G198" s="7">
        <v>32</v>
      </c>
      <c r="H198" s="7">
        <v>6</v>
      </c>
      <c r="I198" s="8">
        <v>0</v>
      </c>
      <c r="J198" s="7">
        <v>2</v>
      </c>
      <c r="K198" s="7">
        <v>1</v>
      </c>
      <c r="L198" s="7">
        <v>1</v>
      </c>
      <c r="M198" s="9">
        <v>43001.46</v>
      </c>
      <c r="N198" s="7">
        <v>0</v>
      </c>
    </row>
    <row r="199" spans="1:14" x14ac:dyDescent="0.25">
      <c r="A199" s="6">
        <v>198</v>
      </c>
      <c r="B199" s="7">
        <v>15777892</v>
      </c>
      <c r="C199" s="6" t="s">
        <v>202</v>
      </c>
      <c r="D199" s="7">
        <v>721</v>
      </c>
      <c r="E199" s="6" t="s">
        <v>26</v>
      </c>
      <c r="F199" s="6" t="s">
        <v>23</v>
      </c>
      <c r="G199" s="7">
        <v>37</v>
      </c>
      <c r="H199" s="7">
        <v>3</v>
      </c>
      <c r="I199" s="8">
        <v>107720.64</v>
      </c>
      <c r="J199" s="7">
        <v>1</v>
      </c>
      <c r="K199" s="7">
        <v>1</v>
      </c>
      <c r="L199" s="7">
        <v>1</v>
      </c>
      <c r="M199" s="9">
        <v>158591.12</v>
      </c>
      <c r="N199" s="7">
        <v>0</v>
      </c>
    </row>
    <row r="200" spans="1:14" x14ac:dyDescent="0.25">
      <c r="A200" s="6">
        <v>199</v>
      </c>
      <c r="B200" s="7">
        <v>15656176</v>
      </c>
      <c r="C200" s="6" t="s">
        <v>203</v>
      </c>
      <c r="D200" s="7">
        <v>501</v>
      </c>
      <c r="E200" s="6" t="s">
        <v>754</v>
      </c>
      <c r="F200" s="6" t="s">
        <v>23</v>
      </c>
      <c r="G200" s="7">
        <v>57</v>
      </c>
      <c r="H200" s="7">
        <v>10</v>
      </c>
      <c r="I200" s="8">
        <v>0</v>
      </c>
      <c r="J200" s="7">
        <v>2</v>
      </c>
      <c r="K200" s="7">
        <v>1</v>
      </c>
      <c r="L200" s="7">
        <v>1</v>
      </c>
      <c r="M200" s="9">
        <v>47847.19</v>
      </c>
      <c r="N200" s="7">
        <v>0</v>
      </c>
    </row>
    <row r="201" spans="1:14" x14ac:dyDescent="0.25">
      <c r="A201" s="6">
        <v>200</v>
      </c>
      <c r="B201" s="7">
        <v>15811127</v>
      </c>
      <c r="C201" s="6" t="s">
        <v>204</v>
      </c>
      <c r="D201" s="7">
        <v>521</v>
      </c>
      <c r="E201" s="6" t="s">
        <v>754</v>
      </c>
      <c r="F201" s="6" t="s">
        <v>23</v>
      </c>
      <c r="G201" s="7">
        <v>35</v>
      </c>
      <c r="H201" s="7">
        <v>6</v>
      </c>
      <c r="I201" s="8">
        <v>96423.84</v>
      </c>
      <c r="J201" s="7">
        <v>1</v>
      </c>
      <c r="K201" s="7">
        <v>1</v>
      </c>
      <c r="L201" s="7">
        <v>0</v>
      </c>
      <c r="M201" s="9">
        <v>10488.44</v>
      </c>
      <c r="N201" s="7">
        <v>0</v>
      </c>
    </row>
    <row r="202" spans="1:14" x14ac:dyDescent="0.25">
      <c r="A202" s="6">
        <v>201</v>
      </c>
      <c r="B202" s="7">
        <v>15604482</v>
      </c>
      <c r="C202" s="6" t="s">
        <v>205</v>
      </c>
      <c r="D202" s="7">
        <v>850</v>
      </c>
      <c r="E202" s="6" t="s">
        <v>755</v>
      </c>
      <c r="F202" s="6" t="s">
        <v>23</v>
      </c>
      <c r="G202" s="7">
        <v>30</v>
      </c>
      <c r="H202" s="7">
        <v>2</v>
      </c>
      <c r="I202" s="8">
        <v>141040.01</v>
      </c>
      <c r="J202" s="7">
        <v>1</v>
      </c>
      <c r="K202" s="7">
        <v>1</v>
      </c>
      <c r="L202" s="7">
        <v>1</v>
      </c>
      <c r="M202" s="9">
        <v>5978.2</v>
      </c>
      <c r="N202" s="7">
        <v>0</v>
      </c>
    </row>
    <row r="203" spans="1:14" x14ac:dyDescent="0.25">
      <c r="A203" s="6">
        <v>202</v>
      </c>
      <c r="B203" s="7">
        <v>15622911</v>
      </c>
      <c r="C203" s="6" t="s">
        <v>206</v>
      </c>
      <c r="D203" s="7">
        <v>759</v>
      </c>
      <c r="E203" s="6" t="s">
        <v>754</v>
      </c>
      <c r="F203" s="6" t="s">
        <v>23</v>
      </c>
      <c r="G203" s="7">
        <v>42</v>
      </c>
      <c r="H203" s="7">
        <v>4</v>
      </c>
      <c r="I203" s="8">
        <v>105420.18</v>
      </c>
      <c r="J203" s="7">
        <v>1</v>
      </c>
      <c r="K203" s="7">
        <v>0</v>
      </c>
      <c r="L203" s="7">
        <v>1</v>
      </c>
      <c r="M203" s="9">
        <v>121409.06</v>
      </c>
      <c r="N203" s="7">
        <v>0</v>
      </c>
    </row>
    <row r="204" spans="1:14" x14ac:dyDescent="0.25">
      <c r="A204" s="6">
        <v>203</v>
      </c>
      <c r="B204" s="7">
        <v>15600974</v>
      </c>
      <c r="C204" s="6" t="s">
        <v>27</v>
      </c>
      <c r="D204" s="7">
        <v>516</v>
      </c>
      <c r="E204" s="6" t="s">
        <v>755</v>
      </c>
      <c r="F204" s="6" t="s">
        <v>23</v>
      </c>
      <c r="G204" s="7">
        <v>50</v>
      </c>
      <c r="H204" s="7">
        <v>5</v>
      </c>
      <c r="I204" s="8">
        <v>0</v>
      </c>
      <c r="J204" s="7">
        <v>1</v>
      </c>
      <c r="K204" s="7">
        <v>0</v>
      </c>
      <c r="L204" s="7">
        <v>1</v>
      </c>
      <c r="M204" s="9">
        <v>146145.93</v>
      </c>
      <c r="N204" s="7">
        <v>1</v>
      </c>
    </row>
    <row r="205" spans="1:14" x14ac:dyDescent="0.25">
      <c r="A205" s="6">
        <v>204</v>
      </c>
      <c r="B205" s="7">
        <v>15727868</v>
      </c>
      <c r="C205" s="6" t="s">
        <v>207</v>
      </c>
      <c r="D205" s="7">
        <v>711</v>
      </c>
      <c r="E205" s="6" t="s">
        <v>754</v>
      </c>
      <c r="F205" s="6" t="s">
        <v>16</v>
      </c>
      <c r="G205" s="7">
        <v>38</v>
      </c>
      <c r="H205" s="7">
        <v>2</v>
      </c>
      <c r="I205" s="8">
        <v>129022.06</v>
      </c>
      <c r="J205" s="7">
        <v>2</v>
      </c>
      <c r="K205" s="7">
        <v>1</v>
      </c>
      <c r="L205" s="7">
        <v>1</v>
      </c>
      <c r="M205" s="9">
        <v>14374.86</v>
      </c>
      <c r="N205" s="7">
        <v>1</v>
      </c>
    </row>
    <row r="206" spans="1:14" x14ac:dyDescent="0.25">
      <c r="A206" s="6">
        <v>205</v>
      </c>
      <c r="B206" s="7">
        <v>15627801</v>
      </c>
      <c r="C206" s="6" t="s">
        <v>208</v>
      </c>
      <c r="D206" s="7"/>
      <c r="E206" s="6" t="s">
        <v>755</v>
      </c>
      <c r="F206" s="6" t="s">
        <v>23</v>
      </c>
      <c r="G206" s="7">
        <v>33</v>
      </c>
      <c r="H206" s="7">
        <v>3</v>
      </c>
      <c r="I206" s="8">
        <v>176666.62</v>
      </c>
      <c r="J206" s="7">
        <v>1</v>
      </c>
      <c r="K206" s="7">
        <v>1</v>
      </c>
      <c r="L206" s="7">
        <v>0</v>
      </c>
      <c r="M206" s="9">
        <v>94670.77</v>
      </c>
      <c r="N206" s="7">
        <v>0</v>
      </c>
    </row>
    <row r="207" spans="1:14" x14ac:dyDescent="0.25">
      <c r="A207" s="6">
        <v>206</v>
      </c>
      <c r="B207" s="7">
        <v>15773039</v>
      </c>
      <c r="C207" s="6" t="s">
        <v>209</v>
      </c>
      <c r="D207" s="7">
        <v>550</v>
      </c>
      <c r="E207" s="6" t="s">
        <v>754</v>
      </c>
      <c r="F207" s="6" t="s">
        <v>23</v>
      </c>
      <c r="G207" s="7">
        <v>37</v>
      </c>
      <c r="H207" s="7">
        <v>3</v>
      </c>
      <c r="I207" s="8">
        <v>0</v>
      </c>
      <c r="J207" s="7">
        <v>1</v>
      </c>
      <c r="K207" s="7">
        <v>1</v>
      </c>
      <c r="L207" s="7">
        <v>1</v>
      </c>
      <c r="M207" s="9">
        <v>179670.31</v>
      </c>
      <c r="N207" s="7">
        <v>0</v>
      </c>
    </row>
    <row r="208" spans="1:14" x14ac:dyDescent="0.25">
      <c r="A208" s="6">
        <v>207</v>
      </c>
      <c r="B208" s="7">
        <v>15755262</v>
      </c>
      <c r="C208" s="6" t="s">
        <v>39</v>
      </c>
      <c r="D208" s="7">
        <v>608</v>
      </c>
      <c r="E208" s="6" t="s">
        <v>755</v>
      </c>
      <c r="F208" s="6" t="s">
        <v>16</v>
      </c>
      <c r="G208" s="7">
        <v>41</v>
      </c>
      <c r="H208" s="7">
        <v>3</v>
      </c>
      <c r="I208" s="8">
        <v>89763.839999999997</v>
      </c>
      <c r="J208" s="7">
        <v>1</v>
      </c>
      <c r="K208" s="7">
        <v>0</v>
      </c>
      <c r="L208" s="7">
        <v>0</v>
      </c>
      <c r="M208" s="9">
        <v>199304.74</v>
      </c>
      <c r="N208" s="7">
        <v>1</v>
      </c>
    </row>
    <row r="209" spans="1:14" x14ac:dyDescent="0.25">
      <c r="A209" s="6">
        <v>208</v>
      </c>
      <c r="B209" s="7">
        <v>15679531</v>
      </c>
      <c r="C209" s="6" t="s">
        <v>210</v>
      </c>
      <c r="D209" s="7">
        <v>618</v>
      </c>
      <c r="E209" s="6" t="s">
        <v>754</v>
      </c>
      <c r="F209" s="6" t="s">
        <v>23</v>
      </c>
      <c r="G209" s="7">
        <v>34</v>
      </c>
      <c r="H209" s="7">
        <v>5</v>
      </c>
      <c r="I209" s="8">
        <v>134954.53</v>
      </c>
      <c r="J209" s="7">
        <v>1</v>
      </c>
      <c r="K209" s="7">
        <v>1</v>
      </c>
      <c r="L209" s="7">
        <v>1</v>
      </c>
      <c r="M209" s="9">
        <v>151954.39000000001</v>
      </c>
      <c r="N209" s="7">
        <v>0</v>
      </c>
    </row>
    <row r="210" spans="1:14" x14ac:dyDescent="0.25">
      <c r="A210" s="6">
        <v>209</v>
      </c>
      <c r="B210" s="7">
        <v>15684181</v>
      </c>
      <c r="C210" s="6" t="s">
        <v>211</v>
      </c>
      <c r="D210" s="7">
        <v>643</v>
      </c>
      <c r="E210" s="6" t="s">
        <v>754</v>
      </c>
      <c r="F210" s="6" t="s">
        <v>23</v>
      </c>
      <c r="G210" s="7">
        <v>45</v>
      </c>
      <c r="H210" s="7">
        <v>5</v>
      </c>
      <c r="I210" s="8">
        <v>0</v>
      </c>
      <c r="J210" s="7">
        <v>1</v>
      </c>
      <c r="K210" s="7">
        <v>1</v>
      </c>
      <c r="L210" s="7">
        <v>0</v>
      </c>
      <c r="M210" s="9">
        <v>142513.5</v>
      </c>
      <c r="N210" s="7">
        <v>1</v>
      </c>
    </row>
    <row r="211" spans="1:14" x14ac:dyDescent="0.25">
      <c r="A211" s="6">
        <v>210</v>
      </c>
      <c r="B211" s="7">
        <v>15612087</v>
      </c>
      <c r="C211" s="6" t="s">
        <v>212</v>
      </c>
      <c r="D211" s="7">
        <v>671</v>
      </c>
      <c r="E211" s="6" t="s">
        <v>754</v>
      </c>
      <c r="F211" s="6" t="s">
        <v>23</v>
      </c>
      <c r="G211" s="7">
        <v>45</v>
      </c>
      <c r="H211" s="7">
        <v>2</v>
      </c>
      <c r="I211" s="8">
        <v>106376.85</v>
      </c>
      <c r="J211" s="7">
        <v>1</v>
      </c>
      <c r="K211" s="7">
        <v>0</v>
      </c>
      <c r="L211" s="7">
        <v>1</v>
      </c>
      <c r="M211" s="9">
        <v>158264.62</v>
      </c>
      <c r="N211" s="7">
        <v>0</v>
      </c>
    </row>
    <row r="212" spans="1:14" x14ac:dyDescent="0.25">
      <c r="A212" s="6">
        <v>211</v>
      </c>
      <c r="B212" s="7">
        <v>15752047</v>
      </c>
      <c r="C212" s="6"/>
      <c r="D212" s="7">
        <v>689</v>
      </c>
      <c r="E212" s="6" t="s">
        <v>758</v>
      </c>
      <c r="F212" s="6" t="s">
        <v>23</v>
      </c>
      <c r="G212" s="7">
        <v>33</v>
      </c>
      <c r="H212" s="7">
        <v>2</v>
      </c>
      <c r="I212" s="8">
        <v>161814.64000000001</v>
      </c>
      <c r="J212" s="7">
        <v>2</v>
      </c>
      <c r="K212" s="7">
        <v>1</v>
      </c>
      <c r="L212" s="7">
        <v>0</v>
      </c>
      <c r="M212" s="9">
        <v>169381.9</v>
      </c>
      <c r="N212" s="7">
        <v>0</v>
      </c>
    </row>
    <row r="213" spans="1:14" x14ac:dyDescent="0.25">
      <c r="A213" s="6">
        <v>212</v>
      </c>
      <c r="B213" s="7">
        <v>15624592</v>
      </c>
      <c r="C213" s="6" t="s">
        <v>213</v>
      </c>
      <c r="D213" s="7">
        <v>603</v>
      </c>
      <c r="E213" s="6" t="s">
        <v>754</v>
      </c>
      <c r="F213" s="6" t="s">
        <v>23</v>
      </c>
      <c r="G213" s="7">
        <v>31</v>
      </c>
      <c r="H213" s="7">
        <v>8</v>
      </c>
      <c r="I213" s="8">
        <v>0</v>
      </c>
      <c r="J213" s="7">
        <v>2</v>
      </c>
      <c r="K213" s="7">
        <v>1</v>
      </c>
      <c r="L213" s="7">
        <v>1</v>
      </c>
      <c r="M213" s="9">
        <v>169915.02</v>
      </c>
      <c r="N213" s="7">
        <v>0</v>
      </c>
    </row>
    <row r="214" spans="1:14" x14ac:dyDescent="0.25">
      <c r="A214" s="6">
        <v>213</v>
      </c>
      <c r="B214" s="7">
        <v>15573152</v>
      </c>
      <c r="C214" s="6" t="s">
        <v>214</v>
      </c>
      <c r="D214" s="7">
        <v>620</v>
      </c>
      <c r="E214" s="6" t="s">
        <v>754</v>
      </c>
      <c r="F214" s="6" t="s">
        <v>16</v>
      </c>
      <c r="G214" s="7">
        <v>41</v>
      </c>
      <c r="H214" s="7">
        <v>9</v>
      </c>
      <c r="I214" s="8">
        <v>0</v>
      </c>
      <c r="J214" s="7">
        <v>2</v>
      </c>
      <c r="K214" s="7">
        <v>0</v>
      </c>
      <c r="L214" s="7">
        <v>0</v>
      </c>
      <c r="M214" s="9">
        <v>88852.47</v>
      </c>
      <c r="N214" s="7">
        <v>0</v>
      </c>
    </row>
    <row r="215" spans="1:14" x14ac:dyDescent="0.25">
      <c r="A215" s="6">
        <v>214</v>
      </c>
      <c r="B215" s="7">
        <v>15594917</v>
      </c>
      <c r="C215" s="6" t="s">
        <v>215</v>
      </c>
      <c r="D215" s="7">
        <v>676</v>
      </c>
      <c r="E215" s="6" t="s">
        <v>754</v>
      </c>
      <c r="F215" s="6" t="s">
        <v>16</v>
      </c>
      <c r="G215" s="7">
        <v>34</v>
      </c>
      <c r="H215" s="7">
        <v>1</v>
      </c>
      <c r="I215" s="8">
        <v>63095.01</v>
      </c>
      <c r="J215" s="7">
        <v>1</v>
      </c>
      <c r="K215" s="7">
        <v>1</v>
      </c>
      <c r="L215" s="7">
        <v>1</v>
      </c>
      <c r="M215" s="9">
        <v>40645.81</v>
      </c>
      <c r="N215" s="7">
        <v>0</v>
      </c>
    </row>
    <row r="216" spans="1:14" x14ac:dyDescent="0.25">
      <c r="A216" s="6">
        <v>215</v>
      </c>
      <c r="B216" s="7">
        <v>15785542</v>
      </c>
      <c r="C216" s="6" t="s">
        <v>216</v>
      </c>
      <c r="D216" s="7"/>
      <c r="E216" s="6" t="s">
        <v>758</v>
      </c>
      <c r="F216" s="6" t="s">
        <v>23</v>
      </c>
      <c r="G216" s="7">
        <v>26</v>
      </c>
      <c r="H216" s="7">
        <v>4</v>
      </c>
      <c r="I216" s="8">
        <v>118287.01</v>
      </c>
      <c r="J216" s="7">
        <v>2</v>
      </c>
      <c r="K216" s="7">
        <v>0</v>
      </c>
      <c r="L216" s="7">
        <v>0</v>
      </c>
      <c r="M216" s="9" t="s">
        <v>753</v>
      </c>
      <c r="N216" s="7">
        <v>0</v>
      </c>
    </row>
    <row r="217" spans="1:14" x14ac:dyDescent="0.25">
      <c r="A217" s="6">
        <v>216</v>
      </c>
      <c r="B217" s="7">
        <v>15723488</v>
      </c>
      <c r="C217" s="6" t="s">
        <v>55</v>
      </c>
      <c r="D217" s="7">
        <v>668</v>
      </c>
      <c r="E217" s="6" t="s">
        <v>758</v>
      </c>
      <c r="F217" s="6" t="s">
        <v>23</v>
      </c>
      <c r="G217" s="7">
        <v>47</v>
      </c>
      <c r="H217" s="7">
        <v>7</v>
      </c>
      <c r="I217" s="8">
        <v>106854.21</v>
      </c>
      <c r="J217" s="7">
        <v>1</v>
      </c>
      <c r="K217" s="7">
        <v>0</v>
      </c>
      <c r="L217" s="7">
        <v>1</v>
      </c>
      <c r="M217" s="9">
        <v>157959.01999999999</v>
      </c>
      <c r="N217" s="7">
        <v>1</v>
      </c>
    </row>
    <row r="218" spans="1:14" x14ac:dyDescent="0.25">
      <c r="A218" s="6">
        <v>217</v>
      </c>
      <c r="B218" s="7">
        <v>15680920</v>
      </c>
      <c r="C218" s="6" t="s">
        <v>217</v>
      </c>
      <c r="D218" s="7">
        <v>695</v>
      </c>
      <c r="E218" s="6" t="s">
        <v>754</v>
      </c>
      <c r="F218" s="6" t="s">
        <v>23</v>
      </c>
      <c r="G218" s="7">
        <v>46</v>
      </c>
      <c r="H218" s="7">
        <v>7</v>
      </c>
      <c r="I218" s="8">
        <v>49512.55</v>
      </c>
      <c r="J218" s="7">
        <v>1</v>
      </c>
      <c r="K218" s="7">
        <v>1</v>
      </c>
      <c r="L218" s="7">
        <v>0</v>
      </c>
      <c r="M218" s="9">
        <v>133007.34</v>
      </c>
      <c r="N218" s="7">
        <v>0</v>
      </c>
    </row>
    <row r="219" spans="1:14" x14ac:dyDescent="0.25">
      <c r="A219" s="6">
        <v>218</v>
      </c>
      <c r="B219" s="7">
        <v>15786308</v>
      </c>
      <c r="C219" s="6" t="s">
        <v>218</v>
      </c>
      <c r="D219" s="7">
        <v>730</v>
      </c>
      <c r="E219" s="6" t="s">
        <v>755</v>
      </c>
      <c r="F219" s="6" t="s">
        <v>16</v>
      </c>
      <c r="G219" s="7">
        <v>33</v>
      </c>
      <c r="H219" s="7">
        <v>9</v>
      </c>
      <c r="I219" s="8">
        <v>0</v>
      </c>
      <c r="J219" s="7">
        <v>2</v>
      </c>
      <c r="K219" s="7">
        <v>0</v>
      </c>
      <c r="L219" s="7">
        <v>0</v>
      </c>
      <c r="M219" s="9">
        <v>176576.62</v>
      </c>
      <c r="N219" s="7">
        <v>0</v>
      </c>
    </row>
    <row r="220" spans="1:14" x14ac:dyDescent="0.25">
      <c r="A220" s="6">
        <v>219</v>
      </c>
      <c r="B220" s="7">
        <v>15659366</v>
      </c>
      <c r="C220" s="6" t="s">
        <v>219</v>
      </c>
      <c r="D220" s="7">
        <v>807</v>
      </c>
      <c r="E220" s="6" t="s">
        <v>754</v>
      </c>
      <c r="F220" s="6" t="s">
        <v>23</v>
      </c>
      <c r="G220" s="7">
        <v>43</v>
      </c>
      <c r="H220" s="7">
        <v>1</v>
      </c>
      <c r="I220" s="8">
        <v>105799.32</v>
      </c>
      <c r="J220" s="7">
        <v>2</v>
      </c>
      <c r="K220" s="7">
        <v>1</v>
      </c>
      <c r="L220" s="7">
        <v>0</v>
      </c>
      <c r="M220" s="9">
        <v>34888.04</v>
      </c>
      <c r="N220" s="7">
        <v>1</v>
      </c>
    </row>
    <row r="221" spans="1:14" x14ac:dyDescent="0.25">
      <c r="A221" s="6">
        <v>220</v>
      </c>
      <c r="B221" s="7">
        <v>15774854</v>
      </c>
      <c r="C221" s="6" t="s">
        <v>139</v>
      </c>
      <c r="D221" s="7">
        <v>592</v>
      </c>
      <c r="E221" s="6" t="s">
        <v>754</v>
      </c>
      <c r="F221" s="6" t="s">
        <v>23</v>
      </c>
      <c r="G221" s="7">
        <v>54</v>
      </c>
      <c r="H221" s="7">
        <v>8</v>
      </c>
      <c r="I221" s="8">
        <v>0</v>
      </c>
      <c r="J221" s="7">
        <v>1</v>
      </c>
      <c r="K221" s="7">
        <v>1</v>
      </c>
      <c r="L221" s="7">
        <v>1</v>
      </c>
      <c r="M221" s="9">
        <v>28737.71</v>
      </c>
      <c r="N221" s="7">
        <v>1</v>
      </c>
    </row>
    <row r="222" spans="1:14" x14ac:dyDescent="0.25">
      <c r="A222" s="6">
        <v>221</v>
      </c>
      <c r="B222" s="7">
        <v>15725311</v>
      </c>
      <c r="C222" s="6" t="s">
        <v>220</v>
      </c>
      <c r="D222" s="7">
        <v>726</v>
      </c>
      <c r="E222" s="6" t="s">
        <v>754</v>
      </c>
      <c r="F222" s="6" t="s">
        <v>16</v>
      </c>
      <c r="G222" s="7">
        <v>31</v>
      </c>
      <c r="H222" s="7">
        <v>9</v>
      </c>
      <c r="I222" s="8">
        <v>114722.05</v>
      </c>
      <c r="J222" s="7">
        <v>2</v>
      </c>
      <c r="K222" s="7">
        <v>1</v>
      </c>
      <c r="L222" s="7">
        <v>1</v>
      </c>
      <c r="M222" s="9">
        <v>98178.57</v>
      </c>
      <c r="N222" s="7">
        <v>0</v>
      </c>
    </row>
    <row r="223" spans="1:14" x14ac:dyDescent="0.25">
      <c r="A223" s="6">
        <v>222</v>
      </c>
      <c r="B223" s="7">
        <v>15787155</v>
      </c>
      <c r="C223" s="6" t="s">
        <v>221</v>
      </c>
      <c r="D223" s="7">
        <v>514</v>
      </c>
      <c r="E223" s="6" t="s">
        <v>755</v>
      </c>
      <c r="F223" s="6" t="s">
        <v>23</v>
      </c>
      <c r="G223" s="7">
        <v>30</v>
      </c>
      <c r="H223" s="7">
        <v>7</v>
      </c>
      <c r="I223" s="8">
        <v>0</v>
      </c>
      <c r="J223" s="7">
        <v>1</v>
      </c>
      <c r="K223" s="7">
        <v>0</v>
      </c>
      <c r="L223" s="7">
        <v>1</v>
      </c>
      <c r="M223" s="9">
        <v>125010.24000000001</v>
      </c>
      <c r="N223" s="7">
        <v>0</v>
      </c>
    </row>
    <row r="224" spans="1:14" x14ac:dyDescent="0.25">
      <c r="A224" s="6">
        <v>223</v>
      </c>
      <c r="B224" s="7">
        <v>15727829</v>
      </c>
      <c r="C224" s="6" t="s">
        <v>222</v>
      </c>
      <c r="D224" s="7">
        <v>567</v>
      </c>
      <c r="E224" s="6" t="s">
        <v>754</v>
      </c>
      <c r="F224" s="6" t="s">
        <v>23</v>
      </c>
      <c r="G224" s="7">
        <v>42</v>
      </c>
      <c r="H224" s="7">
        <v>2</v>
      </c>
      <c r="I224" s="8">
        <v>0</v>
      </c>
      <c r="J224" s="7">
        <v>2</v>
      </c>
      <c r="K224" s="7">
        <v>1</v>
      </c>
      <c r="L224" s="7">
        <v>1</v>
      </c>
      <c r="M224" s="9">
        <v>167984.61</v>
      </c>
      <c r="N224" s="7">
        <v>0</v>
      </c>
    </row>
    <row r="225" spans="1:14" x14ac:dyDescent="0.25">
      <c r="A225" s="6">
        <v>224</v>
      </c>
      <c r="B225" s="7">
        <v>15733247</v>
      </c>
      <c r="C225" s="6" t="s">
        <v>223</v>
      </c>
      <c r="D225" s="7">
        <v>850</v>
      </c>
      <c r="E225" s="6" t="s">
        <v>754</v>
      </c>
      <c r="F225" s="6" t="s">
        <v>23</v>
      </c>
      <c r="G225" s="7">
        <v>33</v>
      </c>
      <c r="H225" s="7">
        <v>10</v>
      </c>
      <c r="I225" s="8">
        <v>0</v>
      </c>
      <c r="J225" s="7">
        <v>1</v>
      </c>
      <c r="K225" s="7">
        <v>1</v>
      </c>
      <c r="L225" s="7">
        <v>0</v>
      </c>
      <c r="M225" s="9">
        <v>4861.72</v>
      </c>
      <c r="N225" s="7">
        <v>1</v>
      </c>
    </row>
    <row r="226" spans="1:14" x14ac:dyDescent="0.25">
      <c r="A226" s="6">
        <v>225</v>
      </c>
      <c r="B226" s="7">
        <v>15568748</v>
      </c>
      <c r="C226" s="6" t="s">
        <v>224</v>
      </c>
      <c r="D226" s="7">
        <v>671</v>
      </c>
      <c r="E226" s="6" t="s">
        <v>758</v>
      </c>
      <c r="F226" s="6" t="s">
        <v>23</v>
      </c>
      <c r="G226" s="7">
        <v>45</v>
      </c>
      <c r="H226" s="7">
        <v>6</v>
      </c>
      <c r="I226" s="8">
        <v>99564.22</v>
      </c>
      <c r="J226" s="7">
        <v>1</v>
      </c>
      <c r="K226" s="7">
        <v>1</v>
      </c>
      <c r="L226" s="7">
        <v>1</v>
      </c>
      <c r="M226" s="9">
        <v>108872.45</v>
      </c>
      <c r="N226" s="7">
        <v>1</v>
      </c>
    </row>
    <row r="227" spans="1:14" x14ac:dyDescent="0.25">
      <c r="A227" s="6">
        <v>226</v>
      </c>
      <c r="B227" s="7">
        <v>15699029</v>
      </c>
      <c r="C227" s="6" t="s">
        <v>225</v>
      </c>
      <c r="D227" s="7">
        <v>670</v>
      </c>
      <c r="E227" s="6" t="s">
        <v>754</v>
      </c>
      <c r="F227" s="6" t="s">
        <v>23</v>
      </c>
      <c r="G227" s="7">
        <v>37</v>
      </c>
      <c r="H227" s="7">
        <v>4</v>
      </c>
      <c r="I227" s="8">
        <v>170557.91</v>
      </c>
      <c r="J227" s="7">
        <v>2</v>
      </c>
      <c r="K227" s="7">
        <v>1</v>
      </c>
      <c r="L227" s="7">
        <v>0</v>
      </c>
      <c r="M227" s="9">
        <v>198252.88</v>
      </c>
      <c r="N227" s="7">
        <v>0</v>
      </c>
    </row>
    <row r="228" spans="1:14" x14ac:dyDescent="0.25">
      <c r="A228" s="6">
        <v>227</v>
      </c>
      <c r="B228" s="7">
        <v>15774393</v>
      </c>
      <c r="C228" s="6" t="s">
        <v>226</v>
      </c>
      <c r="D228" s="7">
        <v>694</v>
      </c>
      <c r="E228" s="6" t="s">
        <v>754</v>
      </c>
      <c r="F228" s="6" t="s">
        <v>16</v>
      </c>
      <c r="G228" s="7">
        <v>30</v>
      </c>
      <c r="H228" s="7">
        <v>9</v>
      </c>
      <c r="I228" s="8">
        <v>0</v>
      </c>
      <c r="J228" s="7">
        <v>2</v>
      </c>
      <c r="K228" s="7">
        <v>1</v>
      </c>
      <c r="L228" s="7">
        <v>1</v>
      </c>
      <c r="M228" s="9">
        <v>26960.31</v>
      </c>
      <c r="N228" s="7">
        <v>0</v>
      </c>
    </row>
    <row r="229" spans="1:14" x14ac:dyDescent="0.25">
      <c r="A229" s="6">
        <v>228</v>
      </c>
      <c r="B229" s="7">
        <v>15676895</v>
      </c>
      <c r="C229" s="6" t="s">
        <v>227</v>
      </c>
      <c r="D229" s="7">
        <v>547</v>
      </c>
      <c r="E229" s="6" t="s">
        <v>758</v>
      </c>
      <c r="F229" s="6" t="s">
        <v>16</v>
      </c>
      <c r="G229" s="7">
        <v>39</v>
      </c>
      <c r="H229" s="7">
        <v>6</v>
      </c>
      <c r="I229" s="8">
        <v>74596.149999999994</v>
      </c>
      <c r="J229" s="7">
        <v>3</v>
      </c>
      <c r="K229" s="7">
        <v>1</v>
      </c>
      <c r="L229" s="7">
        <v>1</v>
      </c>
      <c r="M229" s="9">
        <v>85746.52</v>
      </c>
      <c r="N229" s="7">
        <v>1</v>
      </c>
    </row>
    <row r="230" spans="1:14" x14ac:dyDescent="0.25">
      <c r="A230" s="6">
        <v>229</v>
      </c>
      <c r="B230" s="7">
        <v>15637753</v>
      </c>
      <c r="C230" s="6" t="s">
        <v>228</v>
      </c>
      <c r="D230" s="7">
        <v>751</v>
      </c>
      <c r="E230" s="6" t="s">
        <v>758</v>
      </c>
      <c r="F230" s="6" t="s">
        <v>23</v>
      </c>
      <c r="G230" s="7">
        <v>50</v>
      </c>
      <c r="H230" s="7">
        <v>2</v>
      </c>
      <c r="I230" s="8">
        <v>96888.39</v>
      </c>
      <c r="J230" s="7">
        <v>1</v>
      </c>
      <c r="K230" s="7">
        <v>1</v>
      </c>
      <c r="L230" s="7">
        <v>0</v>
      </c>
      <c r="M230" s="9">
        <v>77206.25</v>
      </c>
      <c r="N230" s="7">
        <v>1</v>
      </c>
    </row>
    <row r="231" spans="1:14" x14ac:dyDescent="0.25">
      <c r="A231" s="6">
        <v>230</v>
      </c>
      <c r="B231" s="7">
        <v>15605461</v>
      </c>
      <c r="C231" s="6" t="s">
        <v>229</v>
      </c>
      <c r="D231" s="7">
        <v>594</v>
      </c>
      <c r="E231" s="6" t="s">
        <v>758</v>
      </c>
      <c r="F231" s="6" t="s">
        <v>16</v>
      </c>
      <c r="G231" s="7">
        <v>29</v>
      </c>
      <c r="H231" s="7">
        <v>3</v>
      </c>
      <c r="I231" s="8">
        <v>130830.22</v>
      </c>
      <c r="J231" s="7">
        <v>1</v>
      </c>
      <c r="K231" s="7">
        <v>1</v>
      </c>
      <c r="L231" s="7">
        <v>0</v>
      </c>
      <c r="M231" s="9">
        <v>61048.53</v>
      </c>
      <c r="N231" s="7">
        <v>0</v>
      </c>
    </row>
    <row r="232" spans="1:14" x14ac:dyDescent="0.25">
      <c r="A232" s="6">
        <v>231</v>
      </c>
      <c r="B232" s="7">
        <v>15808473</v>
      </c>
      <c r="C232" s="6" t="s">
        <v>230</v>
      </c>
      <c r="D232" s="7">
        <v>673</v>
      </c>
      <c r="E232" s="6" t="s">
        <v>754</v>
      </c>
      <c r="F232" s="6" t="s">
        <v>23</v>
      </c>
      <c r="G232" s="7">
        <v>72</v>
      </c>
      <c r="H232" s="7">
        <v>1</v>
      </c>
      <c r="I232" s="8">
        <v>0</v>
      </c>
      <c r="J232" s="7">
        <v>2</v>
      </c>
      <c r="K232" s="7">
        <v>0</v>
      </c>
      <c r="L232" s="7">
        <v>1</v>
      </c>
      <c r="M232" s="9">
        <v>111981.19</v>
      </c>
      <c r="N232" s="7">
        <v>0</v>
      </c>
    </row>
    <row r="233" spans="1:14" x14ac:dyDescent="0.25">
      <c r="A233" s="6">
        <v>232</v>
      </c>
      <c r="B233" s="7">
        <v>15627000</v>
      </c>
      <c r="C233" s="6" t="s">
        <v>231</v>
      </c>
      <c r="D233" s="7">
        <v>610</v>
      </c>
      <c r="E233" s="6" t="s">
        <v>754</v>
      </c>
      <c r="F233" s="6" t="s">
        <v>23</v>
      </c>
      <c r="G233" s="7">
        <v>40</v>
      </c>
      <c r="H233" s="7">
        <v>0</v>
      </c>
      <c r="I233" s="8">
        <v>0</v>
      </c>
      <c r="J233" s="7">
        <v>2</v>
      </c>
      <c r="K233" s="7">
        <v>1</v>
      </c>
      <c r="L233" s="7">
        <v>0</v>
      </c>
      <c r="M233" s="9">
        <v>62232.6</v>
      </c>
      <c r="N233" s="7">
        <v>0</v>
      </c>
    </row>
    <row r="234" spans="1:14" x14ac:dyDescent="0.25">
      <c r="A234" s="6">
        <v>233</v>
      </c>
      <c r="B234" s="7">
        <v>15787174</v>
      </c>
      <c r="C234" s="6" t="s">
        <v>232</v>
      </c>
      <c r="D234" s="7">
        <v>512</v>
      </c>
      <c r="E234" s="6" t="s">
        <v>754</v>
      </c>
      <c r="F234" s="6" t="s">
        <v>16</v>
      </c>
      <c r="G234" s="7">
        <v>37</v>
      </c>
      <c r="H234" s="7">
        <v>1</v>
      </c>
      <c r="I234" s="8">
        <v>0</v>
      </c>
      <c r="J234" s="7">
        <v>2</v>
      </c>
      <c r="K234" s="7">
        <v>0</v>
      </c>
      <c r="L234" s="7">
        <v>1</v>
      </c>
      <c r="M234" s="9">
        <v>156105.03</v>
      </c>
      <c r="N234" s="7">
        <v>0</v>
      </c>
    </row>
    <row r="235" spans="1:14" x14ac:dyDescent="0.25">
      <c r="A235" s="6">
        <v>234</v>
      </c>
      <c r="B235" s="7">
        <v>15723886</v>
      </c>
      <c r="C235" s="6" t="s">
        <v>233</v>
      </c>
      <c r="D235" s="7">
        <v>767</v>
      </c>
      <c r="E235" s="6" t="s">
        <v>758</v>
      </c>
      <c r="F235" s="6" t="s">
        <v>23</v>
      </c>
      <c r="G235" s="7">
        <v>20</v>
      </c>
      <c r="H235" s="7">
        <v>3</v>
      </c>
      <c r="I235" s="8">
        <v>119714.25</v>
      </c>
      <c r="J235" s="7">
        <v>2</v>
      </c>
      <c r="K235" s="7">
        <v>0</v>
      </c>
      <c r="L235" s="7">
        <v>1</v>
      </c>
      <c r="M235" s="9">
        <v>150135.38</v>
      </c>
      <c r="N235" s="7">
        <v>0</v>
      </c>
    </row>
    <row r="236" spans="1:14" x14ac:dyDescent="0.25">
      <c r="A236" s="6">
        <v>235</v>
      </c>
      <c r="B236" s="7">
        <v>15704769</v>
      </c>
      <c r="C236" s="6" t="s">
        <v>234</v>
      </c>
      <c r="D236" s="7">
        <v>585</v>
      </c>
      <c r="E236" s="6" t="s">
        <v>754</v>
      </c>
      <c r="F236" s="6" t="s">
        <v>16</v>
      </c>
      <c r="G236" s="7">
        <v>67</v>
      </c>
      <c r="H236" s="7">
        <v>5</v>
      </c>
      <c r="I236" s="8">
        <v>113978.97</v>
      </c>
      <c r="J236" s="7">
        <v>2</v>
      </c>
      <c r="K236" s="7">
        <v>0</v>
      </c>
      <c r="L236" s="7">
        <v>1</v>
      </c>
      <c r="M236" s="9">
        <v>93146.11</v>
      </c>
      <c r="N236" s="7">
        <v>0</v>
      </c>
    </row>
    <row r="237" spans="1:14" ht="30" x14ac:dyDescent="0.25">
      <c r="A237" s="6">
        <v>236</v>
      </c>
      <c r="B237" s="7">
        <v>15772896</v>
      </c>
      <c r="C237" s="6" t="s">
        <v>235</v>
      </c>
      <c r="D237" s="7">
        <v>763</v>
      </c>
      <c r="E237" s="6" t="s">
        <v>758</v>
      </c>
      <c r="F237" s="6" t="s">
        <v>23</v>
      </c>
      <c r="G237" s="7">
        <v>42</v>
      </c>
      <c r="H237" s="7">
        <v>6</v>
      </c>
      <c r="I237" s="8">
        <v>100160.75</v>
      </c>
      <c r="J237" s="7">
        <v>1</v>
      </c>
      <c r="K237" s="7">
        <v>1</v>
      </c>
      <c r="L237" s="7">
        <v>0</v>
      </c>
      <c r="M237" s="9">
        <v>33462.94</v>
      </c>
      <c r="N237" s="7">
        <v>1</v>
      </c>
    </row>
    <row r="238" spans="1:14" x14ac:dyDescent="0.25">
      <c r="A238" s="6">
        <v>237</v>
      </c>
      <c r="B238" s="7">
        <v>15711540</v>
      </c>
      <c r="C238" s="6" t="s">
        <v>236</v>
      </c>
      <c r="D238" s="7">
        <v>712</v>
      </c>
      <c r="E238" s="6" t="s">
        <v>754</v>
      </c>
      <c r="F238" s="6" t="s">
        <v>16</v>
      </c>
      <c r="G238" s="7">
        <v>29</v>
      </c>
      <c r="H238" s="7">
        <v>2</v>
      </c>
      <c r="I238" s="8">
        <v>0</v>
      </c>
      <c r="J238" s="7">
        <v>1</v>
      </c>
      <c r="K238" s="7">
        <v>1</v>
      </c>
      <c r="L238" s="7">
        <v>1</v>
      </c>
      <c r="M238" s="9">
        <v>144375</v>
      </c>
      <c r="N238" s="7">
        <v>0</v>
      </c>
    </row>
    <row r="239" spans="1:14" x14ac:dyDescent="0.25">
      <c r="A239" s="6">
        <v>238</v>
      </c>
      <c r="B239" s="7">
        <v>15764866</v>
      </c>
      <c r="C239" s="6" t="s">
        <v>237</v>
      </c>
      <c r="D239" s="7">
        <v>539</v>
      </c>
      <c r="E239" s="6" t="s">
        <v>758</v>
      </c>
      <c r="F239" s="6" t="s">
        <v>16</v>
      </c>
      <c r="G239" s="7">
        <v>43</v>
      </c>
      <c r="H239" s="7">
        <v>3</v>
      </c>
      <c r="I239" s="8">
        <v>116220.5</v>
      </c>
      <c r="J239" s="7">
        <v>3</v>
      </c>
      <c r="K239" s="7">
        <v>1</v>
      </c>
      <c r="L239" s="7">
        <v>0</v>
      </c>
      <c r="M239" s="9">
        <v>55803.96</v>
      </c>
      <c r="N239" s="7">
        <v>1</v>
      </c>
    </row>
    <row r="240" spans="1:14" x14ac:dyDescent="0.25">
      <c r="A240" s="6">
        <v>239</v>
      </c>
      <c r="B240" s="7">
        <v>15794056</v>
      </c>
      <c r="C240" s="6" t="s">
        <v>238</v>
      </c>
      <c r="D240" s="7">
        <v>668</v>
      </c>
      <c r="E240" s="6" t="s">
        <v>754</v>
      </c>
      <c r="F240" s="6" t="s">
        <v>16</v>
      </c>
      <c r="G240" s="7">
        <v>46</v>
      </c>
      <c r="H240" s="7">
        <v>2</v>
      </c>
      <c r="I240" s="8">
        <v>0</v>
      </c>
      <c r="J240" s="7">
        <v>3</v>
      </c>
      <c r="K240" s="7">
        <v>1</v>
      </c>
      <c r="L240" s="7">
        <v>0</v>
      </c>
      <c r="M240" s="9">
        <v>89048.46</v>
      </c>
      <c r="N240" s="7">
        <v>1</v>
      </c>
    </row>
    <row r="241" spans="1:14" x14ac:dyDescent="0.25">
      <c r="A241" s="6">
        <v>240</v>
      </c>
      <c r="B241" s="7">
        <v>15795149</v>
      </c>
      <c r="C241" s="6" t="s">
        <v>239</v>
      </c>
      <c r="D241" s="7">
        <v>703</v>
      </c>
      <c r="E241" s="6" t="s">
        <v>754</v>
      </c>
      <c r="F241" s="6" t="s">
        <v>23</v>
      </c>
      <c r="G241" s="7">
        <v>28</v>
      </c>
      <c r="H241" s="7">
        <v>2</v>
      </c>
      <c r="I241" s="8">
        <v>81173.83</v>
      </c>
      <c r="J241" s="7">
        <v>2</v>
      </c>
      <c r="K241" s="7">
        <v>0</v>
      </c>
      <c r="L241" s="7">
        <v>1</v>
      </c>
      <c r="M241" s="9">
        <v>162812.16</v>
      </c>
      <c r="N241" s="7">
        <v>0</v>
      </c>
    </row>
    <row r="242" spans="1:14" x14ac:dyDescent="0.25">
      <c r="A242" s="6">
        <v>241</v>
      </c>
      <c r="B242" s="7">
        <v>15812009</v>
      </c>
      <c r="C242" s="6" t="s">
        <v>240</v>
      </c>
      <c r="D242" s="7">
        <v>662</v>
      </c>
      <c r="E242" s="6" t="s">
        <v>755</v>
      </c>
      <c r="F242" s="6" t="s">
        <v>23</v>
      </c>
      <c r="G242" s="7">
        <v>38</v>
      </c>
      <c r="H242" s="7">
        <v>4</v>
      </c>
      <c r="I242" s="8">
        <v>0</v>
      </c>
      <c r="J242" s="7">
        <v>2</v>
      </c>
      <c r="K242" s="7">
        <v>1</v>
      </c>
      <c r="L242" s="7">
        <v>0</v>
      </c>
      <c r="M242" s="9">
        <v>136259.65</v>
      </c>
      <c r="N242" s="7">
        <v>0</v>
      </c>
    </row>
    <row r="243" spans="1:14" x14ac:dyDescent="0.25">
      <c r="A243" s="6">
        <v>242</v>
      </c>
      <c r="B243" s="7">
        <v>15651001</v>
      </c>
      <c r="C243" s="6" t="s">
        <v>75</v>
      </c>
      <c r="D243" s="7">
        <v>725</v>
      </c>
      <c r="E243" s="6" t="s">
        <v>758</v>
      </c>
      <c r="F243" s="6" t="s">
        <v>16</v>
      </c>
      <c r="G243" s="7">
        <v>39</v>
      </c>
      <c r="H243" s="7">
        <v>5</v>
      </c>
      <c r="I243" s="8">
        <v>116803.8</v>
      </c>
      <c r="J243" s="7">
        <v>1</v>
      </c>
      <c r="K243" s="7">
        <v>1</v>
      </c>
      <c r="L243" s="7">
        <v>0</v>
      </c>
      <c r="M243" s="9">
        <v>124052.97</v>
      </c>
      <c r="N243" s="7">
        <v>0</v>
      </c>
    </row>
    <row r="244" spans="1:14" x14ac:dyDescent="0.25">
      <c r="A244" s="6">
        <v>243</v>
      </c>
      <c r="B244" s="7">
        <v>15813844</v>
      </c>
      <c r="C244" s="6" t="s">
        <v>241</v>
      </c>
      <c r="D244" s="7">
        <v>703</v>
      </c>
      <c r="E244" s="6" t="s">
        <v>754</v>
      </c>
      <c r="F244" s="6" t="s">
        <v>23</v>
      </c>
      <c r="G244" s="7">
        <v>37</v>
      </c>
      <c r="H244" s="7">
        <v>8</v>
      </c>
      <c r="I244" s="8">
        <v>105961.68</v>
      </c>
      <c r="J244" s="7">
        <v>2</v>
      </c>
      <c r="K244" s="7">
        <v>0</v>
      </c>
      <c r="L244" s="7">
        <v>1</v>
      </c>
      <c r="M244" s="9">
        <v>74158.8</v>
      </c>
      <c r="N244" s="7">
        <v>0</v>
      </c>
    </row>
    <row r="245" spans="1:14" x14ac:dyDescent="0.25">
      <c r="A245" s="6">
        <v>244</v>
      </c>
      <c r="B245" s="7">
        <v>15596175</v>
      </c>
      <c r="C245" s="6" t="s">
        <v>242</v>
      </c>
      <c r="D245" s="7">
        <v>659</v>
      </c>
      <c r="E245" s="6" t="s">
        <v>758</v>
      </c>
      <c r="F245" s="6" t="s">
        <v>23</v>
      </c>
      <c r="G245" s="7">
        <v>67</v>
      </c>
      <c r="H245" s="7">
        <v>6</v>
      </c>
      <c r="I245" s="8">
        <v>117411.6</v>
      </c>
      <c r="J245" s="7">
        <v>1</v>
      </c>
      <c r="K245" s="7">
        <v>1</v>
      </c>
      <c r="L245" s="7">
        <v>1</v>
      </c>
      <c r="M245" s="9">
        <v>45071.09</v>
      </c>
      <c r="N245" s="7">
        <v>1</v>
      </c>
    </row>
    <row r="246" spans="1:14" x14ac:dyDescent="0.25">
      <c r="A246" s="6">
        <v>245</v>
      </c>
      <c r="B246" s="7">
        <v>15576269</v>
      </c>
      <c r="C246" s="6" t="s">
        <v>243</v>
      </c>
      <c r="D246" s="7">
        <v>523</v>
      </c>
      <c r="E246" s="6" t="s">
        <v>755</v>
      </c>
      <c r="F246" s="6" t="s">
        <v>23</v>
      </c>
      <c r="G246" s="7">
        <v>34</v>
      </c>
      <c r="H246" s="7">
        <v>7</v>
      </c>
      <c r="I246" s="8">
        <v>0</v>
      </c>
      <c r="J246" s="7">
        <v>2</v>
      </c>
      <c r="K246" s="7">
        <v>1</v>
      </c>
      <c r="L246" s="7">
        <v>0</v>
      </c>
      <c r="M246" s="9">
        <v>62030.06</v>
      </c>
      <c r="N246" s="7">
        <v>0</v>
      </c>
    </row>
    <row r="247" spans="1:14" x14ac:dyDescent="0.25">
      <c r="A247" s="6">
        <v>246</v>
      </c>
      <c r="B247" s="7">
        <v>15797219</v>
      </c>
      <c r="C247" s="6" t="s">
        <v>244</v>
      </c>
      <c r="D247" s="7">
        <v>635</v>
      </c>
      <c r="E247" s="6" t="s">
        <v>754</v>
      </c>
      <c r="F247" s="6" t="s">
        <v>16</v>
      </c>
      <c r="G247" s="7">
        <v>40</v>
      </c>
      <c r="H247" s="7">
        <v>10</v>
      </c>
      <c r="I247" s="8">
        <v>123497.58</v>
      </c>
      <c r="J247" s="7">
        <v>1</v>
      </c>
      <c r="K247" s="7">
        <v>1</v>
      </c>
      <c r="L247" s="7">
        <v>0</v>
      </c>
      <c r="M247" s="9">
        <v>131953.23000000001</v>
      </c>
      <c r="N247" s="7">
        <v>1</v>
      </c>
    </row>
    <row r="248" spans="1:14" x14ac:dyDescent="0.25">
      <c r="A248" s="6">
        <v>247</v>
      </c>
      <c r="B248" s="7">
        <v>15685500</v>
      </c>
      <c r="C248" s="6" t="s">
        <v>245</v>
      </c>
      <c r="D248" s="7">
        <v>772</v>
      </c>
      <c r="E248" s="6" t="s">
        <v>758</v>
      </c>
      <c r="F248" s="6" t="s">
        <v>23</v>
      </c>
      <c r="G248" s="7">
        <v>26</v>
      </c>
      <c r="H248" s="7">
        <v>7</v>
      </c>
      <c r="I248" s="8">
        <v>152400.51</v>
      </c>
      <c r="J248" s="7">
        <v>2</v>
      </c>
      <c r="K248" s="7">
        <v>1</v>
      </c>
      <c r="L248" s="7">
        <v>0</v>
      </c>
      <c r="M248" s="9">
        <v>79414</v>
      </c>
      <c r="N248" s="7">
        <v>0</v>
      </c>
    </row>
    <row r="249" spans="1:14" x14ac:dyDescent="0.25">
      <c r="A249" s="6">
        <v>248</v>
      </c>
      <c r="B249" s="7">
        <v>15599792</v>
      </c>
      <c r="C249" s="6" t="s">
        <v>246</v>
      </c>
      <c r="D249" s="7">
        <v>545</v>
      </c>
      <c r="E249" s="6" t="s">
        <v>754</v>
      </c>
      <c r="F249" s="6" t="s">
        <v>16</v>
      </c>
      <c r="G249" s="7">
        <v>26</v>
      </c>
      <c r="H249" s="7">
        <v>1</v>
      </c>
      <c r="I249" s="8">
        <v>0</v>
      </c>
      <c r="J249" s="7">
        <v>2</v>
      </c>
      <c r="K249" s="7">
        <v>1</v>
      </c>
      <c r="L249" s="7">
        <v>1</v>
      </c>
      <c r="M249" s="9">
        <v>199638.56</v>
      </c>
      <c r="N249" s="7">
        <v>0</v>
      </c>
    </row>
    <row r="250" spans="1:14" x14ac:dyDescent="0.25">
      <c r="A250" s="6">
        <v>249</v>
      </c>
      <c r="B250" s="7">
        <v>15657566</v>
      </c>
      <c r="C250" s="6" t="s">
        <v>247</v>
      </c>
      <c r="D250" s="7">
        <v>634</v>
      </c>
      <c r="E250" s="6" t="s">
        <v>26</v>
      </c>
      <c r="F250" s="6" t="s">
        <v>23</v>
      </c>
      <c r="G250" s="7">
        <v>24</v>
      </c>
      <c r="H250" s="7">
        <v>8</v>
      </c>
      <c r="I250" s="8">
        <v>103097.85</v>
      </c>
      <c r="J250" s="7">
        <v>1</v>
      </c>
      <c r="K250" s="7">
        <v>1</v>
      </c>
      <c r="L250" s="7">
        <v>1</v>
      </c>
      <c r="M250" s="9">
        <v>157577.29</v>
      </c>
      <c r="N250" s="7">
        <v>0</v>
      </c>
    </row>
    <row r="251" spans="1:14" x14ac:dyDescent="0.25">
      <c r="A251" s="6">
        <v>250</v>
      </c>
      <c r="B251" s="7">
        <v>15772423</v>
      </c>
      <c r="C251" s="6" t="s">
        <v>248</v>
      </c>
      <c r="D251" s="7">
        <v>739</v>
      </c>
      <c r="E251" s="6" t="s">
        <v>26</v>
      </c>
      <c r="F251" s="6" t="s">
        <v>23</v>
      </c>
      <c r="G251" s="7">
        <v>54</v>
      </c>
      <c r="H251" s="7">
        <v>8</v>
      </c>
      <c r="I251" s="8">
        <v>126418.14</v>
      </c>
      <c r="J251" s="7">
        <v>1</v>
      </c>
      <c r="K251" s="7">
        <v>1</v>
      </c>
      <c r="L251" s="7">
        <v>0</v>
      </c>
      <c r="M251" s="9">
        <v>134420.75</v>
      </c>
      <c r="N251" s="7">
        <v>1</v>
      </c>
    </row>
    <row r="252" spans="1:14" x14ac:dyDescent="0.25">
      <c r="A252" s="6">
        <v>251</v>
      </c>
      <c r="B252" s="7">
        <v>15628112</v>
      </c>
      <c r="C252" s="6" t="s">
        <v>249</v>
      </c>
      <c r="D252" s="7">
        <v>771</v>
      </c>
      <c r="E252" s="6" t="s">
        <v>26</v>
      </c>
      <c r="F252" s="6" t="s">
        <v>16</v>
      </c>
      <c r="G252" s="7">
        <v>36</v>
      </c>
      <c r="H252" s="7">
        <v>5</v>
      </c>
      <c r="I252" s="8">
        <v>77846.899999999994</v>
      </c>
      <c r="J252" s="7">
        <v>1</v>
      </c>
      <c r="K252" s="7">
        <v>0</v>
      </c>
      <c r="L252" s="7">
        <v>0</v>
      </c>
      <c r="M252" s="9">
        <v>99805.99</v>
      </c>
      <c r="N252" s="7">
        <v>0</v>
      </c>
    </row>
    <row r="253" spans="1:14" x14ac:dyDescent="0.25">
      <c r="A253" s="6">
        <v>252</v>
      </c>
      <c r="B253" s="7">
        <v>15753754</v>
      </c>
      <c r="C253" s="6" t="s">
        <v>250</v>
      </c>
      <c r="D253" s="7">
        <v>587</v>
      </c>
      <c r="E253" s="6" t="s">
        <v>755</v>
      </c>
      <c r="F253" s="6" t="s">
        <v>16</v>
      </c>
      <c r="G253" s="7">
        <v>34</v>
      </c>
      <c r="H253" s="7">
        <v>1</v>
      </c>
      <c r="I253" s="8">
        <v>0</v>
      </c>
      <c r="J253" s="7">
        <v>2</v>
      </c>
      <c r="K253" s="7">
        <v>1</v>
      </c>
      <c r="L253" s="7">
        <v>1</v>
      </c>
      <c r="M253" s="9">
        <v>97932.68</v>
      </c>
      <c r="N253" s="7">
        <v>0</v>
      </c>
    </row>
    <row r="254" spans="1:14" x14ac:dyDescent="0.25">
      <c r="A254" s="6">
        <v>253</v>
      </c>
      <c r="B254" s="7">
        <v>15793726</v>
      </c>
      <c r="C254" s="6" t="s">
        <v>251</v>
      </c>
      <c r="D254" s="7">
        <v>681</v>
      </c>
      <c r="E254" s="6" t="s">
        <v>754</v>
      </c>
      <c r="F254" s="6" t="s">
        <v>16</v>
      </c>
      <c r="G254" s="7">
        <v>79</v>
      </c>
      <c r="H254" s="7">
        <v>0</v>
      </c>
      <c r="I254" s="8">
        <v>0</v>
      </c>
      <c r="J254" s="7">
        <v>2</v>
      </c>
      <c r="K254" s="7">
        <v>0</v>
      </c>
      <c r="L254" s="7">
        <v>1</v>
      </c>
      <c r="M254" s="9">
        <v>170968.99</v>
      </c>
      <c r="N254" s="7">
        <v>0</v>
      </c>
    </row>
    <row r="255" spans="1:14" x14ac:dyDescent="0.25">
      <c r="A255" s="6">
        <v>254</v>
      </c>
      <c r="B255" s="7">
        <v>15694717</v>
      </c>
      <c r="C255" s="6" t="s">
        <v>209</v>
      </c>
      <c r="D255" s="7">
        <v>544</v>
      </c>
      <c r="E255" s="6" t="s">
        <v>26</v>
      </c>
      <c r="F255" s="6" t="s">
        <v>23</v>
      </c>
      <c r="G255" s="7">
        <v>37</v>
      </c>
      <c r="H255" s="7">
        <v>2</v>
      </c>
      <c r="I255" s="8">
        <v>79731.91</v>
      </c>
      <c r="J255" s="7">
        <v>1</v>
      </c>
      <c r="K255" s="7">
        <v>1</v>
      </c>
      <c r="L255" s="7">
        <v>1</v>
      </c>
      <c r="M255" s="9">
        <v>57558.95</v>
      </c>
      <c r="N255" s="7">
        <v>0</v>
      </c>
    </row>
    <row r="256" spans="1:14" x14ac:dyDescent="0.25">
      <c r="A256" s="6">
        <v>255</v>
      </c>
      <c r="B256" s="7">
        <v>15665834</v>
      </c>
      <c r="C256" s="6" t="s">
        <v>252</v>
      </c>
      <c r="D256" s="7">
        <v>696</v>
      </c>
      <c r="E256" s="6" t="s">
        <v>755</v>
      </c>
      <c r="F256" s="6" t="s">
        <v>23</v>
      </c>
      <c r="G256" s="7">
        <v>28</v>
      </c>
      <c r="H256" s="7">
        <v>8</v>
      </c>
      <c r="I256" s="8">
        <v>0</v>
      </c>
      <c r="J256" s="7">
        <v>1</v>
      </c>
      <c r="K256" s="7">
        <v>0</v>
      </c>
      <c r="L256" s="7">
        <v>0</v>
      </c>
      <c r="M256" s="9">
        <v>176713.47</v>
      </c>
      <c r="N256" s="7">
        <v>0</v>
      </c>
    </row>
    <row r="257" spans="1:14" x14ac:dyDescent="0.25">
      <c r="A257" s="6">
        <v>256</v>
      </c>
      <c r="B257" s="7">
        <v>15765297</v>
      </c>
      <c r="C257" s="6" t="s">
        <v>253</v>
      </c>
      <c r="D257" s="7">
        <v>766</v>
      </c>
      <c r="E257" s="6" t="s">
        <v>755</v>
      </c>
      <c r="F257" s="6" t="s">
        <v>23</v>
      </c>
      <c r="G257" s="7">
        <v>41</v>
      </c>
      <c r="H257" s="7">
        <v>0</v>
      </c>
      <c r="I257" s="8">
        <v>0</v>
      </c>
      <c r="J257" s="7">
        <v>2</v>
      </c>
      <c r="K257" s="7">
        <v>0</v>
      </c>
      <c r="L257" s="7">
        <v>1</v>
      </c>
      <c r="M257" s="9">
        <v>34283.230000000003</v>
      </c>
      <c r="N257" s="7">
        <v>0</v>
      </c>
    </row>
    <row r="258" spans="1:14" x14ac:dyDescent="0.25">
      <c r="A258" s="6">
        <v>257</v>
      </c>
      <c r="B258" s="7">
        <v>15636684</v>
      </c>
      <c r="C258" s="6" t="s">
        <v>254</v>
      </c>
      <c r="D258" s="7">
        <v>727</v>
      </c>
      <c r="E258" s="6" t="s">
        <v>754</v>
      </c>
      <c r="F258" s="6" t="s">
        <v>23</v>
      </c>
      <c r="G258" s="7">
        <v>34</v>
      </c>
      <c r="H258" s="7">
        <v>10</v>
      </c>
      <c r="I258" s="8">
        <v>0</v>
      </c>
      <c r="J258" s="7">
        <v>2</v>
      </c>
      <c r="K258" s="7">
        <v>1</v>
      </c>
      <c r="L258" s="7">
        <v>1</v>
      </c>
      <c r="M258" s="9">
        <v>198637.34</v>
      </c>
      <c r="N258" s="7">
        <v>0</v>
      </c>
    </row>
    <row r="259" spans="1:14" x14ac:dyDescent="0.25">
      <c r="A259" s="6">
        <v>258</v>
      </c>
      <c r="B259" s="7">
        <v>15592979</v>
      </c>
      <c r="C259" s="6" t="s">
        <v>255</v>
      </c>
      <c r="D259" s="7">
        <v>671</v>
      </c>
      <c r="E259" s="6" t="s">
        <v>26</v>
      </c>
      <c r="F259" s="6" t="s">
        <v>16</v>
      </c>
      <c r="G259" s="7">
        <v>34</v>
      </c>
      <c r="H259" s="7">
        <v>6</v>
      </c>
      <c r="I259" s="8">
        <v>37266.67</v>
      </c>
      <c r="J259" s="7">
        <v>2</v>
      </c>
      <c r="K259" s="7">
        <v>0</v>
      </c>
      <c r="L259" s="7">
        <v>0</v>
      </c>
      <c r="M259" s="9">
        <v>156917.12</v>
      </c>
      <c r="N259" s="7">
        <v>0</v>
      </c>
    </row>
    <row r="260" spans="1:14" x14ac:dyDescent="0.25">
      <c r="A260" s="6">
        <v>259</v>
      </c>
      <c r="B260" s="7">
        <v>15750803</v>
      </c>
      <c r="C260" s="6" t="s">
        <v>256</v>
      </c>
      <c r="D260" s="7">
        <v>693</v>
      </c>
      <c r="E260" s="6" t="s">
        <v>754</v>
      </c>
      <c r="F260" s="6" t="s">
        <v>16</v>
      </c>
      <c r="G260" s="7">
        <v>30</v>
      </c>
      <c r="H260" s="7">
        <v>6</v>
      </c>
      <c r="I260" s="8">
        <v>127992.25</v>
      </c>
      <c r="J260" s="7">
        <v>1</v>
      </c>
      <c r="K260" s="7">
        <v>1</v>
      </c>
      <c r="L260" s="7">
        <v>1</v>
      </c>
      <c r="M260" s="9">
        <v>50457.2</v>
      </c>
      <c r="N260" s="7">
        <v>0</v>
      </c>
    </row>
    <row r="261" spans="1:14" x14ac:dyDescent="0.25">
      <c r="A261" s="6">
        <v>260</v>
      </c>
      <c r="B261" s="7">
        <v>15607178</v>
      </c>
      <c r="C261" s="6" t="s">
        <v>131</v>
      </c>
      <c r="D261" s="7">
        <v>850</v>
      </c>
      <c r="E261" s="6" t="s">
        <v>26</v>
      </c>
      <c r="F261" s="6" t="s">
        <v>23</v>
      </c>
      <c r="G261" s="7">
        <v>38</v>
      </c>
      <c r="H261" s="7">
        <v>3</v>
      </c>
      <c r="I261" s="8">
        <v>54901.01</v>
      </c>
      <c r="J261" s="7">
        <v>1</v>
      </c>
      <c r="K261" s="7">
        <v>1</v>
      </c>
      <c r="L261" s="7">
        <v>1</v>
      </c>
      <c r="M261" s="9">
        <v>140075.54999999999</v>
      </c>
      <c r="N261" s="7">
        <v>0</v>
      </c>
    </row>
    <row r="262" spans="1:14" x14ac:dyDescent="0.25">
      <c r="A262" s="6">
        <v>261</v>
      </c>
      <c r="B262" s="7">
        <v>15713853</v>
      </c>
      <c r="C262" s="6" t="s">
        <v>257</v>
      </c>
      <c r="D262" s="7">
        <v>732</v>
      </c>
      <c r="E262" s="6" t="s">
        <v>26</v>
      </c>
      <c r="F262" s="6" t="s">
        <v>23</v>
      </c>
      <c r="G262" s="7">
        <v>42</v>
      </c>
      <c r="H262" s="7">
        <v>9</v>
      </c>
      <c r="I262" s="8">
        <v>108748.08</v>
      </c>
      <c r="J262" s="7">
        <v>2</v>
      </c>
      <c r="K262" s="7">
        <v>1</v>
      </c>
      <c r="L262" s="7">
        <v>1</v>
      </c>
      <c r="M262" s="9">
        <v>65323.11</v>
      </c>
      <c r="N262" s="7">
        <v>0</v>
      </c>
    </row>
    <row r="263" spans="1:14" x14ac:dyDescent="0.25">
      <c r="A263" s="6">
        <v>262</v>
      </c>
      <c r="B263" s="7">
        <v>15673481</v>
      </c>
      <c r="C263" s="6" t="s">
        <v>258</v>
      </c>
      <c r="D263" s="7">
        <v>726</v>
      </c>
      <c r="E263" s="6" t="s">
        <v>755</v>
      </c>
      <c r="F263" s="6" t="s">
        <v>16</v>
      </c>
      <c r="G263" s="7">
        <v>48</v>
      </c>
      <c r="H263" s="7">
        <v>6</v>
      </c>
      <c r="I263" s="8">
        <v>99906.19</v>
      </c>
      <c r="J263" s="7">
        <v>1</v>
      </c>
      <c r="K263" s="7">
        <v>1</v>
      </c>
      <c r="L263" s="7">
        <v>0</v>
      </c>
      <c r="M263" s="9">
        <v>64323.24</v>
      </c>
      <c r="N263" s="7">
        <v>0</v>
      </c>
    </row>
    <row r="264" spans="1:14" x14ac:dyDescent="0.25">
      <c r="A264" s="6">
        <v>263</v>
      </c>
      <c r="B264" s="7">
        <v>15686776</v>
      </c>
      <c r="C264" s="6" t="s">
        <v>259</v>
      </c>
      <c r="D264" s="7">
        <v>557</v>
      </c>
      <c r="E264" s="6" t="s">
        <v>754</v>
      </c>
      <c r="F264" s="6" t="s">
        <v>16</v>
      </c>
      <c r="G264" s="7">
        <v>32</v>
      </c>
      <c r="H264" s="7">
        <v>6</v>
      </c>
      <c r="I264" s="8">
        <v>184686.41</v>
      </c>
      <c r="J264" s="7">
        <v>2</v>
      </c>
      <c r="K264" s="7">
        <v>1</v>
      </c>
      <c r="L264" s="7">
        <v>0</v>
      </c>
      <c r="M264" s="9">
        <v>14956.44</v>
      </c>
      <c r="N264" s="7">
        <v>0</v>
      </c>
    </row>
    <row r="265" spans="1:14" x14ac:dyDescent="0.25">
      <c r="A265" s="6">
        <v>264</v>
      </c>
      <c r="B265" s="7">
        <v>15673693</v>
      </c>
      <c r="C265" s="6" t="s">
        <v>260</v>
      </c>
      <c r="D265" s="7">
        <v>682</v>
      </c>
      <c r="E265" s="6" t="s">
        <v>754</v>
      </c>
      <c r="F265" s="6" t="s">
        <v>16</v>
      </c>
      <c r="G265" s="7">
        <v>26</v>
      </c>
      <c r="H265" s="7">
        <v>0</v>
      </c>
      <c r="I265" s="8">
        <v>110654.02</v>
      </c>
      <c r="J265" s="7">
        <v>1</v>
      </c>
      <c r="K265" s="7">
        <v>0</v>
      </c>
      <c r="L265" s="7">
        <v>1</v>
      </c>
      <c r="M265" s="9">
        <v>111879.21</v>
      </c>
      <c r="N265" s="7">
        <v>0</v>
      </c>
    </row>
    <row r="266" spans="1:14" x14ac:dyDescent="0.25">
      <c r="A266" s="6">
        <v>265</v>
      </c>
      <c r="B266" s="7">
        <v>15700696</v>
      </c>
      <c r="C266" s="6" t="s">
        <v>261</v>
      </c>
      <c r="D266" s="7">
        <v>738</v>
      </c>
      <c r="E266" s="6" t="s">
        <v>755</v>
      </c>
      <c r="F266" s="6" t="s">
        <v>23</v>
      </c>
      <c r="G266" s="7">
        <v>31</v>
      </c>
      <c r="H266" s="7">
        <v>9</v>
      </c>
      <c r="I266" s="8">
        <v>79019.8</v>
      </c>
      <c r="J266" s="7">
        <v>1</v>
      </c>
      <c r="K266" s="7">
        <v>1</v>
      </c>
      <c r="L266" s="7">
        <v>1</v>
      </c>
      <c r="M266" s="9">
        <v>18606.23</v>
      </c>
      <c r="N266" s="7">
        <v>0</v>
      </c>
    </row>
    <row r="267" spans="1:14" x14ac:dyDescent="0.25">
      <c r="A267" s="6">
        <v>266</v>
      </c>
      <c r="B267" s="7">
        <v>15813163</v>
      </c>
      <c r="C267" s="6" t="s">
        <v>262</v>
      </c>
      <c r="D267" s="7">
        <v>531</v>
      </c>
      <c r="E267" s="6" t="s">
        <v>755</v>
      </c>
      <c r="F267" s="6" t="s">
        <v>16</v>
      </c>
      <c r="G267" s="7">
        <v>36</v>
      </c>
      <c r="H267" s="7">
        <v>9</v>
      </c>
      <c r="I267" s="8">
        <v>99240.51</v>
      </c>
      <c r="J267" s="7">
        <v>1</v>
      </c>
      <c r="K267" s="7">
        <v>1</v>
      </c>
      <c r="L267" s="7">
        <v>0</v>
      </c>
      <c r="M267" s="9">
        <v>123137.01</v>
      </c>
      <c r="N267" s="7">
        <v>0</v>
      </c>
    </row>
    <row r="268" spans="1:14" x14ac:dyDescent="0.25">
      <c r="A268" s="6">
        <v>267</v>
      </c>
      <c r="B268" s="7">
        <v>15653857</v>
      </c>
      <c r="C268" s="6" t="s">
        <v>263</v>
      </c>
      <c r="D268" s="7">
        <v>498</v>
      </c>
      <c r="E268" s="6" t="s">
        <v>15</v>
      </c>
      <c r="F268" s="6" t="s">
        <v>23</v>
      </c>
      <c r="G268" s="7">
        <v>34</v>
      </c>
      <c r="H268" s="7">
        <v>2</v>
      </c>
      <c r="I268" s="8">
        <v>0</v>
      </c>
      <c r="J268" s="7">
        <v>2</v>
      </c>
      <c r="K268" s="7">
        <v>1</v>
      </c>
      <c r="L268" s="7">
        <v>1</v>
      </c>
      <c r="M268" s="9">
        <v>148528.24</v>
      </c>
      <c r="N268" s="7">
        <v>0</v>
      </c>
    </row>
    <row r="269" spans="1:14" x14ac:dyDescent="0.25">
      <c r="A269" s="6">
        <v>268</v>
      </c>
      <c r="B269" s="7">
        <v>15777076</v>
      </c>
      <c r="C269" s="6" t="s">
        <v>80</v>
      </c>
      <c r="D269" s="7">
        <v>651</v>
      </c>
      <c r="E269" s="6" t="s">
        <v>15</v>
      </c>
      <c r="F269" s="6" t="s">
        <v>23</v>
      </c>
      <c r="G269" s="7">
        <v>36</v>
      </c>
      <c r="H269" s="7">
        <v>7</v>
      </c>
      <c r="I269" s="8">
        <v>0</v>
      </c>
      <c r="J269" s="7">
        <v>2</v>
      </c>
      <c r="K269" s="7">
        <v>1</v>
      </c>
      <c r="L269" s="7">
        <v>0</v>
      </c>
      <c r="M269" s="9">
        <v>13898.31</v>
      </c>
      <c r="N269" s="7">
        <v>0</v>
      </c>
    </row>
    <row r="270" spans="1:14" x14ac:dyDescent="0.25">
      <c r="A270" s="6">
        <v>269</v>
      </c>
      <c r="B270" s="7">
        <v>15717398</v>
      </c>
      <c r="C270" s="6" t="s">
        <v>264</v>
      </c>
      <c r="D270" s="7">
        <v>549</v>
      </c>
      <c r="E270" s="6" t="s">
        <v>755</v>
      </c>
      <c r="F270" s="6" t="s">
        <v>16</v>
      </c>
      <c r="G270" s="7">
        <v>39</v>
      </c>
      <c r="H270" s="7">
        <v>7</v>
      </c>
      <c r="I270" s="8">
        <v>0</v>
      </c>
      <c r="J270" s="7">
        <v>1</v>
      </c>
      <c r="K270" s="7">
        <v>0</v>
      </c>
      <c r="L270" s="7">
        <v>0</v>
      </c>
      <c r="M270" s="9">
        <v>81259.25</v>
      </c>
      <c r="N270" s="7">
        <v>1</v>
      </c>
    </row>
    <row r="271" spans="1:14" x14ac:dyDescent="0.25">
      <c r="A271" s="6">
        <v>270</v>
      </c>
      <c r="B271" s="7">
        <v>15799217</v>
      </c>
      <c r="C271" s="6" t="s">
        <v>138</v>
      </c>
      <c r="D271" s="7">
        <v>791</v>
      </c>
      <c r="E271" s="6" t="s">
        <v>26</v>
      </c>
      <c r="F271" s="6" t="s">
        <v>16</v>
      </c>
      <c r="G271" s="7">
        <v>35</v>
      </c>
      <c r="H271" s="7">
        <v>7</v>
      </c>
      <c r="I271" s="8">
        <v>52436.2</v>
      </c>
      <c r="J271" s="7">
        <v>1</v>
      </c>
      <c r="K271" s="7">
        <v>1</v>
      </c>
      <c r="L271" s="7">
        <v>0</v>
      </c>
      <c r="M271" s="9">
        <v>161051.75</v>
      </c>
      <c r="N271" s="7">
        <v>0</v>
      </c>
    </row>
    <row r="272" spans="1:14" x14ac:dyDescent="0.25">
      <c r="A272" s="6">
        <v>271</v>
      </c>
      <c r="B272" s="7">
        <v>15787071</v>
      </c>
      <c r="C272" s="6" t="s">
        <v>265</v>
      </c>
      <c r="D272" s="7">
        <v>650</v>
      </c>
      <c r="E272" s="6" t="s">
        <v>755</v>
      </c>
      <c r="F272" s="6" t="s">
        <v>23</v>
      </c>
      <c r="G272" s="7">
        <v>41</v>
      </c>
      <c r="H272" s="7">
        <v>9</v>
      </c>
      <c r="I272" s="8">
        <v>0</v>
      </c>
      <c r="J272" s="7">
        <v>2</v>
      </c>
      <c r="K272" s="7">
        <v>0</v>
      </c>
      <c r="L272" s="7">
        <v>1</v>
      </c>
      <c r="M272" s="9">
        <v>191599.67</v>
      </c>
      <c r="N272" s="7">
        <v>0</v>
      </c>
    </row>
    <row r="273" spans="1:14" x14ac:dyDescent="0.25">
      <c r="A273" s="6">
        <v>272</v>
      </c>
      <c r="B273" s="7">
        <v>15619955</v>
      </c>
      <c r="C273" s="6" t="s">
        <v>266</v>
      </c>
      <c r="D273" s="7">
        <v>733</v>
      </c>
      <c r="E273" s="6" t="s">
        <v>26</v>
      </c>
      <c r="F273" s="6" t="s">
        <v>23</v>
      </c>
      <c r="G273" s="7">
        <v>34</v>
      </c>
      <c r="H273" s="7">
        <v>3</v>
      </c>
      <c r="I273" s="8">
        <v>100337.96</v>
      </c>
      <c r="J273" s="7">
        <v>3</v>
      </c>
      <c r="K273" s="7">
        <v>1</v>
      </c>
      <c r="L273" s="7">
        <v>0</v>
      </c>
      <c r="M273" s="9">
        <v>48559.19</v>
      </c>
      <c r="N273" s="7">
        <v>1</v>
      </c>
    </row>
    <row r="274" spans="1:14" x14ac:dyDescent="0.25">
      <c r="A274" s="6">
        <v>273</v>
      </c>
      <c r="B274" s="7">
        <v>15796505</v>
      </c>
      <c r="C274" s="6" t="s">
        <v>267</v>
      </c>
      <c r="D274" s="7">
        <v>811</v>
      </c>
      <c r="E274" s="6" t="s">
        <v>26</v>
      </c>
      <c r="F274" s="6" t="s">
        <v>16</v>
      </c>
      <c r="G274" s="7">
        <v>34</v>
      </c>
      <c r="H274" s="7">
        <v>1</v>
      </c>
      <c r="I274" s="8">
        <v>149297.19</v>
      </c>
      <c r="J274" s="7">
        <v>2</v>
      </c>
      <c r="K274" s="7">
        <v>1</v>
      </c>
      <c r="L274" s="7">
        <v>1</v>
      </c>
      <c r="M274" s="9">
        <v>186339.74</v>
      </c>
      <c r="N274" s="7">
        <v>0</v>
      </c>
    </row>
    <row r="275" spans="1:14" x14ac:dyDescent="0.25">
      <c r="A275" s="6">
        <v>274</v>
      </c>
      <c r="B275" s="7">
        <v>15725166</v>
      </c>
      <c r="C275" s="6" t="s">
        <v>268</v>
      </c>
      <c r="D275" s="7">
        <v>707</v>
      </c>
      <c r="E275" s="6" t="s">
        <v>15</v>
      </c>
      <c r="F275" s="6" t="s">
        <v>23</v>
      </c>
      <c r="G275" s="7">
        <v>30</v>
      </c>
      <c r="H275" s="7">
        <v>8</v>
      </c>
      <c r="I275" s="8">
        <v>0</v>
      </c>
      <c r="J275" s="7">
        <v>2</v>
      </c>
      <c r="K275" s="7">
        <v>1</v>
      </c>
      <c r="L275" s="7">
        <v>0</v>
      </c>
      <c r="M275" s="9">
        <v>33159.370000000003</v>
      </c>
      <c r="N275" s="7">
        <v>0</v>
      </c>
    </row>
    <row r="276" spans="1:14" x14ac:dyDescent="0.25">
      <c r="A276" s="6">
        <v>275</v>
      </c>
      <c r="B276" s="7">
        <v>15800116</v>
      </c>
      <c r="C276" s="6" t="s">
        <v>269</v>
      </c>
      <c r="D276" s="7">
        <v>712</v>
      </c>
      <c r="E276" s="6" t="s">
        <v>26</v>
      </c>
      <c r="F276" s="6" t="s">
        <v>23</v>
      </c>
      <c r="G276" s="7">
        <v>28</v>
      </c>
      <c r="H276" s="7">
        <v>4</v>
      </c>
      <c r="I276" s="8">
        <v>145605.44</v>
      </c>
      <c r="J276" s="7">
        <v>1</v>
      </c>
      <c r="K276" s="7">
        <v>0</v>
      </c>
      <c r="L276" s="7">
        <v>1</v>
      </c>
      <c r="M276" s="9">
        <v>93883.53</v>
      </c>
      <c r="N276" s="7">
        <v>0</v>
      </c>
    </row>
    <row r="277" spans="1:14" x14ac:dyDescent="0.25">
      <c r="A277" s="6">
        <v>276</v>
      </c>
      <c r="B277" s="7">
        <v>15758685</v>
      </c>
      <c r="C277" s="6" t="s">
        <v>270</v>
      </c>
      <c r="D277" s="7">
        <v>706</v>
      </c>
      <c r="E277" s="6" t="s">
        <v>755</v>
      </c>
      <c r="F277" s="6" t="s">
        <v>16</v>
      </c>
      <c r="G277" s="7">
        <v>37</v>
      </c>
      <c r="H277" s="7">
        <v>7</v>
      </c>
      <c r="I277" s="8">
        <v>0</v>
      </c>
      <c r="J277" s="7">
        <v>2</v>
      </c>
      <c r="K277" s="7">
        <v>1</v>
      </c>
      <c r="L277" s="7">
        <v>1</v>
      </c>
      <c r="M277" s="9">
        <v>110899.3</v>
      </c>
      <c r="N277" s="7">
        <v>0</v>
      </c>
    </row>
    <row r="278" spans="1:14" x14ac:dyDescent="0.25">
      <c r="A278" s="6">
        <v>277</v>
      </c>
      <c r="B278" s="7">
        <v>15694456</v>
      </c>
      <c r="C278" s="6" t="s">
        <v>271</v>
      </c>
      <c r="D278" s="7">
        <v>756</v>
      </c>
      <c r="E278" s="6" t="s">
        <v>15</v>
      </c>
      <c r="F278" s="6" t="s">
        <v>23</v>
      </c>
      <c r="G278" s="7">
        <v>62</v>
      </c>
      <c r="H278" s="7">
        <v>3</v>
      </c>
      <c r="I278" s="8">
        <v>0</v>
      </c>
      <c r="J278" s="7">
        <v>1</v>
      </c>
      <c r="K278" s="7">
        <v>1</v>
      </c>
      <c r="L278" s="7">
        <v>1</v>
      </c>
      <c r="M278" s="9">
        <v>11199.04</v>
      </c>
      <c r="N278" s="7">
        <v>1</v>
      </c>
    </row>
    <row r="279" spans="1:14" ht="30" x14ac:dyDescent="0.25">
      <c r="A279" s="6">
        <v>278</v>
      </c>
      <c r="B279" s="7">
        <v>15767339</v>
      </c>
      <c r="C279" s="6" t="s">
        <v>272</v>
      </c>
      <c r="D279" s="7">
        <v>777</v>
      </c>
      <c r="E279" s="6" t="s">
        <v>15</v>
      </c>
      <c r="F279" s="6" t="s">
        <v>16</v>
      </c>
      <c r="G279" s="7">
        <v>53</v>
      </c>
      <c r="H279" s="7">
        <v>10</v>
      </c>
      <c r="I279" s="8">
        <v>0</v>
      </c>
      <c r="J279" s="7">
        <v>2</v>
      </c>
      <c r="K279" s="7">
        <v>1</v>
      </c>
      <c r="L279" s="7">
        <v>0</v>
      </c>
      <c r="M279" s="9">
        <v>189992.97</v>
      </c>
      <c r="N279" s="7">
        <v>0</v>
      </c>
    </row>
    <row r="280" spans="1:14" x14ac:dyDescent="0.25">
      <c r="A280" s="6">
        <v>279</v>
      </c>
      <c r="B280" s="7">
        <v>15683562</v>
      </c>
      <c r="C280" s="6" t="s">
        <v>273</v>
      </c>
      <c r="D280" s="7">
        <v>646</v>
      </c>
      <c r="E280" s="6" t="s">
        <v>15</v>
      </c>
      <c r="F280" s="6" t="s">
        <v>23</v>
      </c>
      <c r="G280" s="7">
        <v>35</v>
      </c>
      <c r="H280" s="7">
        <v>6</v>
      </c>
      <c r="I280" s="8">
        <v>84026.86</v>
      </c>
      <c r="J280" s="7">
        <v>1</v>
      </c>
      <c r="K280" s="7">
        <v>0</v>
      </c>
      <c r="L280" s="7">
        <v>1</v>
      </c>
      <c r="M280" s="9">
        <v>164255.69</v>
      </c>
      <c r="N280" s="7">
        <v>0</v>
      </c>
    </row>
    <row r="281" spans="1:14" x14ac:dyDescent="0.25">
      <c r="A281" s="6">
        <v>280</v>
      </c>
      <c r="B281" s="7">
        <v>15782210</v>
      </c>
      <c r="C281" s="6" t="s">
        <v>274</v>
      </c>
      <c r="D281" s="7">
        <v>714</v>
      </c>
      <c r="E281" s="6" t="s">
        <v>15</v>
      </c>
      <c r="F281" s="6" t="s">
        <v>23</v>
      </c>
      <c r="G281" s="7">
        <v>46</v>
      </c>
      <c r="H281" s="7">
        <v>1</v>
      </c>
      <c r="I281" s="8">
        <v>0</v>
      </c>
      <c r="J281" s="7">
        <v>1</v>
      </c>
      <c r="K281" s="7">
        <v>1</v>
      </c>
      <c r="L281" s="7">
        <v>0</v>
      </c>
      <c r="M281" s="9">
        <v>152167.79</v>
      </c>
      <c r="N281" s="7">
        <v>1</v>
      </c>
    </row>
    <row r="282" spans="1:14" x14ac:dyDescent="0.25">
      <c r="A282" s="6">
        <v>281</v>
      </c>
      <c r="B282" s="7">
        <v>15668893</v>
      </c>
      <c r="C282" s="6" t="s">
        <v>275</v>
      </c>
      <c r="D282" s="7">
        <v>782</v>
      </c>
      <c r="E282" s="6" t="s">
        <v>15</v>
      </c>
      <c r="F282" s="6" t="s">
        <v>23</v>
      </c>
      <c r="G282" s="7">
        <v>39</v>
      </c>
      <c r="H282" s="7">
        <v>8</v>
      </c>
      <c r="I282" s="8">
        <v>0</v>
      </c>
      <c r="J282" s="7">
        <v>2</v>
      </c>
      <c r="K282" s="7">
        <v>1</v>
      </c>
      <c r="L282" s="7">
        <v>1</v>
      </c>
      <c r="M282" s="9">
        <v>33949.67</v>
      </c>
      <c r="N282" s="7">
        <v>0</v>
      </c>
    </row>
    <row r="283" spans="1:14" x14ac:dyDescent="0.25">
      <c r="A283" s="6">
        <v>282</v>
      </c>
      <c r="B283" s="7">
        <v>15669169</v>
      </c>
      <c r="C283" s="6" t="s">
        <v>276</v>
      </c>
      <c r="D283" s="7">
        <v>775</v>
      </c>
      <c r="E283" s="6" t="s">
        <v>755</v>
      </c>
      <c r="F283" s="6" t="s">
        <v>23</v>
      </c>
      <c r="G283" s="7">
        <v>29</v>
      </c>
      <c r="H283" s="7">
        <v>10</v>
      </c>
      <c r="I283" s="8">
        <v>0</v>
      </c>
      <c r="J283" s="7">
        <v>2</v>
      </c>
      <c r="K283" s="7">
        <v>1</v>
      </c>
      <c r="L283" s="7">
        <v>1</v>
      </c>
      <c r="M283" s="9">
        <v>68143.929999999993</v>
      </c>
      <c r="N283" s="7">
        <v>0</v>
      </c>
    </row>
    <row r="284" spans="1:14" x14ac:dyDescent="0.25">
      <c r="A284" s="6">
        <v>283</v>
      </c>
      <c r="B284" s="7">
        <v>15643024</v>
      </c>
      <c r="C284" s="6" t="s">
        <v>277</v>
      </c>
      <c r="D284" s="7">
        <v>479</v>
      </c>
      <c r="E284" s="6" t="s">
        <v>26</v>
      </c>
      <c r="F284" s="6" t="s">
        <v>23</v>
      </c>
      <c r="G284" s="7">
        <v>35</v>
      </c>
      <c r="H284" s="7">
        <v>4</v>
      </c>
      <c r="I284" s="8">
        <v>138718.92000000001</v>
      </c>
      <c r="J284" s="7">
        <v>1</v>
      </c>
      <c r="K284" s="7">
        <v>1</v>
      </c>
      <c r="L284" s="7">
        <v>1</v>
      </c>
      <c r="M284" s="9">
        <v>47251.79</v>
      </c>
      <c r="N284" s="7">
        <v>1</v>
      </c>
    </row>
    <row r="285" spans="1:14" x14ac:dyDescent="0.25">
      <c r="A285" s="6">
        <v>284</v>
      </c>
      <c r="B285" s="7">
        <v>15699389</v>
      </c>
      <c r="C285" s="6" t="s">
        <v>226</v>
      </c>
      <c r="D285" s="7">
        <v>807</v>
      </c>
      <c r="E285" s="6" t="s">
        <v>15</v>
      </c>
      <c r="F285" s="6" t="s">
        <v>23</v>
      </c>
      <c r="G285" s="7">
        <v>42</v>
      </c>
      <c r="H285" s="7">
        <v>7</v>
      </c>
      <c r="I285" s="8">
        <v>118274.71</v>
      </c>
      <c r="J285" s="7">
        <v>1</v>
      </c>
      <c r="K285" s="7">
        <v>1</v>
      </c>
      <c r="L285" s="7">
        <v>1</v>
      </c>
      <c r="M285" s="9">
        <v>25885.72</v>
      </c>
      <c r="N285" s="7">
        <v>0</v>
      </c>
    </row>
    <row r="286" spans="1:14" x14ac:dyDescent="0.25">
      <c r="A286" s="6">
        <v>285</v>
      </c>
      <c r="B286" s="7">
        <v>15708608</v>
      </c>
      <c r="C286" s="6" t="s">
        <v>278</v>
      </c>
      <c r="D286" s="7">
        <v>799</v>
      </c>
      <c r="E286" s="6" t="s">
        <v>15</v>
      </c>
      <c r="F286" s="6" t="s">
        <v>16</v>
      </c>
      <c r="G286" s="7">
        <v>22</v>
      </c>
      <c r="H286" s="7">
        <v>8</v>
      </c>
      <c r="I286" s="8">
        <v>174185.98</v>
      </c>
      <c r="J286" s="7">
        <v>2</v>
      </c>
      <c r="K286" s="7">
        <v>0</v>
      </c>
      <c r="L286" s="7">
        <v>1</v>
      </c>
      <c r="M286" s="9">
        <v>192633.85</v>
      </c>
      <c r="N286" s="7">
        <v>0</v>
      </c>
    </row>
    <row r="287" spans="1:14" x14ac:dyDescent="0.25">
      <c r="A287" s="6">
        <v>286</v>
      </c>
      <c r="B287" s="7">
        <v>15626144</v>
      </c>
      <c r="C287" s="6" t="s">
        <v>22</v>
      </c>
      <c r="D287" s="7">
        <v>675</v>
      </c>
      <c r="E287" s="6" t="s">
        <v>15</v>
      </c>
      <c r="F287" s="6" t="s">
        <v>23</v>
      </c>
      <c r="G287" s="7">
        <v>40</v>
      </c>
      <c r="H287" s="7">
        <v>7</v>
      </c>
      <c r="I287" s="8">
        <v>113208.86</v>
      </c>
      <c r="J287" s="7">
        <v>2</v>
      </c>
      <c r="K287" s="7">
        <v>1</v>
      </c>
      <c r="L287" s="7">
        <v>0</v>
      </c>
      <c r="M287" s="9">
        <v>34577.360000000001</v>
      </c>
      <c r="N287" s="7">
        <v>0</v>
      </c>
    </row>
    <row r="288" spans="1:14" x14ac:dyDescent="0.25">
      <c r="A288" s="6">
        <v>287</v>
      </c>
      <c r="B288" s="7">
        <v>15573112</v>
      </c>
      <c r="C288" s="6" t="s">
        <v>261</v>
      </c>
      <c r="D288" s="7">
        <v>602</v>
      </c>
      <c r="E288" s="6" t="s">
        <v>755</v>
      </c>
      <c r="F288" s="6" t="s">
        <v>23</v>
      </c>
      <c r="G288" s="7">
        <v>29</v>
      </c>
      <c r="H288" s="7">
        <v>5</v>
      </c>
      <c r="I288" s="8">
        <v>103907.28</v>
      </c>
      <c r="J288" s="7">
        <v>1</v>
      </c>
      <c r="K288" s="7">
        <v>1</v>
      </c>
      <c r="L288" s="7">
        <v>0</v>
      </c>
      <c r="M288" s="9">
        <v>161229.84</v>
      </c>
      <c r="N288" s="7">
        <v>0</v>
      </c>
    </row>
    <row r="289" spans="1:14" x14ac:dyDescent="0.25">
      <c r="A289" s="6">
        <v>288</v>
      </c>
      <c r="B289" s="7">
        <v>15790678</v>
      </c>
      <c r="C289" s="6" t="s">
        <v>279</v>
      </c>
      <c r="D289" s="7">
        <v>475</v>
      </c>
      <c r="E289" s="6" t="s">
        <v>15</v>
      </c>
      <c r="F289" s="6" t="s">
        <v>16</v>
      </c>
      <c r="G289" s="7">
        <v>32</v>
      </c>
      <c r="H289" s="7">
        <v>8</v>
      </c>
      <c r="I289" s="8">
        <v>119023.28</v>
      </c>
      <c r="J289" s="7">
        <v>1</v>
      </c>
      <c r="K289" s="7">
        <v>1</v>
      </c>
      <c r="L289" s="7">
        <v>0</v>
      </c>
      <c r="M289" s="9">
        <v>100816.29</v>
      </c>
      <c r="N289" s="7">
        <v>0</v>
      </c>
    </row>
    <row r="290" spans="1:14" x14ac:dyDescent="0.25">
      <c r="A290" s="6">
        <v>289</v>
      </c>
      <c r="B290" s="7">
        <v>15727556</v>
      </c>
      <c r="C290" s="6" t="s">
        <v>280</v>
      </c>
      <c r="D290" s="7">
        <v>744</v>
      </c>
      <c r="E290" s="6" t="s">
        <v>755</v>
      </c>
      <c r="F290" s="6" t="s">
        <v>16</v>
      </c>
      <c r="G290" s="7">
        <v>26</v>
      </c>
      <c r="H290" s="7">
        <v>5</v>
      </c>
      <c r="I290" s="8">
        <v>166297.89000000001</v>
      </c>
      <c r="J290" s="7">
        <v>1</v>
      </c>
      <c r="K290" s="7">
        <v>1</v>
      </c>
      <c r="L290" s="7">
        <v>1</v>
      </c>
      <c r="M290" s="9">
        <v>181694.44</v>
      </c>
      <c r="N290" s="7">
        <v>0</v>
      </c>
    </row>
    <row r="291" spans="1:14" x14ac:dyDescent="0.25">
      <c r="A291" s="6">
        <v>290</v>
      </c>
      <c r="B291" s="7">
        <v>15697307</v>
      </c>
      <c r="C291" s="6" t="s">
        <v>281</v>
      </c>
      <c r="D291" s="7">
        <v>588</v>
      </c>
      <c r="E291" s="6" t="s">
        <v>755</v>
      </c>
      <c r="F291" s="6" t="s">
        <v>23</v>
      </c>
      <c r="G291" s="7">
        <v>34</v>
      </c>
      <c r="H291" s="7">
        <v>10</v>
      </c>
      <c r="I291" s="8">
        <v>0</v>
      </c>
      <c r="J291" s="7">
        <v>2</v>
      </c>
      <c r="K291" s="7">
        <v>1</v>
      </c>
      <c r="L291" s="7">
        <v>0</v>
      </c>
      <c r="M291" s="9">
        <v>79078.91</v>
      </c>
      <c r="N291" s="7">
        <v>0</v>
      </c>
    </row>
    <row r="292" spans="1:14" x14ac:dyDescent="0.25">
      <c r="A292" s="6">
        <v>291</v>
      </c>
      <c r="B292" s="7">
        <v>15652266</v>
      </c>
      <c r="C292" s="6" t="s">
        <v>69</v>
      </c>
      <c r="D292" s="7">
        <v>703</v>
      </c>
      <c r="E292" s="6" t="s">
        <v>26</v>
      </c>
      <c r="F292" s="6" t="s">
        <v>23</v>
      </c>
      <c r="G292" s="7">
        <v>42</v>
      </c>
      <c r="H292" s="7">
        <v>9</v>
      </c>
      <c r="I292" s="8">
        <v>63227</v>
      </c>
      <c r="J292" s="7">
        <v>1</v>
      </c>
      <c r="K292" s="7">
        <v>0</v>
      </c>
      <c r="L292" s="7">
        <v>1</v>
      </c>
      <c r="M292" s="9">
        <v>137316.32</v>
      </c>
      <c r="N292" s="7">
        <v>0</v>
      </c>
    </row>
    <row r="293" spans="1:14" x14ac:dyDescent="0.25">
      <c r="A293" s="6">
        <v>292</v>
      </c>
      <c r="B293" s="7">
        <v>15607098</v>
      </c>
      <c r="C293" s="6" t="s">
        <v>282</v>
      </c>
      <c r="D293" s="7">
        <v>747</v>
      </c>
      <c r="E293" s="6" t="s">
        <v>755</v>
      </c>
      <c r="F293" s="6" t="s">
        <v>16</v>
      </c>
      <c r="G293" s="7">
        <v>41</v>
      </c>
      <c r="H293" s="7">
        <v>5</v>
      </c>
      <c r="I293" s="8">
        <v>94521.17</v>
      </c>
      <c r="J293" s="7">
        <v>2</v>
      </c>
      <c r="K293" s="7">
        <v>1</v>
      </c>
      <c r="L293" s="7">
        <v>0</v>
      </c>
      <c r="M293" s="9">
        <v>194926.86</v>
      </c>
      <c r="N293" s="7">
        <v>0</v>
      </c>
    </row>
    <row r="294" spans="1:14" x14ac:dyDescent="0.25">
      <c r="A294" s="6">
        <v>293</v>
      </c>
      <c r="B294" s="7">
        <v>15655774</v>
      </c>
      <c r="C294" s="6" t="s">
        <v>283</v>
      </c>
      <c r="D294" s="7">
        <v>583</v>
      </c>
      <c r="E294" s="6" t="s">
        <v>15</v>
      </c>
      <c r="F294" s="6" t="s">
        <v>23</v>
      </c>
      <c r="G294" s="7">
        <v>27</v>
      </c>
      <c r="H294" s="7">
        <v>7</v>
      </c>
      <c r="I294" s="8">
        <v>0</v>
      </c>
      <c r="J294" s="7">
        <v>2</v>
      </c>
      <c r="K294" s="7">
        <v>1</v>
      </c>
      <c r="L294" s="7">
        <v>0</v>
      </c>
      <c r="M294" s="9">
        <v>51285.49</v>
      </c>
      <c r="N294" s="7">
        <v>0</v>
      </c>
    </row>
    <row r="295" spans="1:14" x14ac:dyDescent="0.25">
      <c r="A295" s="6">
        <v>294</v>
      </c>
      <c r="B295" s="7">
        <v>15590241</v>
      </c>
      <c r="C295" s="6" t="s">
        <v>284</v>
      </c>
      <c r="D295" s="7">
        <v>750</v>
      </c>
      <c r="E295" s="6" t="s">
        <v>755</v>
      </c>
      <c r="F295" s="6" t="s">
        <v>16</v>
      </c>
      <c r="G295" s="7">
        <v>34</v>
      </c>
      <c r="H295" s="7">
        <v>9</v>
      </c>
      <c r="I295" s="8">
        <v>112822.26</v>
      </c>
      <c r="J295" s="7">
        <v>1</v>
      </c>
      <c r="K295" s="7">
        <v>0</v>
      </c>
      <c r="L295" s="7">
        <v>0</v>
      </c>
      <c r="M295" s="9">
        <v>150401.53</v>
      </c>
      <c r="N295" s="7">
        <v>1</v>
      </c>
    </row>
    <row r="296" spans="1:14" x14ac:dyDescent="0.25">
      <c r="A296" s="6">
        <v>295</v>
      </c>
      <c r="B296" s="7">
        <v>15785819</v>
      </c>
      <c r="C296" s="6" t="s">
        <v>285</v>
      </c>
      <c r="D296" s="7">
        <v>681</v>
      </c>
      <c r="E296" s="6" t="s">
        <v>15</v>
      </c>
      <c r="F296" s="6" t="s">
        <v>23</v>
      </c>
      <c r="G296" s="7">
        <v>38</v>
      </c>
      <c r="H296" s="7">
        <v>3</v>
      </c>
      <c r="I296" s="8">
        <v>0</v>
      </c>
      <c r="J296" s="7">
        <v>2</v>
      </c>
      <c r="K296" s="7">
        <v>1</v>
      </c>
      <c r="L296" s="7">
        <v>1</v>
      </c>
      <c r="M296" s="9">
        <v>112491.96</v>
      </c>
      <c r="N296" s="7">
        <v>0</v>
      </c>
    </row>
    <row r="297" spans="1:14" x14ac:dyDescent="0.25">
      <c r="A297" s="6">
        <v>296</v>
      </c>
      <c r="B297" s="7">
        <v>15723654</v>
      </c>
      <c r="C297" s="6" t="s">
        <v>75</v>
      </c>
      <c r="D297" s="7">
        <v>773</v>
      </c>
      <c r="E297" s="6" t="s">
        <v>15</v>
      </c>
      <c r="F297" s="6" t="s">
        <v>23</v>
      </c>
      <c r="G297" s="7">
        <v>25</v>
      </c>
      <c r="H297" s="7">
        <v>2</v>
      </c>
      <c r="I297" s="8">
        <v>135903.32999999999</v>
      </c>
      <c r="J297" s="7">
        <v>1</v>
      </c>
      <c r="K297" s="7">
        <v>1</v>
      </c>
      <c r="L297" s="7">
        <v>0</v>
      </c>
      <c r="M297" s="9">
        <v>73656.38</v>
      </c>
      <c r="N297" s="7">
        <v>0</v>
      </c>
    </row>
    <row r="298" spans="1:14" x14ac:dyDescent="0.25">
      <c r="A298" s="6">
        <v>297</v>
      </c>
      <c r="B298" s="7">
        <v>15774510</v>
      </c>
      <c r="C298" s="6" t="s">
        <v>153</v>
      </c>
      <c r="D298" s="7">
        <v>714</v>
      </c>
      <c r="E298" s="6" t="s">
        <v>15</v>
      </c>
      <c r="F298" s="6" t="s">
        <v>16</v>
      </c>
      <c r="G298" s="7">
        <v>31</v>
      </c>
      <c r="H298" s="7">
        <v>4</v>
      </c>
      <c r="I298" s="8">
        <v>125169.26</v>
      </c>
      <c r="J298" s="7">
        <v>1</v>
      </c>
      <c r="K298" s="7">
        <v>1</v>
      </c>
      <c r="L298" s="7">
        <v>1</v>
      </c>
      <c r="M298" s="9">
        <v>106636.89</v>
      </c>
      <c r="N298" s="7">
        <v>0</v>
      </c>
    </row>
    <row r="299" spans="1:14" x14ac:dyDescent="0.25">
      <c r="A299" s="6">
        <v>298</v>
      </c>
      <c r="B299" s="7">
        <v>15684173</v>
      </c>
      <c r="C299" s="6" t="s">
        <v>191</v>
      </c>
      <c r="D299" s="7">
        <v>687</v>
      </c>
      <c r="E299" s="6" t="s">
        <v>755</v>
      </c>
      <c r="F299" s="6" t="s">
        <v>16</v>
      </c>
      <c r="G299" s="7">
        <v>44</v>
      </c>
      <c r="H299" s="7">
        <v>7</v>
      </c>
      <c r="I299" s="8">
        <v>0</v>
      </c>
      <c r="J299" s="7">
        <v>3</v>
      </c>
      <c r="K299" s="7">
        <v>1</v>
      </c>
      <c r="L299" s="7">
        <v>0</v>
      </c>
      <c r="M299" s="9">
        <v>155853.51999999999</v>
      </c>
      <c r="N299" s="7">
        <v>1</v>
      </c>
    </row>
    <row r="300" spans="1:14" x14ac:dyDescent="0.25">
      <c r="A300" s="6">
        <v>299</v>
      </c>
      <c r="B300" s="7">
        <v>15650068</v>
      </c>
      <c r="C300" s="6" t="s">
        <v>286</v>
      </c>
      <c r="D300" s="7">
        <v>511</v>
      </c>
      <c r="E300" s="6" t="s">
        <v>15</v>
      </c>
      <c r="F300" s="6" t="s">
        <v>23</v>
      </c>
      <c r="G300" s="7">
        <v>58</v>
      </c>
      <c r="H300" s="7">
        <v>0</v>
      </c>
      <c r="I300" s="8">
        <v>149117.31</v>
      </c>
      <c r="J300" s="7">
        <v>1</v>
      </c>
      <c r="K300" s="7">
        <v>1</v>
      </c>
      <c r="L300" s="7">
        <v>1</v>
      </c>
      <c r="M300" s="9">
        <v>162599.51</v>
      </c>
      <c r="N300" s="7">
        <v>0</v>
      </c>
    </row>
    <row r="301" spans="1:14" x14ac:dyDescent="0.25">
      <c r="A301" s="6">
        <v>300</v>
      </c>
      <c r="B301" s="7">
        <v>15811490</v>
      </c>
      <c r="C301" s="6" t="s">
        <v>287</v>
      </c>
      <c r="D301" s="7">
        <v>627</v>
      </c>
      <c r="E301" s="6" t="s">
        <v>15</v>
      </c>
      <c r="F301" s="6" t="s">
        <v>23</v>
      </c>
      <c r="G301" s="7">
        <v>33</v>
      </c>
      <c r="H301" s="7">
        <v>5</v>
      </c>
      <c r="I301" s="8">
        <v>0</v>
      </c>
      <c r="J301" s="7">
        <v>2</v>
      </c>
      <c r="K301" s="7">
        <v>1</v>
      </c>
      <c r="L301" s="7">
        <v>1</v>
      </c>
      <c r="M301" s="9">
        <v>103737.82</v>
      </c>
      <c r="N301" s="7">
        <v>0</v>
      </c>
    </row>
    <row r="302" spans="1:14" x14ac:dyDescent="0.25">
      <c r="A302" s="6">
        <v>301</v>
      </c>
      <c r="B302" s="7">
        <v>15803976</v>
      </c>
      <c r="C302" s="6" t="s">
        <v>288</v>
      </c>
      <c r="D302" s="7">
        <v>694</v>
      </c>
      <c r="E302" s="6" t="s">
        <v>15</v>
      </c>
      <c r="F302" s="6" t="s">
        <v>16</v>
      </c>
      <c r="G302" s="7">
        <v>31</v>
      </c>
      <c r="H302" s="7">
        <v>10</v>
      </c>
      <c r="I302" s="8">
        <v>0</v>
      </c>
      <c r="J302" s="7">
        <v>2</v>
      </c>
      <c r="K302" s="7">
        <v>1</v>
      </c>
      <c r="L302" s="7">
        <v>0</v>
      </c>
      <c r="M302" s="9">
        <v>160990.26999999999</v>
      </c>
      <c r="N302" s="7">
        <v>0</v>
      </c>
    </row>
    <row r="303" spans="1:14" x14ac:dyDescent="0.25">
      <c r="A303" s="6">
        <v>302</v>
      </c>
      <c r="B303" s="7">
        <v>15682541</v>
      </c>
      <c r="C303" s="6" t="s">
        <v>289</v>
      </c>
      <c r="D303" s="7">
        <v>616</v>
      </c>
      <c r="E303" s="6" t="s">
        <v>755</v>
      </c>
      <c r="F303" s="6" t="s">
        <v>16</v>
      </c>
      <c r="G303" s="7">
        <v>36</v>
      </c>
      <c r="H303" s="7">
        <v>6</v>
      </c>
      <c r="I303" s="8">
        <v>132311.71</v>
      </c>
      <c r="J303" s="7">
        <v>1</v>
      </c>
      <c r="K303" s="7">
        <v>0</v>
      </c>
      <c r="L303" s="7">
        <v>0</v>
      </c>
      <c r="M303" s="9">
        <v>15462.84</v>
      </c>
      <c r="N303" s="7">
        <v>0</v>
      </c>
    </row>
    <row r="304" spans="1:14" x14ac:dyDescent="0.25">
      <c r="A304" s="6">
        <v>303</v>
      </c>
      <c r="B304" s="7">
        <v>15695699</v>
      </c>
      <c r="C304" s="6" t="s">
        <v>290</v>
      </c>
      <c r="D304" s="7">
        <v>687</v>
      </c>
      <c r="E304" s="6" t="s">
        <v>15</v>
      </c>
      <c r="F304" s="6" t="s">
        <v>23</v>
      </c>
      <c r="G304" s="7">
        <v>35</v>
      </c>
      <c r="H304" s="7">
        <v>8</v>
      </c>
      <c r="I304" s="8">
        <v>0</v>
      </c>
      <c r="J304" s="7">
        <v>2</v>
      </c>
      <c r="K304" s="7">
        <v>1</v>
      </c>
      <c r="L304" s="7">
        <v>0</v>
      </c>
      <c r="M304" s="9">
        <v>10334.049999999999</v>
      </c>
      <c r="N304" s="7">
        <v>0</v>
      </c>
    </row>
    <row r="305" spans="1:14" x14ac:dyDescent="0.25">
      <c r="A305" s="6">
        <v>304</v>
      </c>
      <c r="B305" s="7">
        <v>15624188</v>
      </c>
      <c r="C305" s="6" t="s">
        <v>291</v>
      </c>
      <c r="D305" s="7">
        <v>712</v>
      </c>
      <c r="E305" s="6" t="s">
        <v>15</v>
      </c>
      <c r="F305" s="6" t="s">
        <v>16</v>
      </c>
      <c r="G305" s="7">
        <v>33</v>
      </c>
      <c r="H305" s="7">
        <v>6</v>
      </c>
      <c r="I305" s="8">
        <v>0</v>
      </c>
      <c r="J305" s="7">
        <v>2</v>
      </c>
      <c r="K305" s="7">
        <v>1</v>
      </c>
      <c r="L305" s="7">
        <v>1</v>
      </c>
      <c r="M305" s="9">
        <v>190686.16</v>
      </c>
      <c r="N305" s="7">
        <v>0</v>
      </c>
    </row>
    <row r="306" spans="1:14" x14ac:dyDescent="0.25">
      <c r="A306" s="6">
        <v>305</v>
      </c>
      <c r="B306" s="7">
        <v>15812191</v>
      </c>
      <c r="C306" s="6" t="s">
        <v>292</v>
      </c>
      <c r="D306" s="7">
        <v>553</v>
      </c>
      <c r="E306" s="6" t="s">
        <v>15</v>
      </c>
      <c r="F306" s="6" t="s">
        <v>23</v>
      </c>
      <c r="G306" s="7">
        <v>33</v>
      </c>
      <c r="H306" s="7">
        <v>4</v>
      </c>
      <c r="I306" s="8">
        <v>118082.89</v>
      </c>
      <c r="J306" s="7">
        <v>1</v>
      </c>
      <c r="K306" s="7">
        <v>0</v>
      </c>
      <c r="L306" s="7">
        <v>0</v>
      </c>
      <c r="M306" s="9">
        <v>94440.45</v>
      </c>
      <c r="N306" s="7">
        <v>0</v>
      </c>
    </row>
    <row r="307" spans="1:14" ht="30" x14ac:dyDescent="0.25">
      <c r="A307" s="6">
        <v>306</v>
      </c>
      <c r="B307" s="7">
        <v>15636673</v>
      </c>
      <c r="C307" s="6" t="s">
        <v>293</v>
      </c>
      <c r="D307" s="7">
        <v>667</v>
      </c>
      <c r="E307" s="6" t="s">
        <v>15</v>
      </c>
      <c r="F307" s="6" t="s">
        <v>23</v>
      </c>
      <c r="G307" s="7">
        <v>31</v>
      </c>
      <c r="H307" s="7">
        <v>1</v>
      </c>
      <c r="I307" s="8">
        <v>119266.69</v>
      </c>
      <c r="J307" s="7">
        <v>1</v>
      </c>
      <c r="K307" s="7">
        <v>1</v>
      </c>
      <c r="L307" s="7">
        <v>1</v>
      </c>
      <c r="M307" s="9">
        <v>28257.63</v>
      </c>
      <c r="N307" s="7">
        <v>0</v>
      </c>
    </row>
    <row r="308" spans="1:14" x14ac:dyDescent="0.25">
      <c r="A308" s="6">
        <v>307</v>
      </c>
      <c r="B308" s="7">
        <v>15594898</v>
      </c>
      <c r="C308" s="6" t="s">
        <v>294</v>
      </c>
      <c r="D308" s="7">
        <v>731</v>
      </c>
      <c r="E308" s="6" t="s">
        <v>15</v>
      </c>
      <c r="F308" s="6" t="s">
        <v>23</v>
      </c>
      <c r="G308" s="7">
        <v>43</v>
      </c>
      <c r="H308" s="7">
        <v>2</v>
      </c>
      <c r="I308" s="8">
        <v>0</v>
      </c>
      <c r="J308" s="7">
        <v>1</v>
      </c>
      <c r="K308" s="7">
        <v>1</v>
      </c>
      <c r="L308" s="7">
        <v>1</v>
      </c>
      <c r="M308" s="9">
        <v>170034.95</v>
      </c>
      <c r="N308" s="7">
        <v>1</v>
      </c>
    </row>
    <row r="309" spans="1:14" x14ac:dyDescent="0.25">
      <c r="A309" s="6">
        <v>308</v>
      </c>
      <c r="B309" s="7">
        <v>15660211</v>
      </c>
      <c r="C309" s="6" t="s">
        <v>219</v>
      </c>
      <c r="D309" s="7">
        <v>629</v>
      </c>
      <c r="E309" s="6" t="s">
        <v>26</v>
      </c>
      <c r="F309" s="6" t="s">
        <v>23</v>
      </c>
      <c r="G309" s="7">
        <v>35</v>
      </c>
      <c r="H309" s="7">
        <v>7</v>
      </c>
      <c r="I309" s="8">
        <v>156847.29</v>
      </c>
      <c r="J309" s="7">
        <v>2</v>
      </c>
      <c r="K309" s="7">
        <v>1</v>
      </c>
      <c r="L309" s="7">
        <v>0</v>
      </c>
      <c r="M309" s="9">
        <v>31824.29</v>
      </c>
      <c r="N309" s="7">
        <v>0</v>
      </c>
    </row>
    <row r="310" spans="1:14" x14ac:dyDescent="0.25">
      <c r="A310" s="6">
        <v>309</v>
      </c>
      <c r="B310" s="7">
        <v>15773972</v>
      </c>
      <c r="C310" s="6" t="s">
        <v>295</v>
      </c>
      <c r="D310" s="7">
        <v>614</v>
      </c>
      <c r="E310" s="6" t="s">
        <v>15</v>
      </c>
      <c r="F310" s="6" t="s">
        <v>23</v>
      </c>
      <c r="G310" s="7">
        <v>50</v>
      </c>
      <c r="H310" s="7">
        <v>4</v>
      </c>
      <c r="I310" s="8">
        <v>137104.47</v>
      </c>
      <c r="J310" s="7">
        <v>1</v>
      </c>
      <c r="K310" s="7">
        <v>1</v>
      </c>
      <c r="L310" s="7">
        <v>0</v>
      </c>
      <c r="M310" s="9">
        <v>127166.49</v>
      </c>
      <c r="N310" s="7">
        <v>1</v>
      </c>
    </row>
    <row r="311" spans="1:14" x14ac:dyDescent="0.25">
      <c r="A311" s="6">
        <v>310</v>
      </c>
      <c r="B311" s="7">
        <v>15746726</v>
      </c>
      <c r="C311" s="6" t="s">
        <v>296</v>
      </c>
      <c r="D311" s="7">
        <v>438</v>
      </c>
      <c r="E311" s="6" t="s">
        <v>26</v>
      </c>
      <c r="F311" s="6" t="s">
        <v>23</v>
      </c>
      <c r="G311" s="7">
        <v>31</v>
      </c>
      <c r="H311" s="7">
        <v>8</v>
      </c>
      <c r="I311" s="8">
        <v>78398.69</v>
      </c>
      <c r="J311" s="7">
        <v>1</v>
      </c>
      <c r="K311" s="7">
        <v>1</v>
      </c>
      <c r="L311" s="7">
        <v>0</v>
      </c>
      <c r="M311" s="9">
        <v>44937.01</v>
      </c>
      <c r="N311" s="7">
        <v>0</v>
      </c>
    </row>
    <row r="312" spans="1:14" x14ac:dyDescent="0.25">
      <c r="A312" s="6">
        <v>311</v>
      </c>
      <c r="B312" s="7">
        <v>15712287</v>
      </c>
      <c r="C312" s="6" t="s">
        <v>297</v>
      </c>
      <c r="D312" s="7">
        <v>652</v>
      </c>
      <c r="E312" s="6" t="s">
        <v>15</v>
      </c>
      <c r="F312" s="6" t="s">
        <v>16</v>
      </c>
      <c r="G312" s="7">
        <v>80</v>
      </c>
      <c r="H312" s="7">
        <v>4</v>
      </c>
      <c r="I312" s="8">
        <v>0</v>
      </c>
      <c r="J312" s="7">
        <v>2</v>
      </c>
      <c r="K312" s="7">
        <v>1</v>
      </c>
      <c r="L312" s="7">
        <v>1</v>
      </c>
      <c r="M312" s="9">
        <v>188603.07</v>
      </c>
      <c r="N312" s="7">
        <v>0</v>
      </c>
    </row>
    <row r="313" spans="1:14" x14ac:dyDescent="0.25">
      <c r="A313" s="6">
        <v>312</v>
      </c>
      <c r="B313" s="7">
        <v>15702919</v>
      </c>
      <c r="C313" s="6" t="s">
        <v>210</v>
      </c>
      <c r="D313" s="7">
        <v>729</v>
      </c>
      <c r="E313" s="6" t="s">
        <v>26</v>
      </c>
      <c r="F313" s="6" t="s">
        <v>23</v>
      </c>
      <c r="G313" s="7">
        <v>30</v>
      </c>
      <c r="H313" s="7">
        <v>6</v>
      </c>
      <c r="I313" s="8">
        <v>63669.42</v>
      </c>
      <c r="J313" s="7">
        <v>1</v>
      </c>
      <c r="K313" s="7">
        <v>1</v>
      </c>
      <c r="L313" s="7">
        <v>0</v>
      </c>
      <c r="M313" s="9">
        <v>145111.37</v>
      </c>
      <c r="N313" s="7">
        <v>0</v>
      </c>
    </row>
    <row r="314" spans="1:14" x14ac:dyDescent="0.25">
      <c r="A314" s="6">
        <v>313</v>
      </c>
      <c r="B314" s="7">
        <v>15674398</v>
      </c>
      <c r="C314" s="6" t="s">
        <v>298</v>
      </c>
      <c r="D314" s="7">
        <v>642</v>
      </c>
      <c r="E314" s="6" t="s">
        <v>15</v>
      </c>
      <c r="F314" s="6" t="s">
        <v>23</v>
      </c>
      <c r="G314" s="7">
        <v>38</v>
      </c>
      <c r="H314" s="7">
        <v>3</v>
      </c>
      <c r="I314" s="8">
        <v>0</v>
      </c>
      <c r="J314" s="7">
        <v>2</v>
      </c>
      <c r="K314" s="7">
        <v>0</v>
      </c>
      <c r="L314" s="7">
        <v>0</v>
      </c>
      <c r="M314" s="9">
        <v>171463.83</v>
      </c>
      <c r="N314" s="7">
        <v>0</v>
      </c>
    </row>
    <row r="315" spans="1:14" x14ac:dyDescent="0.25">
      <c r="A315" s="6">
        <v>314</v>
      </c>
      <c r="B315" s="7">
        <v>15797960</v>
      </c>
      <c r="C315" s="6" t="s">
        <v>299</v>
      </c>
      <c r="D315" s="7">
        <v>806</v>
      </c>
      <c r="E315" s="6" t="s">
        <v>26</v>
      </c>
      <c r="F315" s="6" t="s">
        <v>16</v>
      </c>
      <c r="G315" s="7">
        <v>59</v>
      </c>
      <c r="H315" s="7">
        <v>0</v>
      </c>
      <c r="I315" s="8">
        <v>135296.32999999999</v>
      </c>
      <c r="J315" s="7">
        <v>1</v>
      </c>
      <c r="K315" s="7">
        <v>1</v>
      </c>
      <c r="L315" s="7">
        <v>0</v>
      </c>
      <c r="M315" s="9">
        <v>182822.5</v>
      </c>
      <c r="N315" s="7">
        <v>0</v>
      </c>
    </row>
    <row r="316" spans="1:14" x14ac:dyDescent="0.25">
      <c r="A316" s="6">
        <v>315</v>
      </c>
      <c r="B316" s="7">
        <v>15631868</v>
      </c>
      <c r="C316" s="6" t="s">
        <v>300</v>
      </c>
      <c r="D316" s="7">
        <v>744</v>
      </c>
      <c r="E316" s="6" t="s">
        <v>755</v>
      </c>
      <c r="F316" s="6" t="s">
        <v>23</v>
      </c>
      <c r="G316" s="7">
        <v>36</v>
      </c>
      <c r="H316" s="7">
        <v>2</v>
      </c>
      <c r="I316" s="8">
        <v>153804.44</v>
      </c>
      <c r="J316" s="7">
        <v>1</v>
      </c>
      <c r="K316" s="7">
        <v>1</v>
      </c>
      <c r="L316" s="7">
        <v>1</v>
      </c>
      <c r="M316" s="9">
        <v>87213.33</v>
      </c>
      <c r="N316" s="7">
        <v>0</v>
      </c>
    </row>
    <row r="317" spans="1:14" x14ac:dyDescent="0.25">
      <c r="A317" s="6">
        <v>316</v>
      </c>
      <c r="B317" s="7">
        <v>15581539</v>
      </c>
      <c r="C317" s="6" t="s">
        <v>301</v>
      </c>
      <c r="D317" s="7">
        <v>474</v>
      </c>
      <c r="E317" s="6" t="s">
        <v>755</v>
      </c>
      <c r="F317" s="6" t="s">
        <v>23</v>
      </c>
      <c r="G317" s="7">
        <v>37</v>
      </c>
      <c r="H317" s="7">
        <v>3</v>
      </c>
      <c r="I317" s="8">
        <v>0</v>
      </c>
      <c r="J317" s="7">
        <v>2</v>
      </c>
      <c r="K317" s="7">
        <v>0</v>
      </c>
      <c r="L317" s="7">
        <v>0</v>
      </c>
      <c r="M317" s="9">
        <v>57175.32</v>
      </c>
      <c r="N317" s="7">
        <v>0</v>
      </c>
    </row>
    <row r="318" spans="1:14" x14ac:dyDescent="0.25">
      <c r="A318" s="6">
        <v>317</v>
      </c>
      <c r="B318" s="7">
        <v>15662736</v>
      </c>
      <c r="C318" s="6" t="s">
        <v>296</v>
      </c>
      <c r="D318" s="7">
        <v>559</v>
      </c>
      <c r="E318" s="6" t="s">
        <v>15</v>
      </c>
      <c r="F318" s="6" t="s">
        <v>23</v>
      </c>
      <c r="G318" s="7">
        <v>49</v>
      </c>
      <c r="H318" s="7">
        <v>2</v>
      </c>
      <c r="I318" s="8">
        <v>147069.78</v>
      </c>
      <c r="J318" s="7">
        <v>1</v>
      </c>
      <c r="K318" s="7">
        <v>1</v>
      </c>
      <c r="L318" s="7">
        <v>0</v>
      </c>
      <c r="M318" s="9">
        <v>120540.83</v>
      </c>
      <c r="N318" s="7">
        <v>1</v>
      </c>
    </row>
    <row r="319" spans="1:14" x14ac:dyDescent="0.25">
      <c r="A319" s="6">
        <v>318</v>
      </c>
      <c r="B319" s="7">
        <v>15666252</v>
      </c>
      <c r="C319" s="6" t="s">
        <v>109</v>
      </c>
      <c r="D319" s="7">
        <v>706</v>
      </c>
      <c r="E319" s="6" t="s">
        <v>755</v>
      </c>
      <c r="F319" s="6" t="s">
        <v>23</v>
      </c>
      <c r="G319" s="7">
        <v>42</v>
      </c>
      <c r="H319" s="7">
        <v>9</v>
      </c>
      <c r="I319" s="8">
        <v>0</v>
      </c>
      <c r="J319" s="7">
        <v>2</v>
      </c>
      <c r="K319" s="7">
        <v>1</v>
      </c>
      <c r="L319" s="7">
        <v>1</v>
      </c>
      <c r="M319" s="9">
        <v>28714.34</v>
      </c>
      <c r="N319" s="7">
        <v>0</v>
      </c>
    </row>
    <row r="320" spans="1:14" x14ac:dyDescent="0.25">
      <c r="A320" s="6">
        <v>319</v>
      </c>
      <c r="B320" s="7">
        <v>15677512</v>
      </c>
      <c r="C320" s="6" t="s">
        <v>302</v>
      </c>
      <c r="D320" s="7">
        <v>628</v>
      </c>
      <c r="E320" s="6" t="s">
        <v>755</v>
      </c>
      <c r="F320" s="6" t="s">
        <v>16</v>
      </c>
      <c r="G320" s="7">
        <v>22</v>
      </c>
      <c r="H320" s="7">
        <v>3</v>
      </c>
      <c r="I320" s="8">
        <v>0</v>
      </c>
      <c r="J320" s="7">
        <v>1</v>
      </c>
      <c r="K320" s="7">
        <v>1</v>
      </c>
      <c r="L320" s="7">
        <v>0</v>
      </c>
      <c r="M320" s="9">
        <v>85426.28</v>
      </c>
      <c r="N320" s="7">
        <v>0</v>
      </c>
    </row>
    <row r="321" spans="1:14" x14ac:dyDescent="0.25">
      <c r="A321" s="6">
        <v>320</v>
      </c>
      <c r="B321" s="7">
        <v>15626114</v>
      </c>
      <c r="C321" s="6" t="s">
        <v>303</v>
      </c>
      <c r="D321" s="7">
        <v>429</v>
      </c>
      <c r="E321" s="6" t="s">
        <v>15</v>
      </c>
      <c r="F321" s="6" t="s">
        <v>23</v>
      </c>
      <c r="G321" s="7">
        <v>24</v>
      </c>
      <c r="H321" s="7">
        <v>4</v>
      </c>
      <c r="I321" s="8">
        <v>95741.75</v>
      </c>
      <c r="J321" s="7">
        <v>1</v>
      </c>
      <c r="K321" s="7">
        <v>1</v>
      </c>
      <c r="L321" s="7">
        <v>0</v>
      </c>
      <c r="M321" s="9">
        <v>46170.75</v>
      </c>
      <c r="N321" s="7">
        <v>0</v>
      </c>
    </row>
    <row r="322" spans="1:14" x14ac:dyDescent="0.25">
      <c r="A322" s="6">
        <v>321</v>
      </c>
      <c r="B322" s="7">
        <v>15810834</v>
      </c>
      <c r="C322" s="6" t="s">
        <v>304</v>
      </c>
      <c r="D322" s="7">
        <v>525</v>
      </c>
      <c r="E322" s="6" t="s">
        <v>755</v>
      </c>
      <c r="F322" s="6" t="s">
        <v>16</v>
      </c>
      <c r="G322" s="7">
        <v>57</v>
      </c>
      <c r="H322" s="7">
        <v>2</v>
      </c>
      <c r="I322" s="8">
        <v>145965.32999999999</v>
      </c>
      <c r="J322" s="7">
        <v>1</v>
      </c>
      <c r="K322" s="7">
        <v>1</v>
      </c>
      <c r="L322" s="7">
        <v>1</v>
      </c>
      <c r="M322" s="9">
        <v>64448.36</v>
      </c>
      <c r="N322" s="7">
        <v>0</v>
      </c>
    </row>
    <row r="323" spans="1:14" x14ac:dyDescent="0.25">
      <c r="A323" s="6">
        <v>322</v>
      </c>
      <c r="B323" s="7">
        <v>15678910</v>
      </c>
      <c r="C323" s="6" t="s">
        <v>305</v>
      </c>
      <c r="D323" s="7">
        <v>680</v>
      </c>
      <c r="E323" s="6" t="s">
        <v>15</v>
      </c>
      <c r="F323" s="6" t="s">
        <v>16</v>
      </c>
      <c r="G323" s="7">
        <v>30</v>
      </c>
      <c r="H323" s="7">
        <v>8</v>
      </c>
      <c r="I323" s="8">
        <v>141441.75</v>
      </c>
      <c r="J323" s="7">
        <v>1</v>
      </c>
      <c r="K323" s="7">
        <v>1</v>
      </c>
      <c r="L323" s="7">
        <v>1</v>
      </c>
      <c r="M323" s="9">
        <v>16278.97</v>
      </c>
      <c r="N323" s="7">
        <v>0</v>
      </c>
    </row>
    <row r="324" spans="1:14" x14ac:dyDescent="0.25">
      <c r="A324" s="6">
        <v>323</v>
      </c>
      <c r="B324" s="7">
        <v>15694408</v>
      </c>
      <c r="C324" s="6" t="s">
        <v>306</v>
      </c>
      <c r="D324" s="7">
        <v>749</v>
      </c>
      <c r="E324" s="6" t="s">
        <v>15</v>
      </c>
      <c r="F324" s="6" t="s">
        <v>23</v>
      </c>
      <c r="G324" s="7">
        <v>40</v>
      </c>
      <c r="H324" s="7">
        <v>1</v>
      </c>
      <c r="I324" s="8">
        <v>139290.41</v>
      </c>
      <c r="J324" s="7">
        <v>1</v>
      </c>
      <c r="K324" s="7">
        <v>1</v>
      </c>
      <c r="L324" s="7">
        <v>0</v>
      </c>
      <c r="M324" s="9">
        <v>182855.42</v>
      </c>
      <c r="N324" s="7">
        <v>1</v>
      </c>
    </row>
    <row r="325" spans="1:14" x14ac:dyDescent="0.25">
      <c r="A325" s="6">
        <v>324</v>
      </c>
      <c r="B325" s="7">
        <v>15585215</v>
      </c>
      <c r="C325" s="6" t="s">
        <v>307</v>
      </c>
      <c r="D325" s="7">
        <v>763</v>
      </c>
      <c r="E325" s="6" t="s">
        <v>15</v>
      </c>
      <c r="F325" s="6" t="s">
        <v>16</v>
      </c>
      <c r="G325" s="7">
        <v>31</v>
      </c>
      <c r="H325" s="7">
        <v>4</v>
      </c>
      <c r="I325" s="8">
        <v>0</v>
      </c>
      <c r="J325" s="7">
        <v>2</v>
      </c>
      <c r="K325" s="7">
        <v>0</v>
      </c>
      <c r="L325" s="7">
        <v>0</v>
      </c>
      <c r="M325" s="9">
        <v>50404.72</v>
      </c>
      <c r="N325" s="7">
        <v>0</v>
      </c>
    </row>
    <row r="326" spans="1:14" x14ac:dyDescent="0.25">
      <c r="A326" s="6">
        <v>325</v>
      </c>
      <c r="B326" s="7">
        <v>15682757</v>
      </c>
      <c r="C326" s="6" t="s">
        <v>308</v>
      </c>
      <c r="D326" s="7">
        <v>734</v>
      </c>
      <c r="E326" s="6" t="s">
        <v>15</v>
      </c>
      <c r="F326" s="6" t="s">
        <v>23</v>
      </c>
      <c r="G326" s="7">
        <v>30</v>
      </c>
      <c r="H326" s="7">
        <v>3</v>
      </c>
      <c r="I326" s="8">
        <v>0</v>
      </c>
      <c r="J326" s="7">
        <v>2</v>
      </c>
      <c r="K326" s="7">
        <v>1</v>
      </c>
      <c r="L326" s="7">
        <v>0</v>
      </c>
      <c r="M326" s="9">
        <v>107640.25</v>
      </c>
      <c r="N326" s="7">
        <v>0</v>
      </c>
    </row>
    <row r="327" spans="1:14" x14ac:dyDescent="0.25">
      <c r="A327" s="6">
        <v>326</v>
      </c>
      <c r="B327" s="7">
        <v>15736601</v>
      </c>
      <c r="C327" s="6" t="s">
        <v>309</v>
      </c>
      <c r="D327" s="7">
        <v>716</v>
      </c>
      <c r="E327" s="6" t="s">
        <v>15</v>
      </c>
      <c r="F327" s="6" t="s">
        <v>23</v>
      </c>
      <c r="G327" s="7">
        <v>35</v>
      </c>
      <c r="H327" s="7">
        <v>4</v>
      </c>
      <c r="I327" s="8">
        <v>144428.87</v>
      </c>
      <c r="J327" s="7">
        <v>1</v>
      </c>
      <c r="K327" s="7">
        <v>1</v>
      </c>
      <c r="L327" s="7">
        <v>0</v>
      </c>
      <c r="M327" s="9">
        <v>134132.65</v>
      </c>
      <c r="N327" s="7">
        <v>0</v>
      </c>
    </row>
    <row r="328" spans="1:14" x14ac:dyDescent="0.25">
      <c r="A328" s="6">
        <v>327</v>
      </c>
      <c r="B328" s="7">
        <v>15601848</v>
      </c>
      <c r="C328" s="6" t="s">
        <v>33</v>
      </c>
      <c r="D328" s="7">
        <v>594</v>
      </c>
      <c r="E328" s="6" t="s">
        <v>15</v>
      </c>
      <c r="F328" s="6" t="s">
        <v>23</v>
      </c>
      <c r="G328" s="7">
        <v>35</v>
      </c>
      <c r="H328" s="7">
        <v>2</v>
      </c>
      <c r="I328" s="8">
        <v>0</v>
      </c>
      <c r="J328" s="7">
        <v>2</v>
      </c>
      <c r="K328" s="7">
        <v>1</v>
      </c>
      <c r="L328" s="7">
        <v>0</v>
      </c>
      <c r="M328" s="9">
        <v>103480.69</v>
      </c>
      <c r="N328" s="7">
        <v>0</v>
      </c>
    </row>
    <row r="329" spans="1:14" x14ac:dyDescent="0.25">
      <c r="A329" s="6">
        <v>328</v>
      </c>
      <c r="B329" s="7">
        <v>15736008</v>
      </c>
      <c r="C329" s="6" t="s">
        <v>79</v>
      </c>
      <c r="D329" s="7">
        <v>644</v>
      </c>
      <c r="E329" s="6" t="s">
        <v>15</v>
      </c>
      <c r="F329" s="6" t="s">
        <v>16</v>
      </c>
      <c r="G329" s="7">
        <v>46</v>
      </c>
      <c r="H329" s="7">
        <v>9</v>
      </c>
      <c r="I329" s="8">
        <v>95441.27</v>
      </c>
      <c r="J329" s="7">
        <v>1</v>
      </c>
      <c r="K329" s="7">
        <v>1</v>
      </c>
      <c r="L329" s="7">
        <v>0</v>
      </c>
      <c r="M329" s="9">
        <v>108761.05</v>
      </c>
      <c r="N329" s="7">
        <v>1</v>
      </c>
    </row>
    <row r="330" spans="1:14" x14ac:dyDescent="0.25">
      <c r="A330" s="6">
        <v>329</v>
      </c>
      <c r="B330" s="7">
        <v>15669064</v>
      </c>
      <c r="C330" s="6" t="s">
        <v>310</v>
      </c>
      <c r="D330" s="7">
        <v>671</v>
      </c>
      <c r="E330" s="6" t="s">
        <v>26</v>
      </c>
      <c r="F330" s="6" t="s">
        <v>23</v>
      </c>
      <c r="G330" s="7">
        <v>35</v>
      </c>
      <c r="H330" s="7">
        <v>1</v>
      </c>
      <c r="I330" s="8">
        <v>144848.74</v>
      </c>
      <c r="J330" s="7">
        <v>1</v>
      </c>
      <c r="K330" s="7">
        <v>1</v>
      </c>
      <c r="L330" s="7">
        <v>1</v>
      </c>
      <c r="M330" s="9">
        <v>179012.3</v>
      </c>
      <c r="N330" s="7">
        <v>0</v>
      </c>
    </row>
    <row r="331" spans="1:14" x14ac:dyDescent="0.25">
      <c r="A331" s="6">
        <v>330</v>
      </c>
      <c r="B331" s="7">
        <v>15624528</v>
      </c>
      <c r="C331" s="6" t="s">
        <v>311</v>
      </c>
      <c r="D331" s="7">
        <v>664</v>
      </c>
      <c r="E331" s="6" t="s">
        <v>26</v>
      </c>
      <c r="F331" s="6" t="s">
        <v>23</v>
      </c>
      <c r="G331" s="7">
        <v>26</v>
      </c>
      <c r="H331" s="7">
        <v>7</v>
      </c>
      <c r="I331" s="8">
        <v>116244.14</v>
      </c>
      <c r="J331" s="7">
        <v>2</v>
      </c>
      <c r="K331" s="7">
        <v>1</v>
      </c>
      <c r="L331" s="7">
        <v>1</v>
      </c>
      <c r="M331" s="9">
        <v>95145.14</v>
      </c>
      <c r="N331" s="7">
        <v>0</v>
      </c>
    </row>
    <row r="332" spans="1:14" x14ac:dyDescent="0.25">
      <c r="A332" s="6">
        <v>331</v>
      </c>
      <c r="B332" s="7">
        <v>15598493</v>
      </c>
      <c r="C332" s="6" t="s">
        <v>312</v>
      </c>
      <c r="D332" s="7">
        <v>656</v>
      </c>
      <c r="E332" s="6" t="s">
        <v>15</v>
      </c>
      <c r="F332" s="6" t="s">
        <v>23</v>
      </c>
      <c r="G332" s="7">
        <v>50</v>
      </c>
      <c r="H332" s="7">
        <v>7</v>
      </c>
      <c r="I332" s="8">
        <v>0</v>
      </c>
      <c r="J332" s="7">
        <v>2</v>
      </c>
      <c r="K332" s="7">
        <v>0</v>
      </c>
      <c r="L332" s="7">
        <v>1</v>
      </c>
      <c r="M332" s="9">
        <v>72143.44</v>
      </c>
      <c r="N332" s="7">
        <v>0</v>
      </c>
    </row>
    <row r="333" spans="1:14" x14ac:dyDescent="0.25">
      <c r="A333" s="6">
        <v>332</v>
      </c>
      <c r="B333" s="7">
        <v>15601274</v>
      </c>
      <c r="C333" s="6" t="s">
        <v>313</v>
      </c>
      <c r="D333" s="7">
        <v>667</v>
      </c>
      <c r="E333" s="6" t="s">
        <v>755</v>
      </c>
      <c r="F333" s="6" t="s">
        <v>16</v>
      </c>
      <c r="G333" s="7">
        <v>40</v>
      </c>
      <c r="H333" s="7">
        <v>1</v>
      </c>
      <c r="I333" s="8">
        <v>146502.07</v>
      </c>
      <c r="J333" s="7">
        <v>1</v>
      </c>
      <c r="K333" s="7">
        <v>1</v>
      </c>
      <c r="L333" s="7">
        <v>0</v>
      </c>
      <c r="M333" s="9">
        <v>19162.89</v>
      </c>
      <c r="N333" s="7">
        <v>0</v>
      </c>
    </row>
    <row r="334" spans="1:14" x14ac:dyDescent="0.25">
      <c r="A334" s="6">
        <v>333</v>
      </c>
      <c r="B334" s="7">
        <v>15702669</v>
      </c>
      <c r="C334" s="6" t="s">
        <v>314</v>
      </c>
      <c r="D334" s="7">
        <v>663</v>
      </c>
      <c r="E334" s="6" t="s">
        <v>26</v>
      </c>
      <c r="F334" s="6" t="s">
        <v>23</v>
      </c>
      <c r="G334" s="7">
        <v>44</v>
      </c>
      <c r="H334" s="7">
        <v>2</v>
      </c>
      <c r="I334" s="8">
        <v>117028.6</v>
      </c>
      <c r="J334" s="7">
        <v>2</v>
      </c>
      <c r="K334" s="7">
        <v>0</v>
      </c>
      <c r="L334" s="7">
        <v>1</v>
      </c>
      <c r="M334" s="9">
        <v>144680.18</v>
      </c>
      <c r="N334" s="7">
        <v>0</v>
      </c>
    </row>
    <row r="335" spans="1:14" x14ac:dyDescent="0.25">
      <c r="A335" s="6">
        <v>334</v>
      </c>
      <c r="B335" s="7">
        <v>15728669</v>
      </c>
      <c r="C335" s="6" t="s">
        <v>315</v>
      </c>
      <c r="D335" s="7">
        <v>584</v>
      </c>
      <c r="E335" s="6" t="s">
        <v>26</v>
      </c>
      <c r="F335" s="6" t="s">
        <v>16</v>
      </c>
      <c r="G335" s="7">
        <v>30</v>
      </c>
      <c r="H335" s="7">
        <v>8</v>
      </c>
      <c r="I335" s="8">
        <v>112013.81</v>
      </c>
      <c r="J335" s="7">
        <v>1</v>
      </c>
      <c r="K335" s="7">
        <v>1</v>
      </c>
      <c r="L335" s="7">
        <v>0</v>
      </c>
      <c r="M335" s="9">
        <v>177772.03</v>
      </c>
      <c r="N335" s="7">
        <v>1</v>
      </c>
    </row>
    <row r="336" spans="1:14" x14ac:dyDescent="0.25">
      <c r="A336" s="6">
        <v>335</v>
      </c>
      <c r="B336" s="7">
        <v>15742668</v>
      </c>
      <c r="C336" s="6" t="s">
        <v>316</v>
      </c>
      <c r="D336" s="7">
        <v>626</v>
      </c>
      <c r="E336" s="6" t="s">
        <v>755</v>
      </c>
      <c r="F336" s="6" t="s">
        <v>16</v>
      </c>
      <c r="G336" s="7">
        <v>37</v>
      </c>
      <c r="H336" s="7">
        <v>6</v>
      </c>
      <c r="I336" s="8">
        <v>108269.37</v>
      </c>
      <c r="J336" s="7">
        <v>1</v>
      </c>
      <c r="K336" s="7">
        <v>1</v>
      </c>
      <c r="L336" s="7">
        <v>0</v>
      </c>
      <c r="M336" s="9">
        <v>5597.94</v>
      </c>
      <c r="N336" s="7">
        <v>0</v>
      </c>
    </row>
    <row r="337" spans="1:14" x14ac:dyDescent="0.25">
      <c r="A337" s="6">
        <v>336</v>
      </c>
      <c r="B337" s="7">
        <v>15697441</v>
      </c>
      <c r="C337" s="6" t="s">
        <v>317</v>
      </c>
      <c r="D337" s="7">
        <v>485</v>
      </c>
      <c r="E337" s="6" t="s">
        <v>15</v>
      </c>
      <c r="F337" s="6" t="s">
        <v>23</v>
      </c>
      <c r="G337" s="7">
        <v>29</v>
      </c>
      <c r="H337" s="7">
        <v>7</v>
      </c>
      <c r="I337" s="8">
        <v>182123.79</v>
      </c>
      <c r="J337" s="7">
        <v>1</v>
      </c>
      <c r="K337" s="7">
        <v>1</v>
      </c>
      <c r="L337" s="7">
        <v>0</v>
      </c>
      <c r="M337" s="9">
        <v>116828.51</v>
      </c>
      <c r="N337" s="7">
        <v>1</v>
      </c>
    </row>
    <row r="338" spans="1:14" x14ac:dyDescent="0.25">
      <c r="A338" s="6">
        <v>337</v>
      </c>
      <c r="B338" s="7">
        <v>15740476</v>
      </c>
      <c r="C338" s="6" t="s">
        <v>75</v>
      </c>
      <c r="D338" s="7">
        <v>659</v>
      </c>
      <c r="E338" s="6" t="s">
        <v>26</v>
      </c>
      <c r="F338" s="6" t="s">
        <v>16</v>
      </c>
      <c r="G338" s="7">
        <v>32</v>
      </c>
      <c r="H338" s="7">
        <v>3</v>
      </c>
      <c r="I338" s="8">
        <v>150923.74</v>
      </c>
      <c r="J338" s="7">
        <v>2</v>
      </c>
      <c r="K338" s="7">
        <v>0</v>
      </c>
      <c r="L338" s="7">
        <v>1</v>
      </c>
      <c r="M338" s="9">
        <v>174652.51</v>
      </c>
      <c r="N338" s="7">
        <v>0</v>
      </c>
    </row>
    <row r="339" spans="1:14" x14ac:dyDescent="0.25">
      <c r="A339" s="6">
        <v>338</v>
      </c>
      <c r="B339" s="7">
        <v>15648064</v>
      </c>
      <c r="C339" s="6" t="s">
        <v>136</v>
      </c>
      <c r="D339" s="7">
        <v>649</v>
      </c>
      <c r="E339" s="6" t="s">
        <v>15</v>
      </c>
      <c r="F339" s="6" t="s">
        <v>23</v>
      </c>
      <c r="G339" s="7">
        <v>33</v>
      </c>
      <c r="H339" s="7">
        <v>2</v>
      </c>
      <c r="I339" s="8">
        <v>0</v>
      </c>
      <c r="J339" s="7">
        <v>2</v>
      </c>
      <c r="K339" s="7">
        <v>1</v>
      </c>
      <c r="L339" s="7">
        <v>0</v>
      </c>
      <c r="M339" s="9">
        <v>2010.98</v>
      </c>
      <c r="N339" s="7">
        <v>0</v>
      </c>
    </row>
    <row r="340" spans="1:14" x14ac:dyDescent="0.25">
      <c r="A340" s="6">
        <v>339</v>
      </c>
      <c r="B340" s="7">
        <v>15636624</v>
      </c>
      <c r="C340" s="6" t="s">
        <v>318</v>
      </c>
      <c r="D340" s="7">
        <v>805</v>
      </c>
      <c r="E340" s="6" t="s">
        <v>755</v>
      </c>
      <c r="F340" s="6" t="s">
        <v>16</v>
      </c>
      <c r="G340" s="7">
        <v>39</v>
      </c>
      <c r="H340" s="7">
        <v>5</v>
      </c>
      <c r="I340" s="8">
        <v>165272.13</v>
      </c>
      <c r="J340" s="7">
        <v>1</v>
      </c>
      <c r="K340" s="7">
        <v>1</v>
      </c>
      <c r="L340" s="7">
        <v>0</v>
      </c>
      <c r="M340" s="9">
        <v>14109.85</v>
      </c>
      <c r="N340" s="7">
        <v>1</v>
      </c>
    </row>
    <row r="341" spans="1:14" x14ac:dyDescent="0.25">
      <c r="A341" s="6">
        <v>340</v>
      </c>
      <c r="B341" s="7">
        <v>15807923</v>
      </c>
      <c r="C341" s="6" t="s">
        <v>45</v>
      </c>
      <c r="D341" s="7">
        <v>716</v>
      </c>
      <c r="E341" s="6" t="s">
        <v>26</v>
      </c>
      <c r="F341" s="6" t="s">
        <v>16</v>
      </c>
      <c r="G341" s="7">
        <v>39</v>
      </c>
      <c r="H341" s="7">
        <v>10</v>
      </c>
      <c r="I341" s="8">
        <v>115301.31</v>
      </c>
      <c r="J341" s="7">
        <v>1</v>
      </c>
      <c r="K341" s="7">
        <v>1</v>
      </c>
      <c r="L341" s="7">
        <v>0</v>
      </c>
      <c r="M341" s="9">
        <v>43527.4</v>
      </c>
      <c r="N341" s="7">
        <v>1</v>
      </c>
    </row>
    <row r="342" spans="1:14" x14ac:dyDescent="0.25">
      <c r="A342" s="6">
        <v>341</v>
      </c>
      <c r="B342" s="7">
        <v>15745844</v>
      </c>
      <c r="C342" s="6" t="s">
        <v>319</v>
      </c>
      <c r="D342" s="7">
        <v>642</v>
      </c>
      <c r="E342" s="6" t="s">
        <v>26</v>
      </c>
      <c r="F342" s="6" t="s">
        <v>16</v>
      </c>
      <c r="G342" s="7">
        <v>40</v>
      </c>
      <c r="H342" s="7">
        <v>6</v>
      </c>
      <c r="I342" s="8">
        <v>129502.49</v>
      </c>
      <c r="J342" s="7">
        <v>2</v>
      </c>
      <c r="K342" s="7">
        <v>0</v>
      </c>
      <c r="L342" s="7">
        <v>1</v>
      </c>
      <c r="M342" s="9">
        <v>86099.23</v>
      </c>
      <c r="N342" s="7">
        <v>1</v>
      </c>
    </row>
    <row r="343" spans="1:14" x14ac:dyDescent="0.25">
      <c r="A343" s="6">
        <v>342</v>
      </c>
      <c r="B343" s="7">
        <v>15786170</v>
      </c>
      <c r="C343" s="6" t="s">
        <v>153</v>
      </c>
      <c r="D343" s="7">
        <v>659</v>
      </c>
      <c r="E343" s="6" t="s">
        <v>15</v>
      </c>
      <c r="F343" s="6" t="s">
        <v>23</v>
      </c>
      <c r="G343" s="7">
        <v>31</v>
      </c>
      <c r="H343" s="7">
        <v>4</v>
      </c>
      <c r="I343" s="8">
        <v>118342.26</v>
      </c>
      <c r="J343" s="7">
        <v>1</v>
      </c>
      <c r="K343" s="7">
        <v>0</v>
      </c>
      <c r="L343" s="7">
        <v>0</v>
      </c>
      <c r="M343" s="9">
        <v>161574.19</v>
      </c>
      <c r="N343" s="7">
        <v>0</v>
      </c>
    </row>
    <row r="344" spans="1:14" x14ac:dyDescent="0.25">
      <c r="A344" s="6">
        <v>343</v>
      </c>
      <c r="B344" s="7">
        <v>15681081</v>
      </c>
      <c r="C344" s="6" t="s">
        <v>320</v>
      </c>
      <c r="D344" s="7">
        <v>545</v>
      </c>
      <c r="E344" s="6" t="s">
        <v>755</v>
      </c>
      <c r="F344" s="6" t="s">
        <v>16</v>
      </c>
      <c r="G344" s="7">
        <v>47</v>
      </c>
      <c r="H344" s="7">
        <v>5</v>
      </c>
      <c r="I344" s="8">
        <v>0</v>
      </c>
      <c r="J344" s="7">
        <v>2</v>
      </c>
      <c r="K344" s="7">
        <v>1</v>
      </c>
      <c r="L344" s="7">
        <v>1</v>
      </c>
      <c r="M344" s="9">
        <v>38970.14</v>
      </c>
      <c r="N344" s="7">
        <v>0</v>
      </c>
    </row>
    <row r="345" spans="1:14" x14ac:dyDescent="0.25">
      <c r="A345" s="6">
        <v>344</v>
      </c>
      <c r="B345" s="7">
        <v>15684484</v>
      </c>
      <c r="C345" s="6" t="s">
        <v>321</v>
      </c>
      <c r="D345" s="7">
        <v>543</v>
      </c>
      <c r="E345" s="6" t="s">
        <v>15</v>
      </c>
      <c r="F345" s="6" t="s">
        <v>23</v>
      </c>
      <c r="G345" s="7">
        <v>22</v>
      </c>
      <c r="H345" s="7">
        <v>8</v>
      </c>
      <c r="I345" s="8">
        <v>0</v>
      </c>
      <c r="J345" s="7">
        <v>2</v>
      </c>
      <c r="K345" s="7">
        <v>0</v>
      </c>
      <c r="L345" s="7">
        <v>0</v>
      </c>
      <c r="M345" s="9">
        <v>127587.22</v>
      </c>
      <c r="N345" s="7">
        <v>0</v>
      </c>
    </row>
    <row r="346" spans="1:14" x14ac:dyDescent="0.25">
      <c r="A346" s="6">
        <v>345</v>
      </c>
      <c r="B346" s="7">
        <v>15785869</v>
      </c>
      <c r="C346" s="6" t="s">
        <v>88</v>
      </c>
      <c r="D346" s="7">
        <v>718</v>
      </c>
      <c r="E346" s="6" t="s">
        <v>15</v>
      </c>
      <c r="F346" s="6" t="s">
        <v>16</v>
      </c>
      <c r="G346" s="7">
        <v>25</v>
      </c>
      <c r="H346" s="7">
        <v>7</v>
      </c>
      <c r="I346" s="8">
        <v>0</v>
      </c>
      <c r="J346" s="7">
        <v>2</v>
      </c>
      <c r="K346" s="7">
        <v>1</v>
      </c>
      <c r="L346" s="7">
        <v>0</v>
      </c>
      <c r="M346" s="9">
        <v>30380.12</v>
      </c>
      <c r="N346" s="7">
        <v>0</v>
      </c>
    </row>
    <row r="347" spans="1:14" x14ac:dyDescent="0.25">
      <c r="A347" s="6">
        <v>346</v>
      </c>
      <c r="B347" s="7">
        <v>15763859</v>
      </c>
      <c r="C347" s="6" t="s">
        <v>322</v>
      </c>
      <c r="D347" s="7">
        <v>840</v>
      </c>
      <c r="E347" s="6" t="s">
        <v>15</v>
      </c>
      <c r="F347" s="6" t="s">
        <v>16</v>
      </c>
      <c r="G347" s="7">
        <v>43</v>
      </c>
      <c r="H347" s="7">
        <v>7</v>
      </c>
      <c r="I347" s="8">
        <v>0</v>
      </c>
      <c r="J347" s="7">
        <v>2</v>
      </c>
      <c r="K347" s="7">
        <v>1</v>
      </c>
      <c r="L347" s="7">
        <v>0</v>
      </c>
      <c r="M347" s="9">
        <v>90908.95</v>
      </c>
      <c r="N347" s="7">
        <v>0</v>
      </c>
    </row>
    <row r="348" spans="1:14" x14ac:dyDescent="0.25">
      <c r="A348" s="6">
        <v>347</v>
      </c>
      <c r="B348" s="7">
        <v>15658935</v>
      </c>
      <c r="C348" s="6" t="s">
        <v>231</v>
      </c>
      <c r="D348" s="7">
        <v>630</v>
      </c>
      <c r="E348" s="6" t="s">
        <v>26</v>
      </c>
      <c r="F348" s="6" t="s">
        <v>16</v>
      </c>
      <c r="G348" s="7">
        <v>34</v>
      </c>
      <c r="H348" s="7">
        <v>9</v>
      </c>
      <c r="I348" s="8">
        <v>106937.05</v>
      </c>
      <c r="J348" s="7">
        <v>2</v>
      </c>
      <c r="K348" s="7">
        <v>1</v>
      </c>
      <c r="L348" s="7">
        <v>0</v>
      </c>
      <c r="M348" s="9">
        <v>138275.01</v>
      </c>
      <c r="N348" s="7">
        <v>0</v>
      </c>
    </row>
    <row r="349" spans="1:14" x14ac:dyDescent="0.25">
      <c r="A349" s="6">
        <v>348</v>
      </c>
      <c r="B349" s="7">
        <v>15747358</v>
      </c>
      <c r="C349" s="6" t="s">
        <v>323</v>
      </c>
      <c r="D349" s="7">
        <v>643</v>
      </c>
      <c r="E349" s="6" t="s">
        <v>26</v>
      </c>
      <c r="F349" s="6" t="s">
        <v>23</v>
      </c>
      <c r="G349" s="7">
        <v>59</v>
      </c>
      <c r="H349" s="7">
        <v>3</v>
      </c>
      <c r="I349" s="8">
        <v>170331.37</v>
      </c>
      <c r="J349" s="7">
        <v>1</v>
      </c>
      <c r="K349" s="7">
        <v>1</v>
      </c>
      <c r="L349" s="7">
        <v>1</v>
      </c>
      <c r="M349" s="9">
        <v>32171.79</v>
      </c>
      <c r="N349" s="7">
        <v>0</v>
      </c>
    </row>
    <row r="350" spans="1:14" x14ac:dyDescent="0.25">
      <c r="A350" s="6">
        <v>349</v>
      </c>
      <c r="B350" s="7">
        <v>15735203</v>
      </c>
      <c r="C350" s="6" t="s">
        <v>324</v>
      </c>
      <c r="D350" s="7">
        <v>654</v>
      </c>
      <c r="E350" s="6" t="s">
        <v>26</v>
      </c>
      <c r="F350" s="6" t="s">
        <v>16</v>
      </c>
      <c r="G350" s="7">
        <v>32</v>
      </c>
      <c r="H350" s="7">
        <v>1</v>
      </c>
      <c r="I350" s="8">
        <v>114510.85</v>
      </c>
      <c r="J350" s="7">
        <v>1</v>
      </c>
      <c r="K350" s="7">
        <v>1</v>
      </c>
      <c r="L350" s="7">
        <v>1</v>
      </c>
      <c r="M350" s="9">
        <v>126143.23</v>
      </c>
      <c r="N350" s="7">
        <v>0</v>
      </c>
    </row>
    <row r="351" spans="1:14" x14ac:dyDescent="0.25">
      <c r="A351" s="6">
        <v>350</v>
      </c>
      <c r="B351" s="7">
        <v>15576256</v>
      </c>
      <c r="C351" s="6" t="s">
        <v>325</v>
      </c>
      <c r="D351" s="7">
        <v>582</v>
      </c>
      <c r="E351" s="6" t="s">
        <v>15</v>
      </c>
      <c r="F351" s="6" t="s">
        <v>23</v>
      </c>
      <c r="G351" s="7">
        <v>39</v>
      </c>
      <c r="H351" s="7">
        <v>5</v>
      </c>
      <c r="I351" s="8">
        <v>0</v>
      </c>
      <c r="J351" s="7">
        <v>2</v>
      </c>
      <c r="K351" s="7">
        <v>1</v>
      </c>
      <c r="L351" s="7">
        <v>1</v>
      </c>
      <c r="M351" s="9">
        <v>129892.93</v>
      </c>
      <c r="N351" s="7">
        <v>0</v>
      </c>
    </row>
    <row r="352" spans="1:14" x14ac:dyDescent="0.25">
      <c r="A352" s="6">
        <v>351</v>
      </c>
      <c r="B352" s="7">
        <v>15659420</v>
      </c>
      <c r="C352" s="6" t="s">
        <v>326</v>
      </c>
      <c r="D352" s="7">
        <v>659</v>
      </c>
      <c r="E352" s="6" t="s">
        <v>755</v>
      </c>
      <c r="F352" s="6" t="s">
        <v>23</v>
      </c>
      <c r="G352" s="7">
        <v>32</v>
      </c>
      <c r="H352" s="7">
        <v>3</v>
      </c>
      <c r="I352" s="8">
        <v>107594.11</v>
      </c>
      <c r="J352" s="7">
        <v>2</v>
      </c>
      <c r="K352" s="7">
        <v>1</v>
      </c>
      <c r="L352" s="7">
        <v>1</v>
      </c>
      <c r="M352" s="9">
        <v>102416.84</v>
      </c>
      <c r="N352" s="7">
        <v>0</v>
      </c>
    </row>
    <row r="353" spans="1:14" x14ac:dyDescent="0.25">
      <c r="A353" s="6">
        <v>352</v>
      </c>
      <c r="B353" s="7">
        <v>15593365</v>
      </c>
      <c r="C353" s="6" t="s">
        <v>219</v>
      </c>
      <c r="D353" s="7">
        <v>762</v>
      </c>
      <c r="E353" s="6" t="s">
        <v>755</v>
      </c>
      <c r="F353" s="6" t="s">
        <v>23</v>
      </c>
      <c r="G353" s="7">
        <v>39</v>
      </c>
      <c r="H353" s="7">
        <v>2</v>
      </c>
      <c r="I353" s="8">
        <v>81273.13</v>
      </c>
      <c r="J353" s="7">
        <v>1</v>
      </c>
      <c r="K353" s="7">
        <v>1</v>
      </c>
      <c r="L353" s="7">
        <v>1</v>
      </c>
      <c r="M353" s="9">
        <v>18719.669999999998</v>
      </c>
      <c r="N353" s="7">
        <v>0</v>
      </c>
    </row>
    <row r="354" spans="1:14" ht="30" x14ac:dyDescent="0.25">
      <c r="A354" s="6">
        <v>353</v>
      </c>
      <c r="B354" s="7">
        <v>15777352</v>
      </c>
      <c r="C354" s="6" t="s">
        <v>327</v>
      </c>
      <c r="D354" s="7">
        <v>568</v>
      </c>
      <c r="E354" s="6" t="s">
        <v>755</v>
      </c>
      <c r="F354" s="6" t="s">
        <v>16</v>
      </c>
      <c r="G354" s="7">
        <v>32</v>
      </c>
      <c r="H354" s="7">
        <v>7</v>
      </c>
      <c r="I354" s="8">
        <v>169399.6</v>
      </c>
      <c r="J354" s="7">
        <v>1</v>
      </c>
      <c r="K354" s="7">
        <v>1</v>
      </c>
      <c r="L354" s="7">
        <v>0</v>
      </c>
      <c r="M354" s="9">
        <v>61936.22</v>
      </c>
      <c r="N354" s="7">
        <v>0</v>
      </c>
    </row>
    <row r="355" spans="1:14" x14ac:dyDescent="0.25">
      <c r="A355" s="6">
        <v>354</v>
      </c>
      <c r="B355" s="7">
        <v>15812007</v>
      </c>
      <c r="C355" s="6" t="s">
        <v>328</v>
      </c>
      <c r="D355" s="7">
        <v>670</v>
      </c>
      <c r="E355" s="6" t="s">
        <v>755</v>
      </c>
      <c r="F355" s="6" t="s">
        <v>23</v>
      </c>
      <c r="G355" s="7">
        <v>25</v>
      </c>
      <c r="H355" s="7">
        <v>6</v>
      </c>
      <c r="I355" s="8">
        <v>0</v>
      </c>
      <c r="J355" s="7">
        <v>2</v>
      </c>
      <c r="K355" s="7">
        <v>1</v>
      </c>
      <c r="L355" s="7">
        <v>1</v>
      </c>
      <c r="M355" s="9">
        <v>78358.94</v>
      </c>
      <c r="N355" s="7">
        <v>0</v>
      </c>
    </row>
    <row r="356" spans="1:14" x14ac:dyDescent="0.25">
      <c r="A356" s="6">
        <v>355</v>
      </c>
      <c r="B356" s="7">
        <v>15625461</v>
      </c>
      <c r="C356" s="6" t="s">
        <v>329</v>
      </c>
      <c r="D356" s="7">
        <v>613</v>
      </c>
      <c r="E356" s="6" t="s">
        <v>15</v>
      </c>
      <c r="F356" s="6" t="s">
        <v>16</v>
      </c>
      <c r="G356" s="7">
        <v>45</v>
      </c>
      <c r="H356" s="7">
        <v>1</v>
      </c>
      <c r="I356" s="8">
        <v>187841.99</v>
      </c>
      <c r="J356" s="7">
        <v>2</v>
      </c>
      <c r="K356" s="7">
        <v>1</v>
      </c>
      <c r="L356" s="7">
        <v>1</v>
      </c>
      <c r="M356" s="9">
        <v>147224.26999999999</v>
      </c>
      <c r="N356" s="7">
        <v>0</v>
      </c>
    </row>
    <row r="357" spans="1:14" x14ac:dyDescent="0.25">
      <c r="A357" s="6">
        <v>356</v>
      </c>
      <c r="B357" s="7">
        <v>15739438</v>
      </c>
      <c r="C357" s="6" t="s">
        <v>330</v>
      </c>
      <c r="D357" s="7">
        <v>539</v>
      </c>
      <c r="E357" s="6" t="s">
        <v>15</v>
      </c>
      <c r="F357" s="6" t="s">
        <v>23</v>
      </c>
      <c r="G357" s="7">
        <v>30</v>
      </c>
      <c r="H357" s="7">
        <v>0</v>
      </c>
      <c r="I357" s="8">
        <v>0</v>
      </c>
      <c r="J357" s="7">
        <v>2</v>
      </c>
      <c r="K357" s="7">
        <v>1</v>
      </c>
      <c r="L357" s="7">
        <v>0</v>
      </c>
      <c r="M357" s="9">
        <v>160979.66</v>
      </c>
      <c r="N357" s="7">
        <v>0</v>
      </c>
    </row>
    <row r="358" spans="1:14" x14ac:dyDescent="0.25">
      <c r="A358" s="6">
        <v>357</v>
      </c>
      <c r="B358" s="7">
        <v>15611759</v>
      </c>
      <c r="C358" s="6" t="s">
        <v>331</v>
      </c>
      <c r="D358" s="7">
        <v>850</v>
      </c>
      <c r="E358" s="6" t="s">
        <v>755</v>
      </c>
      <c r="F358" s="6" t="s">
        <v>16</v>
      </c>
      <c r="G358" s="7">
        <v>57</v>
      </c>
      <c r="H358" s="7">
        <v>8</v>
      </c>
      <c r="I358" s="8">
        <v>126776.3</v>
      </c>
      <c r="J358" s="7">
        <v>2</v>
      </c>
      <c r="K358" s="7">
        <v>1</v>
      </c>
      <c r="L358" s="7">
        <v>1</v>
      </c>
      <c r="M358" s="9">
        <v>132298.49</v>
      </c>
      <c r="N358" s="7">
        <v>0</v>
      </c>
    </row>
    <row r="359" spans="1:14" x14ac:dyDescent="0.25">
      <c r="A359" s="6">
        <v>358</v>
      </c>
      <c r="B359" s="7">
        <v>15661629</v>
      </c>
      <c r="C359" s="6" t="s">
        <v>332</v>
      </c>
      <c r="D359" s="7">
        <v>522</v>
      </c>
      <c r="E359" s="6" t="s">
        <v>755</v>
      </c>
      <c r="F359" s="6" t="s">
        <v>23</v>
      </c>
      <c r="G359" s="7">
        <v>34</v>
      </c>
      <c r="H359" s="7">
        <v>9</v>
      </c>
      <c r="I359" s="8">
        <v>126436.29</v>
      </c>
      <c r="J359" s="7">
        <v>1</v>
      </c>
      <c r="K359" s="7">
        <v>1</v>
      </c>
      <c r="L359" s="7">
        <v>0</v>
      </c>
      <c r="M359" s="9">
        <v>174248.52</v>
      </c>
      <c r="N359" s="7">
        <v>1</v>
      </c>
    </row>
    <row r="360" spans="1:14" x14ac:dyDescent="0.25">
      <c r="A360" s="6">
        <v>359</v>
      </c>
      <c r="B360" s="7">
        <v>15633950</v>
      </c>
      <c r="C360" s="6" t="s">
        <v>43</v>
      </c>
      <c r="D360" s="7">
        <v>737</v>
      </c>
      <c r="E360" s="6" t="s">
        <v>15</v>
      </c>
      <c r="F360" s="6" t="s">
        <v>23</v>
      </c>
      <c r="G360" s="7">
        <v>41</v>
      </c>
      <c r="H360" s="7">
        <v>1</v>
      </c>
      <c r="I360" s="8">
        <v>101960.74</v>
      </c>
      <c r="J360" s="7">
        <v>1</v>
      </c>
      <c r="K360" s="7">
        <v>1</v>
      </c>
      <c r="L360" s="7">
        <v>1</v>
      </c>
      <c r="M360" s="9">
        <v>123547.28</v>
      </c>
      <c r="N360" s="7">
        <v>0</v>
      </c>
    </row>
    <row r="361" spans="1:14" x14ac:dyDescent="0.25">
      <c r="A361" s="6">
        <v>360</v>
      </c>
      <c r="B361" s="7">
        <v>15592386</v>
      </c>
      <c r="C361" s="6" t="s">
        <v>186</v>
      </c>
      <c r="D361" s="7">
        <v>520</v>
      </c>
      <c r="E361" s="6" t="s">
        <v>15</v>
      </c>
      <c r="F361" s="6" t="s">
        <v>23</v>
      </c>
      <c r="G361" s="7">
        <v>58</v>
      </c>
      <c r="H361" s="7">
        <v>3</v>
      </c>
      <c r="I361" s="8">
        <v>0</v>
      </c>
      <c r="J361" s="7">
        <v>2</v>
      </c>
      <c r="K361" s="7">
        <v>0</v>
      </c>
      <c r="L361" s="7">
        <v>1</v>
      </c>
      <c r="M361" s="9">
        <v>32790.019999999997</v>
      </c>
      <c r="N361" s="7">
        <v>0</v>
      </c>
    </row>
    <row r="362" spans="1:14" x14ac:dyDescent="0.25">
      <c r="A362" s="6">
        <v>361</v>
      </c>
      <c r="B362" s="7">
        <v>15803716</v>
      </c>
      <c r="C362" s="6" t="s">
        <v>333</v>
      </c>
      <c r="D362" s="7">
        <v>706</v>
      </c>
      <c r="E362" s="6" t="s">
        <v>755</v>
      </c>
      <c r="F362" s="6" t="s">
        <v>23</v>
      </c>
      <c r="G362" s="7">
        <v>28</v>
      </c>
      <c r="H362" s="7">
        <v>3</v>
      </c>
      <c r="I362" s="8">
        <v>0</v>
      </c>
      <c r="J362" s="7">
        <v>2</v>
      </c>
      <c r="K362" s="7">
        <v>0</v>
      </c>
      <c r="L362" s="7">
        <v>1</v>
      </c>
      <c r="M362" s="9">
        <v>181543.67</v>
      </c>
      <c r="N362" s="7">
        <v>0</v>
      </c>
    </row>
    <row r="363" spans="1:14" x14ac:dyDescent="0.25">
      <c r="A363" s="6">
        <v>362</v>
      </c>
      <c r="B363" s="7">
        <v>15696674</v>
      </c>
      <c r="C363" s="6" t="s">
        <v>176</v>
      </c>
      <c r="D363" s="7">
        <v>643</v>
      </c>
      <c r="E363" s="6" t="s">
        <v>26</v>
      </c>
      <c r="F363" s="6" t="s">
        <v>16</v>
      </c>
      <c r="G363" s="7">
        <v>45</v>
      </c>
      <c r="H363" s="7">
        <v>2</v>
      </c>
      <c r="I363" s="8">
        <v>150842.93</v>
      </c>
      <c r="J363" s="7">
        <v>1</v>
      </c>
      <c r="K363" s="7">
        <v>0</v>
      </c>
      <c r="L363" s="7">
        <v>1</v>
      </c>
      <c r="M363" s="9">
        <v>2319.96</v>
      </c>
      <c r="N363" s="7">
        <v>1</v>
      </c>
    </row>
    <row r="364" spans="1:14" x14ac:dyDescent="0.25">
      <c r="A364" s="6">
        <v>363</v>
      </c>
      <c r="B364" s="7">
        <v>15706365</v>
      </c>
      <c r="C364" s="6" t="s">
        <v>63</v>
      </c>
      <c r="D364" s="7">
        <v>648</v>
      </c>
      <c r="E364" s="6" t="s">
        <v>15</v>
      </c>
      <c r="F364" s="6" t="s">
        <v>16</v>
      </c>
      <c r="G364" s="7">
        <v>50</v>
      </c>
      <c r="H364" s="7">
        <v>9</v>
      </c>
      <c r="I364" s="8">
        <v>102535.57</v>
      </c>
      <c r="J364" s="7">
        <v>1</v>
      </c>
      <c r="K364" s="7">
        <v>1</v>
      </c>
      <c r="L364" s="7">
        <v>1</v>
      </c>
      <c r="M364" s="9">
        <v>189543.19</v>
      </c>
      <c r="N364" s="7">
        <v>0</v>
      </c>
    </row>
    <row r="365" spans="1:14" x14ac:dyDescent="0.25">
      <c r="A365" s="6">
        <v>364</v>
      </c>
      <c r="B365" s="7">
        <v>15745088</v>
      </c>
      <c r="C365" s="6" t="s">
        <v>334</v>
      </c>
      <c r="D365" s="7">
        <v>443</v>
      </c>
      <c r="E365" s="6" t="s">
        <v>26</v>
      </c>
      <c r="F365" s="6" t="s">
        <v>16</v>
      </c>
      <c r="G365" s="7">
        <v>29</v>
      </c>
      <c r="H365" s="7">
        <v>9</v>
      </c>
      <c r="I365" s="8">
        <v>99027.61</v>
      </c>
      <c r="J365" s="7">
        <v>2</v>
      </c>
      <c r="K365" s="7">
        <v>1</v>
      </c>
      <c r="L365" s="7">
        <v>0</v>
      </c>
      <c r="M365" s="9">
        <v>10940.4</v>
      </c>
      <c r="N365" s="7">
        <v>0</v>
      </c>
    </row>
    <row r="366" spans="1:14" x14ac:dyDescent="0.25">
      <c r="A366" s="6">
        <v>365</v>
      </c>
      <c r="B366" s="7">
        <v>15676715</v>
      </c>
      <c r="C366" s="6" t="s">
        <v>335</v>
      </c>
      <c r="D366" s="7">
        <v>640</v>
      </c>
      <c r="E366" s="6" t="s">
        <v>15</v>
      </c>
      <c r="F366" s="6" t="s">
        <v>23</v>
      </c>
      <c r="G366" s="7">
        <v>68</v>
      </c>
      <c r="H366" s="7">
        <v>9</v>
      </c>
      <c r="I366" s="8">
        <v>0</v>
      </c>
      <c r="J366" s="7">
        <v>2</v>
      </c>
      <c r="K366" s="7">
        <v>1</v>
      </c>
      <c r="L366" s="7">
        <v>1</v>
      </c>
      <c r="M366" s="9">
        <v>199493.38</v>
      </c>
      <c r="N366" s="7">
        <v>0</v>
      </c>
    </row>
    <row r="367" spans="1:14" x14ac:dyDescent="0.25">
      <c r="A367" s="6">
        <v>366</v>
      </c>
      <c r="B367" s="7">
        <v>15613085</v>
      </c>
      <c r="C367" s="6" t="s">
        <v>336</v>
      </c>
      <c r="D367" s="7">
        <v>628</v>
      </c>
      <c r="E367" s="6" t="s">
        <v>755</v>
      </c>
      <c r="F367" s="6" t="s">
        <v>16</v>
      </c>
      <c r="G367" s="7">
        <v>33</v>
      </c>
      <c r="H367" s="7">
        <v>3</v>
      </c>
      <c r="I367" s="8">
        <v>0</v>
      </c>
      <c r="J367" s="7">
        <v>1</v>
      </c>
      <c r="K367" s="7">
        <v>1</v>
      </c>
      <c r="L367" s="7">
        <v>1</v>
      </c>
      <c r="M367" s="9">
        <v>188193.25</v>
      </c>
      <c r="N367" s="7">
        <v>0</v>
      </c>
    </row>
    <row r="368" spans="1:14" x14ac:dyDescent="0.25">
      <c r="A368" s="6">
        <v>367</v>
      </c>
      <c r="B368" s="7">
        <v>15633537</v>
      </c>
      <c r="C368" s="6" t="s">
        <v>337</v>
      </c>
      <c r="D368" s="7">
        <v>540</v>
      </c>
      <c r="E368" s="6" t="s">
        <v>26</v>
      </c>
      <c r="F368" s="6" t="s">
        <v>16</v>
      </c>
      <c r="G368" s="7">
        <v>42</v>
      </c>
      <c r="H368" s="7">
        <v>9</v>
      </c>
      <c r="I368" s="8">
        <v>87271.41</v>
      </c>
      <c r="J368" s="7">
        <v>2</v>
      </c>
      <c r="K368" s="7">
        <v>1</v>
      </c>
      <c r="L368" s="7">
        <v>0</v>
      </c>
      <c r="M368" s="9">
        <v>172572.64</v>
      </c>
      <c r="N368" s="7">
        <v>0</v>
      </c>
    </row>
    <row r="369" spans="1:14" x14ac:dyDescent="0.25">
      <c r="A369" s="6">
        <v>368</v>
      </c>
      <c r="B369" s="7">
        <v>15594720</v>
      </c>
      <c r="C369" s="6" t="s">
        <v>33</v>
      </c>
      <c r="D369" s="7">
        <v>460</v>
      </c>
      <c r="E369" s="6" t="s">
        <v>26</v>
      </c>
      <c r="F369" s="6" t="s">
        <v>16</v>
      </c>
      <c r="G369" s="7">
        <v>35</v>
      </c>
      <c r="H369" s="7">
        <v>8</v>
      </c>
      <c r="I369" s="8">
        <v>102742.91</v>
      </c>
      <c r="J369" s="7">
        <v>2</v>
      </c>
      <c r="K369" s="7">
        <v>1</v>
      </c>
      <c r="L369" s="7">
        <v>1</v>
      </c>
      <c r="M369" s="9">
        <v>189339.6</v>
      </c>
      <c r="N369" s="7">
        <v>0</v>
      </c>
    </row>
    <row r="370" spans="1:14" x14ac:dyDescent="0.25">
      <c r="A370" s="6">
        <v>369</v>
      </c>
      <c r="B370" s="7">
        <v>15684042</v>
      </c>
      <c r="C370" s="6" t="s">
        <v>338</v>
      </c>
      <c r="D370" s="7">
        <v>636</v>
      </c>
      <c r="E370" s="6" t="s">
        <v>26</v>
      </c>
      <c r="F370" s="6" t="s">
        <v>23</v>
      </c>
      <c r="G370" s="7">
        <v>34</v>
      </c>
      <c r="H370" s="7">
        <v>2</v>
      </c>
      <c r="I370" s="8">
        <v>40105.51</v>
      </c>
      <c r="J370" s="7">
        <v>2</v>
      </c>
      <c r="K370" s="7">
        <v>0</v>
      </c>
      <c r="L370" s="7">
        <v>1</v>
      </c>
      <c r="M370" s="9">
        <v>53512.160000000003</v>
      </c>
      <c r="N370" s="7">
        <v>0</v>
      </c>
    </row>
    <row r="371" spans="1:14" x14ac:dyDescent="0.25">
      <c r="A371" s="6">
        <v>370</v>
      </c>
      <c r="B371" s="7">
        <v>15583303</v>
      </c>
      <c r="C371" s="6" t="s">
        <v>339</v>
      </c>
      <c r="D371" s="7">
        <v>593</v>
      </c>
      <c r="E371" s="6" t="s">
        <v>15</v>
      </c>
      <c r="F371" s="6" t="s">
        <v>16</v>
      </c>
      <c r="G371" s="7">
        <v>29</v>
      </c>
      <c r="H371" s="7">
        <v>2</v>
      </c>
      <c r="I371" s="8">
        <v>152265.43</v>
      </c>
      <c r="J371" s="7">
        <v>1</v>
      </c>
      <c r="K371" s="7">
        <v>1</v>
      </c>
      <c r="L371" s="7">
        <v>0</v>
      </c>
      <c r="M371" s="9">
        <v>34004.44</v>
      </c>
      <c r="N371" s="7">
        <v>0</v>
      </c>
    </row>
    <row r="372" spans="1:14" x14ac:dyDescent="0.25">
      <c r="A372" s="6">
        <v>371</v>
      </c>
      <c r="B372" s="7">
        <v>15611579</v>
      </c>
      <c r="C372" s="6" t="s">
        <v>340</v>
      </c>
      <c r="D372" s="7">
        <v>801</v>
      </c>
      <c r="E372" s="6" t="s">
        <v>755</v>
      </c>
      <c r="F372" s="6" t="s">
        <v>23</v>
      </c>
      <c r="G372" s="7">
        <v>42</v>
      </c>
      <c r="H372" s="7">
        <v>4</v>
      </c>
      <c r="I372" s="8">
        <v>141947.67000000001</v>
      </c>
      <c r="J372" s="7">
        <v>1</v>
      </c>
      <c r="K372" s="7">
        <v>1</v>
      </c>
      <c r="L372" s="7">
        <v>1</v>
      </c>
      <c r="M372" s="9">
        <v>10598.29</v>
      </c>
      <c r="N372" s="7">
        <v>0</v>
      </c>
    </row>
    <row r="373" spans="1:14" x14ac:dyDescent="0.25">
      <c r="A373" s="6">
        <v>372</v>
      </c>
      <c r="B373" s="7">
        <v>15774696</v>
      </c>
      <c r="C373" s="6" t="s">
        <v>110</v>
      </c>
      <c r="D373" s="7">
        <v>640</v>
      </c>
      <c r="E373" s="6" t="s">
        <v>26</v>
      </c>
      <c r="F373" s="6" t="s">
        <v>16</v>
      </c>
      <c r="G373" s="7">
        <v>75</v>
      </c>
      <c r="H373" s="7">
        <v>1</v>
      </c>
      <c r="I373" s="8">
        <v>106307.91</v>
      </c>
      <c r="J373" s="7">
        <v>2</v>
      </c>
      <c r="K373" s="7">
        <v>0</v>
      </c>
      <c r="L373" s="7">
        <v>1</v>
      </c>
      <c r="M373" s="9">
        <v>113428.77</v>
      </c>
      <c r="N373" s="7">
        <v>0</v>
      </c>
    </row>
    <row r="374" spans="1:14" x14ac:dyDescent="0.25">
      <c r="A374" s="6">
        <v>373</v>
      </c>
      <c r="B374" s="7">
        <v>15694506</v>
      </c>
      <c r="C374" s="6" t="s">
        <v>341</v>
      </c>
      <c r="D374" s="7">
        <v>611</v>
      </c>
      <c r="E374" s="6" t="s">
        <v>26</v>
      </c>
      <c r="F374" s="6" t="s">
        <v>23</v>
      </c>
      <c r="G374" s="7">
        <v>31</v>
      </c>
      <c r="H374" s="7">
        <v>0</v>
      </c>
      <c r="I374" s="8">
        <v>107884.81</v>
      </c>
      <c r="J374" s="7">
        <v>2</v>
      </c>
      <c r="K374" s="7">
        <v>1</v>
      </c>
      <c r="L374" s="7">
        <v>1</v>
      </c>
      <c r="M374" s="9">
        <v>183487.98</v>
      </c>
      <c r="N374" s="7">
        <v>0</v>
      </c>
    </row>
    <row r="375" spans="1:14" x14ac:dyDescent="0.25">
      <c r="A375" s="6">
        <v>374</v>
      </c>
      <c r="B375" s="7">
        <v>15688074</v>
      </c>
      <c r="C375" s="6" t="s">
        <v>342</v>
      </c>
      <c r="D375" s="7">
        <v>802</v>
      </c>
      <c r="E375" s="6" t="s">
        <v>26</v>
      </c>
      <c r="F375" s="6" t="s">
        <v>23</v>
      </c>
      <c r="G375" s="7">
        <v>31</v>
      </c>
      <c r="H375" s="7">
        <v>1</v>
      </c>
      <c r="I375" s="8">
        <v>125013.72</v>
      </c>
      <c r="J375" s="7">
        <v>1</v>
      </c>
      <c r="K375" s="7">
        <v>1</v>
      </c>
      <c r="L375" s="7">
        <v>1</v>
      </c>
      <c r="M375" s="9">
        <v>187658.09</v>
      </c>
      <c r="N375" s="7">
        <v>0</v>
      </c>
    </row>
    <row r="376" spans="1:14" x14ac:dyDescent="0.25">
      <c r="A376" s="6">
        <v>375</v>
      </c>
      <c r="B376" s="7">
        <v>15759537</v>
      </c>
      <c r="C376" s="6" t="s">
        <v>63</v>
      </c>
      <c r="D376" s="7">
        <v>717</v>
      </c>
      <c r="E376" s="6" t="s">
        <v>26</v>
      </c>
      <c r="F376" s="6" t="s">
        <v>23</v>
      </c>
      <c r="G376" s="7">
        <v>35</v>
      </c>
      <c r="H376" s="7">
        <v>7</v>
      </c>
      <c r="I376" s="8">
        <v>58469.37</v>
      </c>
      <c r="J376" s="7">
        <v>2</v>
      </c>
      <c r="K376" s="7">
        <v>1</v>
      </c>
      <c r="L376" s="7">
        <v>1</v>
      </c>
      <c r="M376" s="9">
        <v>172459.39</v>
      </c>
      <c r="N376" s="7">
        <v>0</v>
      </c>
    </row>
    <row r="377" spans="1:14" x14ac:dyDescent="0.25">
      <c r="A377" s="6">
        <v>376</v>
      </c>
      <c r="B377" s="7">
        <v>15758449</v>
      </c>
      <c r="C377" s="6" t="s">
        <v>343</v>
      </c>
      <c r="D377" s="7">
        <v>769</v>
      </c>
      <c r="E377" s="6" t="s">
        <v>15</v>
      </c>
      <c r="F377" s="6" t="s">
        <v>16</v>
      </c>
      <c r="G377" s="7">
        <v>39</v>
      </c>
      <c r="H377" s="7">
        <v>8</v>
      </c>
      <c r="I377" s="8">
        <v>0</v>
      </c>
      <c r="J377" s="7">
        <v>1</v>
      </c>
      <c r="K377" s="7">
        <v>0</v>
      </c>
      <c r="L377" s="7">
        <v>1</v>
      </c>
      <c r="M377" s="9">
        <v>21016</v>
      </c>
      <c r="N377" s="7">
        <v>0</v>
      </c>
    </row>
    <row r="378" spans="1:14" x14ac:dyDescent="0.25">
      <c r="A378" s="6">
        <v>377</v>
      </c>
      <c r="B378" s="7">
        <v>15583456</v>
      </c>
      <c r="C378" s="6" t="s">
        <v>344</v>
      </c>
      <c r="D378" s="7">
        <v>745</v>
      </c>
      <c r="E378" s="6" t="s">
        <v>26</v>
      </c>
      <c r="F378" s="6" t="s">
        <v>23</v>
      </c>
      <c r="G378" s="7">
        <v>45</v>
      </c>
      <c r="H378" s="7">
        <v>10</v>
      </c>
      <c r="I378" s="8">
        <v>117231.63</v>
      </c>
      <c r="J378" s="7">
        <v>3</v>
      </c>
      <c r="K378" s="7">
        <v>1</v>
      </c>
      <c r="L378" s="7">
        <v>1</v>
      </c>
      <c r="M378" s="9">
        <v>122381.02</v>
      </c>
      <c r="N378" s="7">
        <v>1</v>
      </c>
    </row>
    <row r="379" spans="1:14" x14ac:dyDescent="0.25">
      <c r="A379" s="6">
        <v>378</v>
      </c>
      <c r="B379" s="7">
        <v>15667871</v>
      </c>
      <c r="C379" s="6" t="s">
        <v>319</v>
      </c>
      <c r="D379" s="7">
        <v>572</v>
      </c>
      <c r="E379" s="6" t="s">
        <v>755</v>
      </c>
      <c r="F379" s="6" t="s">
        <v>23</v>
      </c>
      <c r="G379" s="7">
        <v>35</v>
      </c>
      <c r="H379" s="7">
        <v>4</v>
      </c>
      <c r="I379" s="8">
        <v>152390.26</v>
      </c>
      <c r="J379" s="7">
        <v>1</v>
      </c>
      <c r="K379" s="7">
        <v>1</v>
      </c>
      <c r="L379" s="7">
        <v>0</v>
      </c>
      <c r="M379" s="9">
        <v>128123.66</v>
      </c>
      <c r="N379" s="7">
        <v>0</v>
      </c>
    </row>
    <row r="380" spans="1:14" x14ac:dyDescent="0.25">
      <c r="A380" s="6">
        <v>379</v>
      </c>
      <c r="B380" s="7">
        <v>15677371</v>
      </c>
      <c r="C380" s="6" t="s">
        <v>130</v>
      </c>
      <c r="D380" s="7">
        <v>629</v>
      </c>
      <c r="E380" s="6" t="s">
        <v>755</v>
      </c>
      <c r="F380" s="6" t="s">
        <v>16</v>
      </c>
      <c r="G380" s="7">
        <v>30</v>
      </c>
      <c r="H380" s="7">
        <v>2</v>
      </c>
      <c r="I380" s="8">
        <v>34013.629999999997</v>
      </c>
      <c r="J380" s="7">
        <v>1</v>
      </c>
      <c r="K380" s="7">
        <v>1</v>
      </c>
      <c r="L380" s="7">
        <v>0</v>
      </c>
      <c r="M380" s="9">
        <v>19570.63</v>
      </c>
      <c r="N380" s="7">
        <v>0</v>
      </c>
    </row>
    <row r="381" spans="1:14" x14ac:dyDescent="0.25">
      <c r="A381" s="6">
        <v>380</v>
      </c>
      <c r="B381" s="7">
        <v>15629677</v>
      </c>
      <c r="C381" s="6" t="s">
        <v>345</v>
      </c>
      <c r="D381" s="7">
        <v>687</v>
      </c>
      <c r="E381" s="6" t="s">
        <v>755</v>
      </c>
      <c r="F381" s="6" t="s">
        <v>16</v>
      </c>
      <c r="G381" s="7">
        <v>39</v>
      </c>
      <c r="H381" s="7">
        <v>2</v>
      </c>
      <c r="I381" s="8">
        <v>0</v>
      </c>
      <c r="J381" s="7">
        <v>3</v>
      </c>
      <c r="K381" s="7">
        <v>0</v>
      </c>
      <c r="L381" s="7">
        <v>0</v>
      </c>
      <c r="M381" s="9">
        <v>188150.6</v>
      </c>
      <c r="N381" s="7">
        <v>1</v>
      </c>
    </row>
    <row r="382" spans="1:14" x14ac:dyDescent="0.25">
      <c r="A382" s="6">
        <v>381</v>
      </c>
      <c r="B382" s="7">
        <v>15713578</v>
      </c>
      <c r="C382" s="6" t="s">
        <v>346</v>
      </c>
      <c r="D382" s="7">
        <v>483</v>
      </c>
      <c r="E382" s="6" t="s">
        <v>15</v>
      </c>
      <c r="F382" s="6" t="s">
        <v>16</v>
      </c>
      <c r="G382" s="7">
        <v>50</v>
      </c>
      <c r="H382" s="7">
        <v>9</v>
      </c>
      <c r="I382" s="8">
        <v>0</v>
      </c>
      <c r="J382" s="7">
        <v>2</v>
      </c>
      <c r="K382" s="7">
        <v>1</v>
      </c>
      <c r="L382" s="7">
        <v>1</v>
      </c>
      <c r="M382" s="9">
        <v>111020.24</v>
      </c>
      <c r="N382" s="7">
        <v>0</v>
      </c>
    </row>
    <row r="383" spans="1:14" x14ac:dyDescent="0.25">
      <c r="A383" s="6">
        <v>382</v>
      </c>
      <c r="B383" s="7">
        <v>15591509</v>
      </c>
      <c r="C383" s="6" t="s">
        <v>347</v>
      </c>
      <c r="D383" s="7">
        <v>690</v>
      </c>
      <c r="E383" s="6" t="s">
        <v>15</v>
      </c>
      <c r="F383" s="6" t="s">
        <v>23</v>
      </c>
      <c r="G383" s="7">
        <v>36</v>
      </c>
      <c r="H383" s="7">
        <v>7</v>
      </c>
      <c r="I383" s="8">
        <v>101583.11</v>
      </c>
      <c r="J383" s="7">
        <v>2</v>
      </c>
      <c r="K383" s="7">
        <v>1</v>
      </c>
      <c r="L383" s="7">
        <v>0</v>
      </c>
      <c r="M383" s="9">
        <v>123775.15</v>
      </c>
      <c r="N383" s="7">
        <v>0</v>
      </c>
    </row>
    <row r="384" spans="1:14" x14ac:dyDescent="0.25">
      <c r="A384" s="6">
        <v>383</v>
      </c>
      <c r="B384" s="7">
        <v>15568240</v>
      </c>
      <c r="C384" s="6" t="s">
        <v>182</v>
      </c>
      <c r="D384" s="7">
        <v>492</v>
      </c>
      <c r="E384" s="6" t="s">
        <v>26</v>
      </c>
      <c r="F384" s="6" t="s">
        <v>16</v>
      </c>
      <c r="G384" s="7">
        <v>30</v>
      </c>
      <c r="H384" s="7">
        <v>10</v>
      </c>
      <c r="I384" s="8">
        <v>77168.87</v>
      </c>
      <c r="J384" s="7">
        <v>2</v>
      </c>
      <c r="K384" s="7">
        <v>0</v>
      </c>
      <c r="L384" s="7">
        <v>1</v>
      </c>
      <c r="M384" s="9">
        <v>146700.22</v>
      </c>
      <c r="N384" s="7">
        <v>0</v>
      </c>
    </row>
    <row r="385" spans="1:14" x14ac:dyDescent="0.25">
      <c r="A385" s="6">
        <v>384</v>
      </c>
      <c r="B385" s="7">
        <v>15622993</v>
      </c>
      <c r="C385" s="6" t="s">
        <v>348</v>
      </c>
      <c r="D385" s="7">
        <v>709</v>
      </c>
      <c r="E385" s="6" t="s">
        <v>26</v>
      </c>
      <c r="F385" s="6" t="s">
        <v>23</v>
      </c>
      <c r="G385" s="7">
        <v>28</v>
      </c>
      <c r="H385" s="7">
        <v>8</v>
      </c>
      <c r="I385" s="8">
        <v>124695.72</v>
      </c>
      <c r="J385" s="7">
        <v>2</v>
      </c>
      <c r="K385" s="7">
        <v>1</v>
      </c>
      <c r="L385" s="7">
        <v>0</v>
      </c>
      <c r="M385" s="9">
        <v>145251.35</v>
      </c>
      <c r="N385" s="7">
        <v>0</v>
      </c>
    </row>
    <row r="386" spans="1:14" x14ac:dyDescent="0.25">
      <c r="A386" s="6">
        <v>385</v>
      </c>
      <c r="B386" s="7">
        <v>15689294</v>
      </c>
      <c r="C386" s="6" t="s">
        <v>349</v>
      </c>
      <c r="D386" s="7">
        <v>705</v>
      </c>
      <c r="E386" s="6" t="s">
        <v>26</v>
      </c>
      <c r="F386" s="6" t="s">
        <v>23</v>
      </c>
      <c r="G386" s="7">
        <v>44</v>
      </c>
      <c r="H386" s="7">
        <v>3</v>
      </c>
      <c r="I386" s="8">
        <v>105934.96</v>
      </c>
      <c r="J386" s="7">
        <v>1</v>
      </c>
      <c r="K386" s="7">
        <v>1</v>
      </c>
      <c r="L386" s="7">
        <v>0</v>
      </c>
      <c r="M386" s="9">
        <v>82463.69</v>
      </c>
      <c r="N386" s="7">
        <v>0</v>
      </c>
    </row>
    <row r="387" spans="1:14" x14ac:dyDescent="0.25">
      <c r="A387" s="6">
        <v>386</v>
      </c>
      <c r="B387" s="7">
        <v>15720910</v>
      </c>
      <c r="C387" s="6" t="s">
        <v>350</v>
      </c>
      <c r="D387" s="7">
        <v>560</v>
      </c>
      <c r="E387" s="6" t="s">
        <v>15</v>
      </c>
      <c r="F387" s="6" t="s">
        <v>16</v>
      </c>
      <c r="G387" s="7">
        <v>66</v>
      </c>
      <c r="H387" s="7">
        <v>9</v>
      </c>
      <c r="I387" s="8">
        <v>0</v>
      </c>
      <c r="J387" s="7">
        <v>1</v>
      </c>
      <c r="K387" s="7">
        <v>1</v>
      </c>
      <c r="L387" s="7">
        <v>1</v>
      </c>
      <c r="M387" s="9">
        <v>15928.49</v>
      </c>
      <c r="N387" s="7">
        <v>0</v>
      </c>
    </row>
    <row r="388" spans="1:14" x14ac:dyDescent="0.25">
      <c r="A388" s="6">
        <v>387</v>
      </c>
      <c r="B388" s="7">
        <v>15721181</v>
      </c>
      <c r="C388" s="6" t="s">
        <v>351</v>
      </c>
      <c r="D388" s="7">
        <v>611</v>
      </c>
      <c r="E388" s="6" t="s">
        <v>755</v>
      </c>
      <c r="F388" s="6" t="s">
        <v>23</v>
      </c>
      <c r="G388" s="7">
        <v>46</v>
      </c>
      <c r="H388" s="7">
        <v>6</v>
      </c>
      <c r="I388" s="8">
        <v>0</v>
      </c>
      <c r="J388" s="7">
        <v>2</v>
      </c>
      <c r="K388" s="7">
        <v>1</v>
      </c>
      <c r="L388" s="7">
        <v>0</v>
      </c>
      <c r="M388" s="9">
        <v>45886.33</v>
      </c>
      <c r="N388" s="7">
        <v>0</v>
      </c>
    </row>
    <row r="389" spans="1:14" x14ac:dyDescent="0.25">
      <c r="A389" s="6">
        <v>388</v>
      </c>
      <c r="B389" s="7">
        <v>15776433</v>
      </c>
      <c r="C389" s="6" t="s">
        <v>352</v>
      </c>
      <c r="D389" s="7">
        <v>730</v>
      </c>
      <c r="E389" s="6" t="s">
        <v>755</v>
      </c>
      <c r="F389" s="6" t="s">
        <v>23</v>
      </c>
      <c r="G389" s="7">
        <v>62</v>
      </c>
      <c r="H389" s="7">
        <v>2</v>
      </c>
      <c r="I389" s="8">
        <v>0</v>
      </c>
      <c r="J389" s="7">
        <v>2</v>
      </c>
      <c r="K389" s="7">
        <v>1</v>
      </c>
      <c r="L389" s="7">
        <v>1</v>
      </c>
      <c r="M389" s="9">
        <v>186489.95</v>
      </c>
      <c r="N389" s="7">
        <v>0</v>
      </c>
    </row>
    <row r="390" spans="1:14" x14ac:dyDescent="0.25">
      <c r="A390" s="6">
        <v>389</v>
      </c>
      <c r="B390" s="7">
        <v>15748936</v>
      </c>
      <c r="C390" s="6" t="s">
        <v>353</v>
      </c>
      <c r="D390" s="7">
        <v>709</v>
      </c>
      <c r="E390" s="6" t="s">
        <v>755</v>
      </c>
      <c r="F390" s="6" t="s">
        <v>16</v>
      </c>
      <c r="G390" s="7">
        <v>45</v>
      </c>
      <c r="H390" s="7">
        <v>2</v>
      </c>
      <c r="I390" s="8">
        <v>0</v>
      </c>
      <c r="J390" s="7">
        <v>2</v>
      </c>
      <c r="K390" s="7">
        <v>0</v>
      </c>
      <c r="L390" s="7">
        <v>1</v>
      </c>
      <c r="M390" s="9">
        <v>162922.65</v>
      </c>
      <c r="N390" s="7">
        <v>0</v>
      </c>
    </row>
    <row r="391" spans="1:14" x14ac:dyDescent="0.25">
      <c r="A391" s="6">
        <v>390</v>
      </c>
      <c r="B391" s="7">
        <v>15717225</v>
      </c>
      <c r="C391" s="6" t="s">
        <v>354</v>
      </c>
      <c r="D391" s="7">
        <v>544</v>
      </c>
      <c r="E391" s="6" t="s">
        <v>15</v>
      </c>
      <c r="F391" s="6" t="s">
        <v>16</v>
      </c>
      <c r="G391" s="7">
        <v>21</v>
      </c>
      <c r="H391" s="7">
        <v>10</v>
      </c>
      <c r="I391" s="8">
        <v>161525.96</v>
      </c>
      <c r="J391" s="7">
        <v>2</v>
      </c>
      <c r="K391" s="7">
        <v>1</v>
      </c>
      <c r="L391" s="7">
        <v>0</v>
      </c>
      <c r="M391" s="9">
        <v>9262.77</v>
      </c>
      <c r="N391" s="7">
        <v>0</v>
      </c>
    </row>
    <row r="392" spans="1:14" x14ac:dyDescent="0.25">
      <c r="A392" s="6">
        <v>391</v>
      </c>
      <c r="B392" s="7">
        <v>15685226</v>
      </c>
      <c r="C392" s="6" t="s">
        <v>250</v>
      </c>
      <c r="D392" s="7">
        <v>712</v>
      </c>
      <c r="E392" s="6" t="s">
        <v>26</v>
      </c>
      <c r="F392" s="6" t="s">
        <v>16</v>
      </c>
      <c r="G392" s="7">
        <v>29</v>
      </c>
      <c r="H392" s="7">
        <v>7</v>
      </c>
      <c r="I392" s="8">
        <v>147199.07</v>
      </c>
      <c r="J392" s="7">
        <v>1</v>
      </c>
      <c r="K392" s="7">
        <v>1</v>
      </c>
      <c r="L392" s="7">
        <v>1</v>
      </c>
      <c r="M392" s="9">
        <v>84932.4</v>
      </c>
      <c r="N392" s="7">
        <v>0</v>
      </c>
    </row>
    <row r="393" spans="1:14" x14ac:dyDescent="0.25">
      <c r="A393" s="6">
        <v>392</v>
      </c>
      <c r="B393" s="7">
        <v>15785611</v>
      </c>
      <c r="C393" s="6" t="s">
        <v>355</v>
      </c>
      <c r="D393" s="7">
        <v>752</v>
      </c>
      <c r="E393" s="6" t="s">
        <v>26</v>
      </c>
      <c r="F393" s="6" t="s">
        <v>23</v>
      </c>
      <c r="G393" s="7">
        <v>38</v>
      </c>
      <c r="H393" s="7">
        <v>3</v>
      </c>
      <c r="I393" s="8">
        <v>183102.29</v>
      </c>
      <c r="J393" s="7">
        <v>1</v>
      </c>
      <c r="K393" s="7">
        <v>1</v>
      </c>
      <c r="L393" s="7">
        <v>1</v>
      </c>
      <c r="M393" s="9">
        <v>71557.119999999995</v>
      </c>
      <c r="N393" s="7">
        <v>0</v>
      </c>
    </row>
    <row r="394" spans="1:14" x14ac:dyDescent="0.25">
      <c r="A394" s="6">
        <v>393</v>
      </c>
      <c r="B394" s="7">
        <v>15573456</v>
      </c>
      <c r="C394" s="6" t="s">
        <v>356</v>
      </c>
      <c r="D394" s="7">
        <v>648</v>
      </c>
      <c r="E394" s="6" t="s">
        <v>755</v>
      </c>
      <c r="F394" s="6" t="s">
        <v>23</v>
      </c>
      <c r="G394" s="7">
        <v>46</v>
      </c>
      <c r="H394" s="7">
        <v>9</v>
      </c>
      <c r="I394" s="8">
        <v>127209</v>
      </c>
      <c r="J394" s="7">
        <v>2</v>
      </c>
      <c r="K394" s="7">
        <v>1</v>
      </c>
      <c r="L394" s="7">
        <v>0</v>
      </c>
      <c r="M394" s="9">
        <v>77405.95</v>
      </c>
      <c r="N394" s="7">
        <v>1</v>
      </c>
    </row>
    <row r="395" spans="1:14" x14ac:dyDescent="0.25">
      <c r="A395" s="6">
        <v>394</v>
      </c>
      <c r="B395" s="7">
        <v>15684548</v>
      </c>
      <c r="C395" s="6" t="s">
        <v>357</v>
      </c>
      <c r="D395" s="7">
        <v>556</v>
      </c>
      <c r="E395" s="6" t="s">
        <v>755</v>
      </c>
      <c r="F395" s="6" t="s">
        <v>23</v>
      </c>
      <c r="G395" s="7">
        <v>38</v>
      </c>
      <c r="H395" s="7">
        <v>8</v>
      </c>
      <c r="I395" s="8">
        <v>0</v>
      </c>
      <c r="J395" s="7">
        <v>2</v>
      </c>
      <c r="K395" s="7">
        <v>0</v>
      </c>
      <c r="L395" s="7">
        <v>0</v>
      </c>
      <c r="M395" s="9">
        <v>417.41</v>
      </c>
      <c r="N395" s="7">
        <v>1</v>
      </c>
    </row>
    <row r="396" spans="1:14" x14ac:dyDescent="0.25">
      <c r="A396" s="6">
        <v>395</v>
      </c>
      <c r="B396" s="7">
        <v>15620505</v>
      </c>
      <c r="C396" s="6" t="s">
        <v>358</v>
      </c>
      <c r="D396" s="7">
        <v>594</v>
      </c>
      <c r="E396" s="6" t="s">
        <v>755</v>
      </c>
      <c r="F396" s="6" t="s">
        <v>16</v>
      </c>
      <c r="G396" s="7">
        <v>24</v>
      </c>
      <c r="H396" s="7">
        <v>0</v>
      </c>
      <c r="I396" s="8">
        <v>97378.54</v>
      </c>
      <c r="J396" s="7">
        <v>1</v>
      </c>
      <c r="K396" s="7">
        <v>1</v>
      </c>
      <c r="L396" s="7">
        <v>1</v>
      </c>
      <c r="M396" s="9">
        <v>71405.17</v>
      </c>
      <c r="N396" s="7">
        <v>0</v>
      </c>
    </row>
    <row r="397" spans="1:14" x14ac:dyDescent="0.25">
      <c r="A397" s="6">
        <v>396</v>
      </c>
      <c r="B397" s="7">
        <v>15807432</v>
      </c>
      <c r="C397" s="6" t="s">
        <v>359</v>
      </c>
      <c r="D397" s="7">
        <v>645</v>
      </c>
      <c r="E397" s="6" t="s">
        <v>26</v>
      </c>
      <c r="F397" s="6" t="s">
        <v>16</v>
      </c>
      <c r="G397" s="7">
        <v>37</v>
      </c>
      <c r="H397" s="7">
        <v>2</v>
      </c>
      <c r="I397" s="8">
        <v>136925.09</v>
      </c>
      <c r="J397" s="7">
        <v>2</v>
      </c>
      <c r="K397" s="7">
        <v>0</v>
      </c>
      <c r="L397" s="7">
        <v>1</v>
      </c>
      <c r="M397" s="9">
        <v>153400.24</v>
      </c>
      <c r="N397" s="7">
        <v>0</v>
      </c>
    </row>
    <row r="398" spans="1:14" x14ac:dyDescent="0.25">
      <c r="A398" s="6">
        <v>397</v>
      </c>
      <c r="B398" s="7">
        <v>15584766</v>
      </c>
      <c r="C398" s="6" t="s">
        <v>360</v>
      </c>
      <c r="D398" s="7">
        <v>557</v>
      </c>
      <c r="E398" s="6" t="s">
        <v>15</v>
      </c>
      <c r="F398" s="6" t="s">
        <v>23</v>
      </c>
      <c r="G398" s="7">
        <v>33</v>
      </c>
      <c r="H398" s="7">
        <v>3</v>
      </c>
      <c r="I398" s="8">
        <v>54503.55</v>
      </c>
      <c r="J398" s="7">
        <v>1</v>
      </c>
      <c r="K398" s="7">
        <v>1</v>
      </c>
      <c r="L398" s="7">
        <v>1</v>
      </c>
      <c r="M398" s="9">
        <v>371.05</v>
      </c>
      <c r="N398" s="7">
        <v>0</v>
      </c>
    </row>
    <row r="399" spans="1:14" x14ac:dyDescent="0.25">
      <c r="A399" s="6">
        <v>398</v>
      </c>
      <c r="B399" s="7">
        <v>15612187</v>
      </c>
      <c r="C399" s="6" t="s">
        <v>361</v>
      </c>
      <c r="D399" s="7">
        <v>547</v>
      </c>
      <c r="E399" s="6" t="s">
        <v>26</v>
      </c>
      <c r="F399" s="6" t="s">
        <v>23</v>
      </c>
      <c r="G399" s="7">
        <v>32</v>
      </c>
      <c r="H399" s="7">
        <v>8</v>
      </c>
      <c r="I399" s="8">
        <v>155726.85</v>
      </c>
      <c r="J399" s="7">
        <v>1</v>
      </c>
      <c r="K399" s="7">
        <v>1</v>
      </c>
      <c r="L399" s="7">
        <v>0</v>
      </c>
      <c r="M399" s="9">
        <v>67789.990000000005</v>
      </c>
      <c r="N399" s="7">
        <v>0</v>
      </c>
    </row>
    <row r="400" spans="1:14" x14ac:dyDescent="0.25">
      <c r="A400" s="6">
        <v>399</v>
      </c>
      <c r="B400" s="7">
        <v>15762218</v>
      </c>
      <c r="C400" s="6" t="s">
        <v>101</v>
      </c>
      <c r="D400" s="7">
        <v>701</v>
      </c>
      <c r="E400" s="6" t="s">
        <v>15</v>
      </c>
      <c r="F400" s="6" t="s">
        <v>16</v>
      </c>
      <c r="G400" s="7">
        <v>39</v>
      </c>
      <c r="H400" s="7">
        <v>9</v>
      </c>
      <c r="I400" s="8">
        <v>0</v>
      </c>
      <c r="J400" s="7">
        <v>2</v>
      </c>
      <c r="K400" s="7">
        <v>0</v>
      </c>
      <c r="L400" s="7">
        <v>1</v>
      </c>
      <c r="M400" s="9">
        <v>145894.9</v>
      </c>
      <c r="N400" s="7">
        <v>0</v>
      </c>
    </row>
    <row r="401" spans="1:14" x14ac:dyDescent="0.25">
      <c r="A401" s="6">
        <v>400</v>
      </c>
      <c r="B401" s="7">
        <v>15646372</v>
      </c>
      <c r="C401" s="6" t="s">
        <v>362</v>
      </c>
      <c r="D401" s="7">
        <v>616</v>
      </c>
      <c r="E401" s="6" t="s">
        <v>15</v>
      </c>
      <c r="F401" s="6" t="s">
        <v>16</v>
      </c>
      <c r="G401" s="7">
        <v>66</v>
      </c>
      <c r="H401" s="7">
        <v>1</v>
      </c>
      <c r="I401" s="8">
        <v>135842.41</v>
      </c>
      <c r="J401" s="7">
        <v>1</v>
      </c>
      <c r="K401" s="7">
        <v>1</v>
      </c>
      <c r="L401" s="7">
        <v>0</v>
      </c>
      <c r="M401" s="9">
        <v>183840.51</v>
      </c>
      <c r="N401" s="7">
        <v>1</v>
      </c>
    </row>
    <row r="402" spans="1:14" x14ac:dyDescent="0.25">
      <c r="A402" s="6">
        <v>401</v>
      </c>
      <c r="B402" s="7">
        <v>15690452</v>
      </c>
      <c r="C402" s="6" t="s">
        <v>363</v>
      </c>
      <c r="D402" s="7">
        <v>605</v>
      </c>
      <c r="E402" s="6" t="s">
        <v>15</v>
      </c>
      <c r="F402" s="6" t="s">
        <v>23</v>
      </c>
      <c r="G402" s="7">
        <v>52</v>
      </c>
      <c r="H402" s="7">
        <v>1</v>
      </c>
      <c r="I402" s="8">
        <v>63349.75</v>
      </c>
      <c r="J402" s="7">
        <v>1</v>
      </c>
      <c r="K402" s="7">
        <v>1</v>
      </c>
      <c r="L402" s="7">
        <v>0</v>
      </c>
      <c r="M402" s="9">
        <v>108887.44</v>
      </c>
      <c r="N402" s="7">
        <v>0</v>
      </c>
    </row>
    <row r="403" spans="1:14" x14ac:dyDescent="0.25">
      <c r="A403" s="6">
        <v>402</v>
      </c>
      <c r="B403" s="7">
        <v>15747795</v>
      </c>
      <c r="C403" s="6" t="s">
        <v>364</v>
      </c>
      <c r="D403" s="7">
        <v>593</v>
      </c>
      <c r="E403" s="6" t="s">
        <v>26</v>
      </c>
      <c r="F403" s="6" t="s">
        <v>16</v>
      </c>
      <c r="G403" s="7">
        <v>38</v>
      </c>
      <c r="H403" s="7">
        <v>4</v>
      </c>
      <c r="I403" s="8">
        <v>129499.42</v>
      </c>
      <c r="J403" s="7">
        <v>1</v>
      </c>
      <c r="K403" s="7">
        <v>1</v>
      </c>
      <c r="L403" s="7">
        <v>1</v>
      </c>
      <c r="M403" s="9">
        <v>154071.26999999999</v>
      </c>
      <c r="N403" s="7">
        <v>0</v>
      </c>
    </row>
    <row r="404" spans="1:14" x14ac:dyDescent="0.25">
      <c r="A404" s="6">
        <v>403</v>
      </c>
      <c r="B404" s="7">
        <v>15781589</v>
      </c>
      <c r="C404" s="6" t="s">
        <v>365</v>
      </c>
      <c r="D404" s="7">
        <v>751</v>
      </c>
      <c r="E404" s="6" t="s">
        <v>755</v>
      </c>
      <c r="F404" s="6" t="s">
        <v>23</v>
      </c>
      <c r="G404" s="7">
        <v>52</v>
      </c>
      <c r="H404" s="7">
        <v>8</v>
      </c>
      <c r="I404" s="8">
        <v>0</v>
      </c>
      <c r="J404" s="7">
        <v>2</v>
      </c>
      <c r="K404" s="7">
        <v>0</v>
      </c>
      <c r="L404" s="7">
        <v>1</v>
      </c>
      <c r="M404" s="9">
        <v>179291.85</v>
      </c>
      <c r="N404" s="7">
        <v>0</v>
      </c>
    </row>
    <row r="405" spans="1:14" x14ac:dyDescent="0.25">
      <c r="A405" s="6">
        <v>404</v>
      </c>
      <c r="B405" s="7">
        <v>15732674</v>
      </c>
      <c r="C405" s="6" t="s">
        <v>366</v>
      </c>
      <c r="D405" s="7">
        <v>443</v>
      </c>
      <c r="E405" s="6" t="s">
        <v>755</v>
      </c>
      <c r="F405" s="6" t="s">
        <v>23</v>
      </c>
      <c r="G405" s="7">
        <v>36</v>
      </c>
      <c r="H405" s="7">
        <v>6</v>
      </c>
      <c r="I405" s="8">
        <v>70438.009999999995</v>
      </c>
      <c r="J405" s="7">
        <v>2</v>
      </c>
      <c r="K405" s="7">
        <v>0</v>
      </c>
      <c r="L405" s="7">
        <v>1</v>
      </c>
      <c r="M405" s="9">
        <v>56937.43</v>
      </c>
      <c r="N405" s="7">
        <v>0</v>
      </c>
    </row>
    <row r="406" spans="1:14" x14ac:dyDescent="0.25">
      <c r="A406" s="6">
        <v>405</v>
      </c>
      <c r="B406" s="7">
        <v>15642291</v>
      </c>
      <c r="C406" s="6" t="s">
        <v>367</v>
      </c>
      <c r="D406" s="7">
        <v>685</v>
      </c>
      <c r="E406" s="6" t="s">
        <v>15</v>
      </c>
      <c r="F406" s="6" t="s">
        <v>23</v>
      </c>
      <c r="G406" s="7">
        <v>23</v>
      </c>
      <c r="H406" s="7">
        <v>8</v>
      </c>
      <c r="I406" s="8">
        <v>0</v>
      </c>
      <c r="J406" s="7">
        <v>2</v>
      </c>
      <c r="K406" s="7">
        <v>1</v>
      </c>
      <c r="L406" s="7">
        <v>1</v>
      </c>
      <c r="M406" s="9">
        <v>112239.03</v>
      </c>
      <c r="N406" s="7">
        <v>0</v>
      </c>
    </row>
    <row r="407" spans="1:14" x14ac:dyDescent="0.25">
      <c r="A407" s="6">
        <v>406</v>
      </c>
      <c r="B407" s="7">
        <v>15692761</v>
      </c>
      <c r="C407" s="6" t="s">
        <v>368</v>
      </c>
      <c r="D407" s="7">
        <v>718</v>
      </c>
      <c r="E407" s="6" t="s">
        <v>15</v>
      </c>
      <c r="F407" s="6" t="s">
        <v>23</v>
      </c>
      <c r="G407" s="7">
        <v>36</v>
      </c>
      <c r="H407" s="7">
        <v>9</v>
      </c>
      <c r="I407" s="8">
        <v>0</v>
      </c>
      <c r="J407" s="7">
        <v>1</v>
      </c>
      <c r="K407" s="7">
        <v>1</v>
      </c>
      <c r="L407" s="7">
        <v>0</v>
      </c>
      <c r="M407" s="9">
        <v>45909.87</v>
      </c>
      <c r="N407" s="7">
        <v>0</v>
      </c>
    </row>
    <row r="408" spans="1:14" x14ac:dyDescent="0.25">
      <c r="A408" s="6">
        <v>407</v>
      </c>
      <c r="B408" s="7">
        <v>15578045</v>
      </c>
      <c r="C408" s="6" t="s">
        <v>21</v>
      </c>
      <c r="D408" s="7">
        <v>538</v>
      </c>
      <c r="E408" s="6" t="s">
        <v>755</v>
      </c>
      <c r="F408" s="6" t="s">
        <v>16</v>
      </c>
      <c r="G408" s="7">
        <v>49</v>
      </c>
      <c r="H408" s="7">
        <v>9</v>
      </c>
      <c r="I408" s="8">
        <v>141434.04</v>
      </c>
      <c r="J408" s="7">
        <v>1</v>
      </c>
      <c r="K408" s="7">
        <v>0</v>
      </c>
      <c r="L408" s="7">
        <v>0</v>
      </c>
      <c r="M408" s="9">
        <v>173779.25</v>
      </c>
      <c r="N408" s="7">
        <v>1</v>
      </c>
    </row>
    <row r="409" spans="1:14" x14ac:dyDescent="0.25">
      <c r="A409" s="6">
        <v>408</v>
      </c>
      <c r="B409" s="7">
        <v>15745354</v>
      </c>
      <c r="C409" s="6" t="s">
        <v>369</v>
      </c>
      <c r="D409" s="7">
        <v>611</v>
      </c>
      <c r="E409" s="6" t="s">
        <v>755</v>
      </c>
      <c r="F409" s="6" t="s">
        <v>16</v>
      </c>
      <c r="G409" s="7">
        <v>37</v>
      </c>
      <c r="H409" s="7">
        <v>4</v>
      </c>
      <c r="I409" s="8">
        <v>0</v>
      </c>
      <c r="J409" s="7">
        <v>2</v>
      </c>
      <c r="K409" s="7">
        <v>1</v>
      </c>
      <c r="L409" s="7">
        <v>0</v>
      </c>
      <c r="M409" s="9">
        <v>125696.26</v>
      </c>
      <c r="N409" s="7">
        <v>0</v>
      </c>
    </row>
    <row r="410" spans="1:14" x14ac:dyDescent="0.25">
      <c r="A410" s="6">
        <v>409</v>
      </c>
      <c r="B410" s="7">
        <v>15701376</v>
      </c>
      <c r="C410" s="6" t="s">
        <v>274</v>
      </c>
      <c r="D410" s="7">
        <v>668</v>
      </c>
      <c r="E410" s="6" t="s">
        <v>26</v>
      </c>
      <c r="F410" s="6" t="s">
        <v>23</v>
      </c>
      <c r="G410" s="7">
        <v>37</v>
      </c>
      <c r="H410" s="7">
        <v>10</v>
      </c>
      <c r="I410" s="8">
        <v>152958.29</v>
      </c>
      <c r="J410" s="7">
        <v>2</v>
      </c>
      <c r="K410" s="7">
        <v>1</v>
      </c>
      <c r="L410" s="7">
        <v>1</v>
      </c>
      <c r="M410" s="9">
        <v>159585.60999999999</v>
      </c>
      <c r="N410" s="7">
        <v>0</v>
      </c>
    </row>
    <row r="411" spans="1:14" x14ac:dyDescent="0.25">
      <c r="A411" s="6">
        <v>410</v>
      </c>
      <c r="B411" s="7">
        <v>15691625</v>
      </c>
      <c r="C411" s="6" t="s">
        <v>130</v>
      </c>
      <c r="D411" s="7">
        <v>537</v>
      </c>
      <c r="E411" s="6" t="s">
        <v>26</v>
      </c>
      <c r="F411" s="6" t="s">
        <v>16</v>
      </c>
      <c r="G411" s="7">
        <v>41</v>
      </c>
      <c r="H411" s="7">
        <v>3</v>
      </c>
      <c r="I411" s="8">
        <v>138306.34</v>
      </c>
      <c r="J411" s="7">
        <v>1</v>
      </c>
      <c r="K411" s="7">
        <v>1</v>
      </c>
      <c r="L411" s="7">
        <v>0</v>
      </c>
      <c r="M411" s="9">
        <v>106761.47</v>
      </c>
      <c r="N411" s="7">
        <v>0</v>
      </c>
    </row>
    <row r="412" spans="1:14" x14ac:dyDescent="0.25">
      <c r="A412" s="6">
        <v>411</v>
      </c>
      <c r="B412" s="7">
        <v>15566594</v>
      </c>
      <c r="C412" s="6" t="s">
        <v>370</v>
      </c>
      <c r="D412" s="7">
        <v>709</v>
      </c>
      <c r="E412" s="6" t="s">
        <v>755</v>
      </c>
      <c r="F412" s="6" t="s">
        <v>23</v>
      </c>
      <c r="G412" s="7">
        <v>23</v>
      </c>
      <c r="H412" s="7">
        <v>10</v>
      </c>
      <c r="I412" s="8">
        <v>0</v>
      </c>
      <c r="J412" s="7">
        <v>2</v>
      </c>
      <c r="K412" s="7">
        <v>0</v>
      </c>
      <c r="L412" s="7">
        <v>0</v>
      </c>
      <c r="M412" s="9">
        <v>129590.18</v>
      </c>
      <c r="N412" s="7">
        <v>0</v>
      </c>
    </row>
    <row r="413" spans="1:14" x14ac:dyDescent="0.25">
      <c r="A413" s="6">
        <v>412</v>
      </c>
      <c r="B413" s="7">
        <v>15760431</v>
      </c>
      <c r="C413" s="6" t="s">
        <v>371</v>
      </c>
      <c r="D413" s="7">
        <v>850</v>
      </c>
      <c r="E413" s="6" t="s">
        <v>15</v>
      </c>
      <c r="F413" s="6" t="s">
        <v>23</v>
      </c>
      <c r="G413" s="7">
        <v>38</v>
      </c>
      <c r="H413" s="7">
        <v>1</v>
      </c>
      <c r="I413" s="8">
        <v>0</v>
      </c>
      <c r="J413" s="7">
        <v>2</v>
      </c>
      <c r="K413" s="7">
        <v>1</v>
      </c>
      <c r="L413" s="7">
        <v>1</v>
      </c>
      <c r="M413" s="9">
        <v>80006.649999999994</v>
      </c>
      <c r="N413" s="7">
        <v>0</v>
      </c>
    </row>
    <row r="414" spans="1:14" x14ac:dyDescent="0.25">
      <c r="A414" s="6">
        <v>413</v>
      </c>
      <c r="B414" s="7">
        <v>15686302</v>
      </c>
      <c r="C414" s="6" t="s">
        <v>372</v>
      </c>
      <c r="D414" s="7">
        <v>745</v>
      </c>
      <c r="E414" s="6" t="s">
        <v>18</v>
      </c>
      <c r="F414" s="6" t="s">
        <v>16</v>
      </c>
      <c r="G414" s="7">
        <v>31</v>
      </c>
      <c r="H414" s="7">
        <v>3</v>
      </c>
      <c r="I414" s="8">
        <v>124328.84</v>
      </c>
      <c r="J414" s="7">
        <v>1</v>
      </c>
      <c r="K414" s="7">
        <v>1</v>
      </c>
      <c r="L414" s="7">
        <v>1</v>
      </c>
      <c r="M414" s="9">
        <v>140451.51999999999</v>
      </c>
      <c r="N414" s="7">
        <v>0</v>
      </c>
    </row>
    <row r="415" spans="1:14" x14ac:dyDescent="0.25">
      <c r="A415" s="6">
        <v>414</v>
      </c>
      <c r="B415" s="7">
        <v>15801559</v>
      </c>
      <c r="C415" s="6" t="s">
        <v>373</v>
      </c>
      <c r="D415" s="7">
        <v>693</v>
      </c>
      <c r="E415" s="6" t="s">
        <v>26</v>
      </c>
      <c r="F415" s="6" t="s">
        <v>16</v>
      </c>
      <c r="G415" s="7">
        <v>41</v>
      </c>
      <c r="H415" s="7">
        <v>9</v>
      </c>
      <c r="I415" s="8">
        <v>181461.48</v>
      </c>
      <c r="J415" s="7">
        <v>3</v>
      </c>
      <c r="K415" s="7">
        <v>1</v>
      </c>
      <c r="L415" s="7">
        <v>1</v>
      </c>
      <c r="M415" s="9">
        <v>187929.43</v>
      </c>
      <c r="N415" s="7">
        <v>1</v>
      </c>
    </row>
    <row r="416" spans="1:14" x14ac:dyDescent="0.25">
      <c r="A416" s="6">
        <v>415</v>
      </c>
      <c r="B416" s="7">
        <v>15810432</v>
      </c>
      <c r="C416" s="6" t="s">
        <v>374</v>
      </c>
      <c r="D416" s="7">
        <v>795</v>
      </c>
      <c r="E416" s="6" t="s">
        <v>18</v>
      </c>
      <c r="F416" s="6" t="s">
        <v>23</v>
      </c>
      <c r="G416" s="7">
        <v>35</v>
      </c>
      <c r="H416" s="7">
        <v>8</v>
      </c>
      <c r="I416" s="8">
        <v>0</v>
      </c>
      <c r="J416" s="7">
        <v>2</v>
      </c>
      <c r="K416" s="7">
        <v>1</v>
      </c>
      <c r="L416" s="7">
        <v>0</v>
      </c>
      <c r="M416" s="9">
        <v>167155.35999999999</v>
      </c>
      <c r="N416" s="7">
        <v>0</v>
      </c>
    </row>
    <row r="417" spans="1:14" x14ac:dyDescent="0.25">
      <c r="A417" s="6">
        <v>416</v>
      </c>
      <c r="B417" s="7">
        <v>15809616</v>
      </c>
      <c r="C417" s="6" t="s">
        <v>375</v>
      </c>
      <c r="D417" s="7">
        <v>626</v>
      </c>
      <c r="E417" s="6" t="s">
        <v>18</v>
      </c>
      <c r="F417" s="6" t="s">
        <v>23</v>
      </c>
      <c r="G417" s="7">
        <v>26</v>
      </c>
      <c r="H417" s="7">
        <v>8</v>
      </c>
      <c r="I417" s="8">
        <v>0</v>
      </c>
      <c r="J417" s="7">
        <v>2</v>
      </c>
      <c r="K417" s="7">
        <v>0</v>
      </c>
      <c r="L417" s="7">
        <v>0</v>
      </c>
      <c r="M417" s="9">
        <v>191420.71</v>
      </c>
      <c r="N417" s="7">
        <v>0</v>
      </c>
    </row>
    <row r="418" spans="1:14" x14ac:dyDescent="0.25">
      <c r="A418" s="6">
        <v>417</v>
      </c>
      <c r="B418" s="7">
        <v>15720559</v>
      </c>
      <c r="C418" s="6" t="s">
        <v>376</v>
      </c>
      <c r="D418" s="7">
        <v>487</v>
      </c>
      <c r="E418" s="6" t="s">
        <v>26</v>
      </c>
      <c r="F418" s="6" t="s">
        <v>16</v>
      </c>
      <c r="G418" s="7">
        <v>61</v>
      </c>
      <c r="H418" s="7">
        <v>5</v>
      </c>
      <c r="I418" s="8">
        <v>110368.03</v>
      </c>
      <c r="J418" s="7">
        <v>1</v>
      </c>
      <c r="K418" s="7">
        <v>0</v>
      </c>
      <c r="L418" s="7">
        <v>0</v>
      </c>
      <c r="M418" s="9">
        <v>11384.45</v>
      </c>
      <c r="N418" s="7">
        <v>1</v>
      </c>
    </row>
    <row r="419" spans="1:14" x14ac:dyDescent="0.25">
      <c r="A419" s="6">
        <v>418</v>
      </c>
      <c r="B419" s="7">
        <v>15695632</v>
      </c>
      <c r="C419" s="6" t="s">
        <v>40</v>
      </c>
      <c r="D419" s="7">
        <v>556</v>
      </c>
      <c r="E419" s="6" t="s">
        <v>15</v>
      </c>
      <c r="F419" s="6" t="s">
        <v>16</v>
      </c>
      <c r="G419" s="7">
        <v>39</v>
      </c>
      <c r="H419" s="7">
        <v>9</v>
      </c>
      <c r="I419" s="8">
        <v>89588.35</v>
      </c>
      <c r="J419" s="7">
        <v>1</v>
      </c>
      <c r="K419" s="7">
        <v>1</v>
      </c>
      <c r="L419" s="7">
        <v>1</v>
      </c>
      <c r="M419" s="9">
        <v>94898.1</v>
      </c>
      <c r="N419" s="7">
        <v>0</v>
      </c>
    </row>
    <row r="420" spans="1:14" x14ac:dyDescent="0.25">
      <c r="A420" s="6">
        <v>419</v>
      </c>
      <c r="B420" s="7">
        <v>15659843</v>
      </c>
      <c r="C420" s="6" t="s">
        <v>148</v>
      </c>
      <c r="D420" s="7">
        <v>643</v>
      </c>
      <c r="E420" s="6" t="s">
        <v>15</v>
      </c>
      <c r="F420" s="6" t="s">
        <v>16</v>
      </c>
      <c r="G420" s="7">
        <v>46</v>
      </c>
      <c r="H420" s="7">
        <v>6</v>
      </c>
      <c r="I420" s="8">
        <v>0</v>
      </c>
      <c r="J420" s="7">
        <v>2</v>
      </c>
      <c r="K420" s="7">
        <v>0</v>
      </c>
      <c r="L420" s="7">
        <v>0</v>
      </c>
      <c r="M420" s="9">
        <v>106781.59</v>
      </c>
      <c r="N420" s="7">
        <v>0</v>
      </c>
    </row>
    <row r="421" spans="1:14" x14ac:dyDescent="0.25">
      <c r="A421" s="6">
        <v>420</v>
      </c>
      <c r="B421" s="7">
        <v>15615624</v>
      </c>
      <c r="C421" s="6" t="s">
        <v>377</v>
      </c>
      <c r="D421" s="7">
        <v>605</v>
      </c>
      <c r="E421" s="6" t="s">
        <v>15</v>
      </c>
      <c r="F421" s="6" t="s">
        <v>16</v>
      </c>
      <c r="G421" s="7">
        <v>28</v>
      </c>
      <c r="H421" s="7">
        <v>6</v>
      </c>
      <c r="I421" s="8">
        <v>0</v>
      </c>
      <c r="J421" s="7">
        <v>2</v>
      </c>
      <c r="K421" s="7">
        <v>0</v>
      </c>
      <c r="L421" s="7">
        <v>0</v>
      </c>
      <c r="M421" s="9">
        <v>159508.51999999999</v>
      </c>
      <c r="N421" s="7">
        <v>0</v>
      </c>
    </row>
    <row r="422" spans="1:14" x14ac:dyDescent="0.25">
      <c r="A422" s="6">
        <v>421</v>
      </c>
      <c r="B422" s="7">
        <v>15810418</v>
      </c>
      <c r="C422" s="6" t="s">
        <v>125</v>
      </c>
      <c r="D422" s="7">
        <v>756</v>
      </c>
      <c r="E422" s="6" t="s">
        <v>26</v>
      </c>
      <c r="F422" s="6" t="s">
        <v>16</v>
      </c>
      <c r="G422" s="7">
        <v>60</v>
      </c>
      <c r="H422" s="7">
        <v>3</v>
      </c>
      <c r="I422" s="8">
        <v>115924.89</v>
      </c>
      <c r="J422" s="7">
        <v>1</v>
      </c>
      <c r="K422" s="7">
        <v>1</v>
      </c>
      <c r="L422" s="7">
        <v>0</v>
      </c>
      <c r="M422" s="9">
        <v>93524.19</v>
      </c>
      <c r="N422" s="7">
        <v>1</v>
      </c>
    </row>
    <row r="423" spans="1:14" x14ac:dyDescent="0.25">
      <c r="A423" s="6">
        <v>422</v>
      </c>
      <c r="B423" s="7">
        <v>15716186</v>
      </c>
      <c r="C423" s="6" t="s">
        <v>378</v>
      </c>
      <c r="D423" s="7">
        <v>586</v>
      </c>
      <c r="E423" s="6" t="s">
        <v>15</v>
      </c>
      <c r="F423" s="6" t="s">
        <v>16</v>
      </c>
      <c r="G423" s="7">
        <v>38</v>
      </c>
      <c r="H423" s="7">
        <v>2</v>
      </c>
      <c r="I423" s="8">
        <v>0</v>
      </c>
      <c r="J423" s="7">
        <v>2</v>
      </c>
      <c r="K423" s="7">
        <v>1</v>
      </c>
      <c r="L423" s="7">
        <v>0</v>
      </c>
      <c r="M423" s="9">
        <v>87168.46</v>
      </c>
      <c r="N423" s="7">
        <v>0</v>
      </c>
    </row>
    <row r="424" spans="1:14" x14ac:dyDescent="0.25">
      <c r="A424" s="6">
        <v>423</v>
      </c>
      <c r="B424" s="7">
        <v>15674551</v>
      </c>
      <c r="C424" s="6" t="s">
        <v>379</v>
      </c>
      <c r="D424" s="7">
        <v>535</v>
      </c>
      <c r="E424" s="6" t="s">
        <v>26</v>
      </c>
      <c r="F424" s="6" t="s">
        <v>23</v>
      </c>
      <c r="G424" s="7">
        <v>40</v>
      </c>
      <c r="H424" s="7">
        <v>7</v>
      </c>
      <c r="I424" s="8">
        <v>111756.5</v>
      </c>
      <c r="J424" s="7">
        <v>1</v>
      </c>
      <c r="K424" s="7">
        <v>1</v>
      </c>
      <c r="L424" s="7">
        <v>0</v>
      </c>
      <c r="M424" s="9">
        <v>8128.32</v>
      </c>
      <c r="N424" s="7">
        <v>1</v>
      </c>
    </row>
    <row r="425" spans="1:14" x14ac:dyDescent="0.25">
      <c r="A425" s="6">
        <v>424</v>
      </c>
      <c r="B425" s="7">
        <v>15622834</v>
      </c>
      <c r="C425" s="6" t="s">
        <v>223</v>
      </c>
      <c r="D425" s="7">
        <v>678</v>
      </c>
      <c r="E425" s="6" t="s">
        <v>15</v>
      </c>
      <c r="F425" s="6" t="s">
        <v>16</v>
      </c>
      <c r="G425" s="7">
        <v>35</v>
      </c>
      <c r="H425" s="7">
        <v>4</v>
      </c>
      <c r="I425" s="8">
        <v>0</v>
      </c>
      <c r="J425" s="7">
        <v>1</v>
      </c>
      <c r="K425" s="7">
        <v>1</v>
      </c>
      <c r="L425" s="7">
        <v>0</v>
      </c>
      <c r="M425" s="9">
        <v>125518.32</v>
      </c>
      <c r="N425" s="7">
        <v>0</v>
      </c>
    </row>
    <row r="426" spans="1:14" x14ac:dyDescent="0.25">
      <c r="A426" s="6">
        <v>425</v>
      </c>
      <c r="B426" s="7">
        <v>15566111</v>
      </c>
      <c r="C426" s="6" t="s">
        <v>380</v>
      </c>
      <c r="D426" s="7">
        <v>596</v>
      </c>
      <c r="E426" s="6" t="s">
        <v>15</v>
      </c>
      <c r="F426" s="6" t="s">
        <v>23</v>
      </c>
      <c r="G426" s="7">
        <v>39</v>
      </c>
      <c r="H426" s="7">
        <v>9</v>
      </c>
      <c r="I426" s="8">
        <v>0</v>
      </c>
      <c r="J426" s="7">
        <v>1</v>
      </c>
      <c r="K426" s="7">
        <v>1</v>
      </c>
      <c r="L426" s="7">
        <v>0</v>
      </c>
      <c r="M426" s="9">
        <v>48963.59</v>
      </c>
      <c r="N426" s="7">
        <v>0</v>
      </c>
    </row>
    <row r="427" spans="1:14" x14ac:dyDescent="0.25">
      <c r="A427" s="6">
        <v>426</v>
      </c>
      <c r="B427" s="7">
        <v>15784597</v>
      </c>
      <c r="C427" s="6" t="s">
        <v>381</v>
      </c>
      <c r="D427" s="7">
        <v>648</v>
      </c>
      <c r="E427" s="6" t="s">
        <v>15</v>
      </c>
      <c r="F427" s="6" t="s">
        <v>23</v>
      </c>
      <c r="G427" s="7">
        <v>26</v>
      </c>
      <c r="H427" s="7">
        <v>9</v>
      </c>
      <c r="I427" s="8">
        <v>162923.85</v>
      </c>
      <c r="J427" s="7">
        <v>1</v>
      </c>
      <c r="K427" s="7">
        <v>1</v>
      </c>
      <c r="L427" s="7">
        <v>0</v>
      </c>
      <c r="M427" s="9">
        <v>98368.24</v>
      </c>
      <c r="N427" s="7">
        <v>0</v>
      </c>
    </row>
    <row r="428" spans="1:14" x14ac:dyDescent="0.25">
      <c r="A428" s="6">
        <v>427</v>
      </c>
      <c r="B428" s="7">
        <v>15652883</v>
      </c>
      <c r="C428" s="6" t="s">
        <v>382</v>
      </c>
      <c r="D428" s="7">
        <v>492</v>
      </c>
      <c r="E428" s="6" t="s">
        <v>26</v>
      </c>
      <c r="F428" s="6" t="s">
        <v>23</v>
      </c>
      <c r="G428" s="7">
        <v>39</v>
      </c>
      <c r="H428" s="7">
        <v>10</v>
      </c>
      <c r="I428" s="8">
        <v>124576.65</v>
      </c>
      <c r="J428" s="7">
        <v>2</v>
      </c>
      <c r="K428" s="7">
        <v>1</v>
      </c>
      <c r="L428" s="7">
        <v>0</v>
      </c>
      <c r="M428" s="9">
        <v>148584.60999999999</v>
      </c>
      <c r="N428" s="7">
        <v>0</v>
      </c>
    </row>
    <row r="429" spans="1:14" x14ac:dyDescent="0.25">
      <c r="A429" s="6">
        <v>428</v>
      </c>
      <c r="B429" s="7">
        <v>15806964</v>
      </c>
      <c r="C429" s="6" t="s">
        <v>383</v>
      </c>
      <c r="D429" s="7">
        <v>702</v>
      </c>
      <c r="E429" s="6" t="s">
        <v>15</v>
      </c>
      <c r="F429" s="6" t="s">
        <v>23</v>
      </c>
      <c r="G429" s="7">
        <v>45</v>
      </c>
      <c r="H429" s="7">
        <v>0</v>
      </c>
      <c r="I429" s="8">
        <v>80793.58</v>
      </c>
      <c r="J429" s="7">
        <v>1</v>
      </c>
      <c r="K429" s="7">
        <v>1</v>
      </c>
      <c r="L429" s="7">
        <v>1</v>
      </c>
      <c r="M429" s="9">
        <v>27474.81</v>
      </c>
      <c r="N429" s="7">
        <v>0</v>
      </c>
    </row>
    <row r="430" spans="1:14" x14ac:dyDescent="0.25">
      <c r="A430" s="6">
        <v>429</v>
      </c>
      <c r="B430" s="7">
        <v>15576313</v>
      </c>
      <c r="C430" s="6" t="s">
        <v>171</v>
      </c>
      <c r="D430" s="7">
        <v>486</v>
      </c>
      <c r="E430" s="6" t="s">
        <v>26</v>
      </c>
      <c r="F430" s="6" t="s">
        <v>16</v>
      </c>
      <c r="G430" s="7">
        <v>40</v>
      </c>
      <c r="H430" s="7">
        <v>9</v>
      </c>
      <c r="I430" s="8">
        <v>71340.09</v>
      </c>
      <c r="J430" s="7">
        <v>1</v>
      </c>
      <c r="K430" s="7">
        <v>1</v>
      </c>
      <c r="L430" s="7">
        <v>0</v>
      </c>
      <c r="M430" s="9">
        <v>76192.210000000006</v>
      </c>
      <c r="N430" s="7">
        <v>0</v>
      </c>
    </row>
    <row r="431" spans="1:14" x14ac:dyDescent="0.25">
      <c r="A431" s="6">
        <v>430</v>
      </c>
      <c r="B431" s="7">
        <v>15806467</v>
      </c>
      <c r="C431" s="6" t="s">
        <v>267</v>
      </c>
      <c r="D431" s="7">
        <v>568</v>
      </c>
      <c r="E431" s="6" t="s">
        <v>26</v>
      </c>
      <c r="F431" s="6" t="s">
        <v>23</v>
      </c>
      <c r="G431" s="7">
        <v>40</v>
      </c>
      <c r="H431" s="7">
        <v>1</v>
      </c>
      <c r="I431" s="8">
        <v>99282.63</v>
      </c>
      <c r="J431" s="7">
        <v>1</v>
      </c>
      <c r="K431" s="7">
        <v>0</v>
      </c>
      <c r="L431" s="7">
        <v>0</v>
      </c>
      <c r="M431" s="9">
        <v>134600.94</v>
      </c>
      <c r="N431" s="7">
        <v>1</v>
      </c>
    </row>
    <row r="432" spans="1:14" ht="30" x14ac:dyDescent="0.25">
      <c r="A432" s="6">
        <v>431</v>
      </c>
      <c r="B432" s="7">
        <v>15597602</v>
      </c>
      <c r="C432" s="6" t="s">
        <v>384</v>
      </c>
      <c r="D432" s="7">
        <v>619</v>
      </c>
      <c r="E432" s="6" t="s">
        <v>26</v>
      </c>
      <c r="F432" s="6" t="s">
        <v>23</v>
      </c>
      <c r="G432" s="7">
        <v>57</v>
      </c>
      <c r="H432" s="7">
        <v>3</v>
      </c>
      <c r="I432" s="8">
        <v>137946.39000000001</v>
      </c>
      <c r="J432" s="7">
        <v>1</v>
      </c>
      <c r="K432" s="7">
        <v>1</v>
      </c>
      <c r="L432" s="7">
        <v>1</v>
      </c>
      <c r="M432" s="9">
        <v>72467.990000000005</v>
      </c>
      <c r="N432" s="7">
        <v>1</v>
      </c>
    </row>
    <row r="433" spans="1:14" x14ac:dyDescent="0.25">
      <c r="A433" s="6">
        <v>432</v>
      </c>
      <c r="B433" s="7">
        <v>15743040</v>
      </c>
      <c r="C433" s="6" t="s">
        <v>385</v>
      </c>
      <c r="D433" s="7">
        <v>724</v>
      </c>
      <c r="E433" s="6" t="s">
        <v>26</v>
      </c>
      <c r="F433" s="6" t="s">
        <v>23</v>
      </c>
      <c r="G433" s="7">
        <v>41</v>
      </c>
      <c r="H433" s="7">
        <v>2</v>
      </c>
      <c r="I433" s="8">
        <v>127892.57</v>
      </c>
      <c r="J433" s="7">
        <v>2</v>
      </c>
      <c r="K433" s="7">
        <v>0</v>
      </c>
      <c r="L433" s="7">
        <v>1</v>
      </c>
      <c r="M433" s="9">
        <v>199645.45</v>
      </c>
      <c r="N433" s="7">
        <v>0</v>
      </c>
    </row>
    <row r="434" spans="1:14" x14ac:dyDescent="0.25">
      <c r="A434" s="6">
        <v>433</v>
      </c>
      <c r="B434" s="7">
        <v>15705521</v>
      </c>
      <c r="C434" s="6" t="s">
        <v>386</v>
      </c>
      <c r="D434" s="7">
        <v>548</v>
      </c>
      <c r="E434" s="6" t="s">
        <v>26</v>
      </c>
      <c r="F434" s="6" t="s">
        <v>16</v>
      </c>
      <c r="G434" s="7">
        <v>33</v>
      </c>
      <c r="H434" s="7">
        <v>0</v>
      </c>
      <c r="I434" s="8">
        <v>101084.36</v>
      </c>
      <c r="J434" s="7">
        <v>1</v>
      </c>
      <c r="K434" s="7">
        <v>1</v>
      </c>
      <c r="L434" s="7">
        <v>0</v>
      </c>
      <c r="M434" s="9">
        <v>42749.85</v>
      </c>
      <c r="N434" s="7">
        <v>0</v>
      </c>
    </row>
    <row r="435" spans="1:14" x14ac:dyDescent="0.25">
      <c r="A435" s="6">
        <v>434</v>
      </c>
      <c r="B435" s="7">
        <v>15595039</v>
      </c>
      <c r="C435" s="6" t="s">
        <v>387</v>
      </c>
      <c r="D435" s="7">
        <v>545</v>
      </c>
      <c r="E435" s="6" t="s">
        <v>26</v>
      </c>
      <c r="F435" s="6" t="s">
        <v>16</v>
      </c>
      <c r="G435" s="7">
        <v>37</v>
      </c>
      <c r="H435" s="7">
        <v>8</v>
      </c>
      <c r="I435" s="8">
        <v>114754.08</v>
      </c>
      <c r="J435" s="7">
        <v>1</v>
      </c>
      <c r="K435" s="7">
        <v>1</v>
      </c>
      <c r="L435" s="7">
        <v>0</v>
      </c>
      <c r="M435" s="9">
        <v>136050.44</v>
      </c>
      <c r="N435" s="7">
        <v>1</v>
      </c>
    </row>
    <row r="436" spans="1:14" x14ac:dyDescent="0.25">
      <c r="A436" s="6">
        <v>435</v>
      </c>
      <c r="B436" s="7">
        <v>15799384</v>
      </c>
      <c r="C436" s="6" t="s">
        <v>388</v>
      </c>
      <c r="D436" s="7">
        <v>683</v>
      </c>
      <c r="E436" s="6" t="s">
        <v>15</v>
      </c>
      <c r="F436" s="6" t="s">
        <v>23</v>
      </c>
      <c r="G436" s="7">
        <v>33</v>
      </c>
      <c r="H436" s="7">
        <v>8</v>
      </c>
      <c r="I436" s="8">
        <v>0</v>
      </c>
      <c r="J436" s="7">
        <v>1</v>
      </c>
      <c r="K436" s="7">
        <v>0</v>
      </c>
      <c r="L436" s="7">
        <v>0</v>
      </c>
      <c r="M436" s="9">
        <v>73564.44</v>
      </c>
      <c r="N436" s="7">
        <v>0</v>
      </c>
    </row>
    <row r="437" spans="1:14" x14ac:dyDescent="0.25">
      <c r="A437" s="6">
        <v>436</v>
      </c>
      <c r="B437" s="7">
        <v>15581197</v>
      </c>
      <c r="C437" s="6" t="s">
        <v>332</v>
      </c>
      <c r="D437" s="7">
        <v>762</v>
      </c>
      <c r="E437" s="6" t="s">
        <v>15</v>
      </c>
      <c r="F437" s="6" t="s">
        <v>16</v>
      </c>
      <c r="G437" s="7">
        <v>51</v>
      </c>
      <c r="H437" s="7">
        <v>3</v>
      </c>
      <c r="I437" s="8">
        <v>99286.98</v>
      </c>
      <c r="J437" s="7">
        <v>1</v>
      </c>
      <c r="K437" s="7">
        <v>0</v>
      </c>
      <c r="L437" s="7">
        <v>1</v>
      </c>
      <c r="M437" s="9">
        <v>85578.63</v>
      </c>
      <c r="N437" s="7">
        <v>0</v>
      </c>
    </row>
    <row r="438" spans="1:14" x14ac:dyDescent="0.25">
      <c r="A438" s="6">
        <v>437</v>
      </c>
      <c r="B438" s="7">
        <v>15693737</v>
      </c>
      <c r="C438" s="6" t="s">
        <v>389</v>
      </c>
      <c r="D438" s="7">
        <v>627</v>
      </c>
      <c r="E438" s="6" t="s">
        <v>26</v>
      </c>
      <c r="F438" s="6" t="s">
        <v>16</v>
      </c>
      <c r="G438" s="7">
        <v>30</v>
      </c>
      <c r="H438" s="7">
        <v>4</v>
      </c>
      <c r="I438" s="8">
        <v>79871.02</v>
      </c>
      <c r="J438" s="7">
        <v>2</v>
      </c>
      <c r="K438" s="7">
        <v>1</v>
      </c>
      <c r="L438" s="7">
        <v>0</v>
      </c>
      <c r="M438" s="9">
        <v>129826.89</v>
      </c>
      <c r="N438" s="7">
        <v>0</v>
      </c>
    </row>
    <row r="439" spans="1:14" x14ac:dyDescent="0.25">
      <c r="A439" s="6">
        <v>438</v>
      </c>
      <c r="B439" s="7">
        <v>15624623</v>
      </c>
      <c r="C439" s="6" t="s">
        <v>390</v>
      </c>
      <c r="D439" s="7">
        <v>516</v>
      </c>
      <c r="E439" s="6" t="s">
        <v>15</v>
      </c>
      <c r="F439" s="6" t="s">
        <v>23</v>
      </c>
      <c r="G439" s="7">
        <v>35</v>
      </c>
      <c r="H439" s="7">
        <v>10</v>
      </c>
      <c r="I439" s="8">
        <v>104088.59</v>
      </c>
      <c r="J439" s="7">
        <v>2</v>
      </c>
      <c r="K439" s="7">
        <v>0</v>
      </c>
      <c r="L439" s="7">
        <v>0</v>
      </c>
      <c r="M439" s="9">
        <v>119666</v>
      </c>
      <c r="N439" s="7">
        <v>0</v>
      </c>
    </row>
    <row r="440" spans="1:14" x14ac:dyDescent="0.25">
      <c r="A440" s="6">
        <v>439</v>
      </c>
      <c r="B440" s="7">
        <v>15783501</v>
      </c>
      <c r="C440" s="6" t="s">
        <v>391</v>
      </c>
      <c r="D440" s="7">
        <v>800</v>
      </c>
      <c r="E440" s="6" t="s">
        <v>15</v>
      </c>
      <c r="F440" s="6" t="s">
        <v>16</v>
      </c>
      <c r="G440" s="7">
        <v>38</v>
      </c>
      <c r="H440" s="7">
        <v>2</v>
      </c>
      <c r="I440" s="8">
        <v>168190.33</v>
      </c>
      <c r="J440" s="7">
        <v>2</v>
      </c>
      <c r="K440" s="7">
        <v>1</v>
      </c>
      <c r="L440" s="7">
        <v>0</v>
      </c>
      <c r="M440" s="9">
        <v>68052.08</v>
      </c>
      <c r="N440" s="7">
        <v>0</v>
      </c>
    </row>
    <row r="441" spans="1:14" x14ac:dyDescent="0.25">
      <c r="A441" s="6">
        <v>440</v>
      </c>
      <c r="B441" s="7">
        <v>15690134</v>
      </c>
      <c r="C441" s="6" t="s">
        <v>249</v>
      </c>
      <c r="D441" s="7">
        <v>464</v>
      </c>
      <c r="E441" s="6" t="s">
        <v>26</v>
      </c>
      <c r="F441" s="6" t="s">
        <v>16</v>
      </c>
      <c r="G441" s="7">
        <v>42</v>
      </c>
      <c r="H441" s="7">
        <v>3</v>
      </c>
      <c r="I441" s="8">
        <v>85679.25</v>
      </c>
      <c r="J441" s="7">
        <v>1</v>
      </c>
      <c r="K441" s="7">
        <v>1</v>
      </c>
      <c r="L441" s="7">
        <v>1</v>
      </c>
      <c r="M441" s="9">
        <v>164104.74</v>
      </c>
      <c r="N441" s="7">
        <v>0</v>
      </c>
    </row>
    <row r="442" spans="1:14" ht="30" x14ac:dyDescent="0.25">
      <c r="A442" s="6">
        <v>441</v>
      </c>
      <c r="B442" s="7">
        <v>15782735</v>
      </c>
      <c r="C442" s="6" t="s">
        <v>392</v>
      </c>
      <c r="D442" s="7">
        <v>626</v>
      </c>
      <c r="E442" s="6" t="s">
        <v>15</v>
      </c>
      <c r="F442" s="6" t="s">
        <v>16</v>
      </c>
      <c r="G442" s="7">
        <v>35</v>
      </c>
      <c r="H442" s="7">
        <v>3</v>
      </c>
      <c r="I442" s="8">
        <v>0</v>
      </c>
      <c r="J442" s="7">
        <v>1</v>
      </c>
      <c r="K442" s="7">
        <v>0</v>
      </c>
      <c r="L442" s="7">
        <v>0</v>
      </c>
      <c r="M442" s="9">
        <v>80190.36</v>
      </c>
      <c r="N442" s="7">
        <v>0</v>
      </c>
    </row>
    <row r="443" spans="1:14" x14ac:dyDescent="0.25">
      <c r="A443" s="6">
        <v>442</v>
      </c>
      <c r="B443" s="7">
        <v>15611088</v>
      </c>
      <c r="C443" s="6" t="s">
        <v>393</v>
      </c>
      <c r="D443" s="7">
        <v>790</v>
      </c>
      <c r="E443" s="6" t="s">
        <v>15</v>
      </c>
      <c r="F443" s="6" t="s">
        <v>16</v>
      </c>
      <c r="G443" s="7">
        <v>31</v>
      </c>
      <c r="H443" s="7">
        <v>9</v>
      </c>
      <c r="I443" s="8">
        <v>0</v>
      </c>
      <c r="J443" s="7">
        <v>2</v>
      </c>
      <c r="K443" s="7">
        <v>1</v>
      </c>
      <c r="L443" s="7">
        <v>0</v>
      </c>
      <c r="M443" s="9">
        <v>84126.75</v>
      </c>
      <c r="N443" s="7">
        <v>0</v>
      </c>
    </row>
    <row r="444" spans="1:14" x14ac:dyDescent="0.25">
      <c r="A444" s="6">
        <v>443</v>
      </c>
      <c r="B444" s="7">
        <v>15672145</v>
      </c>
      <c r="C444" s="6" t="s">
        <v>394</v>
      </c>
      <c r="D444" s="7">
        <v>534</v>
      </c>
      <c r="E444" s="6" t="s">
        <v>15</v>
      </c>
      <c r="F444" s="6" t="s">
        <v>16</v>
      </c>
      <c r="G444" s="7">
        <v>34</v>
      </c>
      <c r="H444" s="7">
        <v>7</v>
      </c>
      <c r="I444" s="8">
        <v>121551.58</v>
      </c>
      <c r="J444" s="7">
        <v>2</v>
      </c>
      <c r="K444" s="7">
        <v>1</v>
      </c>
      <c r="L444" s="7">
        <v>1</v>
      </c>
      <c r="M444" s="9">
        <v>70179</v>
      </c>
      <c r="N444" s="7">
        <v>0</v>
      </c>
    </row>
    <row r="445" spans="1:14" x14ac:dyDescent="0.25">
      <c r="A445" s="6">
        <v>444</v>
      </c>
      <c r="B445" s="7">
        <v>15732628</v>
      </c>
      <c r="C445" s="6" t="s">
        <v>395</v>
      </c>
      <c r="D445" s="7">
        <v>745</v>
      </c>
      <c r="E445" s="6" t="s">
        <v>15</v>
      </c>
      <c r="F445" s="6" t="s">
        <v>23</v>
      </c>
      <c r="G445" s="7">
        <v>46</v>
      </c>
      <c r="H445" s="7">
        <v>2</v>
      </c>
      <c r="I445" s="8">
        <v>122220.19</v>
      </c>
      <c r="J445" s="7">
        <v>1</v>
      </c>
      <c r="K445" s="7">
        <v>1</v>
      </c>
      <c r="L445" s="7">
        <v>1</v>
      </c>
      <c r="M445" s="9">
        <v>118024.1</v>
      </c>
      <c r="N445" s="7">
        <v>0</v>
      </c>
    </row>
    <row r="446" spans="1:14" x14ac:dyDescent="0.25">
      <c r="A446" s="6">
        <v>445</v>
      </c>
      <c r="B446" s="7">
        <v>15787470</v>
      </c>
      <c r="C446" s="6" t="s">
        <v>396</v>
      </c>
      <c r="D446" s="7">
        <v>553</v>
      </c>
      <c r="E446" s="6" t="s">
        <v>18</v>
      </c>
      <c r="F446" s="6" t="s">
        <v>756</v>
      </c>
      <c r="G446" s="7">
        <v>47</v>
      </c>
      <c r="H446" s="7">
        <v>3</v>
      </c>
      <c r="I446" s="8">
        <v>116528.15</v>
      </c>
      <c r="J446" s="7">
        <v>1</v>
      </c>
      <c r="K446" s="7">
        <v>0</v>
      </c>
      <c r="L446" s="7">
        <v>0</v>
      </c>
      <c r="M446" s="9">
        <v>145704.19</v>
      </c>
      <c r="N446" s="7">
        <v>1</v>
      </c>
    </row>
    <row r="447" spans="1:14" x14ac:dyDescent="0.25">
      <c r="A447" s="6">
        <v>446</v>
      </c>
      <c r="B447" s="7">
        <v>15803406</v>
      </c>
      <c r="C447" s="6" t="s">
        <v>397</v>
      </c>
      <c r="D447" s="7">
        <v>748</v>
      </c>
      <c r="E447" s="6" t="s">
        <v>15</v>
      </c>
      <c r="F447" s="6" t="s">
        <v>16</v>
      </c>
      <c r="G447" s="7">
        <v>26</v>
      </c>
      <c r="H447" s="7">
        <v>1</v>
      </c>
      <c r="I447" s="8">
        <v>77780.289999999994</v>
      </c>
      <c r="J447" s="7">
        <v>1</v>
      </c>
      <c r="K447" s="7">
        <v>0</v>
      </c>
      <c r="L447" s="7">
        <v>1</v>
      </c>
      <c r="M447" s="9">
        <v>183049.41</v>
      </c>
      <c r="N447" s="7">
        <v>0</v>
      </c>
    </row>
    <row r="448" spans="1:14" x14ac:dyDescent="0.25">
      <c r="A448" s="6">
        <v>447</v>
      </c>
      <c r="B448" s="7">
        <v>15730460</v>
      </c>
      <c r="C448" s="6" t="s">
        <v>398</v>
      </c>
      <c r="D448" s="7">
        <v>722</v>
      </c>
      <c r="E448" s="6" t="s">
        <v>15</v>
      </c>
      <c r="F448" s="6" t="s">
        <v>23</v>
      </c>
      <c r="G448" s="7">
        <v>37</v>
      </c>
      <c r="H448" s="7">
        <v>2</v>
      </c>
      <c r="I448" s="8">
        <v>0</v>
      </c>
      <c r="J448" s="7">
        <v>1</v>
      </c>
      <c r="K448" s="7">
        <v>0</v>
      </c>
      <c r="L448" s="7">
        <v>0</v>
      </c>
      <c r="M448" s="9">
        <v>120906.83</v>
      </c>
      <c r="N448" s="7">
        <v>0</v>
      </c>
    </row>
    <row r="449" spans="1:14" x14ac:dyDescent="0.25">
      <c r="A449" s="6">
        <v>448</v>
      </c>
      <c r="B449" s="7">
        <v>15644572</v>
      </c>
      <c r="C449" s="6" t="s">
        <v>399</v>
      </c>
      <c r="D449" s="7">
        <v>501</v>
      </c>
      <c r="E449" s="6" t="s">
        <v>15</v>
      </c>
      <c r="F449" s="6" t="s">
        <v>23</v>
      </c>
      <c r="G449" s="7">
        <v>40</v>
      </c>
      <c r="H449" s="7">
        <v>4</v>
      </c>
      <c r="I449" s="8">
        <v>125832.2</v>
      </c>
      <c r="J449" s="7">
        <v>1</v>
      </c>
      <c r="K449" s="7">
        <v>1</v>
      </c>
      <c r="L449" s="7">
        <v>1</v>
      </c>
      <c r="M449" s="9">
        <v>100433.83</v>
      </c>
      <c r="N449" s="7">
        <v>0</v>
      </c>
    </row>
    <row r="450" spans="1:14" x14ac:dyDescent="0.25">
      <c r="A450" s="6">
        <v>449</v>
      </c>
      <c r="B450" s="7">
        <v>15694860</v>
      </c>
      <c r="C450" s="6" t="s">
        <v>400</v>
      </c>
      <c r="D450" s="7">
        <v>675</v>
      </c>
      <c r="E450" s="6" t="s">
        <v>15</v>
      </c>
      <c r="F450" s="6" t="s">
        <v>16</v>
      </c>
      <c r="G450" s="7">
        <v>38</v>
      </c>
      <c r="H450" s="7">
        <v>6</v>
      </c>
      <c r="I450" s="8">
        <v>68065.8</v>
      </c>
      <c r="J450" s="7">
        <v>1</v>
      </c>
      <c r="K450" s="7">
        <v>0</v>
      </c>
      <c r="L450" s="7">
        <v>0</v>
      </c>
      <c r="M450" s="9">
        <v>138777</v>
      </c>
      <c r="N450" s="7">
        <v>1</v>
      </c>
    </row>
    <row r="451" spans="1:14" x14ac:dyDescent="0.25">
      <c r="A451" s="6">
        <v>450</v>
      </c>
      <c r="B451" s="7">
        <v>15658169</v>
      </c>
      <c r="C451" s="6" t="s">
        <v>401</v>
      </c>
      <c r="D451" s="7">
        <v>778</v>
      </c>
      <c r="E451" s="6" t="s">
        <v>18</v>
      </c>
      <c r="F451" s="6" t="s">
        <v>16</v>
      </c>
      <c r="G451" s="7">
        <v>47</v>
      </c>
      <c r="H451" s="7">
        <v>6</v>
      </c>
      <c r="I451" s="8">
        <v>127299.34</v>
      </c>
      <c r="J451" s="7">
        <v>2</v>
      </c>
      <c r="K451" s="7">
        <v>1</v>
      </c>
      <c r="L451" s="7">
        <v>0</v>
      </c>
      <c r="M451" s="9">
        <v>124694.99</v>
      </c>
      <c r="N451" s="7">
        <v>0</v>
      </c>
    </row>
    <row r="452" spans="1:14" x14ac:dyDescent="0.25">
      <c r="A452" s="6">
        <v>451</v>
      </c>
      <c r="B452" s="7">
        <v>15794396</v>
      </c>
      <c r="C452" s="6" t="s">
        <v>402</v>
      </c>
      <c r="D452" s="7">
        <v>494</v>
      </c>
      <c r="E452" s="6" t="s">
        <v>26</v>
      </c>
      <c r="F452" s="6" t="s">
        <v>16</v>
      </c>
      <c r="G452" s="7">
        <v>38</v>
      </c>
      <c r="H452" s="7">
        <v>7</v>
      </c>
      <c r="I452" s="8">
        <v>174937.64</v>
      </c>
      <c r="J452" s="7">
        <v>1</v>
      </c>
      <c r="K452" s="7">
        <v>1</v>
      </c>
      <c r="L452" s="7">
        <v>0</v>
      </c>
      <c r="M452" s="9">
        <v>40084.32</v>
      </c>
      <c r="N452" s="7">
        <v>0</v>
      </c>
    </row>
    <row r="453" spans="1:14" x14ac:dyDescent="0.25">
      <c r="A453" s="6">
        <v>452</v>
      </c>
      <c r="B453" s="7">
        <v>15785798</v>
      </c>
      <c r="C453" s="6" t="s">
        <v>403</v>
      </c>
      <c r="D453" s="7">
        <v>850</v>
      </c>
      <c r="E453" s="6" t="s">
        <v>15</v>
      </c>
      <c r="F453" s="6" t="s">
        <v>23</v>
      </c>
      <c r="G453" s="7">
        <v>40</v>
      </c>
      <c r="H453" s="7">
        <v>9</v>
      </c>
      <c r="I453" s="8">
        <v>0</v>
      </c>
      <c r="J453" s="7">
        <v>2</v>
      </c>
      <c r="K453" s="7">
        <v>0</v>
      </c>
      <c r="L453" s="7">
        <v>1</v>
      </c>
      <c r="M453" s="9">
        <v>119232.33</v>
      </c>
      <c r="N453" s="7">
        <v>0</v>
      </c>
    </row>
    <row r="454" spans="1:14" x14ac:dyDescent="0.25">
      <c r="A454" s="6">
        <v>453</v>
      </c>
      <c r="B454" s="7">
        <v>15710825</v>
      </c>
      <c r="C454" s="6" t="s">
        <v>404</v>
      </c>
      <c r="D454" s="7">
        <v>592</v>
      </c>
      <c r="E454" s="6" t="s">
        <v>18</v>
      </c>
      <c r="F454" s="6" t="s">
        <v>756</v>
      </c>
      <c r="G454" s="7">
        <v>31</v>
      </c>
      <c r="H454" s="7">
        <v>7</v>
      </c>
      <c r="I454" s="8">
        <v>110071.1</v>
      </c>
      <c r="J454" s="7">
        <v>1</v>
      </c>
      <c r="K454" s="7">
        <v>0</v>
      </c>
      <c r="L454" s="7">
        <v>0</v>
      </c>
      <c r="M454" s="9">
        <v>43921.36</v>
      </c>
      <c r="N454" s="7">
        <v>0</v>
      </c>
    </row>
    <row r="455" spans="1:14" x14ac:dyDescent="0.25">
      <c r="A455" s="6">
        <v>454</v>
      </c>
      <c r="B455" s="7">
        <v>15668444</v>
      </c>
      <c r="C455" s="6" t="s">
        <v>27</v>
      </c>
      <c r="D455" s="7">
        <v>590</v>
      </c>
      <c r="E455" s="6" t="s">
        <v>18</v>
      </c>
      <c r="F455" s="6" t="s">
        <v>16</v>
      </c>
      <c r="G455" s="7">
        <v>44</v>
      </c>
      <c r="H455" s="7">
        <v>3</v>
      </c>
      <c r="I455" s="8">
        <v>139432.37</v>
      </c>
      <c r="J455" s="7">
        <v>1</v>
      </c>
      <c r="K455" s="7">
        <v>1</v>
      </c>
      <c r="L455" s="7">
        <v>0</v>
      </c>
      <c r="M455" s="9">
        <v>62222.81</v>
      </c>
      <c r="N455" s="7">
        <v>0</v>
      </c>
    </row>
    <row r="456" spans="1:14" x14ac:dyDescent="0.25">
      <c r="A456" s="6">
        <v>455</v>
      </c>
      <c r="B456" s="7">
        <v>15726631</v>
      </c>
      <c r="C456" s="6" t="s">
        <v>405</v>
      </c>
      <c r="D456" s="7">
        <v>758</v>
      </c>
      <c r="E456" s="6" t="s">
        <v>15</v>
      </c>
      <c r="F456" s="6" t="s">
        <v>16</v>
      </c>
      <c r="G456" s="7">
        <v>39</v>
      </c>
      <c r="H456" s="7">
        <v>6</v>
      </c>
      <c r="I456" s="8">
        <v>127357.75999999999</v>
      </c>
      <c r="J456" s="7">
        <v>1</v>
      </c>
      <c r="K456" s="7">
        <v>0</v>
      </c>
      <c r="L456" s="7">
        <v>1</v>
      </c>
      <c r="M456" s="9">
        <v>56577</v>
      </c>
      <c r="N456" s="7">
        <v>0</v>
      </c>
    </row>
    <row r="457" spans="1:14" x14ac:dyDescent="0.25">
      <c r="A457" s="6">
        <v>456</v>
      </c>
      <c r="B457" s="7">
        <v>15733797</v>
      </c>
      <c r="C457" s="6" t="s">
        <v>406</v>
      </c>
      <c r="D457" s="7">
        <v>506</v>
      </c>
      <c r="E457" s="6" t="s">
        <v>15</v>
      </c>
      <c r="F457" s="6" t="s">
        <v>23</v>
      </c>
      <c r="G457" s="7">
        <v>36</v>
      </c>
      <c r="H457" s="7">
        <v>5</v>
      </c>
      <c r="I457" s="8">
        <v>0</v>
      </c>
      <c r="J457" s="7">
        <v>2</v>
      </c>
      <c r="K457" s="7">
        <v>1</v>
      </c>
      <c r="L457" s="7">
        <v>0</v>
      </c>
      <c r="M457" s="9">
        <v>164253.35</v>
      </c>
      <c r="N457" s="7">
        <v>0</v>
      </c>
    </row>
    <row r="458" spans="1:14" x14ac:dyDescent="0.25">
      <c r="A458" s="6">
        <v>457</v>
      </c>
      <c r="B458" s="7">
        <v>15747960</v>
      </c>
      <c r="C458" s="6" t="s">
        <v>407</v>
      </c>
      <c r="D458" s="7">
        <v>733</v>
      </c>
      <c r="E458" s="6" t="s">
        <v>15</v>
      </c>
      <c r="F458" s="6" t="s">
        <v>23</v>
      </c>
      <c r="G458" s="7">
        <v>33</v>
      </c>
      <c r="H458" s="7">
        <v>3</v>
      </c>
      <c r="I458" s="8">
        <v>0</v>
      </c>
      <c r="J458" s="7">
        <v>1</v>
      </c>
      <c r="K458" s="7">
        <v>1</v>
      </c>
      <c r="L458" s="7">
        <v>1</v>
      </c>
      <c r="M458" s="9">
        <v>7666.73</v>
      </c>
      <c r="N458" s="7">
        <v>0</v>
      </c>
    </row>
    <row r="459" spans="1:14" x14ac:dyDescent="0.25">
      <c r="A459" s="6">
        <v>458</v>
      </c>
      <c r="B459" s="7">
        <v>15634632</v>
      </c>
      <c r="C459" s="6" t="s">
        <v>408</v>
      </c>
      <c r="D459" s="7">
        <v>711</v>
      </c>
      <c r="E459" s="6" t="s">
        <v>15</v>
      </c>
      <c r="F459" s="6" t="s">
        <v>23</v>
      </c>
      <c r="G459" s="7">
        <v>38</v>
      </c>
      <c r="H459" s="7">
        <v>3</v>
      </c>
      <c r="I459" s="8">
        <v>0</v>
      </c>
      <c r="J459" s="7">
        <v>2</v>
      </c>
      <c r="K459" s="7">
        <v>1</v>
      </c>
      <c r="L459" s="7">
        <v>0</v>
      </c>
      <c r="M459" s="9">
        <v>68487.509999999995</v>
      </c>
      <c r="N459" s="7">
        <v>0</v>
      </c>
    </row>
    <row r="460" spans="1:14" x14ac:dyDescent="0.25">
      <c r="A460" s="6">
        <v>459</v>
      </c>
      <c r="B460" s="7">
        <v>15707362</v>
      </c>
      <c r="C460" s="6" t="s">
        <v>67</v>
      </c>
      <c r="D460" s="7">
        <v>514</v>
      </c>
      <c r="E460" s="6" t="s">
        <v>26</v>
      </c>
      <c r="F460" s="6" t="s">
        <v>23</v>
      </c>
      <c r="G460" s="7">
        <v>43</v>
      </c>
      <c r="H460" s="7">
        <v>1</v>
      </c>
      <c r="I460" s="8">
        <v>95556.31</v>
      </c>
      <c r="J460" s="7">
        <v>1</v>
      </c>
      <c r="K460" s="7">
        <v>0</v>
      </c>
      <c r="L460" s="7">
        <v>1</v>
      </c>
      <c r="M460" s="9">
        <v>199273.98</v>
      </c>
      <c r="N460" s="7">
        <v>1</v>
      </c>
    </row>
    <row r="461" spans="1:14" x14ac:dyDescent="0.25">
      <c r="A461" s="6">
        <v>460</v>
      </c>
      <c r="B461" s="7">
        <v>15662976</v>
      </c>
      <c r="C461" s="6" t="s">
        <v>409</v>
      </c>
      <c r="D461" s="7">
        <v>637</v>
      </c>
      <c r="E461" s="6" t="s">
        <v>18</v>
      </c>
      <c r="F461" s="6" t="s">
        <v>756</v>
      </c>
      <c r="G461" s="7">
        <v>37</v>
      </c>
      <c r="H461" s="7">
        <v>8</v>
      </c>
      <c r="I461" s="8">
        <v>0</v>
      </c>
      <c r="J461" s="7">
        <v>1</v>
      </c>
      <c r="K461" s="7">
        <v>1</v>
      </c>
      <c r="L461" s="7">
        <v>1</v>
      </c>
      <c r="M461" s="9">
        <v>186062.36</v>
      </c>
      <c r="N461" s="7">
        <v>0</v>
      </c>
    </row>
    <row r="462" spans="1:14" x14ac:dyDescent="0.25">
      <c r="A462" s="6">
        <v>461</v>
      </c>
      <c r="B462" s="7">
        <v>15732778</v>
      </c>
      <c r="C462" s="6" t="s">
        <v>410</v>
      </c>
      <c r="D462" s="7">
        <v>468</v>
      </c>
      <c r="E462" s="6" t="s">
        <v>26</v>
      </c>
      <c r="F462" s="6" t="s">
        <v>23</v>
      </c>
      <c r="G462" s="7">
        <v>29</v>
      </c>
      <c r="H462" s="7">
        <v>1</v>
      </c>
      <c r="I462" s="8">
        <v>111681.98</v>
      </c>
      <c r="J462" s="7">
        <v>2</v>
      </c>
      <c r="K462" s="7">
        <v>1</v>
      </c>
      <c r="L462" s="7">
        <v>1</v>
      </c>
      <c r="M462" s="9">
        <v>195711.16</v>
      </c>
      <c r="N462" s="7">
        <v>0</v>
      </c>
    </row>
    <row r="463" spans="1:14" x14ac:dyDescent="0.25">
      <c r="A463" s="6">
        <v>462</v>
      </c>
      <c r="B463" s="7">
        <v>15718443</v>
      </c>
      <c r="C463" s="6" t="s">
        <v>411</v>
      </c>
      <c r="D463" s="7">
        <v>539</v>
      </c>
      <c r="E463" s="6" t="s">
        <v>15</v>
      </c>
      <c r="F463" s="6" t="s">
        <v>23</v>
      </c>
      <c r="G463" s="7">
        <v>39</v>
      </c>
      <c r="H463" s="7">
        <v>3</v>
      </c>
      <c r="I463" s="8">
        <v>0</v>
      </c>
      <c r="J463" s="7">
        <v>2</v>
      </c>
      <c r="K463" s="7">
        <v>1</v>
      </c>
      <c r="L463" s="7">
        <v>0</v>
      </c>
      <c r="M463" s="9">
        <v>36692.17</v>
      </c>
      <c r="N463" s="7">
        <v>0</v>
      </c>
    </row>
    <row r="464" spans="1:14" x14ac:dyDescent="0.25">
      <c r="A464" s="6">
        <v>463</v>
      </c>
      <c r="B464" s="7">
        <v>15670039</v>
      </c>
      <c r="C464" s="6" t="s">
        <v>180</v>
      </c>
      <c r="D464" s="7">
        <v>509</v>
      </c>
      <c r="E464" s="6" t="s">
        <v>18</v>
      </c>
      <c r="F464" s="6" t="s">
        <v>16</v>
      </c>
      <c r="G464" s="7">
        <v>25</v>
      </c>
      <c r="H464" s="7">
        <v>3</v>
      </c>
      <c r="I464" s="8">
        <v>108738.71</v>
      </c>
      <c r="J464" s="7">
        <v>2</v>
      </c>
      <c r="K464" s="7">
        <v>1</v>
      </c>
      <c r="L464" s="7">
        <v>0</v>
      </c>
      <c r="M464" s="9">
        <v>106920.57</v>
      </c>
      <c r="N464" s="7">
        <v>0</v>
      </c>
    </row>
    <row r="465" spans="1:14" x14ac:dyDescent="0.25">
      <c r="A465" s="6">
        <v>464</v>
      </c>
      <c r="B465" s="7">
        <v>15773792</v>
      </c>
      <c r="C465" s="6" t="s">
        <v>412</v>
      </c>
      <c r="D465" s="7">
        <v>662</v>
      </c>
      <c r="E465" s="6" t="s">
        <v>15</v>
      </c>
      <c r="F465" s="6" t="s">
        <v>16</v>
      </c>
      <c r="G465" s="7">
        <v>32</v>
      </c>
      <c r="H465" s="7">
        <v>4</v>
      </c>
      <c r="I465" s="8">
        <v>133950.37</v>
      </c>
      <c r="J465" s="7">
        <v>1</v>
      </c>
      <c r="K465" s="7">
        <v>1</v>
      </c>
      <c r="L465" s="7">
        <v>1</v>
      </c>
      <c r="M465" s="9">
        <v>48725.68</v>
      </c>
      <c r="N465" s="7">
        <v>1</v>
      </c>
    </row>
    <row r="466" spans="1:14" x14ac:dyDescent="0.25">
      <c r="A466" s="6">
        <v>465</v>
      </c>
      <c r="B466" s="7">
        <v>15613786</v>
      </c>
      <c r="C466" s="6" t="s">
        <v>190</v>
      </c>
      <c r="D466" s="7">
        <v>818</v>
      </c>
      <c r="E466" s="6" t="s">
        <v>18</v>
      </c>
      <c r="F466" s="6" t="s">
        <v>756</v>
      </c>
      <c r="G466" s="7">
        <v>26</v>
      </c>
      <c r="H466" s="7">
        <v>4</v>
      </c>
      <c r="I466" s="8">
        <v>0</v>
      </c>
      <c r="J466" s="7">
        <v>2</v>
      </c>
      <c r="K466" s="7">
        <v>1</v>
      </c>
      <c r="L466" s="7">
        <v>1</v>
      </c>
      <c r="M466" s="9">
        <v>167036.94</v>
      </c>
      <c r="N466" s="7">
        <v>0</v>
      </c>
    </row>
    <row r="467" spans="1:14" x14ac:dyDescent="0.25">
      <c r="A467" s="6">
        <v>466</v>
      </c>
      <c r="B467" s="7">
        <v>15726032</v>
      </c>
      <c r="C467" s="6" t="s">
        <v>413</v>
      </c>
      <c r="D467" s="7">
        <v>608</v>
      </c>
      <c r="E467" s="6" t="s">
        <v>15</v>
      </c>
      <c r="F467" s="6" t="s">
        <v>23</v>
      </c>
      <c r="G467" s="7">
        <v>33</v>
      </c>
      <c r="H467" s="7">
        <v>9</v>
      </c>
      <c r="I467" s="8">
        <v>89968.69</v>
      </c>
      <c r="J467" s="7">
        <v>1</v>
      </c>
      <c r="K467" s="7">
        <v>1</v>
      </c>
      <c r="L467" s="7">
        <v>0</v>
      </c>
      <c r="M467" s="9">
        <v>68777.259999999995</v>
      </c>
      <c r="N467" s="7">
        <v>0</v>
      </c>
    </row>
    <row r="468" spans="1:14" x14ac:dyDescent="0.25">
      <c r="A468" s="6">
        <v>467</v>
      </c>
      <c r="B468" s="7">
        <v>15663252</v>
      </c>
      <c r="C468" s="6" t="s">
        <v>159</v>
      </c>
      <c r="D468" s="7">
        <v>850</v>
      </c>
      <c r="E468" s="6" t="s">
        <v>18</v>
      </c>
      <c r="F468" s="6" t="s">
        <v>16</v>
      </c>
      <c r="G468" s="7">
        <v>32</v>
      </c>
      <c r="H468" s="7">
        <v>9</v>
      </c>
      <c r="I468" s="8">
        <v>0</v>
      </c>
      <c r="J468" s="7">
        <v>2</v>
      </c>
      <c r="K468" s="7">
        <v>1</v>
      </c>
      <c r="L468" s="7">
        <v>1</v>
      </c>
      <c r="M468" s="9">
        <v>18924.919999999998</v>
      </c>
      <c r="N468" s="7">
        <v>0</v>
      </c>
    </row>
    <row r="469" spans="1:14" x14ac:dyDescent="0.25">
      <c r="A469" s="6">
        <v>468</v>
      </c>
      <c r="B469" s="7">
        <v>15593782</v>
      </c>
      <c r="C469" s="6" t="s">
        <v>414</v>
      </c>
      <c r="D469" s="7">
        <v>816</v>
      </c>
      <c r="E469" s="6" t="s">
        <v>26</v>
      </c>
      <c r="F469" s="6" t="s">
        <v>16</v>
      </c>
      <c r="G469" s="7">
        <v>38</v>
      </c>
      <c r="H469" s="7">
        <v>5</v>
      </c>
      <c r="I469" s="8">
        <v>130878.75</v>
      </c>
      <c r="J469" s="7">
        <v>3</v>
      </c>
      <c r="K469" s="7">
        <v>1</v>
      </c>
      <c r="L469" s="7">
        <v>0</v>
      </c>
      <c r="M469" s="9">
        <v>71905.77</v>
      </c>
      <c r="N469" s="7">
        <v>1</v>
      </c>
    </row>
    <row r="470" spans="1:14" x14ac:dyDescent="0.25">
      <c r="A470" s="6">
        <v>469</v>
      </c>
      <c r="B470" s="7">
        <v>15633283</v>
      </c>
      <c r="C470" s="6" t="s">
        <v>415</v>
      </c>
      <c r="D470" s="7">
        <v>536</v>
      </c>
      <c r="E470" s="6" t="s">
        <v>754</v>
      </c>
      <c r="F470" s="6" t="s">
        <v>23</v>
      </c>
      <c r="G470" s="7">
        <v>35</v>
      </c>
      <c r="H470" s="7">
        <v>8</v>
      </c>
      <c r="I470" s="8">
        <v>0</v>
      </c>
      <c r="J470" s="7">
        <v>2</v>
      </c>
      <c r="K470" s="7">
        <v>1</v>
      </c>
      <c r="L470" s="7">
        <v>0</v>
      </c>
      <c r="M470" s="9">
        <v>64833.279999999999</v>
      </c>
      <c r="N470" s="7">
        <v>0</v>
      </c>
    </row>
    <row r="471" spans="1:14" x14ac:dyDescent="0.25">
      <c r="A471" s="6">
        <v>470</v>
      </c>
      <c r="B471" s="7">
        <v>15749167</v>
      </c>
      <c r="C471" s="6" t="s">
        <v>372</v>
      </c>
      <c r="D471" s="7">
        <v>753</v>
      </c>
      <c r="E471" s="6" t="s">
        <v>754</v>
      </c>
      <c r="F471" s="6" t="s">
        <v>23</v>
      </c>
      <c r="G471" s="7">
        <v>35</v>
      </c>
      <c r="H471" s="7">
        <v>3</v>
      </c>
      <c r="I471" s="8">
        <v>0</v>
      </c>
      <c r="J471" s="7">
        <v>2</v>
      </c>
      <c r="K471" s="7">
        <v>1</v>
      </c>
      <c r="L471" s="7">
        <v>1</v>
      </c>
      <c r="M471" s="9">
        <v>184843.77</v>
      </c>
      <c r="N471" s="7">
        <v>0</v>
      </c>
    </row>
    <row r="472" spans="1:14" x14ac:dyDescent="0.25">
      <c r="A472" s="6">
        <v>471</v>
      </c>
      <c r="B472" s="7">
        <v>15759298</v>
      </c>
      <c r="C472" s="6" t="s">
        <v>219</v>
      </c>
      <c r="D472" s="7">
        <v>631</v>
      </c>
      <c r="E472" s="6" t="s">
        <v>18</v>
      </c>
      <c r="F472" s="6" t="s">
        <v>756</v>
      </c>
      <c r="G472" s="7">
        <v>27</v>
      </c>
      <c r="H472" s="7">
        <v>10</v>
      </c>
      <c r="I472" s="8">
        <v>134169.62</v>
      </c>
      <c r="J472" s="7">
        <v>1</v>
      </c>
      <c r="K472" s="7">
        <v>1</v>
      </c>
      <c r="L472" s="7">
        <v>1</v>
      </c>
      <c r="M472" s="9">
        <v>176730.02</v>
      </c>
      <c r="N472" s="7">
        <v>0</v>
      </c>
    </row>
    <row r="473" spans="1:14" x14ac:dyDescent="0.25">
      <c r="A473" s="6">
        <v>472</v>
      </c>
      <c r="B473" s="7">
        <v>15683625</v>
      </c>
      <c r="C473" s="6" t="s">
        <v>416</v>
      </c>
      <c r="D473" s="7">
        <v>703</v>
      </c>
      <c r="E473" s="6" t="s">
        <v>754</v>
      </c>
      <c r="F473" s="6" t="s">
        <v>23</v>
      </c>
      <c r="G473" s="7">
        <v>37</v>
      </c>
      <c r="H473" s="7">
        <v>1</v>
      </c>
      <c r="I473" s="8">
        <v>149762.07999999999</v>
      </c>
      <c r="J473" s="7">
        <v>1</v>
      </c>
      <c r="K473" s="7">
        <v>1</v>
      </c>
      <c r="L473" s="7">
        <v>0</v>
      </c>
      <c r="M473" s="9">
        <v>20629.400000000001</v>
      </c>
      <c r="N473" s="7">
        <v>1</v>
      </c>
    </row>
    <row r="474" spans="1:14" x14ac:dyDescent="0.25">
      <c r="A474" s="6">
        <v>473</v>
      </c>
      <c r="B474" s="7">
        <v>15635367</v>
      </c>
      <c r="C474" s="6" t="s">
        <v>417</v>
      </c>
      <c r="D474" s="7">
        <v>774</v>
      </c>
      <c r="E474" s="6" t="s">
        <v>754</v>
      </c>
      <c r="F474" s="6" t="s">
        <v>23</v>
      </c>
      <c r="G474" s="7">
        <v>26</v>
      </c>
      <c r="H474" s="7">
        <v>2</v>
      </c>
      <c r="I474" s="8">
        <v>93844.69</v>
      </c>
      <c r="J474" s="7">
        <v>1</v>
      </c>
      <c r="K474" s="7">
        <v>1</v>
      </c>
      <c r="L474" s="7">
        <v>0</v>
      </c>
      <c r="M474" s="9">
        <v>28415.360000000001</v>
      </c>
      <c r="N474" s="7">
        <v>0</v>
      </c>
    </row>
    <row r="475" spans="1:14" x14ac:dyDescent="0.25">
      <c r="A475" s="6">
        <v>474</v>
      </c>
      <c r="B475" s="7">
        <v>15681705</v>
      </c>
      <c r="C475" s="6" t="s">
        <v>116</v>
      </c>
      <c r="D475" s="7">
        <v>785</v>
      </c>
      <c r="E475" s="6" t="s">
        <v>754</v>
      </c>
      <c r="F475" s="6" t="s">
        <v>23</v>
      </c>
      <c r="G475" s="7">
        <v>28</v>
      </c>
      <c r="H475" s="7">
        <v>8</v>
      </c>
      <c r="I475" s="8">
        <v>0</v>
      </c>
      <c r="J475" s="7">
        <v>2</v>
      </c>
      <c r="K475" s="7">
        <v>1</v>
      </c>
      <c r="L475" s="7">
        <v>0</v>
      </c>
      <c r="M475" s="9">
        <v>77231.27</v>
      </c>
      <c r="N475" s="7">
        <v>0</v>
      </c>
    </row>
    <row r="476" spans="1:14" x14ac:dyDescent="0.25">
      <c r="A476" s="6">
        <v>475</v>
      </c>
      <c r="B476" s="7">
        <v>15603156</v>
      </c>
      <c r="C476" s="6" t="s">
        <v>418</v>
      </c>
      <c r="D476" s="7">
        <v>571</v>
      </c>
      <c r="E476" s="6" t="s">
        <v>754</v>
      </c>
      <c r="F476" s="6" t="s">
        <v>16</v>
      </c>
      <c r="G476" s="7">
        <v>33</v>
      </c>
      <c r="H476" s="7">
        <v>1</v>
      </c>
      <c r="I476" s="8">
        <v>0</v>
      </c>
      <c r="J476" s="7">
        <v>2</v>
      </c>
      <c r="K476" s="7">
        <v>1</v>
      </c>
      <c r="L476" s="7">
        <v>0</v>
      </c>
      <c r="M476" s="9">
        <v>102750.7</v>
      </c>
      <c r="N476" s="7">
        <v>0</v>
      </c>
    </row>
    <row r="477" spans="1:14" x14ac:dyDescent="0.25">
      <c r="A477" s="6">
        <v>476</v>
      </c>
      <c r="B477" s="7">
        <v>15591986</v>
      </c>
      <c r="C477" s="6" t="s">
        <v>238</v>
      </c>
      <c r="D477" s="7">
        <v>621</v>
      </c>
      <c r="E477" s="6" t="s">
        <v>26</v>
      </c>
      <c r="F477" s="6" t="s">
        <v>23</v>
      </c>
      <c r="G477" s="7">
        <v>46</v>
      </c>
      <c r="H477" s="7">
        <v>6</v>
      </c>
      <c r="I477" s="8">
        <v>141078.37</v>
      </c>
      <c r="J477" s="7">
        <v>1</v>
      </c>
      <c r="K477" s="7">
        <v>0</v>
      </c>
      <c r="L477" s="7">
        <v>0</v>
      </c>
      <c r="M477" s="9">
        <v>34580.800000000003</v>
      </c>
      <c r="N477" s="7">
        <v>1</v>
      </c>
    </row>
    <row r="478" spans="1:14" x14ac:dyDescent="0.25">
      <c r="A478" s="6">
        <v>477</v>
      </c>
      <c r="B478" s="7">
        <v>15798888</v>
      </c>
      <c r="C478" s="6" t="s">
        <v>88</v>
      </c>
      <c r="D478" s="7">
        <v>605</v>
      </c>
      <c r="E478" s="6" t="s">
        <v>26</v>
      </c>
      <c r="F478" s="6" t="s">
        <v>16</v>
      </c>
      <c r="G478" s="7">
        <v>31</v>
      </c>
      <c r="H478" s="7">
        <v>1</v>
      </c>
      <c r="I478" s="8">
        <v>117992.59</v>
      </c>
      <c r="J478" s="7">
        <v>1</v>
      </c>
      <c r="K478" s="7">
        <v>1</v>
      </c>
      <c r="L478" s="7">
        <v>1</v>
      </c>
      <c r="M478" s="9">
        <v>183598.77</v>
      </c>
      <c r="N478" s="7">
        <v>0</v>
      </c>
    </row>
    <row r="479" spans="1:14" x14ac:dyDescent="0.25">
      <c r="A479" s="6">
        <v>478</v>
      </c>
      <c r="B479" s="7">
        <v>15809722</v>
      </c>
      <c r="C479" s="6" t="s">
        <v>419</v>
      </c>
      <c r="D479" s="7">
        <v>611</v>
      </c>
      <c r="E479" s="6" t="s">
        <v>754</v>
      </c>
      <c r="F479" s="6" t="s">
        <v>16</v>
      </c>
      <c r="G479" s="7">
        <v>40</v>
      </c>
      <c r="H479" s="7">
        <v>8</v>
      </c>
      <c r="I479" s="8">
        <v>100812.33</v>
      </c>
      <c r="J479" s="7">
        <v>2</v>
      </c>
      <c r="K479" s="7">
        <v>1</v>
      </c>
      <c r="L479" s="7">
        <v>0</v>
      </c>
      <c r="M479" s="9">
        <v>147358.26999999999</v>
      </c>
      <c r="N479" s="7">
        <v>0</v>
      </c>
    </row>
    <row r="480" spans="1:14" x14ac:dyDescent="0.25">
      <c r="A480" s="6">
        <v>479</v>
      </c>
      <c r="B480" s="7">
        <v>15677538</v>
      </c>
      <c r="C480" s="6" t="s">
        <v>420</v>
      </c>
      <c r="D480" s="7">
        <v>569</v>
      </c>
      <c r="E480" s="6" t="s">
        <v>754</v>
      </c>
      <c r="F480" s="6" t="s">
        <v>23</v>
      </c>
      <c r="G480" s="7">
        <v>38</v>
      </c>
      <c r="H480" s="7">
        <v>7</v>
      </c>
      <c r="I480" s="8">
        <v>0</v>
      </c>
      <c r="J480" s="7">
        <v>1</v>
      </c>
      <c r="K480" s="7">
        <v>1</v>
      </c>
      <c r="L480" s="7">
        <v>1</v>
      </c>
      <c r="M480" s="9">
        <v>108469.2</v>
      </c>
      <c r="N480" s="7">
        <v>0</v>
      </c>
    </row>
    <row r="481" spans="1:14" x14ac:dyDescent="0.25">
      <c r="A481" s="6">
        <v>480</v>
      </c>
      <c r="B481" s="7">
        <v>15797736</v>
      </c>
      <c r="C481" s="6" t="s">
        <v>234</v>
      </c>
      <c r="D481" s="7">
        <v>658</v>
      </c>
      <c r="E481" s="6" t="s">
        <v>754</v>
      </c>
      <c r="F481" s="6" t="s">
        <v>23</v>
      </c>
      <c r="G481" s="7">
        <v>29</v>
      </c>
      <c r="H481" s="7">
        <v>4</v>
      </c>
      <c r="I481" s="8">
        <v>80262.600000000006</v>
      </c>
      <c r="J481" s="7">
        <v>1</v>
      </c>
      <c r="K481" s="7">
        <v>1</v>
      </c>
      <c r="L481" s="7">
        <v>1</v>
      </c>
      <c r="M481" s="9">
        <v>20612.82</v>
      </c>
      <c r="N481" s="7">
        <v>0</v>
      </c>
    </row>
    <row r="482" spans="1:14" x14ac:dyDescent="0.25">
      <c r="A482" s="6">
        <v>481</v>
      </c>
      <c r="B482" s="7">
        <v>15695585</v>
      </c>
      <c r="C482" s="6" t="s">
        <v>421</v>
      </c>
      <c r="D482" s="7">
        <v>788</v>
      </c>
      <c r="E482" s="6" t="s">
        <v>18</v>
      </c>
      <c r="F482" s="6" t="s">
        <v>756</v>
      </c>
      <c r="G482" s="7">
        <v>34</v>
      </c>
      <c r="H482" s="7">
        <v>6</v>
      </c>
      <c r="I482" s="8">
        <v>156478.62</v>
      </c>
      <c r="J482" s="7">
        <v>1</v>
      </c>
      <c r="K482" s="7">
        <v>0</v>
      </c>
      <c r="L482" s="7">
        <v>1</v>
      </c>
      <c r="M482" s="9">
        <v>181196.76</v>
      </c>
      <c r="N482" s="7">
        <v>0</v>
      </c>
    </row>
    <row r="483" spans="1:14" x14ac:dyDescent="0.25">
      <c r="A483" s="6">
        <v>482</v>
      </c>
      <c r="B483" s="7">
        <v>15744398</v>
      </c>
      <c r="C483" s="6" t="s">
        <v>422</v>
      </c>
      <c r="D483" s="7">
        <v>525</v>
      </c>
      <c r="E483" s="6" t="s">
        <v>754</v>
      </c>
      <c r="F483" s="6" t="s">
        <v>16</v>
      </c>
      <c r="G483" s="7">
        <v>23</v>
      </c>
      <c r="H483" s="7">
        <v>5</v>
      </c>
      <c r="I483" s="8">
        <v>0</v>
      </c>
      <c r="J483" s="7">
        <v>2</v>
      </c>
      <c r="K483" s="7">
        <v>1</v>
      </c>
      <c r="L483" s="7">
        <v>0</v>
      </c>
      <c r="M483" s="9">
        <v>160249.1</v>
      </c>
      <c r="N483" s="7">
        <v>0</v>
      </c>
    </row>
    <row r="484" spans="1:14" x14ac:dyDescent="0.25">
      <c r="A484" s="6">
        <v>483</v>
      </c>
      <c r="B484" s="7">
        <v>15750658</v>
      </c>
      <c r="C484" s="6" t="s">
        <v>423</v>
      </c>
      <c r="D484" s="7">
        <v>798</v>
      </c>
      <c r="E484" s="6" t="s">
        <v>754</v>
      </c>
      <c r="F484" s="6" t="s">
        <v>23</v>
      </c>
      <c r="G484" s="7">
        <v>37</v>
      </c>
      <c r="H484" s="7">
        <v>8</v>
      </c>
      <c r="I484" s="8">
        <v>0</v>
      </c>
      <c r="J484" s="7">
        <v>3</v>
      </c>
      <c r="K484" s="7">
        <v>0</v>
      </c>
      <c r="L484" s="7">
        <v>0</v>
      </c>
      <c r="M484" s="9">
        <v>110783.28</v>
      </c>
      <c r="N484" s="7">
        <v>0</v>
      </c>
    </row>
    <row r="485" spans="1:14" x14ac:dyDescent="0.25">
      <c r="A485" s="6">
        <v>484</v>
      </c>
      <c r="B485" s="7">
        <v>15578186</v>
      </c>
      <c r="C485" s="6" t="s">
        <v>82</v>
      </c>
      <c r="D485" s="7">
        <v>486</v>
      </c>
      <c r="E485" s="6" t="s">
        <v>26</v>
      </c>
      <c r="F485" s="6" t="s">
        <v>23</v>
      </c>
      <c r="G485" s="7">
        <v>37</v>
      </c>
      <c r="H485" s="7">
        <v>9</v>
      </c>
      <c r="I485" s="8">
        <v>115217.99</v>
      </c>
      <c r="J485" s="7">
        <v>2</v>
      </c>
      <c r="K485" s="7">
        <v>1</v>
      </c>
      <c r="L485" s="7">
        <v>0</v>
      </c>
      <c r="M485" s="9">
        <v>144995.32999999999</v>
      </c>
      <c r="N485" s="7">
        <v>0</v>
      </c>
    </row>
    <row r="486" spans="1:14" x14ac:dyDescent="0.25">
      <c r="A486" s="6">
        <v>485</v>
      </c>
      <c r="B486" s="7">
        <v>15676519</v>
      </c>
      <c r="C486" s="6" t="s">
        <v>424</v>
      </c>
      <c r="D486" s="7">
        <v>615</v>
      </c>
      <c r="E486" s="6" t="s">
        <v>18</v>
      </c>
      <c r="F486" s="6" t="s">
        <v>756</v>
      </c>
      <c r="G486" s="7">
        <v>61</v>
      </c>
      <c r="H486" s="7">
        <v>9</v>
      </c>
      <c r="I486" s="8">
        <v>0</v>
      </c>
      <c r="J486" s="7">
        <v>2</v>
      </c>
      <c r="K486" s="7">
        <v>1</v>
      </c>
      <c r="L486" s="7">
        <v>0</v>
      </c>
      <c r="M486" s="9">
        <v>150227.85</v>
      </c>
      <c r="N486" s="7">
        <v>1</v>
      </c>
    </row>
    <row r="487" spans="1:14" x14ac:dyDescent="0.25">
      <c r="A487" s="6">
        <v>486</v>
      </c>
      <c r="B487" s="7">
        <v>15637954</v>
      </c>
      <c r="C487" s="6" t="s">
        <v>425</v>
      </c>
      <c r="D487" s="7">
        <v>730</v>
      </c>
      <c r="E487" s="6" t="s">
        <v>754</v>
      </c>
      <c r="F487" s="6" t="s">
        <v>16</v>
      </c>
      <c r="G487" s="7">
        <v>35</v>
      </c>
      <c r="H487" s="7">
        <v>0</v>
      </c>
      <c r="I487" s="8">
        <v>155470.54999999999</v>
      </c>
      <c r="J487" s="7">
        <v>1</v>
      </c>
      <c r="K487" s="7">
        <v>1</v>
      </c>
      <c r="L487" s="7">
        <v>1</v>
      </c>
      <c r="M487" s="9">
        <v>53718.28</v>
      </c>
      <c r="N487" s="7">
        <v>0</v>
      </c>
    </row>
    <row r="488" spans="1:14" x14ac:dyDescent="0.25">
      <c r="A488" s="6">
        <v>487</v>
      </c>
      <c r="B488" s="7">
        <v>15758639</v>
      </c>
      <c r="C488" s="6" t="s">
        <v>201</v>
      </c>
      <c r="D488" s="7">
        <v>641</v>
      </c>
      <c r="E488" s="6" t="s">
        <v>754</v>
      </c>
      <c r="F488" s="6" t="s">
        <v>23</v>
      </c>
      <c r="G488" s="7">
        <v>37</v>
      </c>
      <c r="H488" s="7">
        <v>7</v>
      </c>
      <c r="I488" s="8">
        <v>0</v>
      </c>
      <c r="J488" s="7">
        <v>2</v>
      </c>
      <c r="K488" s="7">
        <v>1</v>
      </c>
      <c r="L488" s="7">
        <v>0</v>
      </c>
      <c r="M488" s="9">
        <v>75248.3</v>
      </c>
      <c r="N488" s="7">
        <v>0</v>
      </c>
    </row>
    <row r="489" spans="1:14" x14ac:dyDescent="0.25">
      <c r="A489" s="6">
        <v>488</v>
      </c>
      <c r="B489" s="7">
        <v>15613772</v>
      </c>
      <c r="C489" s="6" t="s">
        <v>426</v>
      </c>
      <c r="D489" s="7">
        <v>542</v>
      </c>
      <c r="E489" s="6" t="s">
        <v>754</v>
      </c>
      <c r="F489" s="6" t="s">
        <v>23</v>
      </c>
      <c r="G489" s="7">
        <v>39</v>
      </c>
      <c r="H489" s="7">
        <v>3</v>
      </c>
      <c r="I489" s="8">
        <v>135096.76999999999</v>
      </c>
      <c r="J489" s="7">
        <v>1</v>
      </c>
      <c r="K489" s="7">
        <v>1</v>
      </c>
      <c r="L489" s="7">
        <v>1</v>
      </c>
      <c r="M489" s="9">
        <v>14353.43</v>
      </c>
      <c r="N489" s="7">
        <v>1</v>
      </c>
    </row>
    <row r="490" spans="1:14" x14ac:dyDescent="0.25">
      <c r="A490" s="6">
        <v>489</v>
      </c>
      <c r="B490" s="7">
        <v>15731744</v>
      </c>
      <c r="C490" s="6" t="s">
        <v>427</v>
      </c>
      <c r="D490" s="7">
        <v>692</v>
      </c>
      <c r="E490" s="6" t="s">
        <v>754</v>
      </c>
      <c r="F490" s="6" t="s">
        <v>23</v>
      </c>
      <c r="G490" s="7">
        <v>30</v>
      </c>
      <c r="H490" s="7">
        <v>2</v>
      </c>
      <c r="I490" s="8">
        <v>0</v>
      </c>
      <c r="J490" s="7">
        <v>2</v>
      </c>
      <c r="K490" s="7">
        <v>0</v>
      </c>
      <c r="L490" s="7">
        <v>1</v>
      </c>
      <c r="M490" s="9">
        <v>130486.57</v>
      </c>
      <c r="N490" s="7">
        <v>0</v>
      </c>
    </row>
    <row r="491" spans="1:14" x14ac:dyDescent="0.25">
      <c r="A491" s="6">
        <v>490</v>
      </c>
      <c r="B491" s="7">
        <v>15807709</v>
      </c>
      <c r="C491" s="6" t="s">
        <v>428</v>
      </c>
      <c r="D491" s="7">
        <v>714</v>
      </c>
      <c r="E491" s="6" t="s">
        <v>26</v>
      </c>
      <c r="F491" s="6" t="s">
        <v>16</v>
      </c>
      <c r="G491" s="7">
        <v>55</v>
      </c>
      <c r="H491" s="7">
        <v>9</v>
      </c>
      <c r="I491" s="8">
        <v>180075.22</v>
      </c>
      <c r="J491" s="7">
        <v>1</v>
      </c>
      <c r="K491" s="7">
        <v>1</v>
      </c>
      <c r="L491" s="7">
        <v>1</v>
      </c>
      <c r="M491" s="9">
        <v>100127.71</v>
      </c>
      <c r="N491" s="7">
        <v>0</v>
      </c>
    </row>
    <row r="492" spans="1:14" x14ac:dyDescent="0.25">
      <c r="A492" s="6">
        <v>491</v>
      </c>
      <c r="B492" s="7">
        <v>15714689</v>
      </c>
      <c r="C492" s="6" t="s">
        <v>429</v>
      </c>
      <c r="D492" s="7">
        <v>591</v>
      </c>
      <c r="E492" s="6" t="s">
        <v>18</v>
      </c>
      <c r="F492" s="6" t="s">
        <v>756</v>
      </c>
      <c r="G492" s="7">
        <v>29</v>
      </c>
      <c r="H492" s="7">
        <v>1</v>
      </c>
      <c r="I492" s="8">
        <v>97541.24</v>
      </c>
      <c r="J492" s="7">
        <v>1</v>
      </c>
      <c r="K492" s="7">
        <v>1</v>
      </c>
      <c r="L492" s="7">
        <v>1</v>
      </c>
      <c r="M492" s="9">
        <v>196356.17</v>
      </c>
      <c r="N492" s="7">
        <v>0</v>
      </c>
    </row>
    <row r="493" spans="1:14" x14ac:dyDescent="0.25">
      <c r="A493" s="6">
        <v>492</v>
      </c>
      <c r="B493" s="7">
        <v>15699005</v>
      </c>
      <c r="C493" s="6" t="s">
        <v>65</v>
      </c>
      <c r="D493" s="7">
        <v>710</v>
      </c>
      <c r="E493" s="6" t="s">
        <v>754</v>
      </c>
      <c r="F493" s="6" t="s">
        <v>16</v>
      </c>
      <c r="G493" s="7">
        <v>41</v>
      </c>
      <c r="H493" s="7">
        <v>2</v>
      </c>
      <c r="I493" s="8">
        <v>156067.04999999999</v>
      </c>
      <c r="J493" s="7">
        <v>1</v>
      </c>
      <c r="K493" s="7">
        <v>1</v>
      </c>
      <c r="L493" s="7">
        <v>1</v>
      </c>
      <c r="M493" s="9">
        <v>9983.8799999999992</v>
      </c>
      <c r="N493" s="7">
        <v>0</v>
      </c>
    </row>
    <row r="494" spans="1:14" x14ac:dyDescent="0.25">
      <c r="A494" s="6">
        <v>493</v>
      </c>
      <c r="B494" s="7">
        <v>15624170</v>
      </c>
      <c r="C494" s="6" t="s">
        <v>213</v>
      </c>
      <c r="D494" s="7">
        <v>639</v>
      </c>
      <c r="E494" s="6" t="s">
        <v>754</v>
      </c>
      <c r="F494" s="6" t="s">
        <v>16</v>
      </c>
      <c r="G494" s="7">
        <v>38</v>
      </c>
      <c r="H494" s="7">
        <v>4</v>
      </c>
      <c r="I494" s="8">
        <v>81550.94</v>
      </c>
      <c r="J494" s="7">
        <v>2</v>
      </c>
      <c r="K494" s="7">
        <v>0</v>
      </c>
      <c r="L494" s="7">
        <v>1</v>
      </c>
      <c r="M494" s="9">
        <v>118974.77</v>
      </c>
      <c r="N494" s="7">
        <v>0</v>
      </c>
    </row>
    <row r="495" spans="1:14" x14ac:dyDescent="0.25">
      <c r="A495" s="6">
        <v>494</v>
      </c>
      <c r="B495" s="7">
        <v>15725679</v>
      </c>
      <c r="C495" s="6" t="s">
        <v>189</v>
      </c>
      <c r="D495" s="7">
        <v>531</v>
      </c>
      <c r="E495" s="6" t="s">
        <v>754</v>
      </c>
      <c r="F495" s="6" t="s">
        <v>16</v>
      </c>
      <c r="G495" s="7">
        <v>47</v>
      </c>
      <c r="H495" s="7">
        <v>6</v>
      </c>
      <c r="I495" s="8">
        <v>0</v>
      </c>
      <c r="J495" s="7">
        <v>1</v>
      </c>
      <c r="K495" s="7">
        <v>0</v>
      </c>
      <c r="L495" s="7">
        <v>0</v>
      </c>
      <c r="M495" s="9">
        <v>194998.34</v>
      </c>
      <c r="N495" s="7">
        <v>1</v>
      </c>
    </row>
    <row r="496" spans="1:14" x14ac:dyDescent="0.25">
      <c r="A496" s="6">
        <v>495</v>
      </c>
      <c r="B496" s="7">
        <v>15585865</v>
      </c>
      <c r="C496" s="6" t="s">
        <v>430</v>
      </c>
      <c r="D496" s="7">
        <v>673</v>
      </c>
      <c r="E496" s="6" t="s">
        <v>754</v>
      </c>
      <c r="F496" s="6" t="s">
        <v>16</v>
      </c>
      <c r="G496" s="7">
        <v>38</v>
      </c>
      <c r="H496" s="7">
        <v>2</v>
      </c>
      <c r="I496" s="8">
        <v>170061.92</v>
      </c>
      <c r="J496" s="7">
        <v>2</v>
      </c>
      <c r="K496" s="7">
        <v>0</v>
      </c>
      <c r="L496" s="7">
        <v>0</v>
      </c>
      <c r="M496" s="9">
        <v>134901.34</v>
      </c>
      <c r="N496" s="7">
        <v>1</v>
      </c>
    </row>
    <row r="497" spans="1:14" x14ac:dyDescent="0.25">
      <c r="A497" s="6">
        <v>496</v>
      </c>
      <c r="B497" s="7">
        <v>15804256</v>
      </c>
      <c r="C497" s="6" t="s">
        <v>431</v>
      </c>
      <c r="D497" s="7">
        <v>765</v>
      </c>
      <c r="E497" s="6" t="s">
        <v>26</v>
      </c>
      <c r="F497" s="6" t="s">
        <v>23</v>
      </c>
      <c r="G497" s="7">
        <v>36</v>
      </c>
      <c r="H497" s="7">
        <v>8</v>
      </c>
      <c r="I497" s="8">
        <v>92310.54</v>
      </c>
      <c r="J497" s="7">
        <v>2</v>
      </c>
      <c r="K497" s="7">
        <v>1</v>
      </c>
      <c r="L497" s="7">
        <v>1</v>
      </c>
      <c r="M497" s="9">
        <v>72924.56</v>
      </c>
      <c r="N497" s="7">
        <v>0</v>
      </c>
    </row>
    <row r="498" spans="1:14" x14ac:dyDescent="0.25">
      <c r="A498" s="6">
        <v>497</v>
      </c>
      <c r="B498" s="7">
        <v>15662403</v>
      </c>
      <c r="C498" s="6" t="s">
        <v>432</v>
      </c>
      <c r="D498" s="7">
        <v>622</v>
      </c>
      <c r="E498" s="6" t="s">
        <v>754</v>
      </c>
      <c r="F498" s="6" t="s">
        <v>16</v>
      </c>
      <c r="G498" s="7">
        <v>32</v>
      </c>
      <c r="H498" s="7">
        <v>6</v>
      </c>
      <c r="I498" s="8">
        <v>169089.38</v>
      </c>
      <c r="J498" s="7">
        <v>2</v>
      </c>
      <c r="K498" s="7">
        <v>1</v>
      </c>
      <c r="L498" s="7">
        <v>0</v>
      </c>
      <c r="M498" s="9">
        <v>101057.95</v>
      </c>
      <c r="N498" s="7">
        <v>0</v>
      </c>
    </row>
    <row r="499" spans="1:14" ht="30" x14ac:dyDescent="0.25">
      <c r="A499" s="6">
        <v>498</v>
      </c>
      <c r="B499" s="7">
        <v>15733616</v>
      </c>
      <c r="C499" s="6" t="s">
        <v>433</v>
      </c>
      <c r="D499" s="7">
        <v>806</v>
      </c>
      <c r="E499" s="6" t="s">
        <v>754</v>
      </c>
      <c r="F499" s="6" t="s">
        <v>23</v>
      </c>
      <c r="G499" s="7">
        <v>40</v>
      </c>
      <c r="H499" s="7">
        <v>5</v>
      </c>
      <c r="I499" s="8">
        <v>80613.929999999993</v>
      </c>
      <c r="J499" s="7">
        <v>1</v>
      </c>
      <c r="K499" s="7">
        <v>1</v>
      </c>
      <c r="L499" s="7">
        <v>1</v>
      </c>
      <c r="M499" s="9">
        <v>142838.64000000001</v>
      </c>
      <c r="N499" s="7">
        <v>0</v>
      </c>
    </row>
    <row r="500" spans="1:14" x14ac:dyDescent="0.25">
      <c r="A500" s="6">
        <v>499</v>
      </c>
      <c r="B500" s="7">
        <v>15591995</v>
      </c>
      <c r="C500" s="6" t="s">
        <v>434</v>
      </c>
      <c r="D500" s="7">
        <v>757</v>
      </c>
      <c r="E500" s="6" t="s">
        <v>26</v>
      </c>
      <c r="F500" s="6" t="s">
        <v>23</v>
      </c>
      <c r="G500" s="7">
        <v>26</v>
      </c>
      <c r="H500" s="7">
        <v>8</v>
      </c>
      <c r="I500" s="8">
        <v>121581.56</v>
      </c>
      <c r="J500" s="7">
        <v>2</v>
      </c>
      <c r="K500" s="7">
        <v>1</v>
      </c>
      <c r="L500" s="7">
        <v>1</v>
      </c>
      <c r="M500" s="9">
        <v>127059.04</v>
      </c>
      <c r="N500" s="7">
        <v>0</v>
      </c>
    </row>
    <row r="501" spans="1:14" x14ac:dyDescent="0.25">
      <c r="A501" s="6">
        <v>500</v>
      </c>
      <c r="B501" s="7">
        <v>15677020</v>
      </c>
      <c r="C501" s="6" t="s">
        <v>435</v>
      </c>
      <c r="D501" s="7">
        <v>570</v>
      </c>
      <c r="E501" s="6" t="s">
        <v>754</v>
      </c>
      <c r="F501" s="6" t="s">
        <v>16</v>
      </c>
      <c r="G501" s="7">
        <v>58</v>
      </c>
      <c r="H501" s="7">
        <v>8</v>
      </c>
      <c r="I501" s="8">
        <v>0</v>
      </c>
      <c r="J501" s="7">
        <v>1</v>
      </c>
      <c r="K501" s="7">
        <v>0</v>
      </c>
      <c r="L501" s="7">
        <v>1</v>
      </c>
      <c r="M501" s="9">
        <v>116503.92</v>
      </c>
      <c r="N501" s="7">
        <v>1</v>
      </c>
    </row>
    <row r="502" spans="1:14" x14ac:dyDescent="0.25">
      <c r="A502" s="6">
        <v>501</v>
      </c>
      <c r="B502" s="7">
        <v>15727688</v>
      </c>
      <c r="C502" s="6" t="s">
        <v>436</v>
      </c>
      <c r="D502" s="7">
        <v>555</v>
      </c>
      <c r="E502" s="6" t="s">
        <v>18</v>
      </c>
      <c r="F502" s="6" t="s">
        <v>756</v>
      </c>
      <c r="G502" s="7">
        <v>32</v>
      </c>
      <c r="H502" s="7">
        <v>4</v>
      </c>
      <c r="I502" s="8">
        <v>0</v>
      </c>
      <c r="J502" s="7">
        <v>2</v>
      </c>
      <c r="K502" s="7">
        <v>1</v>
      </c>
      <c r="L502" s="7">
        <v>1</v>
      </c>
      <c r="M502" s="9">
        <v>54405.79</v>
      </c>
      <c r="N502" s="7">
        <v>0</v>
      </c>
    </row>
    <row r="503" spans="1:14" x14ac:dyDescent="0.25">
      <c r="A503" s="6">
        <v>502</v>
      </c>
      <c r="B503" s="7">
        <v>15715941</v>
      </c>
      <c r="C503" s="6" t="s">
        <v>437</v>
      </c>
      <c r="D503" s="7">
        <v>692</v>
      </c>
      <c r="E503" s="6" t="s">
        <v>754</v>
      </c>
      <c r="F503" s="6" t="s">
        <v>23</v>
      </c>
      <c r="G503" s="7">
        <v>54</v>
      </c>
      <c r="H503" s="7">
        <v>5</v>
      </c>
      <c r="I503" s="8">
        <v>0</v>
      </c>
      <c r="J503" s="7">
        <v>2</v>
      </c>
      <c r="K503" s="7">
        <v>1</v>
      </c>
      <c r="L503" s="7">
        <v>1</v>
      </c>
      <c r="M503" s="9">
        <v>88721.84</v>
      </c>
      <c r="N503" s="7">
        <v>0</v>
      </c>
    </row>
    <row r="504" spans="1:14" x14ac:dyDescent="0.25">
      <c r="A504" s="6">
        <v>503</v>
      </c>
      <c r="B504" s="7">
        <v>15714485</v>
      </c>
      <c r="C504" s="6" t="s">
        <v>438</v>
      </c>
      <c r="D504" s="7">
        <v>774</v>
      </c>
      <c r="E504" s="6" t="s">
        <v>754</v>
      </c>
      <c r="F504" s="6" t="s">
        <v>23</v>
      </c>
      <c r="G504" s="7">
        <v>60</v>
      </c>
      <c r="H504" s="7">
        <v>5</v>
      </c>
      <c r="I504" s="8">
        <v>85891.55</v>
      </c>
      <c r="J504" s="7">
        <v>1</v>
      </c>
      <c r="K504" s="7">
        <v>1</v>
      </c>
      <c r="L504" s="7">
        <v>0</v>
      </c>
      <c r="M504" s="9">
        <v>74135.48</v>
      </c>
      <c r="N504" s="7">
        <v>1</v>
      </c>
    </row>
    <row r="505" spans="1:14" x14ac:dyDescent="0.25">
      <c r="A505" s="6">
        <v>504</v>
      </c>
      <c r="B505" s="7">
        <v>15730059</v>
      </c>
      <c r="C505" s="6" t="s">
        <v>439</v>
      </c>
      <c r="D505" s="7">
        <v>638</v>
      </c>
      <c r="E505" s="6" t="s">
        <v>18</v>
      </c>
      <c r="F505" s="6" t="s">
        <v>756</v>
      </c>
      <c r="G505" s="7">
        <v>44</v>
      </c>
      <c r="H505" s="7">
        <v>9</v>
      </c>
      <c r="I505" s="8">
        <v>77637.350000000006</v>
      </c>
      <c r="J505" s="7">
        <v>2</v>
      </c>
      <c r="K505" s="7">
        <v>1</v>
      </c>
      <c r="L505" s="7">
        <v>1</v>
      </c>
      <c r="M505" s="9">
        <v>111346.22</v>
      </c>
      <c r="N505" s="7">
        <v>0</v>
      </c>
    </row>
    <row r="506" spans="1:14" x14ac:dyDescent="0.25">
      <c r="A506" s="6">
        <v>505</v>
      </c>
      <c r="B506" s="7">
        <v>15715527</v>
      </c>
      <c r="C506" s="6" t="s">
        <v>231</v>
      </c>
      <c r="D506" s="7">
        <v>543</v>
      </c>
      <c r="E506" s="6" t="s">
        <v>18</v>
      </c>
      <c r="F506" s="6" t="s">
        <v>16</v>
      </c>
      <c r="G506" s="7">
        <v>41</v>
      </c>
      <c r="H506" s="7">
        <v>4</v>
      </c>
      <c r="I506" s="8">
        <v>0</v>
      </c>
      <c r="J506" s="7">
        <v>1</v>
      </c>
      <c r="K506" s="7">
        <v>0</v>
      </c>
      <c r="L506" s="7">
        <v>0</v>
      </c>
      <c r="M506" s="9">
        <v>194902.16</v>
      </c>
      <c r="N506" s="7">
        <v>0</v>
      </c>
    </row>
    <row r="507" spans="1:14" x14ac:dyDescent="0.25">
      <c r="A507" s="6">
        <v>506</v>
      </c>
      <c r="B507" s="7">
        <v>15576623</v>
      </c>
      <c r="C507" s="6" t="s">
        <v>440</v>
      </c>
      <c r="D507" s="7">
        <v>584</v>
      </c>
      <c r="E507" s="6" t="s">
        <v>754</v>
      </c>
      <c r="F507" s="6" t="s">
        <v>23</v>
      </c>
      <c r="G507" s="7">
        <v>31</v>
      </c>
      <c r="H507" s="7">
        <v>5</v>
      </c>
      <c r="I507" s="8">
        <v>0</v>
      </c>
      <c r="J507" s="7">
        <v>2</v>
      </c>
      <c r="K507" s="7">
        <v>1</v>
      </c>
      <c r="L507" s="7">
        <v>0</v>
      </c>
      <c r="M507" s="9">
        <v>31474.27</v>
      </c>
      <c r="N507" s="7">
        <v>0</v>
      </c>
    </row>
    <row r="508" spans="1:14" x14ac:dyDescent="0.25">
      <c r="A508" s="6">
        <v>507</v>
      </c>
      <c r="B508" s="7">
        <v>15805565</v>
      </c>
      <c r="C508" s="6" t="s">
        <v>423</v>
      </c>
      <c r="D508" s="7">
        <v>691</v>
      </c>
      <c r="E508" s="6" t="s">
        <v>26</v>
      </c>
      <c r="F508" s="6" t="s">
        <v>23</v>
      </c>
      <c r="G508" s="7">
        <v>30</v>
      </c>
      <c r="H508" s="7">
        <v>7</v>
      </c>
      <c r="I508" s="8">
        <v>116927.89</v>
      </c>
      <c r="J508" s="7">
        <v>1</v>
      </c>
      <c r="K508" s="7">
        <v>1</v>
      </c>
      <c r="L508" s="7">
        <v>0</v>
      </c>
      <c r="M508" s="9">
        <v>21198.39</v>
      </c>
      <c r="N508" s="7">
        <v>0</v>
      </c>
    </row>
    <row r="509" spans="1:14" x14ac:dyDescent="0.25">
      <c r="A509" s="6">
        <v>508</v>
      </c>
      <c r="B509" s="7">
        <v>15677307</v>
      </c>
      <c r="C509" s="6" t="s">
        <v>441</v>
      </c>
      <c r="D509" s="7">
        <v>684</v>
      </c>
      <c r="E509" s="6" t="s">
        <v>26</v>
      </c>
      <c r="F509" s="6" t="s">
        <v>16</v>
      </c>
      <c r="G509" s="7">
        <v>40</v>
      </c>
      <c r="H509" s="7">
        <v>6</v>
      </c>
      <c r="I509" s="8">
        <v>137326.65</v>
      </c>
      <c r="J509" s="7">
        <v>1</v>
      </c>
      <c r="K509" s="7">
        <v>1</v>
      </c>
      <c r="L509" s="7">
        <v>0</v>
      </c>
      <c r="M509" s="9">
        <v>186976.6</v>
      </c>
      <c r="N509" s="7">
        <v>0</v>
      </c>
    </row>
    <row r="510" spans="1:14" x14ac:dyDescent="0.25">
      <c r="A510" s="6">
        <v>509</v>
      </c>
      <c r="B510" s="7">
        <v>15773890</v>
      </c>
      <c r="C510" s="6" t="s">
        <v>185</v>
      </c>
      <c r="D510" s="7">
        <v>733</v>
      </c>
      <c r="E510" s="6" t="s">
        <v>754</v>
      </c>
      <c r="F510" s="6" t="s">
        <v>23</v>
      </c>
      <c r="G510" s="7">
        <v>22</v>
      </c>
      <c r="H510" s="7">
        <v>5</v>
      </c>
      <c r="I510" s="8">
        <v>0</v>
      </c>
      <c r="J510" s="7">
        <v>2</v>
      </c>
      <c r="K510" s="7">
        <v>1</v>
      </c>
      <c r="L510" s="7">
        <v>1</v>
      </c>
      <c r="M510" s="9">
        <v>117202.19</v>
      </c>
      <c r="N510" s="7">
        <v>0</v>
      </c>
    </row>
    <row r="511" spans="1:14" x14ac:dyDescent="0.25">
      <c r="A511" s="6">
        <v>510</v>
      </c>
      <c r="B511" s="7">
        <v>15598883</v>
      </c>
      <c r="C511" s="6" t="s">
        <v>442</v>
      </c>
      <c r="D511" s="7">
        <v>599</v>
      </c>
      <c r="E511" s="6" t="s">
        <v>18</v>
      </c>
      <c r="F511" s="6" t="s">
        <v>16</v>
      </c>
      <c r="G511" s="7">
        <v>37</v>
      </c>
      <c r="H511" s="7">
        <v>2</v>
      </c>
      <c r="I511" s="8">
        <v>0</v>
      </c>
      <c r="J511" s="7">
        <v>2</v>
      </c>
      <c r="K511" s="7">
        <v>1</v>
      </c>
      <c r="L511" s="7">
        <v>1</v>
      </c>
      <c r="M511" s="9">
        <v>143739.29</v>
      </c>
      <c r="N511" s="7">
        <v>0</v>
      </c>
    </row>
    <row r="512" spans="1:14" x14ac:dyDescent="0.25">
      <c r="A512" s="6">
        <v>511</v>
      </c>
      <c r="B512" s="7">
        <v>15568506</v>
      </c>
      <c r="C512" s="6" t="s">
        <v>443</v>
      </c>
      <c r="D512" s="7">
        <v>524</v>
      </c>
      <c r="E512" s="6" t="s">
        <v>26</v>
      </c>
      <c r="F512" s="6" t="s">
        <v>16</v>
      </c>
      <c r="G512" s="7">
        <v>31</v>
      </c>
      <c r="H512" s="7">
        <v>10</v>
      </c>
      <c r="I512" s="8">
        <v>67238.98</v>
      </c>
      <c r="J512" s="7">
        <v>2</v>
      </c>
      <c r="K512" s="7">
        <v>1</v>
      </c>
      <c r="L512" s="7">
        <v>1</v>
      </c>
      <c r="M512" s="9">
        <v>161811.23000000001</v>
      </c>
      <c r="N512" s="7">
        <v>0</v>
      </c>
    </row>
    <row r="513" spans="1:14" x14ac:dyDescent="0.25">
      <c r="A513" s="6">
        <v>512</v>
      </c>
      <c r="B513" s="7">
        <v>15761043</v>
      </c>
      <c r="C513" s="6" t="s">
        <v>444</v>
      </c>
      <c r="D513" s="7">
        <v>632</v>
      </c>
      <c r="E513" s="6" t="s">
        <v>26</v>
      </c>
      <c r="F513" s="6" t="s">
        <v>16</v>
      </c>
      <c r="G513" s="7">
        <v>38</v>
      </c>
      <c r="H513" s="7">
        <v>6</v>
      </c>
      <c r="I513" s="8">
        <v>86569.76</v>
      </c>
      <c r="J513" s="7">
        <v>2</v>
      </c>
      <c r="K513" s="7">
        <v>1</v>
      </c>
      <c r="L513" s="7">
        <v>0</v>
      </c>
      <c r="M513" s="9">
        <v>98090.91</v>
      </c>
      <c r="N513" s="7">
        <v>0</v>
      </c>
    </row>
    <row r="514" spans="1:14" x14ac:dyDescent="0.25">
      <c r="A514" s="6">
        <v>513</v>
      </c>
      <c r="B514" s="7">
        <v>15782236</v>
      </c>
      <c r="C514" s="6" t="s">
        <v>445</v>
      </c>
      <c r="D514" s="7">
        <v>735</v>
      </c>
      <c r="E514" s="6" t="s">
        <v>18</v>
      </c>
      <c r="F514" s="6" t="s">
        <v>756</v>
      </c>
      <c r="G514" s="7">
        <v>34</v>
      </c>
      <c r="H514" s="7">
        <v>5</v>
      </c>
      <c r="I514" s="8">
        <v>0</v>
      </c>
      <c r="J514" s="7">
        <v>2</v>
      </c>
      <c r="K514" s="7">
        <v>0</v>
      </c>
      <c r="L514" s="7">
        <v>0</v>
      </c>
      <c r="M514" s="9">
        <v>71095.41</v>
      </c>
      <c r="N514" s="7">
        <v>0</v>
      </c>
    </row>
    <row r="515" spans="1:14" x14ac:dyDescent="0.25">
      <c r="A515" s="6">
        <v>514</v>
      </c>
      <c r="B515" s="7">
        <v>15593601</v>
      </c>
      <c r="C515" s="6" t="s">
        <v>446</v>
      </c>
      <c r="D515" s="7">
        <v>734</v>
      </c>
      <c r="E515" s="6" t="s">
        <v>754</v>
      </c>
      <c r="F515" s="6" t="s">
        <v>23</v>
      </c>
      <c r="G515" s="7">
        <v>34</v>
      </c>
      <c r="H515" s="7">
        <v>6</v>
      </c>
      <c r="I515" s="8">
        <v>133598.39999999999</v>
      </c>
      <c r="J515" s="7">
        <v>1</v>
      </c>
      <c r="K515" s="7">
        <v>1</v>
      </c>
      <c r="L515" s="7">
        <v>1</v>
      </c>
      <c r="M515" s="9">
        <v>13107.24</v>
      </c>
      <c r="N515" s="7">
        <v>0</v>
      </c>
    </row>
    <row r="516" spans="1:14" x14ac:dyDescent="0.25">
      <c r="A516" s="6">
        <v>515</v>
      </c>
      <c r="B516" s="7">
        <v>15682048</v>
      </c>
      <c r="C516" s="6" t="s">
        <v>88</v>
      </c>
      <c r="D516" s="7">
        <v>605</v>
      </c>
      <c r="E516" s="6" t="s">
        <v>754</v>
      </c>
      <c r="F516" s="6" t="s">
        <v>16</v>
      </c>
      <c r="G516" s="7">
        <v>51</v>
      </c>
      <c r="H516" s="7">
        <v>3</v>
      </c>
      <c r="I516" s="8">
        <v>136188.78</v>
      </c>
      <c r="J516" s="7">
        <v>1</v>
      </c>
      <c r="K516" s="7">
        <v>1</v>
      </c>
      <c r="L516" s="7">
        <v>1</v>
      </c>
      <c r="M516" s="9">
        <v>67110.59</v>
      </c>
      <c r="N516" s="7">
        <v>1</v>
      </c>
    </row>
    <row r="517" spans="1:14" x14ac:dyDescent="0.25">
      <c r="A517" s="6">
        <v>516</v>
      </c>
      <c r="B517" s="7">
        <v>15746902</v>
      </c>
      <c r="C517" s="6" t="s">
        <v>447</v>
      </c>
      <c r="D517" s="7">
        <v>793</v>
      </c>
      <c r="E517" s="6" t="s">
        <v>18</v>
      </c>
      <c r="F517" s="6" t="s">
        <v>756</v>
      </c>
      <c r="G517" s="7">
        <v>38</v>
      </c>
      <c r="H517" s="7">
        <v>9</v>
      </c>
      <c r="I517" s="8">
        <v>0</v>
      </c>
      <c r="J517" s="7">
        <v>2</v>
      </c>
      <c r="K517" s="7">
        <v>1</v>
      </c>
      <c r="L517" s="7">
        <v>0</v>
      </c>
      <c r="M517" s="9">
        <v>88225.02</v>
      </c>
      <c r="N517" s="7">
        <v>0</v>
      </c>
    </row>
    <row r="518" spans="1:14" x14ac:dyDescent="0.25">
      <c r="A518" s="6">
        <v>517</v>
      </c>
      <c r="B518" s="7">
        <v>15752081</v>
      </c>
      <c r="C518" s="6" t="s">
        <v>448</v>
      </c>
      <c r="D518" s="7">
        <v>468</v>
      </c>
      <c r="E518" s="6" t="s">
        <v>754</v>
      </c>
      <c r="F518" s="6" t="s">
        <v>16</v>
      </c>
      <c r="G518" s="7">
        <v>56</v>
      </c>
      <c r="H518" s="7">
        <v>10</v>
      </c>
      <c r="I518" s="8">
        <v>0</v>
      </c>
      <c r="J518" s="7">
        <v>3</v>
      </c>
      <c r="K518" s="7">
        <v>0</v>
      </c>
      <c r="L518" s="7">
        <v>1</v>
      </c>
      <c r="M518" s="9">
        <v>62256.87</v>
      </c>
      <c r="N518" s="7">
        <v>1</v>
      </c>
    </row>
    <row r="519" spans="1:14" x14ac:dyDescent="0.25">
      <c r="A519" s="6">
        <v>518</v>
      </c>
      <c r="B519" s="7">
        <v>15781307</v>
      </c>
      <c r="C519" s="6" t="s">
        <v>449</v>
      </c>
      <c r="D519" s="7">
        <v>779</v>
      </c>
      <c r="E519" s="6" t="s">
        <v>26</v>
      </c>
      <c r="F519" s="6" t="s">
        <v>23</v>
      </c>
      <c r="G519" s="7">
        <v>37</v>
      </c>
      <c r="H519" s="7">
        <v>7</v>
      </c>
      <c r="I519" s="8">
        <v>120092.52</v>
      </c>
      <c r="J519" s="7">
        <v>2</v>
      </c>
      <c r="K519" s="7">
        <v>1</v>
      </c>
      <c r="L519" s="7">
        <v>0</v>
      </c>
      <c r="M519" s="9">
        <v>135925.72</v>
      </c>
      <c r="N519" s="7">
        <v>0</v>
      </c>
    </row>
    <row r="520" spans="1:14" x14ac:dyDescent="0.25">
      <c r="A520" s="6">
        <v>519</v>
      </c>
      <c r="B520" s="7">
        <v>15775912</v>
      </c>
      <c r="C520" s="6" t="s">
        <v>310</v>
      </c>
      <c r="D520" s="7">
        <v>698</v>
      </c>
      <c r="E520" s="6" t="s">
        <v>754</v>
      </c>
      <c r="F520" s="6" t="s">
        <v>23</v>
      </c>
      <c r="G520" s="7">
        <v>48</v>
      </c>
      <c r="H520" s="7">
        <v>4</v>
      </c>
      <c r="I520" s="8">
        <v>101238.24</v>
      </c>
      <c r="J520" s="7">
        <v>2</v>
      </c>
      <c r="K520" s="7">
        <v>0</v>
      </c>
      <c r="L520" s="7">
        <v>1</v>
      </c>
      <c r="M520" s="9">
        <v>177815.87</v>
      </c>
      <c r="N520" s="7">
        <v>1</v>
      </c>
    </row>
    <row r="521" spans="1:14" x14ac:dyDescent="0.25">
      <c r="A521" s="6">
        <v>520</v>
      </c>
      <c r="B521" s="7">
        <v>15745417</v>
      </c>
      <c r="C521" s="6" t="s">
        <v>450</v>
      </c>
      <c r="D521" s="7">
        <v>707</v>
      </c>
      <c r="E521" s="6" t="s">
        <v>754</v>
      </c>
      <c r="F521" s="6" t="s">
        <v>23</v>
      </c>
      <c r="G521" s="7">
        <v>58</v>
      </c>
      <c r="H521" s="7">
        <v>6</v>
      </c>
      <c r="I521" s="8">
        <v>89685.92</v>
      </c>
      <c r="J521" s="7">
        <v>1</v>
      </c>
      <c r="K521" s="7">
        <v>0</v>
      </c>
      <c r="L521" s="7">
        <v>1</v>
      </c>
      <c r="M521" s="9">
        <v>126471.13</v>
      </c>
      <c r="N521" s="7">
        <v>0</v>
      </c>
    </row>
    <row r="522" spans="1:14" x14ac:dyDescent="0.25">
      <c r="A522" s="6">
        <v>521</v>
      </c>
      <c r="B522" s="7">
        <v>15671256</v>
      </c>
      <c r="C522" s="6" t="s">
        <v>451</v>
      </c>
      <c r="D522" s="7">
        <v>850</v>
      </c>
      <c r="E522" s="6" t="s">
        <v>754</v>
      </c>
      <c r="F522" s="6" t="s">
        <v>16</v>
      </c>
      <c r="G522" s="7">
        <v>35</v>
      </c>
      <c r="H522" s="7">
        <v>1</v>
      </c>
      <c r="I522" s="8">
        <v>211774.31</v>
      </c>
      <c r="J522" s="7">
        <v>1</v>
      </c>
      <c r="K522" s="7">
        <v>1</v>
      </c>
      <c r="L522" s="7">
        <v>0</v>
      </c>
      <c r="M522" s="9">
        <v>188574.12</v>
      </c>
      <c r="N522" s="7">
        <v>1</v>
      </c>
    </row>
    <row r="523" spans="1:14" x14ac:dyDescent="0.25">
      <c r="A523" s="6">
        <v>522</v>
      </c>
      <c r="B523" s="7">
        <v>15653547</v>
      </c>
      <c r="C523" s="6" t="s">
        <v>157</v>
      </c>
      <c r="D523" s="7">
        <v>850</v>
      </c>
      <c r="E523" s="6" t="s">
        <v>754</v>
      </c>
      <c r="F523" s="6" t="s">
        <v>23</v>
      </c>
      <c r="G523" s="7">
        <v>56</v>
      </c>
      <c r="H523" s="7">
        <v>7</v>
      </c>
      <c r="I523" s="8">
        <v>131317.48000000001</v>
      </c>
      <c r="J523" s="7">
        <v>1</v>
      </c>
      <c r="K523" s="7">
        <v>1</v>
      </c>
      <c r="L523" s="7">
        <v>1</v>
      </c>
      <c r="M523" s="9">
        <v>119175.45</v>
      </c>
      <c r="N523" s="7">
        <v>0</v>
      </c>
    </row>
    <row r="524" spans="1:14" x14ac:dyDescent="0.25">
      <c r="A524" s="6">
        <v>523</v>
      </c>
      <c r="B524" s="7">
        <v>15595766</v>
      </c>
      <c r="C524" s="6" t="s">
        <v>452</v>
      </c>
      <c r="D524" s="7">
        <v>527</v>
      </c>
      <c r="E524" s="6" t="s">
        <v>18</v>
      </c>
      <c r="F524" s="6" t="s">
        <v>756</v>
      </c>
      <c r="G524" s="7">
        <v>37</v>
      </c>
      <c r="H524" s="7">
        <v>5</v>
      </c>
      <c r="I524" s="8">
        <v>93722.73</v>
      </c>
      <c r="J524" s="7">
        <v>2</v>
      </c>
      <c r="K524" s="7">
        <v>1</v>
      </c>
      <c r="L524" s="7">
        <v>1</v>
      </c>
      <c r="M524" s="9">
        <v>139093.73000000001</v>
      </c>
      <c r="N524" s="7">
        <v>0</v>
      </c>
    </row>
    <row r="525" spans="1:14" x14ac:dyDescent="0.25">
      <c r="A525" s="6">
        <v>524</v>
      </c>
      <c r="B525" s="7">
        <v>15742358</v>
      </c>
      <c r="C525" s="6" t="s">
        <v>453</v>
      </c>
      <c r="D525" s="7">
        <v>696</v>
      </c>
      <c r="E525" s="6" t="s">
        <v>26</v>
      </c>
      <c r="F525" s="6" t="s">
        <v>23</v>
      </c>
      <c r="G525" s="7">
        <v>32</v>
      </c>
      <c r="H525" s="7">
        <v>8</v>
      </c>
      <c r="I525" s="8">
        <v>101160.99</v>
      </c>
      <c r="J525" s="7">
        <v>1</v>
      </c>
      <c r="K525" s="7">
        <v>1</v>
      </c>
      <c r="L525" s="7">
        <v>1</v>
      </c>
      <c r="M525" s="9">
        <v>115916.55</v>
      </c>
      <c r="N525" s="7">
        <v>0</v>
      </c>
    </row>
    <row r="526" spans="1:14" x14ac:dyDescent="0.25">
      <c r="A526" s="6">
        <v>525</v>
      </c>
      <c r="B526" s="7">
        <v>15763274</v>
      </c>
      <c r="C526" s="6" t="s">
        <v>134</v>
      </c>
      <c r="D526" s="7">
        <v>661</v>
      </c>
      <c r="E526" s="6" t="s">
        <v>754</v>
      </c>
      <c r="F526" s="6" t="s">
        <v>23</v>
      </c>
      <c r="G526" s="7">
        <v>48</v>
      </c>
      <c r="H526" s="7">
        <v>3</v>
      </c>
      <c r="I526" s="8">
        <v>120320.54</v>
      </c>
      <c r="J526" s="7">
        <v>1</v>
      </c>
      <c r="K526" s="7">
        <v>0</v>
      </c>
      <c r="L526" s="7">
        <v>0</v>
      </c>
      <c r="M526" s="9">
        <v>96463.25</v>
      </c>
      <c r="N526" s="7">
        <v>0</v>
      </c>
    </row>
    <row r="527" spans="1:14" x14ac:dyDescent="0.25">
      <c r="A527" s="6">
        <v>526</v>
      </c>
      <c r="B527" s="7">
        <v>15786063</v>
      </c>
      <c r="C527" s="6" t="s">
        <v>32</v>
      </c>
      <c r="D527" s="7">
        <v>776</v>
      </c>
      <c r="E527" s="6" t="s">
        <v>754</v>
      </c>
      <c r="F527" s="6" t="s">
        <v>16</v>
      </c>
      <c r="G527" s="7">
        <v>31</v>
      </c>
      <c r="H527" s="7">
        <v>2</v>
      </c>
      <c r="I527" s="8">
        <v>0</v>
      </c>
      <c r="J527" s="7">
        <v>2</v>
      </c>
      <c r="K527" s="7">
        <v>1</v>
      </c>
      <c r="L527" s="7">
        <v>1</v>
      </c>
      <c r="M527" s="9">
        <v>112349.51</v>
      </c>
      <c r="N527" s="7">
        <v>0</v>
      </c>
    </row>
    <row r="528" spans="1:14" x14ac:dyDescent="0.25">
      <c r="A528" s="6">
        <v>527</v>
      </c>
      <c r="B528" s="7">
        <v>15600258</v>
      </c>
      <c r="C528" s="6" t="s">
        <v>454</v>
      </c>
      <c r="D528" s="7">
        <v>701</v>
      </c>
      <c r="E528" s="6" t="s">
        <v>754</v>
      </c>
      <c r="F528" s="6" t="s">
        <v>23</v>
      </c>
      <c r="G528" s="7">
        <v>43</v>
      </c>
      <c r="H528" s="7">
        <v>2</v>
      </c>
      <c r="I528" s="8">
        <v>0</v>
      </c>
      <c r="J528" s="7">
        <v>2</v>
      </c>
      <c r="K528" s="7">
        <v>1</v>
      </c>
      <c r="L528" s="7">
        <v>1</v>
      </c>
      <c r="M528" s="9">
        <v>165303.79</v>
      </c>
      <c r="N528" s="7">
        <v>0</v>
      </c>
    </row>
    <row r="529" spans="1:14" x14ac:dyDescent="0.25">
      <c r="A529" s="6">
        <v>528</v>
      </c>
      <c r="B529" s="7">
        <v>15573318</v>
      </c>
      <c r="C529" s="6" t="s">
        <v>455</v>
      </c>
      <c r="D529" s="7">
        <v>610</v>
      </c>
      <c r="E529" s="6" t="s">
        <v>754</v>
      </c>
      <c r="F529" s="6" t="s">
        <v>23</v>
      </c>
      <c r="G529" s="7">
        <v>26</v>
      </c>
      <c r="H529" s="7">
        <v>8</v>
      </c>
      <c r="I529" s="8">
        <v>0</v>
      </c>
      <c r="J529" s="7">
        <v>2</v>
      </c>
      <c r="K529" s="7">
        <v>1</v>
      </c>
      <c r="L529" s="7">
        <v>0</v>
      </c>
      <c r="M529" s="9">
        <v>166031.07999999999</v>
      </c>
      <c r="N529" s="7">
        <v>0</v>
      </c>
    </row>
    <row r="530" spans="1:14" x14ac:dyDescent="0.25">
      <c r="A530" s="6">
        <v>529</v>
      </c>
      <c r="B530" s="7">
        <v>15653849</v>
      </c>
      <c r="C530" s="6" t="s">
        <v>456</v>
      </c>
      <c r="D530" s="7">
        <v>572</v>
      </c>
      <c r="E530" s="6" t="s">
        <v>26</v>
      </c>
      <c r="F530" s="6" t="s">
        <v>16</v>
      </c>
      <c r="G530" s="7">
        <v>48</v>
      </c>
      <c r="H530" s="7">
        <v>3</v>
      </c>
      <c r="I530" s="8">
        <v>152827.99</v>
      </c>
      <c r="J530" s="7">
        <v>1</v>
      </c>
      <c r="K530" s="7">
        <v>1</v>
      </c>
      <c r="L530" s="7">
        <v>0</v>
      </c>
      <c r="M530" s="9">
        <v>38411.79</v>
      </c>
      <c r="N530" s="7">
        <v>1</v>
      </c>
    </row>
    <row r="531" spans="1:14" ht="30" x14ac:dyDescent="0.25">
      <c r="A531" s="6">
        <v>530</v>
      </c>
      <c r="B531" s="7">
        <v>15694272</v>
      </c>
      <c r="C531" s="6" t="s">
        <v>457</v>
      </c>
      <c r="D531" s="7">
        <v>673</v>
      </c>
      <c r="E531" s="6" t="s">
        <v>754</v>
      </c>
      <c r="F531" s="6" t="s">
        <v>23</v>
      </c>
      <c r="G531" s="7">
        <v>30</v>
      </c>
      <c r="H531" s="7">
        <v>1</v>
      </c>
      <c r="I531" s="8">
        <v>64097.75</v>
      </c>
      <c r="J531" s="7">
        <v>1</v>
      </c>
      <c r="K531" s="7">
        <v>1</v>
      </c>
      <c r="L531" s="7">
        <v>1</v>
      </c>
      <c r="M531" s="9">
        <v>77783.350000000006</v>
      </c>
      <c r="N531" s="7">
        <v>0</v>
      </c>
    </row>
    <row r="532" spans="1:14" x14ac:dyDescent="0.25">
      <c r="A532" s="6">
        <v>531</v>
      </c>
      <c r="B532" s="7">
        <v>15736112</v>
      </c>
      <c r="C532" s="6" t="s">
        <v>458</v>
      </c>
      <c r="D532" s="7">
        <v>519</v>
      </c>
      <c r="E532" s="6" t="s">
        <v>18</v>
      </c>
      <c r="F532" s="6" t="s">
        <v>16</v>
      </c>
      <c r="G532" s="7">
        <v>57</v>
      </c>
      <c r="H532" s="7">
        <v>2</v>
      </c>
      <c r="I532" s="8">
        <v>119035.35</v>
      </c>
      <c r="J532" s="7">
        <v>2</v>
      </c>
      <c r="K532" s="7">
        <v>1</v>
      </c>
      <c r="L532" s="7">
        <v>1</v>
      </c>
      <c r="M532" s="9">
        <v>29871.79</v>
      </c>
      <c r="N532" s="7">
        <v>0</v>
      </c>
    </row>
    <row r="533" spans="1:14" x14ac:dyDescent="0.25">
      <c r="A533" s="6">
        <v>532</v>
      </c>
      <c r="B533" s="7">
        <v>15749851</v>
      </c>
      <c r="C533" s="6" t="s">
        <v>414</v>
      </c>
      <c r="D533" s="7">
        <v>702</v>
      </c>
      <c r="E533" s="6" t="s">
        <v>18</v>
      </c>
      <c r="F533" s="6" t="s">
        <v>16</v>
      </c>
      <c r="G533" s="7">
        <v>26</v>
      </c>
      <c r="H533" s="7">
        <v>4</v>
      </c>
      <c r="I533" s="8">
        <v>135219.57</v>
      </c>
      <c r="J533" s="7">
        <v>1</v>
      </c>
      <c r="K533" s="7">
        <v>0</v>
      </c>
      <c r="L533" s="7">
        <v>1</v>
      </c>
      <c r="M533" s="9">
        <v>59747.63</v>
      </c>
      <c r="N533" s="7">
        <v>0</v>
      </c>
    </row>
    <row r="534" spans="1:14" x14ac:dyDescent="0.25">
      <c r="A534" s="6">
        <v>533</v>
      </c>
      <c r="B534" s="7">
        <v>15663478</v>
      </c>
      <c r="C534" s="6" t="s">
        <v>459</v>
      </c>
      <c r="D534" s="7">
        <v>729</v>
      </c>
      <c r="E534" s="6" t="s">
        <v>754</v>
      </c>
      <c r="F534" s="6" t="s">
        <v>23</v>
      </c>
      <c r="G534" s="7">
        <v>32</v>
      </c>
      <c r="H534" s="7">
        <v>6</v>
      </c>
      <c r="I534" s="8">
        <v>93694.42</v>
      </c>
      <c r="J534" s="7">
        <v>1</v>
      </c>
      <c r="K534" s="7">
        <v>1</v>
      </c>
      <c r="L534" s="7">
        <v>1</v>
      </c>
      <c r="M534" s="9">
        <v>79919.13</v>
      </c>
      <c r="N534" s="7">
        <v>0</v>
      </c>
    </row>
    <row r="535" spans="1:14" x14ac:dyDescent="0.25">
      <c r="A535" s="6">
        <v>534</v>
      </c>
      <c r="B535" s="7">
        <v>15592300</v>
      </c>
      <c r="C535" s="6" t="s">
        <v>460</v>
      </c>
      <c r="D535" s="7">
        <v>543</v>
      </c>
      <c r="E535" s="6" t="s">
        <v>18</v>
      </c>
      <c r="F535" s="6" t="s">
        <v>756</v>
      </c>
      <c r="G535" s="7">
        <v>35</v>
      </c>
      <c r="H535" s="7">
        <v>10</v>
      </c>
      <c r="I535" s="8">
        <v>59408.63</v>
      </c>
      <c r="J535" s="7">
        <v>1</v>
      </c>
      <c r="K535" s="7">
        <v>1</v>
      </c>
      <c r="L535" s="7">
        <v>0</v>
      </c>
      <c r="M535" s="9">
        <v>76773.53</v>
      </c>
      <c r="N535" s="7">
        <v>0</v>
      </c>
    </row>
    <row r="536" spans="1:14" x14ac:dyDescent="0.25">
      <c r="A536" s="6">
        <v>535</v>
      </c>
      <c r="B536" s="7">
        <v>15567832</v>
      </c>
      <c r="C536" s="6" t="s">
        <v>219</v>
      </c>
      <c r="D536" s="7">
        <v>550</v>
      </c>
      <c r="E536" s="6" t="s">
        <v>754</v>
      </c>
      <c r="F536" s="6" t="s">
        <v>16</v>
      </c>
      <c r="G536" s="7">
        <v>40</v>
      </c>
      <c r="H536" s="7">
        <v>7</v>
      </c>
      <c r="I536" s="8">
        <v>114354.95</v>
      </c>
      <c r="J536" s="7">
        <v>1</v>
      </c>
      <c r="K536" s="7">
        <v>1</v>
      </c>
      <c r="L536" s="7">
        <v>0</v>
      </c>
      <c r="M536" s="9">
        <v>54018.93</v>
      </c>
      <c r="N536" s="7">
        <v>0</v>
      </c>
    </row>
    <row r="537" spans="1:14" x14ac:dyDescent="0.25">
      <c r="A537" s="6">
        <v>536</v>
      </c>
      <c r="B537" s="7">
        <v>15776780</v>
      </c>
      <c r="C537" s="6" t="s">
        <v>27</v>
      </c>
      <c r="D537" s="7">
        <v>608</v>
      </c>
      <c r="E537" s="6" t="s">
        <v>754</v>
      </c>
      <c r="F537" s="6" t="s">
        <v>23</v>
      </c>
      <c r="G537" s="7">
        <v>59</v>
      </c>
      <c r="H537" s="7">
        <v>1</v>
      </c>
      <c r="I537" s="8">
        <v>0</v>
      </c>
      <c r="J537" s="7">
        <v>1</v>
      </c>
      <c r="K537" s="7">
        <v>1</v>
      </c>
      <c r="L537" s="7">
        <v>0</v>
      </c>
      <c r="M537" s="9">
        <v>70649.64</v>
      </c>
      <c r="N537" s="7">
        <v>1</v>
      </c>
    </row>
    <row r="538" spans="1:14" x14ac:dyDescent="0.25">
      <c r="A538" s="6">
        <v>537</v>
      </c>
      <c r="B538" s="7">
        <v>15592846</v>
      </c>
      <c r="C538" s="6" t="s">
        <v>112</v>
      </c>
      <c r="D538" s="7">
        <v>639</v>
      </c>
      <c r="E538" s="6" t="s">
        <v>26</v>
      </c>
      <c r="F538" s="6" t="s">
        <v>23</v>
      </c>
      <c r="G538" s="7">
        <v>35</v>
      </c>
      <c r="H538" s="7">
        <v>10</v>
      </c>
      <c r="I538" s="8">
        <v>128173.9</v>
      </c>
      <c r="J538" s="7">
        <v>2</v>
      </c>
      <c r="K538" s="7">
        <v>1</v>
      </c>
      <c r="L538" s="7">
        <v>0</v>
      </c>
      <c r="M538" s="9">
        <v>59093.39</v>
      </c>
      <c r="N538" s="7">
        <v>0</v>
      </c>
    </row>
    <row r="539" spans="1:14" x14ac:dyDescent="0.25">
      <c r="A539" s="6">
        <v>538</v>
      </c>
      <c r="B539" s="7">
        <v>15739803</v>
      </c>
      <c r="C539" s="6" t="s">
        <v>48</v>
      </c>
      <c r="D539" s="7">
        <v>686</v>
      </c>
      <c r="E539" s="6" t="s">
        <v>18</v>
      </c>
      <c r="F539" s="6" t="s">
        <v>756</v>
      </c>
      <c r="G539" s="7">
        <v>34</v>
      </c>
      <c r="H539" s="7">
        <v>9</v>
      </c>
      <c r="I539" s="8">
        <v>0</v>
      </c>
      <c r="J539" s="7">
        <v>2</v>
      </c>
      <c r="K539" s="7">
        <v>1</v>
      </c>
      <c r="L539" s="7">
        <v>0</v>
      </c>
      <c r="M539" s="9">
        <v>127569.8</v>
      </c>
      <c r="N539" s="7">
        <v>0</v>
      </c>
    </row>
    <row r="540" spans="1:14" x14ac:dyDescent="0.25">
      <c r="A540" s="6">
        <v>539</v>
      </c>
      <c r="B540" s="7">
        <v>15794142</v>
      </c>
      <c r="C540" s="6" t="s">
        <v>461</v>
      </c>
      <c r="D540" s="7">
        <v>564</v>
      </c>
      <c r="E540" s="6" t="s">
        <v>26</v>
      </c>
      <c r="F540" s="6" t="s">
        <v>16</v>
      </c>
      <c r="G540" s="7">
        <v>62</v>
      </c>
      <c r="H540" s="7">
        <v>5</v>
      </c>
      <c r="I540" s="8">
        <v>114931.35</v>
      </c>
      <c r="J540" s="7">
        <v>3</v>
      </c>
      <c r="K540" s="7">
        <v>0</v>
      </c>
      <c r="L540" s="7">
        <v>1</v>
      </c>
      <c r="M540" s="9">
        <v>18260.98</v>
      </c>
      <c r="N540" s="7">
        <v>1</v>
      </c>
    </row>
    <row r="541" spans="1:14" ht="30" x14ac:dyDescent="0.25">
      <c r="A541" s="6">
        <v>540</v>
      </c>
      <c r="B541" s="7">
        <v>15762729</v>
      </c>
      <c r="C541" s="6" t="s">
        <v>462</v>
      </c>
      <c r="D541" s="7">
        <v>745</v>
      </c>
      <c r="E541" s="6" t="s">
        <v>26</v>
      </c>
      <c r="F541" s="6" t="s">
        <v>16</v>
      </c>
      <c r="G541" s="7">
        <v>28</v>
      </c>
      <c r="H541" s="7">
        <v>1</v>
      </c>
      <c r="I541" s="8">
        <v>111071.36</v>
      </c>
      <c r="J541" s="7">
        <v>1</v>
      </c>
      <c r="K541" s="7">
        <v>1</v>
      </c>
      <c r="L541" s="7">
        <v>0</v>
      </c>
      <c r="M541" s="9">
        <v>73275.960000000006</v>
      </c>
      <c r="N541" s="7">
        <v>1</v>
      </c>
    </row>
    <row r="542" spans="1:14" x14ac:dyDescent="0.25">
      <c r="A542" s="6">
        <v>541</v>
      </c>
      <c r="B542" s="7">
        <v>15667896</v>
      </c>
      <c r="C542" s="6" t="s">
        <v>463</v>
      </c>
      <c r="D542" s="7">
        <v>833</v>
      </c>
      <c r="E542" s="6" t="s">
        <v>754</v>
      </c>
      <c r="F542" s="6" t="s">
        <v>23</v>
      </c>
      <c r="G542" s="7">
        <v>37</v>
      </c>
      <c r="H542" s="7">
        <v>8</v>
      </c>
      <c r="I542" s="8">
        <v>151226.18</v>
      </c>
      <c r="J542" s="7">
        <v>2</v>
      </c>
      <c r="K542" s="7">
        <v>1</v>
      </c>
      <c r="L542" s="7">
        <v>1</v>
      </c>
      <c r="M542" s="9">
        <v>136129.49</v>
      </c>
      <c r="N542" s="7">
        <v>0</v>
      </c>
    </row>
    <row r="543" spans="1:14" x14ac:dyDescent="0.25">
      <c r="A543" s="6">
        <v>542</v>
      </c>
      <c r="B543" s="7">
        <v>15626578</v>
      </c>
      <c r="C543" s="6" t="s">
        <v>166</v>
      </c>
      <c r="D543" s="7">
        <v>622</v>
      </c>
      <c r="E543" s="6" t="s">
        <v>754</v>
      </c>
      <c r="F543" s="6" t="s">
        <v>23</v>
      </c>
      <c r="G543" s="7">
        <v>26</v>
      </c>
      <c r="H543" s="7">
        <v>9</v>
      </c>
      <c r="I543" s="8">
        <v>0</v>
      </c>
      <c r="J543" s="7">
        <v>2</v>
      </c>
      <c r="K543" s="7">
        <v>1</v>
      </c>
      <c r="L543" s="7">
        <v>1</v>
      </c>
      <c r="M543" s="9">
        <v>153237.59</v>
      </c>
      <c r="N543" s="7">
        <v>0</v>
      </c>
    </row>
    <row r="544" spans="1:14" x14ac:dyDescent="0.25">
      <c r="A544" s="6">
        <v>543</v>
      </c>
      <c r="B544" s="7">
        <v>15776223</v>
      </c>
      <c r="C544" s="6" t="s">
        <v>464</v>
      </c>
      <c r="D544" s="7">
        <v>597</v>
      </c>
      <c r="E544" s="6" t="s">
        <v>754</v>
      </c>
      <c r="F544" s="6" t="s">
        <v>16</v>
      </c>
      <c r="G544" s="7">
        <v>42</v>
      </c>
      <c r="H544" s="7">
        <v>4</v>
      </c>
      <c r="I544" s="8">
        <v>64740.12</v>
      </c>
      <c r="J544" s="7">
        <v>1</v>
      </c>
      <c r="K544" s="7">
        <v>1</v>
      </c>
      <c r="L544" s="7">
        <v>1</v>
      </c>
      <c r="M544" s="9">
        <v>106841.12</v>
      </c>
      <c r="N544" s="7">
        <v>0</v>
      </c>
    </row>
    <row r="545" spans="1:14" ht="30" x14ac:dyDescent="0.25">
      <c r="A545" s="6">
        <v>544</v>
      </c>
      <c r="B545" s="7">
        <v>15705953</v>
      </c>
      <c r="C545" s="6" t="s">
        <v>465</v>
      </c>
      <c r="D545" s="7">
        <v>721</v>
      </c>
      <c r="E545" s="6" t="s">
        <v>18</v>
      </c>
      <c r="F545" s="6" t="s">
        <v>756</v>
      </c>
      <c r="G545" s="7">
        <v>51</v>
      </c>
      <c r="H545" s="7">
        <v>0</v>
      </c>
      <c r="I545" s="8">
        <v>169312.13</v>
      </c>
      <c r="J545" s="7">
        <v>1</v>
      </c>
      <c r="K545" s="7">
        <v>1</v>
      </c>
      <c r="L545" s="7">
        <v>0</v>
      </c>
      <c r="M545" s="9">
        <v>109078.35</v>
      </c>
      <c r="N545" s="7">
        <v>1</v>
      </c>
    </row>
    <row r="546" spans="1:14" x14ac:dyDescent="0.25">
      <c r="A546" s="6">
        <v>545</v>
      </c>
      <c r="B546" s="7">
        <v>15802593</v>
      </c>
      <c r="C546" s="6" t="s">
        <v>466</v>
      </c>
      <c r="D546" s="7">
        <v>504</v>
      </c>
      <c r="E546" s="6" t="s">
        <v>754</v>
      </c>
      <c r="F546" s="6" t="s">
        <v>16</v>
      </c>
      <c r="G546" s="7">
        <v>49</v>
      </c>
      <c r="H546" s="7">
        <v>7</v>
      </c>
      <c r="I546" s="8">
        <v>0</v>
      </c>
      <c r="J546" s="7">
        <v>3</v>
      </c>
      <c r="K546" s="7">
        <v>0</v>
      </c>
      <c r="L546" s="7">
        <v>1</v>
      </c>
      <c r="M546" s="9">
        <v>87822.14</v>
      </c>
      <c r="N546" s="7">
        <v>1</v>
      </c>
    </row>
    <row r="547" spans="1:14" x14ac:dyDescent="0.25">
      <c r="A547" s="6">
        <v>546</v>
      </c>
      <c r="B547" s="7">
        <v>15615457</v>
      </c>
      <c r="C547" s="6" t="s">
        <v>422</v>
      </c>
      <c r="D547" s="7">
        <v>842</v>
      </c>
      <c r="E547" s="6" t="s">
        <v>18</v>
      </c>
      <c r="F547" s="6" t="s">
        <v>16</v>
      </c>
      <c r="G547" s="7">
        <v>44</v>
      </c>
      <c r="H547" s="7">
        <v>2</v>
      </c>
      <c r="I547" s="8">
        <v>112652.08</v>
      </c>
      <c r="J547" s="7">
        <v>2</v>
      </c>
      <c r="K547" s="7">
        <v>1</v>
      </c>
      <c r="L547" s="7">
        <v>0</v>
      </c>
      <c r="M547" s="9">
        <v>126644.98</v>
      </c>
      <c r="N547" s="7">
        <v>0</v>
      </c>
    </row>
    <row r="548" spans="1:14" x14ac:dyDescent="0.25">
      <c r="A548" s="6">
        <v>547</v>
      </c>
      <c r="B548" s="7">
        <v>15708916</v>
      </c>
      <c r="C548" s="6" t="s">
        <v>467</v>
      </c>
      <c r="D548" s="7">
        <v>587</v>
      </c>
      <c r="E548" s="6" t="s">
        <v>754</v>
      </c>
      <c r="F548" s="6" t="s">
        <v>23</v>
      </c>
      <c r="G548" s="7">
        <v>38</v>
      </c>
      <c r="H548" s="7">
        <v>0</v>
      </c>
      <c r="I548" s="8">
        <v>0</v>
      </c>
      <c r="J548" s="7">
        <v>2</v>
      </c>
      <c r="K548" s="7">
        <v>1</v>
      </c>
      <c r="L548" s="7">
        <v>0</v>
      </c>
      <c r="M548" s="9">
        <v>47414.15</v>
      </c>
      <c r="N548" s="7">
        <v>0</v>
      </c>
    </row>
    <row r="549" spans="1:14" x14ac:dyDescent="0.25">
      <c r="A549" s="6">
        <v>548</v>
      </c>
      <c r="B549" s="7">
        <v>15720187</v>
      </c>
      <c r="C549" s="6" t="s">
        <v>468</v>
      </c>
      <c r="D549" s="7">
        <v>479</v>
      </c>
      <c r="E549" s="6" t="s">
        <v>26</v>
      </c>
      <c r="F549" s="6" t="s">
        <v>16</v>
      </c>
      <c r="G549" s="7">
        <v>30</v>
      </c>
      <c r="H549" s="7">
        <v>7</v>
      </c>
      <c r="I549" s="8">
        <v>143964.35999999999</v>
      </c>
      <c r="J549" s="7">
        <v>2</v>
      </c>
      <c r="K549" s="7">
        <v>1</v>
      </c>
      <c r="L549" s="7">
        <v>0</v>
      </c>
      <c r="M549" s="9">
        <v>41879.99</v>
      </c>
      <c r="N549" s="7">
        <v>0</v>
      </c>
    </row>
    <row r="550" spans="1:14" x14ac:dyDescent="0.25">
      <c r="A550" s="6">
        <v>549</v>
      </c>
      <c r="B550" s="7">
        <v>15595440</v>
      </c>
      <c r="C550" s="6" t="s">
        <v>432</v>
      </c>
      <c r="D550" s="7">
        <v>508</v>
      </c>
      <c r="E550" s="6" t="s">
        <v>754</v>
      </c>
      <c r="F550" s="6" t="s">
        <v>23</v>
      </c>
      <c r="G550" s="7">
        <v>49</v>
      </c>
      <c r="H550" s="7">
        <v>7</v>
      </c>
      <c r="I550" s="8">
        <v>122451.46</v>
      </c>
      <c r="J550" s="7">
        <v>2</v>
      </c>
      <c r="K550" s="7">
        <v>1</v>
      </c>
      <c r="L550" s="7">
        <v>1</v>
      </c>
      <c r="M550" s="9">
        <v>75808.100000000006</v>
      </c>
      <c r="N550" s="7">
        <v>0</v>
      </c>
    </row>
    <row r="551" spans="1:14" x14ac:dyDescent="0.25">
      <c r="A551" s="6">
        <v>550</v>
      </c>
      <c r="B551" s="7">
        <v>15600651</v>
      </c>
      <c r="C551" s="6" t="s">
        <v>469</v>
      </c>
      <c r="D551" s="7">
        <v>749</v>
      </c>
      <c r="E551" s="6" t="s">
        <v>754</v>
      </c>
      <c r="F551" s="6" t="s">
        <v>23</v>
      </c>
      <c r="G551" s="7">
        <v>24</v>
      </c>
      <c r="H551" s="7">
        <v>1</v>
      </c>
      <c r="I551" s="8">
        <v>0</v>
      </c>
      <c r="J551" s="7">
        <v>3</v>
      </c>
      <c r="K551" s="7">
        <v>1</v>
      </c>
      <c r="L551" s="7">
        <v>1</v>
      </c>
      <c r="M551" s="9">
        <v>47911.03</v>
      </c>
      <c r="N551" s="7">
        <v>0</v>
      </c>
    </row>
    <row r="552" spans="1:14" x14ac:dyDescent="0.25">
      <c r="A552" s="6">
        <v>551</v>
      </c>
      <c r="B552" s="7">
        <v>15750141</v>
      </c>
      <c r="C552" s="6" t="s">
        <v>470</v>
      </c>
      <c r="D552" s="7">
        <v>721</v>
      </c>
      <c r="E552" s="6" t="s">
        <v>26</v>
      </c>
      <c r="F552" s="6" t="s">
        <v>16</v>
      </c>
      <c r="G552" s="7">
        <v>36</v>
      </c>
      <c r="H552" s="7">
        <v>3</v>
      </c>
      <c r="I552" s="8">
        <v>65253.07</v>
      </c>
      <c r="J552" s="7">
        <v>2</v>
      </c>
      <c r="K552" s="7">
        <v>1</v>
      </c>
      <c r="L552" s="7">
        <v>0</v>
      </c>
      <c r="M552" s="9">
        <v>28737.78</v>
      </c>
      <c r="N552" s="7">
        <v>0</v>
      </c>
    </row>
    <row r="553" spans="1:14" x14ac:dyDescent="0.25">
      <c r="A553" s="6">
        <v>552</v>
      </c>
      <c r="B553" s="7">
        <v>15657284</v>
      </c>
      <c r="C553" s="6" t="s">
        <v>316</v>
      </c>
      <c r="D553" s="7">
        <v>674</v>
      </c>
      <c r="E553" s="6" t="s">
        <v>26</v>
      </c>
      <c r="F553" s="6" t="s">
        <v>23</v>
      </c>
      <c r="G553" s="7">
        <v>47</v>
      </c>
      <c r="H553" s="7">
        <v>6</v>
      </c>
      <c r="I553" s="8">
        <v>106901.94</v>
      </c>
      <c r="J553" s="7">
        <v>1</v>
      </c>
      <c r="K553" s="7">
        <v>1</v>
      </c>
      <c r="L553" s="7">
        <v>1</v>
      </c>
      <c r="M553" s="9">
        <v>2079.1999999999998</v>
      </c>
      <c r="N553" s="7">
        <v>1</v>
      </c>
    </row>
    <row r="554" spans="1:14" x14ac:dyDescent="0.25">
      <c r="A554" s="6">
        <v>553</v>
      </c>
      <c r="B554" s="7">
        <v>15763063</v>
      </c>
      <c r="C554" s="6" t="s">
        <v>471</v>
      </c>
      <c r="D554" s="7">
        <v>685</v>
      </c>
      <c r="E554" s="6" t="s">
        <v>18</v>
      </c>
      <c r="F554" s="6" t="s">
        <v>16</v>
      </c>
      <c r="G554" s="7">
        <v>25</v>
      </c>
      <c r="H554" s="7">
        <v>10</v>
      </c>
      <c r="I554" s="8">
        <v>128509.63</v>
      </c>
      <c r="J554" s="7">
        <v>1</v>
      </c>
      <c r="K554" s="7">
        <v>1</v>
      </c>
      <c r="L554" s="7">
        <v>0</v>
      </c>
      <c r="M554" s="9">
        <v>121562.33</v>
      </c>
      <c r="N554" s="7">
        <v>0</v>
      </c>
    </row>
    <row r="555" spans="1:14" x14ac:dyDescent="0.25">
      <c r="A555" s="6">
        <v>554</v>
      </c>
      <c r="B555" s="7">
        <v>15709324</v>
      </c>
      <c r="C555" s="6" t="s">
        <v>472</v>
      </c>
      <c r="D555" s="7">
        <v>417</v>
      </c>
      <c r="E555" s="6" t="s">
        <v>754</v>
      </c>
      <c r="F555" s="6" t="s">
        <v>23</v>
      </c>
      <c r="G555" s="7">
        <v>34</v>
      </c>
      <c r="H555" s="7">
        <v>7</v>
      </c>
      <c r="I555" s="8">
        <v>0</v>
      </c>
      <c r="J555" s="7">
        <v>2</v>
      </c>
      <c r="K555" s="7">
        <v>1</v>
      </c>
      <c r="L555" s="7">
        <v>0</v>
      </c>
      <c r="M555" s="9">
        <v>55003.79</v>
      </c>
      <c r="N555" s="7">
        <v>0</v>
      </c>
    </row>
    <row r="556" spans="1:14" x14ac:dyDescent="0.25">
      <c r="A556" s="6">
        <v>555</v>
      </c>
      <c r="B556" s="7">
        <v>15711309</v>
      </c>
      <c r="C556" s="6" t="s">
        <v>473</v>
      </c>
      <c r="D556" s="7">
        <v>574</v>
      </c>
      <c r="E556" s="6" t="s">
        <v>26</v>
      </c>
      <c r="F556" s="6" t="s">
        <v>23</v>
      </c>
      <c r="G556" s="7">
        <v>33</v>
      </c>
      <c r="H556" s="7">
        <v>3</v>
      </c>
      <c r="I556" s="8">
        <v>129834.67</v>
      </c>
      <c r="J556" s="7">
        <v>1</v>
      </c>
      <c r="K556" s="7">
        <v>1</v>
      </c>
      <c r="L556" s="7">
        <v>0</v>
      </c>
      <c r="M556" s="9">
        <v>193131.42</v>
      </c>
      <c r="N556" s="7">
        <v>0</v>
      </c>
    </row>
    <row r="557" spans="1:14" x14ac:dyDescent="0.25">
      <c r="A557" s="6">
        <v>556</v>
      </c>
      <c r="B557" s="7">
        <v>15775318</v>
      </c>
      <c r="C557" s="6" t="s">
        <v>456</v>
      </c>
      <c r="D557" s="7">
        <v>590</v>
      </c>
      <c r="E557" s="6" t="s">
        <v>18</v>
      </c>
      <c r="F557" s="6" t="s">
        <v>16</v>
      </c>
      <c r="G557" s="7">
        <v>51</v>
      </c>
      <c r="H557" s="7">
        <v>3</v>
      </c>
      <c r="I557" s="8">
        <v>154962.99</v>
      </c>
      <c r="J557" s="7">
        <v>3</v>
      </c>
      <c r="K557" s="7">
        <v>0</v>
      </c>
      <c r="L557" s="7">
        <v>1</v>
      </c>
      <c r="M557" s="9">
        <v>191932.27</v>
      </c>
      <c r="N557" s="7">
        <v>1</v>
      </c>
    </row>
    <row r="558" spans="1:14" x14ac:dyDescent="0.25">
      <c r="A558" s="6">
        <v>557</v>
      </c>
      <c r="B558" s="7">
        <v>15705515</v>
      </c>
      <c r="C558" s="6" t="s">
        <v>474</v>
      </c>
      <c r="D558" s="7">
        <v>587</v>
      </c>
      <c r="E558" s="6" t="s">
        <v>26</v>
      </c>
      <c r="F558" s="6" t="s">
        <v>23</v>
      </c>
      <c r="G558" s="7">
        <v>40</v>
      </c>
      <c r="H558" s="7">
        <v>5</v>
      </c>
      <c r="I558" s="8">
        <v>138241.9</v>
      </c>
      <c r="J558" s="7">
        <v>2</v>
      </c>
      <c r="K558" s="7">
        <v>1</v>
      </c>
      <c r="L558" s="7">
        <v>0</v>
      </c>
      <c r="M558" s="9">
        <v>159418.1</v>
      </c>
      <c r="N558" s="7">
        <v>0</v>
      </c>
    </row>
    <row r="559" spans="1:14" x14ac:dyDescent="0.25">
      <c r="A559" s="6">
        <v>558</v>
      </c>
      <c r="B559" s="7">
        <v>15634844</v>
      </c>
      <c r="C559" s="6" t="s">
        <v>215</v>
      </c>
      <c r="D559" s="7">
        <v>598</v>
      </c>
      <c r="E559" s="6" t="s">
        <v>26</v>
      </c>
      <c r="F559" s="6" t="s">
        <v>23</v>
      </c>
      <c r="G559" s="7">
        <v>41</v>
      </c>
      <c r="H559" s="7">
        <v>3</v>
      </c>
      <c r="I559" s="8">
        <v>91536.93</v>
      </c>
      <c r="J559" s="7">
        <v>1</v>
      </c>
      <c r="K559" s="7">
        <v>1</v>
      </c>
      <c r="L559" s="7">
        <v>0</v>
      </c>
      <c r="M559" s="9">
        <v>191468.78</v>
      </c>
      <c r="N559" s="7">
        <v>1</v>
      </c>
    </row>
    <row r="560" spans="1:14" ht="30" x14ac:dyDescent="0.25">
      <c r="A560" s="6">
        <v>559</v>
      </c>
      <c r="B560" s="7">
        <v>15717046</v>
      </c>
      <c r="C560" s="6" t="s">
        <v>475</v>
      </c>
      <c r="D560" s="7">
        <v>741</v>
      </c>
      <c r="E560" s="6" t="s">
        <v>18</v>
      </c>
      <c r="F560" s="6" t="s">
        <v>756</v>
      </c>
      <c r="G560" s="7">
        <v>53</v>
      </c>
      <c r="H560" s="7">
        <v>3</v>
      </c>
      <c r="I560" s="8">
        <v>0</v>
      </c>
      <c r="J560" s="7">
        <v>2</v>
      </c>
      <c r="K560" s="7">
        <v>1</v>
      </c>
      <c r="L560" s="7">
        <v>1</v>
      </c>
      <c r="M560" s="9">
        <v>38913.68</v>
      </c>
      <c r="N560" s="7">
        <v>0</v>
      </c>
    </row>
    <row r="561" spans="1:14" x14ac:dyDescent="0.25">
      <c r="A561" s="6">
        <v>560</v>
      </c>
      <c r="B561" s="7">
        <v>15571816</v>
      </c>
      <c r="C561" s="6" t="s">
        <v>109</v>
      </c>
      <c r="D561" s="7">
        <v>850</v>
      </c>
      <c r="E561" s="6" t="s">
        <v>18</v>
      </c>
      <c r="F561" s="6" t="s">
        <v>16</v>
      </c>
      <c r="G561" s="7">
        <v>70</v>
      </c>
      <c r="H561" s="7">
        <v>5</v>
      </c>
      <c r="I561" s="8">
        <v>0</v>
      </c>
      <c r="J561" s="7">
        <v>1</v>
      </c>
      <c r="K561" s="7">
        <v>1</v>
      </c>
      <c r="L561" s="7">
        <v>1</v>
      </c>
      <c r="M561" s="9">
        <v>705.18</v>
      </c>
      <c r="N561" s="7">
        <v>0</v>
      </c>
    </row>
    <row r="562" spans="1:14" x14ac:dyDescent="0.25">
      <c r="A562" s="6">
        <v>561</v>
      </c>
      <c r="B562" s="7">
        <v>15670080</v>
      </c>
      <c r="C562" s="6" t="s">
        <v>476</v>
      </c>
      <c r="D562" s="7">
        <v>584</v>
      </c>
      <c r="E562" s="6" t="s">
        <v>26</v>
      </c>
      <c r="F562" s="6" t="s">
        <v>16</v>
      </c>
      <c r="G562" s="7">
        <v>29</v>
      </c>
      <c r="H562" s="7">
        <v>7</v>
      </c>
      <c r="I562" s="8">
        <v>105204.01</v>
      </c>
      <c r="J562" s="7">
        <v>1</v>
      </c>
      <c r="K562" s="7">
        <v>0</v>
      </c>
      <c r="L562" s="7">
        <v>1</v>
      </c>
      <c r="M562" s="9">
        <v>138490.03</v>
      </c>
      <c r="N562" s="7">
        <v>0</v>
      </c>
    </row>
    <row r="563" spans="1:14" x14ac:dyDescent="0.25">
      <c r="A563" s="6">
        <v>562</v>
      </c>
      <c r="B563" s="7">
        <v>15800440</v>
      </c>
      <c r="C563" s="6" t="s">
        <v>328</v>
      </c>
      <c r="D563" s="7">
        <v>650</v>
      </c>
      <c r="E563" s="6" t="s">
        <v>18</v>
      </c>
      <c r="F563" s="6" t="s">
        <v>756</v>
      </c>
      <c r="G563" s="7">
        <v>61</v>
      </c>
      <c r="H563" s="7">
        <v>1</v>
      </c>
      <c r="I563" s="8">
        <v>152968.73000000001</v>
      </c>
      <c r="J563" s="7">
        <v>1</v>
      </c>
      <c r="K563" s="7">
        <v>0</v>
      </c>
      <c r="L563" s="7">
        <v>1</v>
      </c>
      <c r="M563" s="9">
        <v>82970.69</v>
      </c>
      <c r="N563" s="7">
        <v>0</v>
      </c>
    </row>
    <row r="564" spans="1:14" x14ac:dyDescent="0.25">
      <c r="A564" s="6">
        <v>563</v>
      </c>
      <c r="B564" s="7">
        <v>15665678</v>
      </c>
      <c r="C564" s="6" t="s">
        <v>213</v>
      </c>
      <c r="D564" s="7">
        <v>607</v>
      </c>
      <c r="E564" s="6" t="s">
        <v>18</v>
      </c>
      <c r="F564" s="6" t="s">
        <v>756</v>
      </c>
      <c r="G564" s="7">
        <v>36</v>
      </c>
      <c r="H564" s="7">
        <v>8</v>
      </c>
      <c r="I564" s="8">
        <v>158261.68</v>
      </c>
      <c r="J564" s="7">
        <v>1</v>
      </c>
      <c r="K564" s="7">
        <v>1</v>
      </c>
      <c r="L564" s="7">
        <v>1</v>
      </c>
      <c r="M564" s="9">
        <v>76744.72</v>
      </c>
      <c r="N564" s="7">
        <v>0</v>
      </c>
    </row>
    <row r="565" spans="1:14" x14ac:dyDescent="0.25">
      <c r="A565" s="6">
        <v>564</v>
      </c>
      <c r="B565" s="7">
        <v>15665956</v>
      </c>
      <c r="C565" s="6" t="s">
        <v>477</v>
      </c>
      <c r="D565" s="7">
        <v>509</v>
      </c>
      <c r="E565" s="6" t="s">
        <v>754</v>
      </c>
      <c r="F565" s="6" t="s">
        <v>16</v>
      </c>
      <c r="G565" s="7">
        <v>46</v>
      </c>
      <c r="H565" s="7">
        <v>1</v>
      </c>
      <c r="I565" s="8">
        <v>0</v>
      </c>
      <c r="J565" s="7">
        <v>1</v>
      </c>
      <c r="K565" s="7">
        <v>1</v>
      </c>
      <c r="L565" s="7">
        <v>0</v>
      </c>
      <c r="M565" s="9">
        <v>71244.59</v>
      </c>
      <c r="N565" s="7">
        <v>1</v>
      </c>
    </row>
    <row r="566" spans="1:14" x14ac:dyDescent="0.25">
      <c r="A566" s="6">
        <v>565</v>
      </c>
      <c r="B566" s="7">
        <v>15788126</v>
      </c>
      <c r="C566" s="6" t="s">
        <v>412</v>
      </c>
      <c r="D566" s="7">
        <v>689</v>
      </c>
      <c r="E566" s="6" t="s">
        <v>18</v>
      </c>
      <c r="F566" s="6" t="s">
        <v>16</v>
      </c>
      <c r="G566" s="7">
        <v>38</v>
      </c>
      <c r="H566" s="7">
        <v>6</v>
      </c>
      <c r="I566" s="8">
        <v>121021.05</v>
      </c>
      <c r="J566" s="7">
        <v>1</v>
      </c>
      <c r="K566" s="7">
        <v>1</v>
      </c>
      <c r="L566" s="7">
        <v>1</v>
      </c>
      <c r="M566" s="9">
        <v>12182.15</v>
      </c>
      <c r="N566" s="7">
        <v>0</v>
      </c>
    </row>
    <row r="567" spans="1:14" x14ac:dyDescent="0.25">
      <c r="A567" s="6">
        <v>566</v>
      </c>
      <c r="B567" s="7">
        <v>15811773</v>
      </c>
      <c r="C567" s="6" t="s">
        <v>189</v>
      </c>
      <c r="D567" s="7">
        <v>543</v>
      </c>
      <c r="E567" s="6" t="s">
        <v>754</v>
      </c>
      <c r="F567" s="6" t="s">
        <v>23</v>
      </c>
      <c r="G567" s="7">
        <v>36</v>
      </c>
      <c r="H567" s="7">
        <v>4</v>
      </c>
      <c r="I567" s="8">
        <v>0</v>
      </c>
      <c r="J567" s="7">
        <v>2</v>
      </c>
      <c r="K567" s="7">
        <v>1</v>
      </c>
      <c r="L567" s="7">
        <v>1</v>
      </c>
      <c r="M567" s="9">
        <v>141210.5</v>
      </c>
      <c r="N567" s="7">
        <v>0</v>
      </c>
    </row>
    <row r="568" spans="1:14" x14ac:dyDescent="0.25">
      <c r="A568" s="6">
        <v>567</v>
      </c>
      <c r="B568" s="7">
        <v>15651674</v>
      </c>
      <c r="C568" s="6" t="s">
        <v>478</v>
      </c>
      <c r="D568" s="7">
        <v>438</v>
      </c>
      <c r="E568" s="6" t="s">
        <v>18</v>
      </c>
      <c r="F568" s="6" t="s">
        <v>16</v>
      </c>
      <c r="G568" s="7">
        <v>54</v>
      </c>
      <c r="H568" s="7">
        <v>2</v>
      </c>
      <c r="I568" s="8">
        <v>0</v>
      </c>
      <c r="J568" s="7">
        <v>1</v>
      </c>
      <c r="K568" s="7">
        <v>0</v>
      </c>
      <c r="L568" s="7">
        <v>0</v>
      </c>
      <c r="M568" s="9">
        <v>191763.07</v>
      </c>
      <c r="N568" s="7">
        <v>1</v>
      </c>
    </row>
    <row r="569" spans="1:14" x14ac:dyDescent="0.25">
      <c r="A569" s="6">
        <v>568</v>
      </c>
      <c r="B569" s="7">
        <v>15689614</v>
      </c>
      <c r="C569" s="6" t="s">
        <v>479</v>
      </c>
      <c r="D569" s="7">
        <v>687</v>
      </c>
      <c r="E569" s="6" t="s">
        <v>18</v>
      </c>
      <c r="F569" s="6" t="s">
        <v>16</v>
      </c>
      <c r="G569" s="7">
        <v>63</v>
      </c>
      <c r="H569" s="7">
        <v>1</v>
      </c>
      <c r="I569" s="8">
        <v>137715.66</v>
      </c>
      <c r="J569" s="7">
        <v>1</v>
      </c>
      <c r="K569" s="7">
        <v>1</v>
      </c>
      <c r="L569" s="7">
        <v>1</v>
      </c>
      <c r="M569" s="9">
        <v>37938.74</v>
      </c>
      <c r="N569" s="7">
        <v>0</v>
      </c>
    </row>
    <row r="570" spans="1:14" x14ac:dyDescent="0.25">
      <c r="A570" s="6">
        <v>569</v>
      </c>
      <c r="B570" s="7">
        <v>15795564</v>
      </c>
      <c r="C570" s="6" t="s">
        <v>480</v>
      </c>
      <c r="D570" s="7">
        <v>737</v>
      </c>
      <c r="E570" s="6" t="s">
        <v>26</v>
      </c>
      <c r="F570" s="6" t="s">
        <v>23</v>
      </c>
      <c r="G570" s="7">
        <v>31</v>
      </c>
      <c r="H570" s="7">
        <v>5</v>
      </c>
      <c r="I570" s="8">
        <v>121192.22</v>
      </c>
      <c r="J570" s="7">
        <v>2</v>
      </c>
      <c r="K570" s="7">
        <v>1</v>
      </c>
      <c r="L570" s="7">
        <v>1</v>
      </c>
      <c r="M570" s="9">
        <v>74890.58</v>
      </c>
      <c r="N570" s="7">
        <v>0</v>
      </c>
    </row>
    <row r="571" spans="1:14" x14ac:dyDescent="0.25">
      <c r="A571" s="6">
        <v>570</v>
      </c>
      <c r="B571" s="7">
        <v>15706647</v>
      </c>
      <c r="C571" s="6" t="s">
        <v>481</v>
      </c>
      <c r="D571" s="7">
        <v>761</v>
      </c>
      <c r="E571" s="6" t="s">
        <v>754</v>
      </c>
      <c r="F571" s="6" t="s">
        <v>23</v>
      </c>
      <c r="G571" s="7">
        <v>31</v>
      </c>
      <c r="H571" s="7">
        <v>7</v>
      </c>
      <c r="I571" s="8">
        <v>0</v>
      </c>
      <c r="J571" s="7">
        <v>3</v>
      </c>
      <c r="K571" s="7">
        <v>1</v>
      </c>
      <c r="L571" s="7">
        <v>1</v>
      </c>
      <c r="M571" s="9">
        <v>166698.18</v>
      </c>
      <c r="N571" s="7">
        <v>0</v>
      </c>
    </row>
    <row r="572" spans="1:14" x14ac:dyDescent="0.25">
      <c r="A572" s="6">
        <v>571</v>
      </c>
      <c r="B572" s="7">
        <v>15728505</v>
      </c>
      <c r="C572" s="6" t="s">
        <v>482</v>
      </c>
      <c r="D572" s="7">
        <v>601</v>
      </c>
      <c r="E572" s="6" t="s">
        <v>754</v>
      </c>
      <c r="F572" s="6" t="s">
        <v>23</v>
      </c>
      <c r="G572" s="7">
        <v>44</v>
      </c>
      <c r="H572" s="7">
        <v>1</v>
      </c>
      <c r="I572" s="8">
        <v>100486.18</v>
      </c>
      <c r="J572" s="7">
        <v>2</v>
      </c>
      <c r="K572" s="7">
        <v>1</v>
      </c>
      <c r="L572" s="7">
        <v>1</v>
      </c>
      <c r="M572" s="9">
        <v>62678.53</v>
      </c>
      <c r="N572" s="7">
        <v>0</v>
      </c>
    </row>
    <row r="573" spans="1:14" x14ac:dyDescent="0.25">
      <c r="A573" s="6">
        <v>572</v>
      </c>
      <c r="B573" s="7">
        <v>15730076</v>
      </c>
      <c r="C573" s="6" t="s">
        <v>61</v>
      </c>
      <c r="D573" s="7">
        <v>651</v>
      </c>
      <c r="E573" s="6" t="s">
        <v>754</v>
      </c>
      <c r="F573" s="6" t="s">
        <v>23</v>
      </c>
      <c r="G573" s="7">
        <v>45</v>
      </c>
      <c r="H573" s="7">
        <v>1</v>
      </c>
      <c r="I573" s="8">
        <v>0</v>
      </c>
      <c r="J573" s="7">
        <v>1</v>
      </c>
      <c r="K573" s="7">
        <v>1</v>
      </c>
      <c r="L573" s="7">
        <v>0</v>
      </c>
      <c r="M573" s="9">
        <v>67740.08</v>
      </c>
      <c r="N573" s="7">
        <v>1</v>
      </c>
    </row>
    <row r="574" spans="1:14" x14ac:dyDescent="0.25">
      <c r="A574" s="6">
        <v>573</v>
      </c>
      <c r="B574" s="7">
        <v>15622003</v>
      </c>
      <c r="C574" s="6" t="s">
        <v>427</v>
      </c>
      <c r="D574" s="7">
        <v>745</v>
      </c>
      <c r="E574" s="6" t="s">
        <v>754</v>
      </c>
      <c r="F574" s="6" t="s">
        <v>23</v>
      </c>
      <c r="G574" s="7">
        <v>35</v>
      </c>
      <c r="H574" s="7">
        <v>9</v>
      </c>
      <c r="I574" s="8">
        <v>92566.53</v>
      </c>
      <c r="J574" s="7">
        <v>2</v>
      </c>
      <c r="K574" s="7">
        <v>1</v>
      </c>
      <c r="L574" s="7">
        <v>0</v>
      </c>
      <c r="M574" s="9">
        <v>161519.76999999999</v>
      </c>
      <c r="N574" s="7">
        <v>0</v>
      </c>
    </row>
    <row r="575" spans="1:14" x14ac:dyDescent="0.25">
      <c r="A575" s="6">
        <v>574</v>
      </c>
      <c r="B575" s="7">
        <v>15607312</v>
      </c>
      <c r="C575" s="6" t="s">
        <v>483</v>
      </c>
      <c r="D575" s="7">
        <v>648</v>
      </c>
      <c r="E575" s="6" t="s">
        <v>18</v>
      </c>
      <c r="F575" s="6" t="s">
        <v>16</v>
      </c>
      <c r="G575" s="7">
        <v>49</v>
      </c>
      <c r="H575" s="7">
        <v>10</v>
      </c>
      <c r="I575" s="8">
        <v>0</v>
      </c>
      <c r="J575" s="7">
        <v>2</v>
      </c>
      <c r="K575" s="7">
        <v>1</v>
      </c>
      <c r="L575" s="7">
        <v>1</v>
      </c>
      <c r="M575" s="9">
        <v>159835.78</v>
      </c>
      <c r="N575" s="7">
        <v>1</v>
      </c>
    </row>
    <row r="576" spans="1:14" x14ac:dyDescent="0.25">
      <c r="A576" s="6">
        <v>575</v>
      </c>
      <c r="B576" s="7">
        <v>15644753</v>
      </c>
      <c r="C576" s="6" t="s">
        <v>118</v>
      </c>
      <c r="D576" s="7">
        <v>848</v>
      </c>
      <c r="E576" s="6" t="s">
        <v>18</v>
      </c>
      <c r="F576" s="6" t="s">
        <v>756</v>
      </c>
      <c r="G576" s="7">
        <v>40</v>
      </c>
      <c r="H576" s="7">
        <v>3</v>
      </c>
      <c r="I576" s="8">
        <v>110929.96</v>
      </c>
      <c r="J576" s="7">
        <v>1</v>
      </c>
      <c r="K576" s="7">
        <v>1</v>
      </c>
      <c r="L576" s="7">
        <v>1</v>
      </c>
      <c r="M576" s="9">
        <v>30876.84</v>
      </c>
      <c r="N576" s="7">
        <v>0</v>
      </c>
    </row>
    <row r="577" spans="1:14" x14ac:dyDescent="0.25">
      <c r="A577" s="6">
        <v>576</v>
      </c>
      <c r="B577" s="7">
        <v>15653620</v>
      </c>
      <c r="C577" s="6" t="s">
        <v>304</v>
      </c>
      <c r="D577" s="7">
        <v>546</v>
      </c>
      <c r="E577" s="6" t="s">
        <v>754</v>
      </c>
      <c r="F577" s="6" t="s">
        <v>16</v>
      </c>
      <c r="G577" s="7">
        <v>27</v>
      </c>
      <c r="H577" s="7">
        <v>8</v>
      </c>
      <c r="I577" s="8">
        <v>0</v>
      </c>
      <c r="J577" s="7">
        <v>2</v>
      </c>
      <c r="K577" s="7">
        <v>1</v>
      </c>
      <c r="L577" s="7">
        <v>1</v>
      </c>
      <c r="M577" s="9">
        <v>14858.1</v>
      </c>
      <c r="N577" s="7">
        <v>0</v>
      </c>
    </row>
    <row r="578" spans="1:14" x14ac:dyDescent="0.25">
      <c r="A578" s="6">
        <v>577</v>
      </c>
      <c r="B578" s="7">
        <v>15761986</v>
      </c>
      <c r="C578" s="6" t="s">
        <v>484</v>
      </c>
      <c r="D578" s="7">
        <v>439</v>
      </c>
      <c r="E578" s="6" t="s">
        <v>18</v>
      </c>
      <c r="F578" s="6" t="s">
        <v>16</v>
      </c>
      <c r="G578" s="7">
        <v>32</v>
      </c>
      <c r="H578" s="7">
        <v>3</v>
      </c>
      <c r="I578" s="8">
        <v>138901.60999999999</v>
      </c>
      <c r="J578" s="7">
        <v>1</v>
      </c>
      <c r="K578" s="7">
        <v>1</v>
      </c>
      <c r="L578" s="7">
        <v>0</v>
      </c>
      <c r="M578" s="9">
        <v>75685.97</v>
      </c>
      <c r="N578" s="7">
        <v>0</v>
      </c>
    </row>
    <row r="579" spans="1:14" x14ac:dyDescent="0.25">
      <c r="A579" s="6">
        <v>578</v>
      </c>
      <c r="B579" s="7">
        <v>15633922</v>
      </c>
      <c r="C579" s="6" t="s">
        <v>485</v>
      </c>
      <c r="D579" s="7">
        <v>755</v>
      </c>
      <c r="E579" s="6" t="s">
        <v>754</v>
      </c>
      <c r="F579" s="6" t="s">
        <v>23</v>
      </c>
      <c r="G579" s="7">
        <v>30</v>
      </c>
      <c r="H579" s="7">
        <v>4</v>
      </c>
      <c r="I579" s="8">
        <v>123217.66</v>
      </c>
      <c r="J579" s="7">
        <v>2</v>
      </c>
      <c r="K579" s="7">
        <v>0</v>
      </c>
      <c r="L579" s="7">
        <v>1</v>
      </c>
      <c r="M579" s="9">
        <v>144183.1</v>
      </c>
      <c r="N579" s="7">
        <v>0</v>
      </c>
    </row>
    <row r="580" spans="1:14" x14ac:dyDescent="0.25">
      <c r="A580" s="6">
        <v>579</v>
      </c>
      <c r="B580" s="7">
        <v>15734674</v>
      </c>
      <c r="C580" s="6" t="s">
        <v>486</v>
      </c>
      <c r="D580" s="7">
        <v>593</v>
      </c>
      <c r="E580" s="6" t="s">
        <v>754</v>
      </c>
      <c r="F580" s="6" t="s">
        <v>16</v>
      </c>
      <c r="G580" s="7">
        <v>41</v>
      </c>
      <c r="H580" s="7">
        <v>6</v>
      </c>
      <c r="I580" s="8">
        <v>0</v>
      </c>
      <c r="J580" s="7">
        <v>1</v>
      </c>
      <c r="K580" s="7">
        <v>1</v>
      </c>
      <c r="L580" s="7">
        <v>0</v>
      </c>
      <c r="M580" s="9">
        <v>65170.66</v>
      </c>
      <c r="N580" s="7">
        <v>0</v>
      </c>
    </row>
    <row r="581" spans="1:14" x14ac:dyDescent="0.25">
      <c r="A581" s="6">
        <v>580</v>
      </c>
      <c r="B581" s="7">
        <v>15658032</v>
      </c>
      <c r="C581" s="6" t="s">
        <v>487</v>
      </c>
      <c r="D581" s="7">
        <v>701</v>
      </c>
      <c r="E581" s="6" t="s">
        <v>754</v>
      </c>
      <c r="F581" s="6" t="s">
        <v>23</v>
      </c>
      <c r="G581" s="7">
        <v>39</v>
      </c>
      <c r="H581" s="7">
        <v>2</v>
      </c>
      <c r="I581" s="8">
        <v>0</v>
      </c>
      <c r="J581" s="7">
        <v>2</v>
      </c>
      <c r="K581" s="7">
        <v>1</v>
      </c>
      <c r="L581" s="7">
        <v>1</v>
      </c>
      <c r="M581" s="9">
        <v>82526.92</v>
      </c>
      <c r="N581" s="7">
        <v>0</v>
      </c>
    </row>
    <row r="582" spans="1:14" x14ac:dyDescent="0.25">
      <c r="A582" s="6">
        <v>581</v>
      </c>
      <c r="B582" s="7">
        <v>15692671</v>
      </c>
      <c r="C582" s="6" t="s">
        <v>488</v>
      </c>
      <c r="D582" s="7">
        <v>701</v>
      </c>
      <c r="E582" s="6" t="s">
        <v>18</v>
      </c>
      <c r="F582" s="6" t="s">
        <v>756</v>
      </c>
      <c r="G582" s="7">
        <v>36</v>
      </c>
      <c r="H582" s="7">
        <v>8</v>
      </c>
      <c r="I582" s="8">
        <v>0</v>
      </c>
      <c r="J582" s="7">
        <v>2</v>
      </c>
      <c r="K582" s="7">
        <v>1</v>
      </c>
      <c r="L582" s="7">
        <v>0</v>
      </c>
      <c r="M582" s="9">
        <v>169161.46</v>
      </c>
      <c r="N582" s="7">
        <v>0</v>
      </c>
    </row>
    <row r="583" spans="1:14" x14ac:dyDescent="0.25">
      <c r="A583" s="6">
        <v>582</v>
      </c>
      <c r="B583" s="7">
        <v>15737741</v>
      </c>
      <c r="C583" s="6" t="s">
        <v>489</v>
      </c>
      <c r="D583" s="7">
        <v>607</v>
      </c>
      <c r="E583" s="6" t="s">
        <v>18</v>
      </c>
      <c r="F583" s="6" t="s">
        <v>16</v>
      </c>
      <c r="G583" s="7">
        <v>33</v>
      </c>
      <c r="H583" s="7">
        <v>2</v>
      </c>
      <c r="I583" s="8">
        <v>108431.87</v>
      </c>
      <c r="J583" s="7">
        <v>2</v>
      </c>
      <c r="K583" s="7">
        <v>0</v>
      </c>
      <c r="L583" s="7">
        <v>1</v>
      </c>
      <c r="M583" s="9">
        <v>109291.39</v>
      </c>
      <c r="N583" s="7">
        <v>1</v>
      </c>
    </row>
    <row r="584" spans="1:14" x14ac:dyDescent="0.25">
      <c r="A584" s="6">
        <v>583</v>
      </c>
      <c r="B584" s="7">
        <v>15576352</v>
      </c>
      <c r="C584" s="6" t="s">
        <v>490</v>
      </c>
      <c r="D584" s="7">
        <v>586</v>
      </c>
      <c r="E584" s="6" t="s">
        <v>18</v>
      </c>
      <c r="F584" s="6" t="s">
        <v>16</v>
      </c>
      <c r="G584" s="7">
        <v>57</v>
      </c>
      <c r="H584" s="7">
        <v>3</v>
      </c>
      <c r="I584" s="8">
        <v>0</v>
      </c>
      <c r="J584" s="7">
        <v>2</v>
      </c>
      <c r="K584" s="7">
        <v>0</v>
      </c>
      <c r="L584" s="7">
        <v>1</v>
      </c>
      <c r="M584" s="9">
        <v>6057.81</v>
      </c>
      <c r="N584" s="7">
        <v>0</v>
      </c>
    </row>
    <row r="585" spans="1:14" x14ac:dyDescent="0.25">
      <c r="A585" s="6">
        <v>584</v>
      </c>
      <c r="B585" s="7">
        <v>15753719</v>
      </c>
      <c r="C585" s="6" t="s">
        <v>491</v>
      </c>
      <c r="D585" s="7">
        <v>547</v>
      </c>
      <c r="E585" s="6" t="s">
        <v>26</v>
      </c>
      <c r="F585" s="6" t="s">
        <v>16</v>
      </c>
      <c r="G585" s="7">
        <v>30</v>
      </c>
      <c r="H585" s="7">
        <v>9</v>
      </c>
      <c r="I585" s="8">
        <v>72392.41</v>
      </c>
      <c r="J585" s="7">
        <v>1</v>
      </c>
      <c r="K585" s="7">
        <v>1</v>
      </c>
      <c r="L585" s="7">
        <v>0</v>
      </c>
      <c r="M585" s="9">
        <v>77077.14</v>
      </c>
      <c r="N585" s="7">
        <v>0</v>
      </c>
    </row>
    <row r="586" spans="1:14" x14ac:dyDescent="0.25">
      <c r="A586" s="6">
        <v>585</v>
      </c>
      <c r="B586" s="7">
        <v>15803689</v>
      </c>
      <c r="C586" s="6" t="s">
        <v>492</v>
      </c>
      <c r="D586" s="7">
        <v>647</v>
      </c>
      <c r="E586" s="6" t="s">
        <v>26</v>
      </c>
      <c r="F586" s="6" t="s">
        <v>16</v>
      </c>
      <c r="G586" s="7">
        <v>51</v>
      </c>
      <c r="H586" s="7">
        <v>1</v>
      </c>
      <c r="I586" s="8">
        <v>119741.77</v>
      </c>
      <c r="J586" s="7">
        <v>2</v>
      </c>
      <c r="K586" s="7">
        <v>0</v>
      </c>
      <c r="L586" s="7">
        <v>0</v>
      </c>
      <c r="M586" s="9">
        <v>54954.51</v>
      </c>
      <c r="N586" s="7">
        <v>1</v>
      </c>
    </row>
    <row r="587" spans="1:14" ht="30" x14ac:dyDescent="0.25">
      <c r="A587" s="6">
        <v>586</v>
      </c>
      <c r="B587" s="7">
        <v>15718057</v>
      </c>
      <c r="C587" s="6" t="s">
        <v>493</v>
      </c>
      <c r="D587" s="7">
        <v>760</v>
      </c>
      <c r="E587" s="6" t="s">
        <v>754</v>
      </c>
      <c r="F587" s="6" t="s">
        <v>16</v>
      </c>
      <c r="G587" s="7">
        <v>51</v>
      </c>
      <c r="H587" s="7">
        <v>2</v>
      </c>
      <c r="I587" s="8">
        <v>100946.71</v>
      </c>
      <c r="J587" s="7">
        <v>1</v>
      </c>
      <c r="K587" s="7">
        <v>0</v>
      </c>
      <c r="L587" s="7">
        <v>0</v>
      </c>
      <c r="M587" s="9">
        <v>179614.8</v>
      </c>
      <c r="N587" s="7">
        <v>1</v>
      </c>
    </row>
    <row r="588" spans="1:14" x14ac:dyDescent="0.25">
      <c r="A588" s="6">
        <v>587</v>
      </c>
      <c r="B588" s="7">
        <v>15722010</v>
      </c>
      <c r="C588" s="6" t="s">
        <v>494</v>
      </c>
      <c r="D588" s="7">
        <v>621</v>
      </c>
      <c r="E588" s="6" t="s">
        <v>18</v>
      </c>
      <c r="F588" s="6" t="s">
        <v>756</v>
      </c>
      <c r="G588" s="7">
        <v>53</v>
      </c>
      <c r="H588" s="7">
        <v>9</v>
      </c>
      <c r="I588" s="8">
        <v>170491.84</v>
      </c>
      <c r="J588" s="7">
        <v>1</v>
      </c>
      <c r="K588" s="7">
        <v>1</v>
      </c>
      <c r="L588" s="7">
        <v>0</v>
      </c>
      <c r="M588" s="9">
        <v>35588.07</v>
      </c>
      <c r="N588" s="7">
        <v>1</v>
      </c>
    </row>
    <row r="589" spans="1:14" x14ac:dyDescent="0.25">
      <c r="A589" s="6">
        <v>588</v>
      </c>
      <c r="B589" s="7">
        <v>15680998</v>
      </c>
      <c r="C589" s="6" t="s">
        <v>495</v>
      </c>
      <c r="D589" s="7">
        <v>725</v>
      </c>
      <c r="E589" s="6" t="s">
        <v>754</v>
      </c>
      <c r="F589" s="6" t="s">
        <v>23</v>
      </c>
      <c r="G589" s="7">
        <v>44</v>
      </c>
      <c r="H589" s="7">
        <v>5</v>
      </c>
      <c r="I589" s="8">
        <v>0</v>
      </c>
      <c r="J589" s="7">
        <v>1</v>
      </c>
      <c r="K589" s="7">
        <v>1</v>
      </c>
      <c r="L589" s="7">
        <v>1</v>
      </c>
      <c r="M589" s="9">
        <v>117356.14</v>
      </c>
      <c r="N589" s="7">
        <v>0</v>
      </c>
    </row>
    <row r="590" spans="1:14" x14ac:dyDescent="0.25">
      <c r="A590" s="6">
        <v>589</v>
      </c>
      <c r="B590" s="7">
        <v>15614782</v>
      </c>
      <c r="C590" s="6" t="s">
        <v>38</v>
      </c>
      <c r="D590" s="7">
        <v>526</v>
      </c>
      <c r="E590" s="6" t="s">
        <v>754</v>
      </c>
      <c r="F590" s="6" t="s">
        <v>23</v>
      </c>
      <c r="G590" s="7">
        <v>36</v>
      </c>
      <c r="H590" s="7">
        <v>1</v>
      </c>
      <c r="I590" s="8">
        <v>0</v>
      </c>
      <c r="J590" s="7">
        <v>1</v>
      </c>
      <c r="K590" s="7">
        <v>1</v>
      </c>
      <c r="L590" s="7">
        <v>0</v>
      </c>
      <c r="M590" s="9">
        <v>160696.72</v>
      </c>
      <c r="N590" s="7">
        <v>0</v>
      </c>
    </row>
    <row r="591" spans="1:14" x14ac:dyDescent="0.25">
      <c r="A591" s="6">
        <v>590</v>
      </c>
      <c r="B591" s="7">
        <v>15591047</v>
      </c>
      <c r="C591" s="6" t="s">
        <v>149</v>
      </c>
      <c r="D591" s="7">
        <v>519</v>
      </c>
      <c r="E591" s="6" t="s">
        <v>18</v>
      </c>
      <c r="F591" s="6" t="s">
        <v>16</v>
      </c>
      <c r="G591" s="7">
        <v>47</v>
      </c>
      <c r="H591" s="7">
        <v>6</v>
      </c>
      <c r="I591" s="8">
        <v>157296.01999999999</v>
      </c>
      <c r="J591" s="7">
        <v>2</v>
      </c>
      <c r="K591" s="7">
        <v>0</v>
      </c>
      <c r="L591" s="7">
        <v>0</v>
      </c>
      <c r="M591" s="9">
        <v>147278.43</v>
      </c>
      <c r="N591" s="7">
        <v>1</v>
      </c>
    </row>
    <row r="592" spans="1:14" x14ac:dyDescent="0.25">
      <c r="A592" s="6">
        <v>591</v>
      </c>
      <c r="B592" s="7">
        <v>15788291</v>
      </c>
      <c r="C592" s="6" t="s">
        <v>496</v>
      </c>
      <c r="D592" s="7">
        <v>713</v>
      </c>
      <c r="E592" s="6" t="s">
        <v>26</v>
      </c>
      <c r="F592" s="6" t="s">
        <v>16</v>
      </c>
      <c r="G592" s="7">
        <v>38</v>
      </c>
      <c r="H592" s="7">
        <v>7</v>
      </c>
      <c r="I592" s="8">
        <v>144606.22</v>
      </c>
      <c r="J592" s="7">
        <v>1</v>
      </c>
      <c r="K592" s="7">
        <v>1</v>
      </c>
      <c r="L592" s="7">
        <v>1</v>
      </c>
      <c r="M592" s="9">
        <v>56594.36</v>
      </c>
      <c r="N592" s="7">
        <v>1</v>
      </c>
    </row>
    <row r="593" spans="1:14" x14ac:dyDescent="0.25">
      <c r="A593" s="6">
        <v>592</v>
      </c>
      <c r="B593" s="7">
        <v>15604044</v>
      </c>
      <c r="C593" s="6" t="s">
        <v>21</v>
      </c>
      <c r="D593" s="7">
        <v>700</v>
      </c>
      <c r="E593" s="6" t="s">
        <v>754</v>
      </c>
      <c r="F593" s="6" t="s">
        <v>23</v>
      </c>
      <c r="G593" s="7">
        <v>38</v>
      </c>
      <c r="H593" s="7">
        <v>8</v>
      </c>
      <c r="I593" s="8">
        <v>134811.29999999999</v>
      </c>
      <c r="J593" s="7">
        <v>1</v>
      </c>
      <c r="K593" s="7">
        <v>1</v>
      </c>
      <c r="L593" s="7">
        <v>0</v>
      </c>
      <c r="M593" s="9">
        <v>1299.75</v>
      </c>
      <c r="N593" s="7">
        <v>0</v>
      </c>
    </row>
    <row r="594" spans="1:14" x14ac:dyDescent="0.25">
      <c r="A594" s="6">
        <v>593</v>
      </c>
      <c r="B594" s="7">
        <v>15679587</v>
      </c>
      <c r="C594" s="6" t="s">
        <v>497</v>
      </c>
      <c r="D594" s="7">
        <v>666</v>
      </c>
      <c r="E594" s="6" t="s">
        <v>754</v>
      </c>
      <c r="F594" s="6" t="s">
        <v>16</v>
      </c>
      <c r="G594" s="7">
        <v>34</v>
      </c>
      <c r="H594" s="7">
        <v>9</v>
      </c>
      <c r="I594" s="8">
        <v>115897.12</v>
      </c>
      <c r="J594" s="7">
        <v>1</v>
      </c>
      <c r="K594" s="7">
        <v>1</v>
      </c>
      <c r="L594" s="7">
        <v>1</v>
      </c>
      <c r="M594" s="9">
        <v>25095.03</v>
      </c>
      <c r="N594" s="7">
        <v>0</v>
      </c>
    </row>
    <row r="595" spans="1:14" x14ac:dyDescent="0.25">
      <c r="A595" s="6">
        <v>594</v>
      </c>
      <c r="B595" s="7">
        <v>15775153</v>
      </c>
      <c r="C595" s="6" t="s">
        <v>498</v>
      </c>
      <c r="D595" s="7">
        <v>630</v>
      </c>
      <c r="E595" s="6" t="s">
        <v>18</v>
      </c>
      <c r="F595" s="6" t="s">
        <v>756</v>
      </c>
      <c r="G595" s="7">
        <v>32</v>
      </c>
      <c r="H595" s="7">
        <v>4</v>
      </c>
      <c r="I595" s="8">
        <v>82034</v>
      </c>
      <c r="J595" s="7">
        <v>1</v>
      </c>
      <c r="K595" s="7">
        <v>0</v>
      </c>
      <c r="L595" s="7">
        <v>0</v>
      </c>
      <c r="M595" s="9">
        <v>146326.45000000001</v>
      </c>
      <c r="N595" s="7">
        <v>0</v>
      </c>
    </row>
    <row r="596" spans="1:14" x14ac:dyDescent="0.25">
      <c r="A596" s="6">
        <v>595</v>
      </c>
      <c r="B596" s="7">
        <v>15603925</v>
      </c>
      <c r="C596" s="6" t="s">
        <v>352</v>
      </c>
      <c r="D596" s="7">
        <v>779</v>
      </c>
      <c r="E596" s="6" t="s">
        <v>18</v>
      </c>
      <c r="F596" s="6" t="s">
        <v>16</v>
      </c>
      <c r="G596" s="7">
        <v>26</v>
      </c>
      <c r="H596" s="7">
        <v>4</v>
      </c>
      <c r="I596" s="8">
        <v>174318.13</v>
      </c>
      <c r="J596" s="7">
        <v>2</v>
      </c>
      <c r="K596" s="7">
        <v>0</v>
      </c>
      <c r="L596" s="7">
        <v>1</v>
      </c>
      <c r="M596" s="9">
        <v>38296.21</v>
      </c>
      <c r="N596" s="7">
        <v>0</v>
      </c>
    </row>
    <row r="597" spans="1:14" x14ac:dyDescent="0.25">
      <c r="A597" s="6">
        <v>596</v>
      </c>
      <c r="B597" s="7">
        <v>15680970</v>
      </c>
      <c r="C597" s="6" t="s">
        <v>499</v>
      </c>
      <c r="D597" s="7">
        <v>611</v>
      </c>
      <c r="E597" s="6" t="s">
        <v>26</v>
      </c>
      <c r="F597" s="6" t="s">
        <v>16</v>
      </c>
      <c r="G597" s="7">
        <v>41</v>
      </c>
      <c r="H597" s="7">
        <v>2</v>
      </c>
      <c r="I597" s="8">
        <v>114206.84</v>
      </c>
      <c r="J597" s="7">
        <v>1</v>
      </c>
      <c r="K597" s="7">
        <v>1</v>
      </c>
      <c r="L597" s="7">
        <v>0</v>
      </c>
      <c r="M597" s="9">
        <v>164061.6</v>
      </c>
      <c r="N597" s="7">
        <v>0</v>
      </c>
    </row>
    <row r="598" spans="1:14" x14ac:dyDescent="0.25">
      <c r="A598" s="6">
        <v>597</v>
      </c>
      <c r="B598" s="7">
        <v>15697183</v>
      </c>
      <c r="C598" s="6" t="s">
        <v>500</v>
      </c>
      <c r="D598" s="7">
        <v>685</v>
      </c>
      <c r="E598" s="6" t="s">
        <v>18</v>
      </c>
      <c r="F598" s="6" t="s">
        <v>756</v>
      </c>
      <c r="G598" s="7">
        <v>43</v>
      </c>
      <c r="H598" s="7">
        <v>9</v>
      </c>
      <c r="I598" s="8">
        <v>0</v>
      </c>
      <c r="J598" s="7">
        <v>2</v>
      </c>
      <c r="K598" s="7">
        <v>1</v>
      </c>
      <c r="L598" s="7">
        <v>0</v>
      </c>
      <c r="M598" s="9">
        <v>107811.28</v>
      </c>
      <c r="N598" s="7">
        <v>0</v>
      </c>
    </row>
    <row r="599" spans="1:14" x14ac:dyDescent="0.25">
      <c r="A599" s="6">
        <v>598</v>
      </c>
      <c r="B599" s="7">
        <v>15567446</v>
      </c>
      <c r="C599" s="6" t="s">
        <v>501</v>
      </c>
      <c r="D599" s="7">
        <v>646</v>
      </c>
      <c r="E599" s="6" t="s">
        <v>26</v>
      </c>
      <c r="F599" s="6" t="s">
        <v>23</v>
      </c>
      <c r="G599" s="7">
        <v>39</v>
      </c>
      <c r="H599" s="7">
        <v>9</v>
      </c>
      <c r="I599" s="8">
        <v>111574.41</v>
      </c>
      <c r="J599" s="7">
        <v>1</v>
      </c>
      <c r="K599" s="7">
        <v>1</v>
      </c>
      <c r="L599" s="7">
        <v>1</v>
      </c>
      <c r="M599" s="9">
        <v>30838.51</v>
      </c>
      <c r="N599" s="7">
        <v>0</v>
      </c>
    </row>
    <row r="600" spans="1:14" x14ac:dyDescent="0.25">
      <c r="A600" s="6">
        <v>599</v>
      </c>
      <c r="B600" s="7">
        <v>15637476</v>
      </c>
      <c r="C600" s="6" t="s">
        <v>502</v>
      </c>
      <c r="D600" s="7">
        <v>683</v>
      </c>
      <c r="E600" s="6" t="s">
        <v>26</v>
      </c>
      <c r="F600" s="6" t="s">
        <v>16</v>
      </c>
      <c r="G600" s="7">
        <v>57</v>
      </c>
      <c r="H600" s="7">
        <v>5</v>
      </c>
      <c r="I600" s="8">
        <v>162448.69</v>
      </c>
      <c r="J600" s="7">
        <v>1</v>
      </c>
      <c r="K600" s="7">
        <v>0</v>
      </c>
      <c r="L600" s="7">
        <v>0</v>
      </c>
      <c r="M600" s="9">
        <v>9221.7800000000007</v>
      </c>
      <c r="N600" s="7">
        <v>1</v>
      </c>
    </row>
    <row r="601" spans="1:14" x14ac:dyDescent="0.25">
      <c r="A601" s="6">
        <v>600</v>
      </c>
      <c r="B601" s="7">
        <v>15714939</v>
      </c>
      <c r="C601" s="6" t="s">
        <v>503</v>
      </c>
      <c r="D601" s="7">
        <v>484</v>
      </c>
      <c r="E601" s="6" t="s">
        <v>26</v>
      </c>
      <c r="F601" s="6" t="s">
        <v>16</v>
      </c>
      <c r="G601" s="7">
        <v>34</v>
      </c>
      <c r="H601" s="7">
        <v>4</v>
      </c>
      <c r="I601" s="8">
        <v>148249.54</v>
      </c>
      <c r="J601" s="7">
        <v>1</v>
      </c>
      <c r="K601" s="7">
        <v>0</v>
      </c>
      <c r="L601" s="7">
        <v>1</v>
      </c>
      <c r="M601" s="9">
        <v>33738.269999999997</v>
      </c>
      <c r="N601" s="7">
        <v>0</v>
      </c>
    </row>
    <row r="602" spans="1:14" x14ac:dyDescent="0.25">
      <c r="A602" s="6">
        <v>601</v>
      </c>
      <c r="B602" s="7">
        <v>15683503</v>
      </c>
      <c r="C602" s="6" t="s">
        <v>504</v>
      </c>
      <c r="D602" s="7">
        <v>601</v>
      </c>
      <c r="E602" s="6" t="s">
        <v>754</v>
      </c>
      <c r="F602" s="6" t="s">
        <v>16</v>
      </c>
      <c r="G602" s="7">
        <v>43</v>
      </c>
      <c r="H602" s="7">
        <v>8</v>
      </c>
      <c r="I602" s="8">
        <v>0</v>
      </c>
      <c r="J602" s="7">
        <v>3</v>
      </c>
      <c r="K602" s="7">
        <v>0</v>
      </c>
      <c r="L602" s="7">
        <v>1</v>
      </c>
      <c r="M602" s="9">
        <v>110916.15</v>
      </c>
      <c r="N602" s="7">
        <v>1</v>
      </c>
    </row>
    <row r="603" spans="1:14" x14ac:dyDescent="0.25">
      <c r="A603" s="6">
        <v>602</v>
      </c>
      <c r="B603" s="7">
        <v>15645569</v>
      </c>
      <c r="C603" s="6" t="s">
        <v>460</v>
      </c>
      <c r="D603" s="7">
        <v>762</v>
      </c>
      <c r="E603" s="6" t="s">
        <v>18</v>
      </c>
      <c r="F603" s="6" t="s">
        <v>16</v>
      </c>
      <c r="G603" s="7">
        <v>26</v>
      </c>
      <c r="H603" s="7">
        <v>7</v>
      </c>
      <c r="I603" s="8">
        <v>123709.46</v>
      </c>
      <c r="J603" s="7">
        <v>2</v>
      </c>
      <c r="K603" s="7">
        <v>1</v>
      </c>
      <c r="L603" s="7">
        <v>1</v>
      </c>
      <c r="M603" s="9">
        <v>169654.57</v>
      </c>
      <c r="N603" s="7">
        <v>0</v>
      </c>
    </row>
    <row r="604" spans="1:14" x14ac:dyDescent="0.25">
      <c r="A604" s="6">
        <v>603</v>
      </c>
      <c r="B604" s="7">
        <v>15782569</v>
      </c>
      <c r="C604" s="6" t="s">
        <v>505</v>
      </c>
      <c r="D604" s="7">
        <v>687</v>
      </c>
      <c r="E604" s="6" t="s">
        <v>754</v>
      </c>
      <c r="F604" s="6" t="s">
        <v>16</v>
      </c>
      <c r="G604" s="7">
        <v>72</v>
      </c>
      <c r="H604" s="7">
        <v>9</v>
      </c>
      <c r="I604" s="8">
        <v>0</v>
      </c>
      <c r="J604" s="7">
        <v>1</v>
      </c>
      <c r="K604" s="7">
        <v>0</v>
      </c>
      <c r="L604" s="7">
        <v>1</v>
      </c>
      <c r="M604" s="9">
        <v>69829.399999999994</v>
      </c>
      <c r="N604" s="7">
        <v>0</v>
      </c>
    </row>
    <row r="605" spans="1:14" x14ac:dyDescent="0.25">
      <c r="A605" s="6">
        <v>604</v>
      </c>
      <c r="B605" s="7">
        <v>15592387</v>
      </c>
      <c r="C605" s="6" t="s">
        <v>506</v>
      </c>
      <c r="D605" s="7">
        <v>566</v>
      </c>
      <c r="E605" s="6" t="s">
        <v>754</v>
      </c>
      <c r="F605" s="6" t="s">
        <v>23</v>
      </c>
      <c r="G605" s="7">
        <v>30</v>
      </c>
      <c r="H605" s="7">
        <v>5</v>
      </c>
      <c r="I605" s="8">
        <v>0</v>
      </c>
      <c r="J605" s="7">
        <v>1</v>
      </c>
      <c r="K605" s="7">
        <v>1</v>
      </c>
      <c r="L605" s="7">
        <v>0</v>
      </c>
      <c r="M605" s="9">
        <v>54926.51</v>
      </c>
      <c r="N605" s="7">
        <v>1</v>
      </c>
    </row>
    <row r="606" spans="1:14" x14ac:dyDescent="0.25">
      <c r="A606" s="6">
        <v>605</v>
      </c>
      <c r="B606" s="7">
        <v>15609286</v>
      </c>
      <c r="C606" s="6" t="s">
        <v>507</v>
      </c>
      <c r="D606" s="7">
        <v>702</v>
      </c>
      <c r="E606" s="6" t="s">
        <v>754</v>
      </c>
      <c r="F606" s="6" t="s">
        <v>23</v>
      </c>
      <c r="G606" s="7">
        <v>37</v>
      </c>
      <c r="H606" s="7">
        <v>10</v>
      </c>
      <c r="I606" s="8">
        <v>150525.79999999999</v>
      </c>
      <c r="J606" s="7">
        <v>1</v>
      </c>
      <c r="K606" s="7">
        <v>1</v>
      </c>
      <c r="L606" s="7">
        <v>1</v>
      </c>
      <c r="M606" s="9">
        <v>94728.49</v>
      </c>
      <c r="N606" s="7">
        <v>0</v>
      </c>
    </row>
    <row r="607" spans="1:14" x14ac:dyDescent="0.25">
      <c r="A607" s="6">
        <v>606</v>
      </c>
      <c r="B607" s="7">
        <v>15814035</v>
      </c>
      <c r="C607" s="6" t="s">
        <v>508</v>
      </c>
      <c r="D607" s="7">
        <v>601</v>
      </c>
      <c r="E607" s="6" t="s">
        <v>754</v>
      </c>
      <c r="F607" s="6" t="s">
        <v>23</v>
      </c>
      <c r="G607" s="7">
        <v>29</v>
      </c>
      <c r="H607" s="7">
        <v>9</v>
      </c>
      <c r="I607" s="8">
        <v>0</v>
      </c>
      <c r="J607" s="7">
        <v>1</v>
      </c>
      <c r="K607" s="7">
        <v>1</v>
      </c>
      <c r="L607" s="7">
        <v>1</v>
      </c>
      <c r="M607" s="9">
        <v>80393.27</v>
      </c>
      <c r="N607" s="7">
        <v>0</v>
      </c>
    </row>
    <row r="608" spans="1:14" x14ac:dyDescent="0.25">
      <c r="A608" s="6">
        <v>607</v>
      </c>
      <c r="B608" s="7">
        <v>15661249</v>
      </c>
      <c r="C608" s="6" t="s">
        <v>509</v>
      </c>
      <c r="D608" s="7">
        <v>699</v>
      </c>
      <c r="E608" s="6" t="s">
        <v>754</v>
      </c>
      <c r="F608" s="6" t="s">
        <v>23</v>
      </c>
      <c r="G608" s="7">
        <v>53</v>
      </c>
      <c r="H608" s="7">
        <v>4</v>
      </c>
      <c r="I608" s="8">
        <v>0</v>
      </c>
      <c r="J608" s="7">
        <v>2</v>
      </c>
      <c r="K608" s="7">
        <v>0</v>
      </c>
      <c r="L608" s="7">
        <v>1</v>
      </c>
      <c r="M608" s="9">
        <v>111307.98</v>
      </c>
      <c r="N608" s="7">
        <v>0</v>
      </c>
    </row>
    <row r="609" spans="1:14" x14ac:dyDescent="0.25">
      <c r="A609" s="6">
        <v>608</v>
      </c>
      <c r="B609" s="7">
        <v>15629117</v>
      </c>
      <c r="C609" s="6" t="s">
        <v>510</v>
      </c>
      <c r="D609" s="7">
        <v>584</v>
      </c>
      <c r="E609" s="6" t="s">
        <v>754</v>
      </c>
      <c r="F609" s="6" t="s">
        <v>23</v>
      </c>
      <c r="G609" s="7">
        <v>28</v>
      </c>
      <c r="H609" s="7">
        <v>10</v>
      </c>
      <c r="I609" s="8">
        <v>0</v>
      </c>
      <c r="J609" s="7">
        <v>2</v>
      </c>
      <c r="K609" s="7">
        <v>1</v>
      </c>
      <c r="L609" s="7">
        <v>0</v>
      </c>
      <c r="M609" s="9">
        <v>19834.32</v>
      </c>
      <c r="N609" s="7">
        <v>0</v>
      </c>
    </row>
    <row r="610" spans="1:14" x14ac:dyDescent="0.25">
      <c r="A610" s="6">
        <v>609</v>
      </c>
      <c r="B610" s="7">
        <v>15607170</v>
      </c>
      <c r="C610" s="6" t="s">
        <v>267</v>
      </c>
      <c r="D610" s="7">
        <v>699</v>
      </c>
      <c r="E610" s="6" t="s">
        <v>754</v>
      </c>
      <c r="F610" s="6" t="s">
        <v>23</v>
      </c>
      <c r="G610" s="7">
        <v>35</v>
      </c>
      <c r="H610" s="7">
        <v>5</v>
      </c>
      <c r="I610" s="8">
        <v>0</v>
      </c>
      <c r="J610" s="7">
        <v>2</v>
      </c>
      <c r="K610" s="7">
        <v>1</v>
      </c>
      <c r="L610" s="7">
        <v>1</v>
      </c>
      <c r="M610" s="9">
        <v>78397.240000000005</v>
      </c>
      <c r="N610" s="7">
        <v>0</v>
      </c>
    </row>
    <row r="611" spans="1:14" x14ac:dyDescent="0.25">
      <c r="A611" s="6">
        <v>610</v>
      </c>
      <c r="B611" s="7">
        <v>15586585</v>
      </c>
      <c r="C611" s="6" t="s">
        <v>132</v>
      </c>
      <c r="D611" s="7">
        <v>698</v>
      </c>
      <c r="E611" s="6" t="s">
        <v>26</v>
      </c>
      <c r="F611" s="6" t="s">
        <v>16</v>
      </c>
      <c r="G611" s="7">
        <v>51</v>
      </c>
      <c r="H611" s="7">
        <v>2</v>
      </c>
      <c r="I611" s="8">
        <v>111018.98</v>
      </c>
      <c r="J611" s="7">
        <v>1</v>
      </c>
      <c r="K611" s="7">
        <v>1</v>
      </c>
      <c r="L611" s="7">
        <v>0</v>
      </c>
      <c r="M611" s="9">
        <v>86410.28</v>
      </c>
      <c r="N611" s="7">
        <v>0</v>
      </c>
    </row>
    <row r="612" spans="1:14" x14ac:dyDescent="0.25">
      <c r="A612" s="6">
        <v>611</v>
      </c>
      <c r="B612" s="7">
        <v>15686611</v>
      </c>
      <c r="C612" s="6" t="s">
        <v>511</v>
      </c>
      <c r="D612" s="7">
        <v>495</v>
      </c>
      <c r="E612" s="6" t="s">
        <v>754</v>
      </c>
      <c r="F612" s="6" t="s">
        <v>23</v>
      </c>
      <c r="G612" s="7">
        <v>30</v>
      </c>
      <c r="H612" s="7">
        <v>10</v>
      </c>
      <c r="I612" s="8">
        <v>129755.99</v>
      </c>
      <c r="J612" s="7">
        <v>1</v>
      </c>
      <c r="K612" s="7">
        <v>0</v>
      </c>
      <c r="L612" s="7">
        <v>0</v>
      </c>
      <c r="M612" s="9">
        <v>172749.65</v>
      </c>
      <c r="N612" s="7">
        <v>0</v>
      </c>
    </row>
    <row r="613" spans="1:14" x14ac:dyDescent="0.25">
      <c r="A613" s="6">
        <v>612</v>
      </c>
      <c r="B613" s="7">
        <v>15603203</v>
      </c>
      <c r="C613" s="6" t="s">
        <v>512</v>
      </c>
      <c r="D613" s="7">
        <v>650</v>
      </c>
      <c r="E613" s="6" t="s">
        <v>754</v>
      </c>
      <c r="F613" s="6" t="s">
        <v>16</v>
      </c>
      <c r="G613" s="7">
        <v>27</v>
      </c>
      <c r="H613" s="7">
        <v>6</v>
      </c>
      <c r="I613" s="8">
        <v>0</v>
      </c>
      <c r="J613" s="7">
        <v>2</v>
      </c>
      <c r="K613" s="7">
        <v>1</v>
      </c>
      <c r="L613" s="7">
        <v>0</v>
      </c>
      <c r="M613" s="9">
        <v>1002.39</v>
      </c>
      <c r="N613" s="7">
        <v>0</v>
      </c>
    </row>
    <row r="614" spans="1:14" x14ac:dyDescent="0.25">
      <c r="A614" s="6">
        <v>613</v>
      </c>
      <c r="B614" s="7">
        <v>15619857</v>
      </c>
      <c r="C614" s="6" t="s">
        <v>199</v>
      </c>
      <c r="D614" s="7">
        <v>605</v>
      </c>
      <c r="E614" s="6" t="s">
        <v>754</v>
      </c>
      <c r="F614" s="6" t="s">
        <v>16</v>
      </c>
      <c r="G614" s="7">
        <v>64</v>
      </c>
      <c r="H614" s="7">
        <v>2</v>
      </c>
      <c r="I614" s="8">
        <v>129555.7</v>
      </c>
      <c r="J614" s="7">
        <v>1</v>
      </c>
      <c r="K614" s="7">
        <v>1</v>
      </c>
      <c r="L614" s="7">
        <v>1</v>
      </c>
      <c r="M614" s="9">
        <v>13601.79</v>
      </c>
      <c r="N614" s="7">
        <v>0</v>
      </c>
    </row>
    <row r="615" spans="1:14" x14ac:dyDescent="0.25">
      <c r="A615" s="6">
        <v>614</v>
      </c>
      <c r="B615" s="7">
        <v>15805062</v>
      </c>
      <c r="C615" s="6" t="s">
        <v>513</v>
      </c>
      <c r="D615" s="7">
        <v>667</v>
      </c>
      <c r="E615" s="6" t="s">
        <v>18</v>
      </c>
      <c r="F615" s="6" t="s">
        <v>756</v>
      </c>
      <c r="G615" s="7">
        <v>38</v>
      </c>
      <c r="H615" s="7">
        <v>1</v>
      </c>
      <c r="I615" s="8">
        <v>87202.38</v>
      </c>
      <c r="J615" s="7">
        <v>1</v>
      </c>
      <c r="K615" s="7">
        <v>1</v>
      </c>
      <c r="L615" s="7">
        <v>1</v>
      </c>
      <c r="M615" s="9">
        <v>77866.91</v>
      </c>
      <c r="N615" s="7">
        <v>0</v>
      </c>
    </row>
    <row r="616" spans="1:14" x14ac:dyDescent="0.25">
      <c r="A616" s="6">
        <v>615</v>
      </c>
      <c r="B616" s="7">
        <v>15660271</v>
      </c>
      <c r="C616" s="6" t="s">
        <v>132</v>
      </c>
      <c r="D616" s="7">
        <v>688</v>
      </c>
      <c r="E616" s="6" t="s">
        <v>26</v>
      </c>
      <c r="F616" s="6" t="s">
        <v>23</v>
      </c>
      <c r="G616" s="7">
        <v>26</v>
      </c>
      <c r="H616" s="7">
        <v>8</v>
      </c>
      <c r="I616" s="8">
        <v>146133.39000000001</v>
      </c>
      <c r="J616" s="7">
        <v>1</v>
      </c>
      <c r="K616" s="7">
        <v>1</v>
      </c>
      <c r="L616" s="7">
        <v>1</v>
      </c>
      <c r="M616" s="9">
        <v>175296.76</v>
      </c>
      <c r="N616" s="7">
        <v>0</v>
      </c>
    </row>
    <row r="617" spans="1:14" x14ac:dyDescent="0.25">
      <c r="A617" s="6">
        <v>616</v>
      </c>
      <c r="B617" s="7">
        <v>15745295</v>
      </c>
      <c r="C617" s="6" t="s">
        <v>514</v>
      </c>
      <c r="D617" s="7">
        <v>727</v>
      </c>
      <c r="E617" s="6" t="s">
        <v>18</v>
      </c>
      <c r="F617" s="6" t="s">
        <v>16</v>
      </c>
      <c r="G617" s="7">
        <v>31</v>
      </c>
      <c r="H617" s="7">
        <v>0</v>
      </c>
      <c r="I617" s="8">
        <v>0</v>
      </c>
      <c r="J617" s="7">
        <v>1</v>
      </c>
      <c r="K617" s="7">
        <v>1</v>
      </c>
      <c r="L617" s="7">
        <v>0</v>
      </c>
      <c r="M617" s="9">
        <v>121751.03999999999</v>
      </c>
      <c r="N617" s="7">
        <v>1</v>
      </c>
    </row>
    <row r="618" spans="1:14" x14ac:dyDescent="0.25">
      <c r="A618" s="6">
        <v>617</v>
      </c>
      <c r="B618" s="7">
        <v>15719352</v>
      </c>
      <c r="C618" s="6" t="s">
        <v>279</v>
      </c>
      <c r="D618" s="7">
        <v>754</v>
      </c>
      <c r="E618" s="6" t="s">
        <v>18</v>
      </c>
      <c r="F618" s="6" t="s">
        <v>756</v>
      </c>
      <c r="G618" s="7">
        <v>39</v>
      </c>
      <c r="H618" s="7">
        <v>6</v>
      </c>
      <c r="I618" s="8">
        <v>170184.99</v>
      </c>
      <c r="J618" s="7">
        <v>2</v>
      </c>
      <c r="K618" s="7">
        <v>1</v>
      </c>
      <c r="L618" s="7">
        <v>0</v>
      </c>
      <c r="M618" s="9">
        <v>89593.26</v>
      </c>
      <c r="N618" s="7">
        <v>0</v>
      </c>
    </row>
    <row r="619" spans="1:14" x14ac:dyDescent="0.25">
      <c r="A619" s="6">
        <v>618</v>
      </c>
      <c r="B619" s="7">
        <v>15766575</v>
      </c>
      <c r="C619" s="6" t="s">
        <v>515</v>
      </c>
      <c r="D619" s="7">
        <v>612</v>
      </c>
      <c r="E619" s="6" t="s">
        <v>26</v>
      </c>
      <c r="F619" s="6" t="s">
        <v>16</v>
      </c>
      <c r="G619" s="7">
        <v>62</v>
      </c>
      <c r="H619" s="7">
        <v>8</v>
      </c>
      <c r="I619" s="8">
        <v>140745.32999999999</v>
      </c>
      <c r="J619" s="7">
        <v>1</v>
      </c>
      <c r="K619" s="7">
        <v>1</v>
      </c>
      <c r="L619" s="7">
        <v>0</v>
      </c>
      <c r="M619" s="9">
        <v>193437.89</v>
      </c>
      <c r="N619" s="7">
        <v>1</v>
      </c>
    </row>
    <row r="620" spans="1:14" x14ac:dyDescent="0.25">
      <c r="A620" s="6">
        <v>619</v>
      </c>
      <c r="B620" s="7">
        <v>15594594</v>
      </c>
      <c r="C620" s="6" t="s">
        <v>516</v>
      </c>
      <c r="D620" s="7">
        <v>546</v>
      </c>
      <c r="E620" s="6" t="s">
        <v>18</v>
      </c>
      <c r="F620" s="6" t="s">
        <v>756</v>
      </c>
      <c r="G620" s="7">
        <v>42</v>
      </c>
      <c r="H620" s="7">
        <v>7</v>
      </c>
      <c r="I620" s="8">
        <v>139070.51</v>
      </c>
      <c r="J620" s="7">
        <v>1</v>
      </c>
      <c r="K620" s="7">
        <v>1</v>
      </c>
      <c r="L620" s="7">
        <v>1</v>
      </c>
      <c r="M620" s="9">
        <v>86945</v>
      </c>
      <c r="N620" s="7">
        <v>0</v>
      </c>
    </row>
    <row r="621" spans="1:14" x14ac:dyDescent="0.25">
      <c r="A621" s="6">
        <v>620</v>
      </c>
      <c r="B621" s="7">
        <v>15646161</v>
      </c>
      <c r="C621" s="6" t="s">
        <v>517</v>
      </c>
      <c r="D621" s="7">
        <v>673</v>
      </c>
      <c r="E621" s="6" t="s">
        <v>18</v>
      </c>
      <c r="F621" s="6" t="s">
        <v>16</v>
      </c>
      <c r="G621" s="7">
        <v>37</v>
      </c>
      <c r="H621" s="7">
        <v>8</v>
      </c>
      <c r="I621" s="8">
        <v>0</v>
      </c>
      <c r="J621" s="7">
        <v>2</v>
      </c>
      <c r="K621" s="7">
        <v>1</v>
      </c>
      <c r="L621" s="7">
        <v>1</v>
      </c>
      <c r="M621" s="9">
        <v>183318.79</v>
      </c>
      <c r="N621" s="7">
        <v>0</v>
      </c>
    </row>
    <row r="622" spans="1:14" x14ac:dyDescent="0.25">
      <c r="A622" s="6">
        <v>621</v>
      </c>
      <c r="B622" s="7">
        <v>15682585</v>
      </c>
      <c r="C622" s="6" t="s">
        <v>518</v>
      </c>
      <c r="D622" s="7">
        <v>593</v>
      </c>
      <c r="E622" s="6" t="s">
        <v>754</v>
      </c>
      <c r="F622" s="6" t="s">
        <v>23</v>
      </c>
      <c r="G622" s="7">
        <v>35</v>
      </c>
      <c r="H622" s="7">
        <v>9</v>
      </c>
      <c r="I622" s="8">
        <v>114193.24</v>
      </c>
      <c r="J622" s="7">
        <v>1</v>
      </c>
      <c r="K622" s="7">
        <v>1</v>
      </c>
      <c r="L622" s="7">
        <v>0</v>
      </c>
      <c r="M622" s="9">
        <v>71154.100000000006</v>
      </c>
      <c r="N622" s="7">
        <v>0</v>
      </c>
    </row>
    <row r="623" spans="1:14" x14ac:dyDescent="0.25">
      <c r="A623" s="6">
        <v>622</v>
      </c>
      <c r="B623" s="7">
        <v>15603134</v>
      </c>
      <c r="C623" s="6" t="s">
        <v>364</v>
      </c>
      <c r="D623" s="7">
        <v>656</v>
      </c>
      <c r="E623" s="6" t="s">
        <v>18</v>
      </c>
      <c r="F623" s="6" t="s">
        <v>16</v>
      </c>
      <c r="G623" s="7">
        <v>40</v>
      </c>
      <c r="H623" s="7">
        <v>10</v>
      </c>
      <c r="I623" s="8">
        <v>167878.5</v>
      </c>
      <c r="J623" s="7">
        <v>1</v>
      </c>
      <c r="K623" s="7">
        <v>0</v>
      </c>
      <c r="L623" s="7">
        <v>1</v>
      </c>
      <c r="M623" s="9">
        <v>151887.16</v>
      </c>
      <c r="N623" s="7">
        <v>0</v>
      </c>
    </row>
    <row r="624" spans="1:14" x14ac:dyDescent="0.25">
      <c r="A624" s="6">
        <v>623</v>
      </c>
      <c r="B624" s="7">
        <v>15636444</v>
      </c>
      <c r="C624" s="6" t="s">
        <v>519</v>
      </c>
      <c r="D624" s="7">
        <v>535</v>
      </c>
      <c r="E624" s="6" t="s">
        <v>26</v>
      </c>
      <c r="F624" s="6" t="s">
        <v>16</v>
      </c>
      <c r="G624" s="7">
        <v>53</v>
      </c>
      <c r="H624" s="7">
        <v>5</v>
      </c>
      <c r="I624" s="8">
        <v>141616.54999999999</v>
      </c>
      <c r="J624" s="7">
        <v>2</v>
      </c>
      <c r="K624" s="7">
        <v>1</v>
      </c>
      <c r="L624" s="7">
        <v>1</v>
      </c>
      <c r="M624" s="9">
        <v>75888.649999999994</v>
      </c>
      <c r="N624" s="7">
        <v>0</v>
      </c>
    </row>
    <row r="625" spans="1:14" x14ac:dyDescent="0.25">
      <c r="A625" s="6">
        <v>624</v>
      </c>
      <c r="B625" s="7">
        <v>15773456</v>
      </c>
      <c r="C625" s="6" t="s">
        <v>520</v>
      </c>
      <c r="D625" s="7">
        <v>678</v>
      </c>
      <c r="E625" s="6" t="s">
        <v>26</v>
      </c>
      <c r="F625" s="6" t="s">
        <v>23</v>
      </c>
      <c r="G625" s="7">
        <v>36</v>
      </c>
      <c r="H625" s="7">
        <v>3</v>
      </c>
      <c r="I625" s="8">
        <v>145747.67000000001</v>
      </c>
      <c r="J625" s="7">
        <v>2</v>
      </c>
      <c r="K625" s="7">
        <v>0</v>
      </c>
      <c r="L625" s="7">
        <v>1</v>
      </c>
      <c r="M625" s="9">
        <v>89566.74</v>
      </c>
      <c r="N625" s="7">
        <v>0</v>
      </c>
    </row>
    <row r="626" spans="1:14" x14ac:dyDescent="0.25">
      <c r="A626" s="6">
        <v>625</v>
      </c>
      <c r="B626" s="7">
        <v>15745307</v>
      </c>
      <c r="C626" s="6" t="s">
        <v>262</v>
      </c>
      <c r="D626" s="7">
        <v>477</v>
      </c>
      <c r="E626" s="6" t="s">
        <v>18</v>
      </c>
      <c r="F626" s="6" t="s">
        <v>16</v>
      </c>
      <c r="G626" s="7">
        <v>2</v>
      </c>
      <c r="H626" s="7">
        <v>2</v>
      </c>
      <c r="I626" s="8">
        <v>129120.64</v>
      </c>
      <c r="J626" s="7">
        <v>1</v>
      </c>
      <c r="K626" s="7">
        <v>0</v>
      </c>
      <c r="L626" s="7">
        <v>1</v>
      </c>
      <c r="M626" s="9">
        <v>26475.79</v>
      </c>
      <c r="N626" s="7">
        <v>0</v>
      </c>
    </row>
    <row r="627" spans="1:14" x14ac:dyDescent="0.25">
      <c r="A627" s="6">
        <v>626</v>
      </c>
      <c r="B627" s="7">
        <v>15604119</v>
      </c>
      <c r="C627" s="6" t="s">
        <v>521</v>
      </c>
      <c r="D627" s="7">
        <v>850</v>
      </c>
      <c r="E627" s="6" t="s">
        <v>18</v>
      </c>
      <c r="F627" s="6" t="s">
        <v>756</v>
      </c>
      <c r="G627" s="7">
        <v>35</v>
      </c>
      <c r="H627" s="7">
        <v>7</v>
      </c>
      <c r="I627" s="8">
        <v>110349.82</v>
      </c>
      <c r="J627" s="7">
        <v>1</v>
      </c>
      <c r="K627" s="7">
        <v>0</v>
      </c>
      <c r="L627" s="7">
        <v>0</v>
      </c>
      <c r="M627" s="9">
        <v>126355.8</v>
      </c>
      <c r="N627" s="7">
        <v>0</v>
      </c>
    </row>
    <row r="628" spans="1:14" x14ac:dyDescent="0.25">
      <c r="A628" s="6">
        <v>627</v>
      </c>
      <c r="B628" s="7">
        <v>15626900</v>
      </c>
      <c r="C628" s="6" t="s">
        <v>455</v>
      </c>
      <c r="D628" s="7">
        <v>427</v>
      </c>
      <c r="E628" s="6" t="s">
        <v>754</v>
      </c>
      <c r="F628" s="6" t="s">
        <v>23</v>
      </c>
      <c r="G628" s="7">
        <v>29</v>
      </c>
      <c r="H628" s="7">
        <v>1</v>
      </c>
      <c r="I628" s="8">
        <v>141325.56</v>
      </c>
      <c r="J628" s="7">
        <v>1</v>
      </c>
      <c r="K628" s="7">
        <v>1</v>
      </c>
      <c r="L628" s="7">
        <v>1</v>
      </c>
      <c r="M628" s="9">
        <v>93839.3</v>
      </c>
      <c r="N628" s="7">
        <v>0</v>
      </c>
    </row>
    <row r="629" spans="1:14" x14ac:dyDescent="0.25">
      <c r="A629" s="6">
        <v>628</v>
      </c>
      <c r="B629" s="7">
        <v>15605447</v>
      </c>
      <c r="C629" s="6" t="s">
        <v>91</v>
      </c>
      <c r="D629" s="7">
        <v>752</v>
      </c>
      <c r="E629" s="6" t="s">
        <v>754</v>
      </c>
      <c r="F629" s="6" t="s">
        <v>23</v>
      </c>
      <c r="G629" s="7">
        <v>49</v>
      </c>
      <c r="H629" s="7">
        <v>2</v>
      </c>
      <c r="I629" s="8">
        <v>78653.84</v>
      </c>
      <c r="J629" s="7">
        <v>1</v>
      </c>
      <c r="K629" s="7">
        <v>1</v>
      </c>
      <c r="L629" s="7">
        <v>0</v>
      </c>
      <c r="M629" s="9">
        <v>7698.6</v>
      </c>
      <c r="N629" s="7">
        <v>0</v>
      </c>
    </row>
    <row r="630" spans="1:14" x14ac:dyDescent="0.25">
      <c r="A630" s="6">
        <v>629</v>
      </c>
      <c r="B630" s="7">
        <v>15589030</v>
      </c>
      <c r="C630" s="6" t="s">
        <v>305</v>
      </c>
      <c r="D630" s="7">
        <v>649</v>
      </c>
      <c r="E630" s="6" t="s">
        <v>754</v>
      </c>
      <c r="F630" s="6" t="s">
        <v>23</v>
      </c>
      <c r="G630" s="7">
        <v>47</v>
      </c>
      <c r="H630" s="7">
        <v>1</v>
      </c>
      <c r="I630" s="8">
        <v>0</v>
      </c>
      <c r="J630" s="7">
        <v>2</v>
      </c>
      <c r="K630" s="7">
        <v>1</v>
      </c>
      <c r="L630" s="7">
        <v>1</v>
      </c>
      <c r="M630" s="9">
        <v>145593.85</v>
      </c>
      <c r="N630" s="7">
        <v>0</v>
      </c>
    </row>
    <row r="631" spans="1:14" x14ac:dyDescent="0.25">
      <c r="A631" s="6">
        <v>630</v>
      </c>
      <c r="B631" s="7">
        <v>15692463</v>
      </c>
      <c r="C631" s="6" t="s">
        <v>522</v>
      </c>
      <c r="D631" s="7">
        <v>799</v>
      </c>
      <c r="E631" s="6" t="s">
        <v>18</v>
      </c>
      <c r="F631" s="6" t="s">
        <v>16</v>
      </c>
      <c r="G631" s="7">
        <v>2</v>
      </c>
      <c r="H631" s="7">
        <v>3</v>
      </c>
      <c r="I631" s="8">
        <v>142253.65</v>
      </c>
      <c r="J631" s="7">
        <v>1</v>
      </c>
      <c r="K631" s="7">
        <v>1</v>
      </c>
      <c r="L631" s="7">
        <v>0</v>
      </c>
      <c r="M631" s="9">
        <v>45042.559999999998</v>
      </c>
      <c r="N631" s="7">
        <v>0</v>
      </c>
    </row>
    <row r="632" spans="1:14" x14ac:dyDescent="0.25">
      <c r="A632" s="6">
        <v>631</v>
      </c>
      <c r="B632" s="7">
        <v>15712403</v>
      </c>
      <c r="C632" s="6" t="s">
        <v>523</v>
      </c>
      <c r="D632" s="7">
        <v>589</v>
      </c>
      <c r="E632" s="6" t="s">
        <v>754</v>
      </c>
      <c r="F632" s="6" t="s">
        <v>16</v>
      </c>
      <c r="G632" s="7">
        <v>61</v>
      </c>
      <c r="H632" s="7">
        <v>1</v>
      </c>
      <c r="I632" s="8">
        <v>0</v>
      </c>
      <c r="J632" s="7">
        <v>1</v>
      </c>
      <c r="K632" s="7">
        <v>1</v>
      </c>
      <c r="L632" s="7">
        <v>0</v>
      </c>
      <c r="M632" s="9">
        <v>61108.56</v>
      </c>
      <c r="N632" s="7">
        <v>1</v>
      </c>
    </row>
    <row r="633" spans="1:14" x14ac:dyDescent="0.25">
      <c r="A633" s="6">
        <v>632</v>
      </c>
      <c r="B633" s="7">
        <v>15811762</v>
      </c>
      <c r="C633" s="6" t="s">
        <v>524</v>
      </c>
      <c r="D633" s="7">
        <v>583</v>
      </c>
      <c r="E633" s="6" t="s">
        <v>26</v>
      </c>
      <c r="F633" s="6" t="s">
        <v>16</v>
      </c>
      <c r="G633" s="7">
        <v>54</v>
      </c>
      <c r="H633" s="7">
        <v>6</v>
      </c>
      <c r="I633" s="8">
        <v>115988.86</v>
      </c>
      <c r="J633" s="7">
        <v>1</v>
      </c>
      <c r="K633" s="7">
        <v>1</v>
      </c>
      <c r="L633" s="7">
        <v>0</v>
      </c>
      <c r="M633" s="9">
        <v>57553.98</v>
      </c>
      <c r="N633" s="7">
        <v>1</v>
      </c>
    </row>
    <row r="634" spans="1:14" x14ac:dyDescent="0.25">
      <c r="A634" s="6">
        <v>633</v>
      </c>
      <c r="B634" s="7">
        <v>15718673</v>
      </c>
      <c r="C634" s="6" t="s">
        <v>525</v>
      </c>
      <c r="D634" s="7">
        <v>839</v>
      </c>
      <c r="E634" s="6" t="s">
        <v>18</v>
      </c>
      <c r="F634" s="6" t="s">
        <v>16</v>
      </c>
      <c r="G634" s="7">
        <v>2</v>
      </c>
      <c r="H634" s="7">
        <v>10</v>
      </c>
      <c r="I634" s="8">
        <v>75592.429999999993</v>
      </c>
      <c r="J634" s="7">
        <v>1</v>
      </c>
      <c r="K634" s="7">
        <v>1</v>
      </c>
      <c r="L634" s="7">
        <v>0</v>
      </c>
      <c r="M634" s="9">
        <v>62674.42</v>
      </c>
      <c r="N634" s="7">
        <v>0</v>
      </c>
    </row>
    <row r="635" spans="1:14" x14ac:dyDescent="0.25">
      <c r="A635" s="6">
        <v>634</v>
      </c>
      <c r="B635" s="7">
        <v>15724282</v>
      </c>
      <c r="C635" s="6" t="s">
        <v>75</v>
      </c>
      <c r="D635" s="7">
        <v>540</v>
      </c>
      <c r="E635" s="6" t="s">
        <v>26</v>
      </c>
      <c r="F635" s="6" t="s">
        <v>23</v>
      </c>
      <c r="G635" s="7">
        <v>44</v>
      </c>
      <c r="H635" s="7">
        <v>3</v>
      </c>
      <c r="I635" s="8">
        <v>164113.04</v>
      </c>
      <c r="J635" s="7">
        <v>2</v>
      </c>
      <c r="K635" s="7">
        <v>1</v>
      </c>
      <c r="L635" s="7">
        <v>1</v>
      </c>
      <c r="M635" s="9">
        <v>12120.79</v>
      </c>
      <c r="N635" s="7">
        <v>0</v>
      </c>
    </row>
    <row r="636" spans="1:14" x14ac:dyDescent="0.25">
      <c r="A636" s="6">
        <v>635</v>
      </c>
      <c r="B636" s="7">
        <v>15738181</v>
      </c>
      <c r="C636" s="6" t="s">
        <v>526</v>
      </c>
      <c r="D636" s="7">
        <v>850</v>
      </c>
      <c r="E636" s="6" t="s">
        <v>754</v>
      </c>
      <c r="F636" s="6" t="s">
        <v>23</v>
      </c>
      <c r="G636" s="7">
        <v>31</v>
      </c>
      <c r="H636" s="7">
        <v>6</v>
      </c>
      <c r="I636" s="8">
        <v>67996.23</v>
      </c>
      <c r="J636" s="7">
        <v>2</v>
      </c>
      <c r="K636" s="7">
        <v>0</v>
      </c>
      <c r="L636" s="7">
        <v>0</v>
      </c>
      <c r="M636" s="9">
        <v>50129.87</v>
      </c>
      <c r="N636" s="7">
        <v>1</v>
      </c>
    </row>
    <row r="637" spans="1:14" x14ac:dyDescent="0.25">
      <c r="A637" s="6">
        <v>636</v>
      </c>
      <c r="B637" s="7">
        <v>15633648</v>
      </c>
      <c r="C637" s="6" t="s">
        <v>527</v>
      </c>
      <c r="D637" s="7">
        <v>696</v>
      </c>
      <c r="E637" s="6" t="s">
        <v>18</v>
      </c>
      <c r="F637" s="6" t="s">
        <v>16</v>
      </c>
      <c r="G637" s="7">
        <v>2</v>
      </c>
      <c r="H637" s="7">
        <v>5</v>
      </c>
      <c r="I637" s="8">
        <v>0</v>
      </c>
      <c r="J637" s="7">
        <v>2</v>
      </c>
      <c r="K637" s="7">
        <v>1</v>
      </c>
      <c r="L637" s="7">
        <v>0</v>
      </c>
      <c r="M637" s="9">
        <v>55022.43</v>
      </c>
      <c r="N637" s="7">
        <v>0</v>
      </c>
    </row>
    <row r="638" spans="1:14" x14ac:dyDescent="0.25">
      <c r="A638" s="6">
        <v>637</v>
      </c>
      <c r="B638" s="7">
        <v>15603323</v>
      </c>
      <c r="C638" s="6" t="s">
        <v>528</v>
      </c>
      <c r="D638" s="7">
        <v>660</v>
      </c>
      <c r="E638" s="6" t="s">
        <v>18</v>
      </c>
      <c r="F638" s="6" t="s">
        <v>16</v>
      </c>
      <c r="G638" s="7">
        <v>2</v>
      </c>
      <c r="H638" s="7">
        <v>1</v>
      </c>
      <c r="I638" s="8">
        <v>0</v>
      </c>
      <c r="J638" s="7">
        <v>2</v>
      </c>
      <c r="K638" s="7">
        <v>0</v>
      </c>
      <c r="L638" s="7">
        <v>0</v>
      </c>
      <c r="M638" s="9">
        <v>117834.91</v>
      </c>
      <c r="N638" s="7">
        <v>0</v>
      </c>
    </row>
    <row r="639" spans="1:14" x14ac:dyDescent="0.25">
      <c r="A639" s="6">
        <v>638</v>
      </c>
      <c r="B639" s="7">
        <v>15583725</v>
      </c>
      <c r="C639" s="6" t="s">
        <v>529</v>
      </c>
      <c r="D639" s="7">
        <v>682</v>
      </c>
      <c r="E639" s="6" t="s">
        <v>754</v>
      </c>
      <c r="F639" s="6" t="s">
        <v>23</v>
      </c>
      <c r="G639" s="7">
        <v>48</v>
      </c>
      <c r="H639" s="7">
        <v>1</v>
      </c>
      <c r="I639" s="8">
        <v>138778.15</v>
      </c>
      <c r="J639" s="7">
        <v>1</v>
      </c>
      <c r="K639" s="7">
        <v>0</v>
      </c>
      <c r="L639" s="7">
        <v>1</v>
      </c>
      <c r="M639" s="9">
        <v>168840.23</v>
      </c>
      <c r="N639" s="7">
        <v>0</v>
      </c>
    </row>
    <row r="640" spans="1:14" x14ac:dyDescent="0.25">
      <c r="A640" s="6">
        <v>639</v>
      </c>
      <c r="B640" s="7">
        <v>15588350</v>
      </c>
      <c r="C640" s="6" t="s">
        <v>222</v>
      </c>
      <c r="D640" s="7">
        <v>744</v>
      </c>
      <c r="E640" s="6" t="s">
        <v>754</v>
      </c>
      <c r="F640" s="6" t="s">
        <v>16</v>
      </c>
      <c r="G640" s="7">
        <v>43</v>
      </c>
      <c r="H640" s="7">
        <v>10</v>
      </c>
      <c r="I640" s="8">
        <v>147832.15</v>
      </c>
      <c r="J640" s="7">
        <v>1</v>
      </c>
      <c r="K640" s="7">
        <v>0</v>
      </c>
      <c r="L640" s="7">
        <v>1</v>
      </c>
      <c r="M640" s="9">
        <v>24234.11</v>
      </c>
      <c r="N640" s="7">
        <v>0</v>
      </c>
    </row>
    <row r="641" spans="1:14" x14ac:dyDescent="0.25">
      <c r="A641" s="6">
        <v>640</v>
      </c>
      <c r="B641" s="7">
        <v>15798398</v>
      </c>
      <c r="C641" s="6" t="s">
        <v>530</v>
      </c>
      <c r="D641" s="7">
        <v>785</v>
      </c>
      <c r="E641" s="6" t="s">
        <v>754</v>
      </c>
      <c r="F641" s="6" t="s">
        <v>16</v>
      </c>
      <c r="G641" s="7">
        <v>36</v>
      </c>
      <c r="H641" s="7">
        <v>4</v>
      </c>
      <c r="I641" s="8">
        <v>135438.39999999999</v>
      </c>
      <c r="J641" s="7">
        <v>1</v>
      </c>
      <c r="K641" s="7">
        <v>0</v>
      </c>
      <c r="L641" s="7">
        <v>0</v>
      </c>
      <c r="M641" s="9">
        <v>190627.01</v>
      </c>
      <c r="N641" s="7">
        <v>0</v>
      </c>
    </row>
    <row r="642" spans="1:14" x14ac:dyDescent="0.25">
      <c r="A642" s="6">
        <v>641</v>
      </c>
      <c r="B642" s="7">
        <v>15784844</v>
      </c>
      <c r="C642" s="6" t="s">
        <v>274</v>
      </c>
      <c r="D642" s="7">
        <v>752</v>
      </c>
      <c r="E642" s="6" t="s">
        <v>18</v>
      </c>
      <c r="F642" s="6" t="s">
        <v>756</v>
      </c>
      <c r="G642" s="7">
        <v>48</v>
      </c>
      <c r="H642" s="7">
        <v>5</v>
      </c>
      <c r="I642" s="8">
        <v>116060.08</v>
      </c>
      <c r="J642" s="7">
        <v>1</v>
      </c>
      <c r="K642" s="7">
        <v>1</v>
      </c>
      <c r="L642" s="7">
        <v>0</v>
      </c>
      <c r="M642" s="9">
        <v>156618.38</v>
      </c>
      <c r="N642" s="7">
        <v>1</v>
      </c>
    </row>
    <row r="643" spans="1:14" x14ac:dyDescent="0.25">
      <c r="A643" s="6">
        <v>642</v>
      </c>
      <c r="B643" s="7">
        <v>15580684</v>
      </c>
      <c r="C643" s="6" t="s">
        <v>531</v>
      </c>
      <c r="D643" s="7">
        <v>706</v>
      </c>
      <c r="E643" s="6" t="s">
        <v>754</v>
      </c>
      <c r="F643" s="6" t="s">
        <v>16</v>
      </c>
      <c r="G643" s="7">
        <v>29</v>
      </c>
      <c r="H643" s="7">
        <v>5</v>
      </c>
      <c r="I643" s="8">
        <v>112564.62</v>
      </c>
      <c r="J643" s="7">
        <v>1</v>
      </c>
      <c r="K643" s="7">
        <v>1</v>
      </c>
      <c r="L643" s="7">
        <v>0</v>
      </c>
      <c r="M643" s="9">
        <v>42334.38</v>
      </c>
      <c r="N643" s="7">
        <v>0</v>
      </c>
    </row>
    <row r="644" spans="1:14" x14ac:dyDescent="0.25">
      <c r="A644" s="6">
        <v>643</v>
      </c>
      <c r="B644" s="7">
        <v>15809663</v>
      </c>
      <c r="C644" s="6" t="s">
        <v>532</v>
      </c>
      <c r="D644" s="7">
        <v>583</v>
      </c>
      <c r="E644" s="6" t="s">
        <v>754</v>
      </c>
      <c r="F644" s="6" t="s">
        <v>16</v>
      </c>
      <c r="G644" s="7">
        <v>27</v>
      </c>
      <c r="H644" s="7">
        <v>1</v>
      </c>
      <c r="I644" s="8">
        <v>125406.58</v>
      </c>
      <c r="J644" s="7">
        <v>1</v>
      </c>
      <c r="K644" s="7">
        <v>1</v>
      </c>
      <c r="L644" s="7">
        <v>1</v>
      </c>
      <c r="M644" s="9">
        <v>110784.42</v>
      </c>
      <c r="N644" s="7">
        <v>0</v>
      </c>
    </row>
    <row r="645" spans="1:14" x14ac:dyDescent="0.25">
      <c r="A645" s="6">
        <v>644</v>
      </c>
      <c r="B645" s="7">
        <v>15640078</v>
      </c>
      <c r="C645" s="6" t="s">
        <v>533</v>
      </c>
      <c r="D645" s="7">
        <v>660</v>
      </c>
      <c r="E645" s="6" t="s">
        <v>26</v>
      </c>
      <c r="F645" s="6" t="s">
        <v>16</v>
      </c>
      <c r="G645" s="7">
        <v>39</v>
      </c>
      <c r="H645" s="7">
        <v>5</v>
      </c>
      <c r="I645" s="8">
        <v>135134.99</v>
      </c>
      <c r="J645" s="7">
        <v>1</v>
      </c>
      <c r="K645" s="7">
        <v>1</v>
      </c>
      <c r="L645" s="7">
        <v>0</v>
      </c>
      <c r="M645" s="9">
        <v>173683</v>
      </c>
      <c r="N645" s="7">
        <v>1</v>
      </c>
    </row>
    <row r="646" spans="1:14" x14ac:dyDescent="0.25">
      <c r="A646" s="6">
        <v>645</v>
      </c>
      <c r="B646" s="7">
        <v>15698786</v>
      </c>
      <c r="C646" s="6" t="s">
        <v>534</v>
      </c>
      <c r="D646" s="7">
        <v>819</v>
      </c>
      <c r="E646" s="6" t="s">
        <v>754</v>
      </c>
      <c r="F646" s="6" t="s">
        <v>16</v>
      </c>
      <c r="G646" s="7">
        <v>39</v>
      </c>
      <c r="H646" s="7">
        <v>9</v>
      </c>
      <c r="I646" s="8">
        <v>133102.92000000001</v>
      </c>
      <c r="J646" s="7">
        <v>1</v>
      </c>
      <c r="K646" s="7">
        <v>1</v>
      </c>
      <c r="L646" s="7">
        <v>0</v>
      </c>
      <c r="M646" s="9">
        <v>27046.46</v>
      </c>
      <c r="N646" s="7">
        <v>1</v>
      </c>
    </row>
    <row r="647" spans="1:14" x14ac:dyDescent="0.25">
      <c r="A647" s="6">
        <v>646</v>
      </c>
      <c r="B647" s="7">
        <v>15569807</v>
      </c>
      <c r="C647" s="6" t="s">
        <v>535</v>
      </c>
      <c r="D647" s="7">
        <v>673</v>
      </c>
      <c r="E647" s="6" t="s">
        <v>754</v>
      </c>
      <c r="F647" s="6" t="s">
        <v>16</v>
      </c>
      <c r="G647" s="7">
        <v>34</v>
      </c>
      <c r="H647" s="7">
        <v>8</v>
      </c>
      <c r="I647" s="8">
        <v>42157.08</v>
      </c>
      <c r="J647" s="7">
        <v>1</v>
      </c>
      <c r="K647" s="7">
        <v>1</v>
      </c>
      <c r="L647" s="7">
        <v>0</v>
      </c>
      <c r="M647" s="9">
        <v>20598.59</v>
      </c>
      <c r="N647" s="7">
        <v>1</v>
      </c>
    </row>
    <row r="648" spans="1:14" x14ac:dyDescent="0.25">
      <c r="A648" s="6">
        <v>647</v>
      </c>
      <c r="B648" s="7">
        <v>15730830</v>
      </c>
      <c r="C648" s="6" t="s">
        <v>536</v>
      </c>
      <c r="D648" s="7">
        <v>752</v>
      </c>
      <c r="E648" s="6" t="s">
        <v>754</v>
      </c>
      <c r="F648" s="6" t="s">
        <v>16</v>
      </c>
      <c r="G648" s="7">
        <v>30</v>
      </c>
      <c r="H648" s="7">
        <v>3</v>
      </c>
      <c r="I648" s="8">
        <v>0</v>
      </c>
      <c r="J648" s="7">
        <v>2</v>
      </c>
      <c r="K648" s="7">
        <v>1</v>
      </c>
      <c r="L648" s="7">
        <v>1</v>
      </c>
      <c r="M648" s="9">
        <v>104991.28</v>
      </c>
      <c r="N648" s="7">
        <v>0</v>
      </c>
    </row>
    <row r="649" spans="1:14" x14ac:dyDescent="0.25">
      <c r="A649" s="6">
        <v>648</v>
      </c>
      <c r="B649" s="7">
        <v>15805112</v>
      </c>
      <c r="C649" s="6" t="s">
        <v>537</v>
      </c>
      <c r="D649" s="7">
        <v>578</v>
      </c>
      <c r="E649" s="6" t="s">
        <v>754</v>
      </c>
      <c r="F649" s="6" t="s">
        <v>23</v>
      </c>
      <c r="G649" s="7">
        <v>38</v>
      </c>
      <c r="H649" s="7">
        <v>7</v>
      </c>
      <c r="I649" s="8">
        <v>82259.289999999994</v>
      </c>
      <c r="J649" s="7">
        <v>1</v>
      </c>
      <c r="K649" s="7">
        <v>1</v>
      </c>
      <c r="L649" s="7">
        <v>0</v>
      </c>
      <c r="M649" s="9">
        <v>8996.9699999999993</v>
      </c>
      <c r="N649" s="7">
        <v>0</v>
      </c>
    </row>
    <row r="650" spans="1:14" x14ac:dyDescent="0.25">
      <c r="A650" s="6">
        <v>649</v>
      </c>
      <c r="B650" s="7">
        <v>15633064</v>
      </c>
      <c r="C650" s="6" t="s">
        <v>538</v>
      </c>
      <c r="D650" s="7">
        <v>438</v>
      </c>
      <c r="E650" s="6" t="s">
        <v>754</v>
      </c>
      <c r="F650" s="6" t="s">
        <v>16</v>
      </c>
      <c r="G650" s="7">
        <v>36</v>
      </c>
      <c r="H650" s="7">
        <v>4</v>
      </c>
      <c r="I650" s="8">
        <v>0</v>
      </c>
      <c r="J650" s="7">
        <v>2</v>
      </c>
      <c r="K650" s="7">
        <v>1</v>
      </c>
      <c r="L650" s="7">
        <v>0</v>
      </c>
      <c r="M650" s="9">
        <v>64420.5</v>
      </c>
      <c r="N650" s="7">
        <v>0</v>
      </c>
    </row>
    <row r="651" spans="1:14" x14ac:dyDescent="0.25">
      <c r="A651" s="6">
        <v>650</v>
      </c>
      <c r="B651" s="7">
        <v>15703119</v>
      </c>
      <c r="C651" s="6" t="s">
        <v>539</v>
      </c>
      <c r="D651" s="7">
        <v>652</v>
      </c>
      <c r="E651" s="6" t="s">
        <v>754</v>
      </c>
      <c r="F651" s="6" t="s">
        <v>23</v>
      </c>
      <c r="G651" s="7">
        <v>38</v>
      </c>
      <c r="H651" s="7">
        <v>6</v>
      </c>
      <c r="I651" s="8">
        <v>0</v>
      </c>
      <c r="J651" s="7">
        <v>2</v>
      </c>
      <c r="K651" s="7">
        <v>1</v>
      </c>
      <c r="L651" s="7">
        <v>1</v>
      </c>
      <c r="M651" s="9">
        <v>145700.22</v>
      </c>
      <c r="N651" s="7">
        <v>0</v>
      </c>
    </row>
    <row r="652" spans="1:14" x14ac:dyDescent="0.25">
      <c r="A652" s="6">
        <v>651</v>
      </c>
      <c r="B652" s="7">
        <v>15730447</v>
      </c>
      <c r="C652" s="6" t="s">
        <v>540</v>
      </c>
      <c r="D652" s="7">
        <v>629</v>
      </c>
      <c r="E652" s="6" t="s">
        <v>754</v>
      </c>
      <c r="F652" s="6" t="s">
        <v>16</v>
      </c>
      <c r="G652" s="7">
        <v>49</v>
      </c>
      <c r="H652" s="7">
        <v>4</v>
      </c>
      <c r="I652" s="8">
        <v>0</v>
      </c>
      <c r="J652" s="7">
        <v>2</v>
      </c>
      <c r="K652" s="7">
        <v>1</v>
      </c>
      <c r="L652" s="7">
        <v>1</v>
      </c>
      <c r="M652" s="9">
        <v>196335.48</v>
      </c>
      <c r="N652" s="7">
        <v>0</v>
      </c>
    </row>
    <row r="653" spans="1:14" x14ac:dyDescent="0.25">
      <c r="A653" s="6">
        <v>652</v>
      </c>
      <c r="B653" s="7">
        <v>15813850</v>
      </c>
      <c r="C653" s="6" t="s">
        <v>541</v>
      </c>
      <c r="D653" s="7">
        <v>720</v>
      </c>
      <c r="E653" s="6" t="s">
        <v>754</v>
      </c>
      <c r="F653" s="6" t="s">
        <v>23</v>
      </c>
      <c r="G653" s="7">
        <v>52</v>
      </c>
      <c r="H653" s="7">
        <v>7</v>
      </c>
      <c r="I653" s="8">
        <v>0</v>
      </c>
      <c r="J653" s="7">
        <v>1</v>
      </c>
      <c r="K653" s="7">
        <v>1</v>
      </c>
      <c r="L653" s="7">
        <v>1</v>
      </c>
      <c r="M653" s="9">
        <v>14781.12</v>
      </c>
      <c r="N653" s="7">
        <v>0</v>
      </c>
    </row>
    <row r="654" spans="1:14" x14ac:dyDescent="0.25">
      <c r="A654" s="6">
        <v>653</v>
      </c>
      <c r="B654" s="7">
        <v>15711889</v>
      </c>
      <c r="C654" s="6" t="s">
        <v>542</v>
      </c>
      <c r="D654" s="7">
        <v>668</v>
      </c>
      <c r="E654" s="6" t="s">
        <v>754</v>
      </c>
      <c r="F654" s="6" t="s">
        <v>23</v>
      </c>
      <c r="G654" s="7">
        <v>42</v>
      </c>
      <c r="H654" s="7">
        <v>3</v>
      </c>
      <c r="I654" s="8">
        <v>150461.07</v>
      </c>
      <c r="J654" s="7">
        <v>1</v>
      </c>
      <c r="K654" s="7">
        <v>1</v>
      </c>
      <c r="L654" s="7">
        <v>0</v>
      </c>
      <c r="M654" s="9">
        <v>108139.23</v>
      </c>
      <c r="N654" s="7">
        <v>0</v>
      </c>
    </row>
    <row r="655" spans="1:14" x14ac:dyDescent="0.25">
      <c r="A655" s="6">
        <v>654</v>
      </c>
      <c r="B655" s="7">
        <v>15664610</v>
      </c>
      <c r="C655" s="6" t="s">
        <v>186</v>
      </c>
      <c r="D655" s="7">
        <v>459</v>
      </c>
      <c r="E655" s="6" t="s">
        <v>26</v>
      </c>
      <c r="F655" s="6" t="s">
        <v>23</v>
      </c>
      <c r="G655" s="7">
        <v>48</v>
      </c>
      <c r="H655" s="7">
        <v>4</v>
      </c>
      <c r="I655" s="8">
        <v>133994.51999999999</v>
      </c>
      <c r="J655" s="7">
        <v>1</v>
      </c>
      <c r="K655" s="7">
        <v>1</v>
      </c>
      <c r="L655" s="7">
        <v>1</v>
      </c>
      <c r="M655" s="9">
        <v>19287.060000000001</v>
      </c>
      <c r="N655" s="7">
        <v>1</v>
      </c>
    </row>
    <row r="656" spans="1:14" x14ac:dyDescent="0.25">
      <c r="A656" s="6">
        <v>655</v>
      </c>
      <c r="B656" s="7">
        <v>15751710</v>
      </c>
      <c r="C656" s="6" t="s">
        <v>208</v>
      </c>
      <c r="D656" s="7">
        <v>729</v>
      </c>
      <c r="E656" s="6" t="s">
        <v>18</v>
      </c>
      <c r="F656" s="6" t="s">
        <v>756</v>
      </c>
      <c r="G656" s="7">
        <v>31</v>
      </c>
      <c r="H656" s="7">
        <v>8</v>
      </c>
      <c r="I656" s="8">
        <v>164870.81</v>
      </c>
      <c r="J656" s="7">
        <v>2</v>
      </c>
      <c r="K656" s="7">
        <v>1</v>
      </c>
      <c r="L656" s="7">
        <v>1</v>
      </c>
      <c r="M656" s="9">
        <v>9567.39</v>
      </c>
      <c r="N656" s="7">
        <v>0</v>
      </c>
    </row>
    <row r="657" spans="1:14" x14ac:dyDescent="0.25">
      <c r="A657" s="6">
        <v>656</v>
      </c>
      <c r="B657" s="7">
        <v>15692926</v>
      </c>
      <c r="C657" s="6" t="s">
        <v>271</v>
      </c>
      <c r="D657" s="7">
        <v>498</v>
      </c>
      <c r="E657" s="6" t="s">
        <v>26</v>
      </c>
      <c r="F657" s="6" t="s">
        <v>23</v>
      </c>
      <c r="G657" s="7">
        <v>25</v>
      </c>
      <c r="H657" s="7">
        <v>8</v>
      </c>
      <c r="I657" s="8">
        <v>121702.73</v>
      </c>
      <c r="J657" s="7">
        <v>1</v>
      </c>
      <c r="K657" s="7">
        <v>1</v>
      </c>
      <c r="L657" s="7">
        <v>1</v>
      </c>
      <c r="M657" s="9">
        <v>132210.49</v>
      </c>
      <c r="N657" s="7">
        <v>0</v>
      </c>
    </row>
    <row r="658" spans="1:14" x14ac:dyDescent="0.25">
      <c r="A658" s="6">
        <v>657</v>
      </c>
      <c r="B658" s="7">
        <v>15813741</v>
      </c>
      <c r="C658" s="6" t="s">
        <v>281</v>
      </c>
      <c r="D658" s="7">
        <v>549</v>
      </c>
      <c r="E658" s="6" t="s">
        <v>18</v>
      </c>
      <c r="F658" s="6" t="s">
        <v>756</v>
      </c>
      <c r="G658" s="7">
        <v>25</v>
      </c>
      <c r="H658" s="7">
        <v>6</v>
      </c>
      <c r="I658" s="8">
        <v>193858.2</v>
      </c>
      <c r="J658" s="7">
        <v>1</v>
      </c>
      <c r="K658" s="7">
        <v>0</v>
      </c>
      <c r="L658" s="7">
        <v>1</v>
      </c>
      <c r="M658" s="9">
        <v>21600.11</v>
      </c>
      <c r="N658" s="7">
        <v>0</v>
      </c>
    </row>
    <row r="659" spans="1:14" x14ac:dyDescent="0.25">
      <c r="A659" s="6">
        <v>658</v>
      </c>
      <c r="B659" s="7">
        <v>15698474</v>
      </c>
      <c r="C659" s="6" t="s">
        <v>543</v>
      </c>
      <c r="D659" s="7">
        <v>601</v>
      </c>
      <c r="E659" s="6" t="s">
        <v>26</v>
      </c>
      <c r="F659" s="6" t="s">
        <v>16</v>
      </c>
      <c r="G659" s="7">
        <v>54</v>
      </c>
      <c r="H659" s="7">
        <v>1</v>
      </c>
      <c r="I659" s="8">
        <v>131039.97</v>
      </c>
      <c r="J659" s="7">
        <v>2</v>
      </c>
      <c r="K659" s="7">
        <v>1</v>
      </c>
      <c r="L659" s="7">
        <v>1</v>
      </c>
      <c r="M659" s="9">
        <v>199661.5</v>
      </c>
      <c r="N659" s="7">
        <v>0</v>
      </c>
    </row>
    <row r="660" spans="1:14" x14ac:dyDescent="0.25">
      <c r="A660" s="6">
        <v>659</v>
      </c>
      <c r="B660" s="7">
        <v>15568595</v>
      </c>
      <c r="C660" s="6" t="s">
        <v>544</v>
      </c>
      <c r="D660" s="7">
        <v>544</v>
      </c>
      <c r="E660" s="6" t="s">
        <v>754</v>
      </c>
      <c r="F660" s="6" t="s">
        <v>23</v>
      </c>
      <c r="G660" s="7">
        <v>64</v>
      </c>
      <c r="H660" s="7">
        <v>9</v>
      </c>
      <c r="I660" s="8">
        <v>113829.45</v>
      </c>
      <c r="J660" s="7">
        <v>1</v>
      </c>
      <c r="K660" s="7">
        <v>1</v>
      </c>
      <c r="L660" s="7">
        <v>1</v>
      </c>
      <c r="M660" s="9">
        <v>124341.49</v>
      </c>
      <c r="N660" s="7">
        <v>0</v>
      </c>
    </row>
    <row r="661" spans="1:14" x14ac:dyDescent="0.25">
      <c r="A661" s="6">
        <v>660</v>
      </c>
      <c r="B661" s="7">
        <v>15603065</v>
      </c>
      <c r="C661" s="6" t="s">
        <v>545</v>
      </c>
      <c r="D661" s="7">
        <v>751</v>
      </c>
      <c r="E661" s="6" t="s">
        <v>754</v>
      </c>
      <c r="F661" s="6" t="s">
        <v>16</v>
      </c>
      <c r="G661" s="7">
        <v>30</v>
      </c>
      <c r="H661" s="7">
        <v>6</v>
      </c>
      <c r="I661" s="8">
        <v>0</v>
      </c>
      <c r="J661" s="7">
        <v>2</v>
      </c>
      <c r="K661" s="7">
        <v>1</v>
      </c>
      <c r="L661" s="7">
        <v>0</v>
      </c>
      <c r="M661" s="9">
        <v>15766.1</v>
      </c>
      <c r="N661" s="7">
        <v>0</v>
      </c>
    </row>
    <row r="662" spans="1:14" x14ac:dyDescent="0.25">
      <c r="A662" s="6">
        <v>661</v>
      </c>
      <c r="B662" s="7">
        <v>15592937</v>
      </c>
      <c r="C662" s="6" t="s">
        <v>546</v>
      </c>
      <c r="D662" s="7">
        <v>632</v>
      </c>
      <c r="E662" s="6" t="s">
        <v>26</v>
      </c>
      <c r="F662" s="6" t="s">
        <v>16</v>
      </c>
      <c r="G662" s="7">
        <v>41</v>
      </c>
      <c r="H662" s="7">
        <v>3</v>
      </c>
      <c r="I662" s="8">
        <v>81877.38</v>
      </c>
      <c r="J662" s="7">
        <v>1</v>
      </c>
      <c r="K662" s="7">
        <v>1</v>
      </c>
      <c r="L662" s="7">
        <v>1</v>
      </c>
      <c r="M662" s="9">
        <v>33642.21</v>
      </c>
      <c r="N662" s="7">
        <v>0</v>
      </c>
    </row>
    <row r="663" spans="1:14" x14ac:dyDescent="0.25">
      <c r="A663" s="6">
        <v>662</v>
      </c>
      <c r="B663" s="7">
        <v>15699637</v>
      </c>
      <c r="C663" s="6" t="s">
        <v>547</v>
      </c>
      <c r="D663" s="7">
        <v>694</v>
      </c>
      <c r="E663" s="6" t="s">
        <v>18</v>
      </c>
      <c r="F663" s="6" t="s">
        <v>756</v>
      </c>
      <c r="G663" s="7">
        <v>57</v>
      </c>
      <c r="H663" s="7">
        <v>8</v>
      </c>
      <c r="I663" s="8">
        <v>116326.07</v>
      </c>
      <c r="J663" s="7">
        <v>1</v>
      </c>
      <c r="K663" s="7">
        <v>1</v>
      </c>
      <c r="L663" s="7">
        <v>1</v>
      </c>
      <c r="M663" s="9">
        <v>117704.65</v>
      </c>
      <c r="N663" s="7">
        <v>0</v>
      </c>
    </row>
    <row r="664" spans="1:14" x14ac:dyDescent="0.25">
      <c r="A664" s="6">
        <v>663</v>
      </c>
      <c r="B664" s="7">
        <v>15667215</v>
      </c>
      <c r="C664" s="6" t="s">
        <v>548</v>
      </c>
      <c r="D664" s="7">
        <v>678</v>
      </c>
      <c r="E664" s="6" t="s">
        <v>754</v>
      </c>
      <c r="F664" s="6" t="s">
        <v>23</v>
      </c>
      <c r="G664" s="7">
        <v>31</v>
      </c>
      <c r="H664" s="7">
        <v>2</v>
      </c>
      <c r="I664" s="8">
        <v>0</v>
      </c>
      <c r="J664" s="7">
        <v>2</v>
      </c>
      <c r="K664" s="7">
        <v>1</v>
      </c>
      <c r="L664" s="7">
        <v>1</v>
      </c>
      <c r="M664" s="9">
        <v>58803.28</v>
      </c>
      <c r="N664" s="7">
        <v>0</v>
      </c>
    </row>
    <row r="665" spans="1:14" x14ac:dyDescent="0.25">
      <c r="A665" s="6">
        <v>664</v>
      </c>
      <c r="B665" s="7">
        <v>15788659</v>
      </c>
      <c r="C665" s="6" t="s">
        <v>549</v>
      </c>
      <c r="D665" s="7">
        <v>695</v>
      </c>
      <c r="E665" s="6" t="s">
        <v>754</v>
      </c>
      <c r="F665" s="6" t="s">
        <v>23</v>
      </c>
      <c r="G665" s="7">
        <v>46</v>
      </c>
      <c r="H665" s="7">
        <v>4</v>
      </c>
      <c r="I665" s="8">
        <v>0</v>
      </c>
      <c r="J665" s="7">
        <v>2</v>
      </c>
      <c r="K665" s="7">
        <v>1</v>
      </c>
      <c r="L665" s="7">
        <v>1</v>
      </c>
      <c r="M665" s="9">
        <v>137537.22</v>
      </c>
      <c r="N665" s="7">
        <v>0</v>
      </c>
    </row>
    <row r="666" spans="1:14" x14ac:dyDescent="0.25">
      <c r="A666" s="6">
        <v>665</v>
      </c>
      <c r="B666" s="7">
        <v>15763218</v>
      </c>
      <c r="C666" s="6" t="s">
        <v>550</v>
      </c>
      <c r="D666" s="7">
        <v>661</v>
      </c>
      <c r="E666" s="6" t="s">
        <v>754</v>
      </c>
      <c r="F666" s="6" t="s">
        <v>16</v>
      </c>
      <c r="G666" s="7">
        <v>41</v>
      </c>
      <c r="H666" s="7">
        <v>1</v>
      </c>
      <c r="I666" s="8">
        <v>0</v>
      </c>
      <c r="J666" s="7">
        <v>2</v>
      </c>
      <c r="K666" s="7">
        <v>0</v>
      </c>
      <c r="L666" s="7">
        <v>1</v>
      </c>
      <c r="M666" s="9">
        <v>131300.68</v>
      </c>
      <c r="N666" s="7">
        <v>0</v>
      </c>
    </row>
    <row r="667" spans="1:14" x14ac:dyDescent="0.25">
      <c r="A667" s="6">
        <v>666</v>
      </c>
      <c r="B667" s="7">
        <v>15645772</v>
      </c>
      <c r="C667" s="6" t="s">
        <v>196</v>
      </c>
      <c r="D667" s="7">
        <v>661</v>
      </c>
      <c r="E667" s="6" t="s">
        <v>754</v>
      </c>
      <c r="F667" s="6" t="s">
        <v>23</v>
      </c>
      <c r="G667" s="7">
        <v>33</v>
      </c>
      <c r="H667" s="7">
        <v>9</v>
      </c>
      <c r="I667" s="8">
        <v>0</v>
      </c>
      <c r="J667" s="7">
        <v>2</v>
      </c>
      <c r="K667" s="7">
        <v>1</v>
      </c>
      <c r="L667" s="7">
        <v>1</v>
      </c>
      <c r="M667" s="9">
        <v>84174.81</v>
      </c>
      <c r="N667" s="7">
        <v>0</v>
      </c>
    </row>
    <row r="668" spans="1:14" x14ac:dyDescent="0.25">
      <c r="A668" s="6">
        <v>667</v>
      </c>
      <c r="B668" s="7">
        <v>15725511</v>
      </c>
      <c r="C668" s="6" t="s">
        <v>93</v>
      </c>
      <c r="D668" s="7">
        <v>559</v>
      </c>
      <c r="E668" s="6" t="s">
        <v>754</v>
      </c>
      <c r="F668" s="6" t="s">
        <v>16</v>
      </c>
      <c r="G668" s="7">
        <v>31</v>
      </c>
      <c r="H668" s="7">
        <v>3</v>
      </c>
      <c r="I668" s="8">
        <v>127070.73</v>
      </c>
      <c r="J668" s="7">
        <v>1</v>
      </c>
      <c r="K668" s="7">
        <v>0</v>
      </c>
      <c r="L668" s="7">
        <v>1</v>
      </c>
      <c r="M668" s="9">
        <v>160941.78</v>
      </c>
      <c r="N668" s="7">
        <v>0</v>
      </c>
    </row>
    <row r="669" spans="1:14" x14ac:dyDescent="0.25">
      <c r="A669" s="6">
        <v>668</v>
      </c>
      <c r="B669" s="7">
        <v>15575024</v>
      </c>
      <c r="C669" s="6" t="s">
        <v>551</v>
      </c>
      <c r="D669" s="7">
        <v>503</v>
      </c>
      <c r="E669" s="6" t="s">
        <v>754</v>
      </c>
      <c r="F669" s="6" t="s">
        <v>23</v>
      </c>
      <c r="G669" s="7">
        <v>29</v>
      </c>
      <c r="H669" s="7">
        <v>3</v>
      </c>
      <c r="I669" s="8">
        <v>0</v>
      </c>
      <c r="J669" s="7">
        <v>2</v>
      </c>
      <c r="K669" s="7">
        <v>1</v>
      </c>
      <c r="L669" s="7">
        <v>1</v>
      </c>
      <c r="M669" s="9">
        <v>143954.99</v>
      </c>
      <c r="N669" s="7">
        <v>0</v>
      </c>
    </row>
    <row r="670" spans="1:14" x14ac:dyDescent="0.25">
      <c r="A670" s="6">
        <v>669</v>
      </c>
      <c r="B670" s="7">
        <v>15640825</v>
      </c>
      <c r="C670" s="6" t="s">
        <v>552</v>
      </c>
      <c r="D670" s="7">
        <v>695</v>
      </c>
      <c r="E670" s="6" t="s">
        <v>18</v>
      </c>
      <c r="F670" s="6" t="s">
        <v>756</v>
      </c>
      <c r="G670" s="7">
        <v>46</v>
      </c>
      <c r="H670" s="7">
        <v>3</v>
      </c>
      <c r="I670" s="8">
        <v>122549.64</v>
      </c>
      <c r="J670" s="7">
        <v>1</v>
      </c>
      <c r="K670" s="7">
        <v>1</v>
      </c>
      <c r="L670" s="7">
        <v>1</v>
      </c>
      <c r="M670" s="9">
        <v>56297.85</v>
      </c>
      <c r="N670" s="7">
        <v>0</v>
      </c>
    </row>
    <row r="671" spans="1:14" x14ac:dyDescent="0.25">
      <c r="A671" s="6">
        <v>670</v>
      </c>
      <c r="B671" s="7">
        <v>15662397</v>
      </c>
      <c r="C671" s="6" t="s">
        <v>553</v>
      </c>
      <c r="D671" s="7">
        <v>640</v>
      </c>
      <c r="E671" s="6" t="s">
        <v>754</v>
      </c>
      <c r="F671" s="6" t="s">
        <v>16</v>
      </c>
      <c r="G671" s="7">
        <v>42</v>
      </c>
      <c r="H671" s="7">
        <v>5</v>
      </c>
      <c r="I671" s="8">
        <v>176099.13</v>
      </c>
      <c r="J671" s="7">
        <v>1</v>
      </c>
      <c r="K671" s="7">
        <v>1</v>
      </c>
      <c r="L671" s="7">
        <v>1</v>
      </c>
      <c r="M671" s="9">
        <v>8404.73</v>
      </c>
      <c r="N671" s="7">
        <v>0</v>
      </c>
    </row>
    <row r="672" spans="1:14" x14ac:dyDescent="0.25">
      <c r="A672" s="6">
        <v>671</v>
      </c>
      <c r="B672" s="7">
        <v>15576368</v>
      </c>
      <c r="C672" s="6" t="s">
        <v>554</v>
      </c>
      <c r="D672" s="7">
        <v>624</v>
      </c>
      <c r="E672" s="6" t="s">
        <v>26</v>
      </c>
      <c r="F672" s="6" t="s">
        <v>16</v>
      </c>
      <c r="G672" s="7">
        <v>48</v>
      </c>
      <c r="H672" s="7">
        <v>3</v>
      </c>
      <c r="I672" s="8">
        <v>122388.38</v>
      </c>
      <c r="J672" s="7">
        <v>2</v>
      </c>
      <c r="K672" s="7">
        <v>0</v>
      </c>
      <c r="L672" s="7">
        <v>0</v>
      </c>
      <c r="M672" s="9">
        <v>30020.09</v>
      </c>
      <c r="N672" s="7">
        <v>0</v>
      </c>
    </row>
    <row r="673" spans="1:14" x14ac:dyDescent="0.25">
      <c r="A673" s="6">
        <v>672</v>
      </c>
      <c r="B673" s="7">
        <v>15674991</v>
      </c>
      <c r="C673" s="6" t="s">
        <v>555</v>
      </c>
      <c r="D673" s="7">
        <v>667</v>
      </c>
      <c r="E673" s="6" t="s">
        <v>754</v>
      </c>
      <c r="F673" s="6" t="s">
        <v>23</v>
      </c>
      <c r="G673" s="7">
        <v>42</v>
      </c>
      <c r="H673" s="7">
        <v>9</v>
      </c>
      <c r="I673" s="8">
        <v>0</v>
      </c>
      <c r="J673" s="7">
        <v>2</v>
      </c>
      <c r="K673" s="7">
        <v>0</v>
      </c>
      <c r="L673" s="7">
        <v>1</v>
      </c>
      <c r="M673" s="9">
        <v>58137.42</v>
      </c>
      <c r="N673" s="7">
        <v>0</v>
      </c>
    </row>
    <row r="674" spans="1:14" x14ac:dyDescent="0.25">
      <c r="A674" s="6">
        <v>673</v>
      </c>
      <c r="B674" s="7">
        <v>15721024</v>
      </c>
      <c r="C674" s="6" t="s">
        <v>556</v>
      </c>
      <c r="D674" s="7">
        <v>642</v>
      </c>
      <c r="E674" s="6" t="s">
        <v>754</v>
      </c>
      <c r="F674" s="6" t="s">
        <v>23</v>
      </c>
      <c r="G674" s="7">
        <v>26</v>
      </c>
      <c r="H674" s="7">
        <v>0</v>
      </c>
      <c r="I674" s="8">
        <v>0</v>
      </c>
      <c r="J674" s="7">
        <v>1</v>
      </c>
      <c r="K674" s="7">
        <v>0</v>
      </c>
      <c r="L674" s="7">
        <v>0</v>
      </c>
      <c r="M674" s="9">
        <v>47472.68</v>
      </c>
      <c r="N674" s="7">
        <v>0</v>
      </c>
    </row>
    <row r="675" spans="1:14" x14ac:dyDescent="0.25">
      <c r="A675" s="6">
        <v>674</v>
      </c>
      <c r="B675" s="7">
        <v>15745621</v>
      </c>
      <c r="C675" s="6" t="s">
        <v>557</v>
      </c>
      <c r="D675" s="7">
        <v>640</v>
      </c>
      <c r="E675" s="6" t="s">
        <v>18</v>
      </c>
      <c r="F675" s="6" t="s">
        <v>16</v>
      </c>
      <c r="G675" s="7">
        <v>2</v>
      </c>
      <c r="H675" s="7">
        <v>6</v>
      </c>
      <c r="I675" s="8">
        <v>118879.35</v>
      </c>
      <c r="J675" s="7">
        <v>2</v>
      </c>
      <c r="K675" s="7">
        <v>1</v>
      </c>
      <c r="L675" s="7">
        <v>1</v>
      </c>
      <c r="M675" s="9">
        <v>19131.71</v>
      </c>
      <c r="N675" s="7">
        <v>0</v>
      </c>
    </row>
    <row r="676" spans="1:14" x14ac:dyDescent="0.25">
      <c r="A676" s="6">
        <v>675</v>
      </c>
      <c r="B676" s="7">
        <v>15642394</v>
      </c>
      <c r="C676" s="6" t="s">
        <v>27</v>
      </c>
      <c r="D676" s="7">
        <v>529</v>
      </c>
      <c r="E676" s="6" t="s">
        <v>18</v>
      </c>
      <c r="F676" s="6" t="s">
        <v>756</v>
      </c>
      <c r="G676" s="7">
        <v>35</v>
      </c>
      <c r="H676" s="7">
        <v>5</v>
      </c>
      <c r="I676" s="8">
        <v>0</v>
      </c>
      <c r="J676" s="7">
        <v>2</v>
      </c>
      <c r="K676" s="7">
        <v>1</v>
      </c>
      <c r="L676" s="7">
        <v>1</v>
      </c>
      <c r="M676" s="9">
        <v>187288.5</v>
      </c>
      <c r="N676" s="7">
        <v>0</v>
      </c>
    </row>
    <row r="677" spans="1:14" x14ac:dyDescent="0.25">
      <c r="A677" s="6">
        <v>676</v>
      </c>
      <c r="B677" s="7">
        <v>15754605</v>
      </c>
      <c r="C677" s="6" t="s">
        <v>558</v>
      </c>
      <c r="D677" s="7">
        <v>563</v>
      </c>
      <c r="E677" s="6" t="s">
        <v>754</v>
      </c>
      <c r="F677" s="6" t="s">
        <v>16</v>
      </c>
      <c r="G677" s="7">
        <v>39</v>
      </c>
      <c r="H677" s="7">
        <v>5</v>
      </c>
      <c r="I677" s="8">
        <v>0</v>
      </c>
      <c r="J677" s="7">
        <v>2</v>
      </c>
      <c r="K677" s="7">
        <v>1</v>
      </c>
      <c r="L677" s="7">
        <v>1</v>
      </c>
      <c r="M677" s="9">
        <v>17603.810000000001</v>
      </c>
      <c r="N677" s="7">
        <v>0</v>
      </c>
    </row>
    <row r="678" spans="1:14" x14ac:dyDescent="0.25">
      <c r="A678" s="6">
        <v>677</v>
      </c>
      <c r="B678" s="7">
        <v>15607040</v>
      </c>
      <c r="C678" s="6" t="s">
        <v>559</v>
      </c>
      <c r="D678" s="7">
        <v>593</v>
      </c>
      <c r="E678" s="6" t="s">
        <v>18</v>
      </c>
      <c r="F678" s="6" t="s">
        <v>16</v>
      </c>
      <c r="G678" s="7">
        <v>2</v>
      </c>
      <c r="H678" s="7">
        <v>4</v>
      </c>
      <c r="I678" s="8">
        <v>88736.44</v>
      </c>
      <c r="J678" s="7">
        <v>2</v>
      </c>
      <c r="K678" s="7">
        <v>1</v>
      </c>
      <c r="L678" s="7">
        <v>0</v>
      </c>
      <c r="M678" s="9">
        <v>67020.03</v>
      </c>
      <c r="N678" s="7">
        <v>0</v>
      </c>
    </row>
    <row r="679" spans="1:14" x14ac:dyDescent="0.25">
      <c r="A679" s="6">
        <v>678</v>
      </c>
      <c r="B679" s="7">
        <v>15715142</v>
      </c>
      <c r="C679" s="6" t="s">
        <v>560</v>
      </c>
      <c r="D679" s="7">
        <v>739</v>
      </c>
      <c r="E679" s="6" t="s">
        <v>26</v>
      </c>
      <c r="F679" s="6" t="s">
        <v>23</v>
      </c>
      <c r="G679" s="7">
        <v>45</v>
      </c>
      <c r="H679" s="7">
        <v>7</v>
      </c>
      <c r="I679" s="8">
        <v>102703.62</v>
      </c>
      <c r="J679" s="7">
        <v>1</v>
      </c>
      <c r="K679" s="7">
        <v>0</v>
      </c>
      <c r="L679" s="7">
        <v>1</v>
      </c>
      <c r="M679" s="9">
        <v>147802.94</v>
      </c>
      <c r="N679" s="7">
        <v>1</v>
      </c>
    </row>
    <row r="680" spans="1:14" x14ac:dyDescent="0.25">
      <c r="A680" s="6">
        <v>679</v>
      </c>
      <c r="B680" s="7">
        <v>15810978</v>
      </c>
      <c r="C680" s="6" t="s">
        <v>561</v>
      </c>
      <c r="D680" s="7">
        <v>788</v>
      </c>
      <c r="E680" s="6" t="s">
        <v>18</v>
      </c>
      <c r="F680" s="6" t="s">
        <v>16</v>
      </c>
      <c r="G680" s="7">
        <v>2</v>
      </c>
      <c r="H680" s="7">
        <v>1</v>
      </c>
      <c r="I680" s="8">
        <v>0</v>
      </c>
      <c r="J680" s="7">
        <v>2</v>
      </c>
      <c r="K680" s="7">
        <v>1</v>
      </c>
      <c r="L680" s="7">
        <v>1</v>
      </c>
      <c r="M680" s="9">
        <v>41610.620000000003</v>
      </c>
      <c r="N680" s="7">
        <v>0</v>
      </c>
    </row>
    <row r="681" spans="1:14" x14ac:dyDescent="0.25">
      <c r="A681" s="6">
        <v>680</v>
      </c>
      <c r="B681" s="7">
        <v>15668886</v>
      </c>
      <c r="C681" s="6" t="s">
        <v>562</v>
      </c>
      <c r="D681" s="7">
        <v>684</v>
      </c>
      <c r="E681" s="6" t="s">
        <v>18</v>
      </c>
      <c r="F681" s="6" t="s">
        <v>16</v>
      </c>
      <c r="G681" s="7">
        <v>2</v>
      </c>
      <c r="H681" s="7">
        <v>3</v>
      </c>
      <c r="I681" s="8">
        <v>0</v>
      </c>
      <c r="J681" s="7">
        <v>2</v>
      </c>
      <c r="K681" s="7">
        <v>1</v>
      </c>
      <c r="L681" s="7">
        <v>0</v>
      </c>
      <c r="M681" s="9">
        <v>44255.65</v>
      </c>
      <c r="N681" s="7">
        <v>0</v>
      </c>
    </row>
    <row r="682" spans="1:14" x14ac:dyDescent="0.25">
      <c r="A682" s="6">
        <v>681</v>
      </c>
      <c r="B682" s="7">
        <v>15780804</v>
      </c>
      <c r="C682" s="6" t="s">
        <v>563</v>
      </c>
      <c r="D682" s="7">
        <v>482</v>
      </c>
      <c r="E682" s="6" t="s">
        <v>754</v>
      </c>
      <c r="F682" s="6" t="s">
        <v>23</v>
      </c>
      <c r="G682" s="7">
        <v>55</v>
      </c>
      <c r="H682" s="7">
        <v>5</v>
      </c>
      <c r="I682" s="8">
        <v>97318.25</v>
      </c>
      <c r="J682" s="7">
        <v>1</v>
      </c>
      <c r="K682" s="7">
        <v>0</v>
      </c>
      <c r="L682" s="7">
        <v>1</v>
      </c>
      <c r="M682" s="9">
        <v>78416.14</v>
      </c>
      <c r="N682" s="7">
        <v>0</v>
      </c>
    </row>
    <row r="683" spans="1:14" x14ac:dyDescent="0.25">
      <c r="A683" s="6">
        <v>682</v>
      </c>
      <c r="B683" s="7">
        <v>15613880</v>
      </c>
      <c r="C683" s="6" t="s">
        <v>564</v>
      </c>
      <c r="D683" s="7">
        <v>591</v>
      </c>
      <c r="E683" s="6" t="s">
        <v>18</v>
      </c>
      <c r="F683" s="6" t="s">
        <v>756</v>
      </c>
      <c r="G683" s="7">
        <v>58</v>
      </c>
      <c r="H683" s="7">
        <v>5</v>
      </c>
      <c r="I683" s="8">
        <v>128468.69</v>
      </c>
      <c r="J683" s="7">
        <v>1</v>
      </c>
      <c r="K683" s="7">
        <v>0</v>
      </c>
      <c r="L683" s="7">
        <v>1</v>
      </c>
      <c r="M683" s="9">
        <v>137254.54999999999</v>
      </c>
      <c r="N683" s="7">
        <v>0</v>
      </c>
    </row>
    <row r="684" spans="1:14" x14ac:dyDescent="0.25">
      <c r="A684" s="6">
        <v>683</v>
      </c>
      <c r="B684" s="7">
        <v>15775238</v>
      </c>
      <c r="C684" s="6" t="s">
        <v>565</v>
      </c>
      <c r="D684" s="7">
        <v>651</v>
      </c>
      <c r="E684" s="6" t="s">
        <v>26</v>
      </c>
      <c r="F684" s="6" t="s">
        <v>16</v>
      </c>
      <c r="G684" s="7">
        <v>41</v>
      </c>
      <c r="H684" s="7">
        <v>4</v>
      </c>
      <c r="I684" s="8">
        <v>133432.59</v>
      </c>
      <c r="J684" s="7">
        <v>1</v>
      </c>
      <c r="K684" s="7">
        <v>0</v>
      </c>
      <c r="L684" s="7">
        <v>1</v>
      </c>
      <c r="M684" s="9">
        <v>151303.48000000001</v>
      </c>
      <c r="N684" s="7">
        <v>0</v>
      </c>
    </row>
    <row r="685" spans="1:14" x14ac:dyDescent="0.25">
      <c r="A685" s="6">
        <v>684</v>
      </c>
      <c r="B685" s="7">
        <v>15786905</v>
      </c>
      <c r="C685" s="6" t="s">
        <v>298</v>
      </c>
      <c r="D685" s="7">
        <v>749</v>
      </c>
      <c r="E685" s="6" t="s">
        <v>26</v>
      </c>
      <c r="F685" s="6" t="s">
        <v>16</v>
      </c>
      <c r="G685" s="7">
        <v>40</v>
      </c>
      <c r="H685" s="7">
        <v>8</v>
      </c>
      <c r="I685" s="8">
        <v>141782.57</v>
      </c>
      <c r="J685" s="7">
        <v>2</v>
      </c>
      <c r="K685" s="7">
        <v>0</v>
      </c>
      <c r="L685" s="7">
        <v>0</v>
      </c>
      <c r="M685" s="9">
        <v>86333.63</v>
      </c>
      <c r="N685" s="7">
        <v>0</v>
      </c>
    </row>
    <row r="686" spans="1:14" x14ac:dyDescent="0.25">
      <c r="A686" s="6">
        <v>685</v>
      </c>
      <c r="B686" s="7">
        <v>15747867</v>
      </c>
      <c r="C686" s="6" t="s">
        <v>70</v>
      </c>
      <c r="D686" s="7">
        <v>583</v>
      </c>
      <c r="E686" s="6" t="s">
        <v>754</v>
      </c>
      <c r="F686" s="6" t="s">
        <v>23</v>
      </c>
      <c r="G686" s="7">
        <v>24</v>
      </c>
      <c r="H686" s="7">
        <v>9</v>
      </c>
      <c r="I686" s="8">
        <v>135125.28</v>
      </c>
      <c r="J686" s="7">
        <v>1</v>
      </c>
      <c r="K686" s="7">
        <v>0</v>
      </c>
      <c r="L686" s="7">
        <v>0</v>
      </c>
      <c r="M686" s="9">
        <v>89801.9</v>
      </c>
      <c r="N686" s="7">
        <v>0</v>
      </c>
    </row>
    <row r="687" spans="1:14" x14ac:dyDescent="0.25">
      <c r="A687" s="6">
        <v>686</v>
      </c>
      <c r="B687" s="7">
        <v>15600337</v>
      </c>
      <c r="C687" s="6" t="s">
        <v>566</v>
      </c>
      <c r="D687" s="7">
        <v>661</v>
      </c>
      <c r="E687" s="6" t="s">
        <v>18</v>
      </c>
      <c r="F687" s="6" t="s">
        <v>756</v>
      </c>
      <c r="G687" s="7">
        <v>42</v>
      </c>
      <c r="H687" s="7">
        <v>2</v>
      </c>
      <c r="I687" s="8">
        <v>178820.91</v>
      </c>
      <c r="J687" s="7">
        <v>1</v>
      </c>
      <c r="K687" s="7">
        <v>0</v>
      </c>
      <c r="L687" s="7">
        <v>0</v>
      </c>
      <c r="M687" s="9">
        <v>29358.57</v>
      </c>
      <c r="N687" s="7">
        <v>1</v>
      </c>
    </row>
    <row r="688" spans="1:14" x14ac:dyDescent="0.25">
      <c r="A688" s="6">
        <v>687</v>
      </c>
      <c r="B688" s="7">
        <v>15801277</v>
      </c>
      <c r="C688" s="6" t="s">
        <v>567</v>
      </c>
      <c r="D688" s="7">
        <v>715</v>
      </c>
      <c r="E688" s="6" t="s">
        <v>754</v>
      </c>
      <c r="F688" s="6" t="s">
        <v>16</v>
      </c>
      <c r="G688" s="7">
        <v>31</v>
      </c>
      <c r="H688" s="7">
        <v>2</v>
      </c>
      <c r="I688" s="8">
        <v>112212.14</v>
      </c>
      <c r="J688" s="7">
        <v>2</v>
      </c>
      <c r="K688" s="7">
        <v>1</v>
      </c>
      <c r="L688" s="7">
        <v>1</v>
      </c>
      <c r="M688" s="9">
        <v>181600.72</v>
      </c>
      <c r="N688" s="7">
        <v>0</v>
      </c>
    </row>
    <row r="689" spans="1:14" x14ac:dyDescent="0.25">
      <c r="A689" s="6">
        <v>688</v>
      </c>
      <c r="B689" s="7">
        <v>15579334</v>
      </c>
      <c r="C689" s="6" t="s">
        <v>568</v>
      </c>
      <c r="D689" s="7">
        <v>769</v>
      </c>
      <c r="E689" s="6" t="s">
        <v>26</v>
      </c>
      <c r="F689" s="6" t="s">
        <v>16</v>
      </c>
      <c r="G689" s="7">
        <v>45</v>
      </c>
      <c r="H689" s="7">
        <v>5</v>
      </c>
      <c r="I689" s="8">
        <v>126674.81</v>
      </c>
      <c r="J689" s="7">
        <v>1</v>
      </c>
      <c r="K689" s="7">
        <v>1</v>
      </c>
      <c r="L689" s="7">
        <v>0</v>
      </c>
      <c r="M689" s="9">
        <v>124118.71</v>
      </c>
      <c r="N689" s="7">
        <v>1</v>
      </c>
    </row>
    <row r="690" spans="1:14" x14ac:dyDescent="0.25">
      <c r="A690" s="6">
        <v>689</v>
      </c>
      <c r="B690" s="7">
        <v>15802741</v>
      </c>
      <c r="C690" s="6" t="s">
        <v>569</v>
      </c>
      <c r="D690" s="7">
        <v>625</v>
      </c>
      <c r="E690" s="6" t="s">
        <v>754</v>
      </c>
      <c r="F690" s="6" t="s">
        <v>16</v>
      </c>
      <c r="G690" s="7">
        <v>51</v>
      </c>
      <c r="H690" s="7">
        <v>7</v>
      </c>
      <c r="I690" s="8">
        <v>136294.97</v>
      </c>
      <c r="J690" s="7">
        <v>1</v>
      </c>
      <c r="K690" s="7">
        <v>1</v>
      </c>
      <c r="L690" s="7">
        <v>0</v>
      </c>
      <c r="M690" s="9">
        <v>38867.46</v>
      </c>
      <c r="N690" s="7">
        <v>1</v>
      </c>
    </row>
    <row r="691" spans="1:14" x14ac:dyDescent="0.25">
      <c r="A691" s="6">
        <v>690</v>
      </c>
      <c r="B691" s="7">
        <v>15720649</v>
      </c>
      <c r="C691" s="6" t="s">
        <v>570</v>
      </c>
      <c r="D691" s="7">
        <v>641</v>
      </c>
      <c r="E691" s="6" t="s">
        <v>754</v>
      </c>
      <c r="F691" s="6" t="s">
        <v>16</v>
      </c>
      <c r="G691" s="7">
        <v>36</v>
      </c>
      <c r="H691" s="7">
        <v>5</v>
      </c>
      <c r="I691" s="8">
        <v>66392.639999999999</v>
      </c>
      <c r="J691" s="7">
        <v>1</v>
      </c>
      <c r="K691" s="7">
        <v>1</v>
      </c>
      <c r="L691" s="7">
        <v>0</v>
      </c>
      <c r="M691" s="9">
        <v>31106.67</v>
      </c>
      <c r="N691" s="7">
        <v>0</v>
      </c>
    </row>
    <row r="692" spans="1:14" x14ac:dyDescent="0.25">
      <c r="A692" s="6">
        <v>691</v>
      </c>
      <c r="B692" s="7">
        <v>15589493</v>
      </c>
      <c r="C692" s="6" t="s">
        <v>571</v>
      </c>
      <c r="D692" s="7">
        <v>716</v>
      </c>
      <c r="E692" s="6" t="s">
        <v>26</v>
      </c>
      <c r="F692" s="6" t="s">
        <v>23</v>
      </c>
      <c r="G692" s="7">
        <v>27</v>
      </c>
      <c r="H692" s="7">
        <v>1</v>
      </c>
      <c r="I692" s="8">
        <v>122552.34</v>
      </c>
      <c r="J692" s="7">
        <v>2</v>
      </c>
      <c r="K692" s="7">
        <v>1</v>
      </c>
      <c r="L692" s="7">
        <v>0</v>
      </c>
      <c r="M692" s="9">
        <v>67611.360000000001</v>
      </c>
      <c r="N692" s="7">
        <v>0</v>
      </c>
    </row>
    <row r="693" spans="1:14" x14ac:dyDescent="0.25">
      <c r="A693" s="6">
        <v>692</v>
      </c>
      <c r="B693" s="7">
        <v>15688251</v>
      </c>
      <c r="C693" s="6" t="s">
        <v>572</v>
      </c>
      <c r="D693" s="7">
        <v>767</v>
      </c>
      <c r="E693" s="6" t="s">
        <v>754</v>
      </c>
      <c r="F693" s="6" t="s">
        <v>23</v>
      </c>
      <c r="G693" s="7">
        <v>43</v>
      </c>
      <c r="H693" s="7">
        <v>1</v>
      </c>
      <c r="I693" s="8">
        <v>76408.850000000006</v>
      </c>
      <c r="J693" s="7">
        <v>2</v>
      </c>
      <c r="K693" s="7">
        <v>1</v>
      </c>
      <c r="L693" s="7">
        <v>0</v>
      </c>
      <c r="M693" s="9">
        <v>77837.63</v>
      </c>
      <c r="N693" s="7">
        <v>0</v>
      </c>
    </row>
    <row r="694" spans="1:14" x14ac:dyDescent="0.25">
      <c r="A694" s="6">
        <v>693</v>
      </c>
      <c r="B694" s="7">
        <v>15665238</v>
      </c>
      <c r="C694" s="6" t="s">
        <v>573</v>
      </c>
      <c r="D694" s="7">
        <v>745</v>
      </c>
      <c r="E694" s="6" t="s">
        <v>26</v>
      </c>
      <c r="F694" s="6" t="s">
        <v>23</v>
      </c>
      <c r="G694" s="7">
        <v>36</v>
      </c>
      <c r="H694" s="7">
        <v>8</v>
      </c>
      <c r="I694" s="8">
        <v>145071.24</v>
      </c>
      <c r="J694" s="7">
        <v>1</v>
      </c>
      <c r="K694" s="7">
        <v>0</v>
      </c>
      <c r="L694" s="7">
        <v>0</v>
      </c>
      <c r="M694" s="9">
        <v>6078.46</v>
      </c>
      <c r="N694" s="7">
        <v>0</v>
      </c>
    </row>
    <row r="695" spans="1:14" x14ac:dyDescent="0.25">
      <c r="A695" s="6">
        <v>694</v>
      </c>
      <c r="B695" s="7">
        <v>15740900</v>
      </c>
      <c r="C695" s="6" t="s">
        <v>574</v>
      </c>
      <c r="D695" s="7">
        <v>589</v>
      </c>
      <c r="E695" s="6" t="s">
        <v>754</v>
      </c>
      <c r="F695" s="6" t="s">
        <v>23</v>
      </c>
      <c r="G695" s="7">
        <v>34</v>
      </c>
      <c r="H695" s="7">
        <v>6</v>
      </c>
      <c r="I695" s="8">
        <v>0</v>
      </c>
      <c r="J695" s="7">
        <v>2</v>
      </c>
      <c r="K695" s="7">
        <v>1</v>
      </c>
      <c r="L695" s="7">
        <v>1</v>
      </c>
      <c r="M695" s="9">
        <v>177896.92</v>
      </c>
      <c r="N695" s="7">
        <v>0</v>
      </c>
    </row>
    <row r="696" spans="1:14" x14ac:dyDescent="0.25">
      <c r="A696" s="6">
        <v>695</v>
      </c>
      <c r="B696" s="7">
        <v>15681068</v>
      </c>
      <c r="C696" s="6" t="s">
        <v>575</v>
      </c>
      <c r="D696" s="7">
        <v>796</v>
      </c>
      <c r="E696" s="6" t="s">
        <v>754</v>
      </c>
      <c r="F696" s="6" t="s">
        <v>16</v>
      </c>
      <c r="G696" s="7">
        <v>45</v>
      </c>
      <c r="H696" s="7">
        <v>2</v>
      </c>
      <c r="I696" s="8">
        <v>109730.22</v>
      </c>
      <c r="J696" s="7">
        <v>1</v>
      </c>
      <c r="K696" s="7">
        <v>1</v>
      </c>
      <c r="L696" s="7">
        <v>1</v>
      </c>
      <c r="M696" s="9">
        <v>123882.73</v>
      </c>
      <c r="N696" s="7">
        <v>0</v>
      </c>
    </row>
    <row r="697" spans="1:14" x14ac:dyDescent="0.25">
      <c r="A697" s="6">
        <v>696</v>
      </c>
      <c r="B697" s="7">
        <v>15748625</v>
      </c>
      <c r="C697" s="6" t="s">
        <v>576</v>
      </c>
      <c r="D697" s="7">
        <v>664</v>
      </c>
      <c r="E697" s="6" t="s">
        <v>754</v>
      </c>
      <c r="F697" s="6" t="s">
        <v>23</v>
      </c>
      <c r="G697" s="7">
        <v>57</v>
      </c>
      <c r="H697" s="7">
        <v>6</v>
      </c>
      <c r="I697" s="8">
        <v>0</v>
      </c>
      <c r="J697" s="7">
        <v>2</v>
      </c>
      <c r="K697" s="7">
        <v>1</v>
      </c>
      <c r="L697" s="7">
        <v>1</v>
      </c>
      <c r="M697" s="9">
        <v>15304.08</v>
      </c>
      <c r="N697" s="7">
        <v>0</v>
      </c>
    </row>
    <row r="698" spans="1:14" x14ac:dyDescent="0.25">
      <c r="A698" s="6">
        <v>697</v>
      </c>
      <c r="B698" s="7">
        <v>15727299</v>
      </c>
      <c r="C698" s="6" t="s">
        <v>577</v>
      </c>
      <c r="D698" s="7">
        <v>445</v>
      </c>
      <c r="E698" s="6" t="s">
        <v>18</v>
      </c>
      <c r="F698" s="6" t="s">
        <v>756</v>
      </c>
      <c r="G698" s="7">
        <v>62</v>
      </c>
      <c r="H698" s="7">
        <v>1</v>
      </c>
      <c r="I698" s="8">
        <v>64119.38</v>
      </c>
      <c r="J698" s="7">
        <v>1</v>
      </c>
      <c r="K698" s="7">
        <v>1</v>
      </c>
      <c r="L698" s="7">
        <v>1</v>
      </c>
      <c r="M698" s="9">
        <v>76569.64</v>
      </c>
      <c r="N698" s="7">
        <v>1</v>
      </c>
    </row>
    <row r="699" spans="1:14" x14ac:dyDescent="0.25">
      <c r="A699" s="6">
        <v>698</v>
      </c>
      <c r="B699" s="7">
        <v>15620204</v>
      </c>
      <c r="C699" s="6" t="s">
        <v>578</v>
      </c>
      <c r="D699" s="7">
        <v>543</v>
      </c>
      <c r="E699" s="6" t="s">
        <v>26</v>
      </c>
      <c r="F699" s="6" t="s">
        <v>16</v>
      </c>
      <c r="G699" s="7">
        <v>57</v>
      </c>
      <c r="H699" s="7">
        <v>1</v>
      </c>
      <c r="I699" s="8">
        <v>106138.33</v>
      </c>
      <c r="J699" s="7">
        <v>2</v>
      </c>
      <c r="K699" s="7">
        <v>1</v>
      </c>
      <c r="L699" s="7">
        <v>1</v>
      </c>
      <c r="M699" s="9">
        <v>120657.32</v>
      </c>
      <c r="N699" s="7">
        <v>1</v>
      </c>
    </row>
    <row r="700" spans="1:14" x14ac:dyDescent="0.25">
      <c r="A700" s="6">
        <v>699</v>
      </c>
      <c r="B700" s="7">
        <v>15669516</v>
      </c>
      <c r="C700" s="6" t="s">
        <v>579</v>
      </c>
      <c r="D700" s="7">
        <v>746</v>
      </c>
      <c r="E700" s="6" t="s">
        <v>18</v>
      </c>
      <c r="F700" s="6" t="s">
        <v>756</v>
      </c>
      <c r="G700" s="7">
        <v>36</v>
      </c>
      <c r="H700" s="7">
        <v>2</v>
      </c>
      <c r="I700" s="8">
        <v>0</v>
      </c>
      <c r="J700" s="7">
        <v>2</v>
      </c>
      <c r="K700" s="7">
        <v>1</v>
      </c>
      <c r="L700" s="7">
        <v>1</v>
      </c>
      <c r="M700" s="9">
        <v>16436.560000000001</v>
      </c>
      <c r="N700" s="7">
        <v>0</v>
      </c>
    </row>
    <row r="701" spans="1:14" x14ac:dyDescent="0.25">
      <c r="A701" s="6">
        <v>700</v>
      </c>
      <c r="B701" s="7">
        <v>15736534</v>
      </c>
      <c r="C701" s="6" t="s">
        <v>580</v>
      </c>
      <c r="D701" s="7">
        <v>742</v>
      </c>
      <c r="E701" s="6" t="s">
        <v>26</v>
      </c>
      <c r="F701" s="6" t="s">
        <v>23</v>
      </c>
      <c r="G701" s="7">
        <v>33</v>
      </c>
      <c r="H701" s="7">
        <v>0</v>
      </c>
      <c r="I701" s="8">
        <v>181656.51</v>
      </c>
      <c r="J701" s="7">
        <v>1</v>
      </c>
      <c r="K701" s="7">
        <v>1</v>
      </c>
      <c r="L701" s="7">
        <v>1</v>
      </c>
      <c r="M701" s="9">
        <v>107667.91</v>
      </c>
      <c r="N701" s="7">
        <v>0</v>
      </c>
    </row>
    <row r="702" spans="1:14" x14ac:dyDescent="0.25">
      <c r="A702" s="6">
        <v>701</v>
      </c>
      <c r="B702" s="7">
        <v>15803457</v>
      </c>
      <c r="C702" s="6" t="s">
        <v>38</v>
      </c>
      <c r="D702" s="7">
        <v>750</v>
      </c>
      <c r="E702" s="6" t="s">
        <v>754</v>
      </c>
      <c r="F702" s="6" t="s">
        <v>16</v>
      </c>
      <c r="G702" s="7">
        <v>32</v>
      </c>
      <c r="H702" s="7">
        <v>5</v>
      </c>
      <c r="I702" s="8">
        <v>0</v>
      </c>
      <c r="J702" s="7">
        <v>2</v>
      </c>
      <c r="K702" s="7">
        <v>1</v>
      </c>
      <c r="L702" s="7">
        <v>0</v>
      </c>
      <c r="M702" s="9">
        <v>95611.47</v>
      </c>
      <c r="N702" s="7">
        <v>0</v>
      </c>
    </row>
    <row r="703" spans="1:14" x14ac:dyDescent="0.25">
      <c r="A703" s="6">
        <v>702</v>
      </c>
      <c r="B703" s="7">
        <v>15659098</v>
      </c>
      <c r="C703" s="6" t="s">
        <v>581</v>
      </c>
      <c r="D703" s="7">
        <v>669</v>
      </c>
      <c r="E703" s="6" t="s">
        <v>754</v>
      </c>
      <c r="F703" s="6" t="s">
        <v>23</v>
      </c>
      <c r="G703" s="7">
        <v>30</v>
      </c>
      <c r="H703" s="7">
        <v>7</v>
      </c>
      <c r="I703" s="8">
        <v>95128.86</v>
      </c>
      <c r="J703" s="7">
        <v>1</v>
      </c>
      <c r="K703" s="7">
        <v>0</v>
      </c>
      <c r="L703" s="7">
        <v>0</v>
      </c>
      <c r="M703" s="9">
        <v>19799.259999999998</v>
      </c>
      <c r="N703" s="7">
        <v>0</v>
      </c>
    </row>
    <row r="704" spans="1:14" x14ac:dyDescent="0.25">
      <c r="A704" s="6">
        <v>703</v>
      </c>
      <c r="B704" s="7">
        <v>15603436</v>
      </c>
      <c r="C704" s="6" t="s">
        <v>582</v>
      </c>
      <c r="D704" s="7">
        <v>594</v>
      </c>
      <c r="E704" s="6" t="s">
        <v>18</v>
      </c>
      <c r="F704" s="6" t="s">
        <v>16</v>
      </c>
      <c r="G704" s="7">
        <v>2</v>
      </c>
      <c r="H704" s="7">
        <v>2</v>
      </c>
      <c r="I704" s="8">
        <v>126615.94</v>
      </c>
      <c r="J704" s="7">
        <v>2</v>
      </c>
      <c r="K704" s="7">
        <v>0</v>
      </c>
      <c r="L704" s="7">
        <v>1</v>
      </c>
      <c r="M704" s="9">
        <v>123214.74</v>
      </c>
      <c r="N704" s="7">
        <v>0</v>
      </c>
    </row>
    <row r="705" spans="1:14" x14ac:dyDescent="0.25">
      <c r="A705" s="6">
        <v>704</v>
      </c>
      <c r="B705" s="7">
        <v>15566292</v>
      </c>
      <c r="C705" s="6" t="s">
        <v>496</v>
      </c>
      <c r="D705" s="7">
        <v>574</v>
      </c>
      <c r="E705" s="6" t="s">
        <v>18</v>
      </c>
      <c r="F705" s="6" t="s">
        <v>756</v>
      </c>
      <c r="G705" s="7">
        <v>36</v>
      </c>
      <c r="H705" s="7">
        <v>1</v>
      </c>
      <c r="I705" s="8">
        <v>0</v>
      </c>
      <c r="J705" s="7">
        <v>2</v>
      </c>
      <c r="K705" s="7">
        <v>0</v>
      </c>
      <c r="L705" s="7">
        <v>1</v>
      </c>
      <c r="M705" s="9">
        <v>71709.119999999995</v>
      </c>
      <c r="N705" s="7">
        <v>0</v>
      </c>
    </row>
    <row r="706" spans="1:14" x14ac:dyDescent="0.25">
      <c r="A706" s="6">
        <v>705</v>
      </c>
      <c r="B706" s="7">
        <v>15808621</v>
      </c>
      <c r="C706" s="6" t="s">
        <v>583</v>
      </c>
      <c r="D706" s="7">
        <v>659</v>
      </c>
      <c r="E706" s="6" t="s">
        <v>26</v>
      </c>
      <c r="F706" s="6" t="s">
        <v>23</v>
      </c>
      <c r="G706" s="7">
        <v>36</v>
      </c>
      <c r="H706" s="7">
        <v>2</v>
      </c>
      <c r="I706" s="8">
        <v>76190.48</v>
      </c>
      <c r="J706" s="7">
        <v>2</v>
      </c>
      <c r="K706" s="7">
        <v>1</v>
      </c>
      <c r="L706" s="7">
        <v>1</v>
      </c>
      <c r="M706" s="9">
        <v>149066.14000000001</v>
      </c>
      <c r="N706" s="7">
        <v>0</v>
      </c>
    </row>
    <row r="707" spans="1:14" x14ac:dyDescent="0.25">
      <c r="A707" s="6">
        <v>706</v>
      </c>
      <c r="B707" s="7">
        <v>15580148</v>
      </c>
      <c r="C707" s="6" t="s">
        <v>131</v>
      </c>
      <c r="D707" s="7">
        <v>750</v>
      </c>
      <c r="E707" s="6" t="s">
        <v>26</v>
      </c>
      <c r="F707" s="6" t="s">
        <v>23</v>
      </c>
      <c r="G707" s="7">
        <v>40</v>
      </c>
      <c r="H707" s="7">
        <v>5</v>
      </c>
      <c r="I707" s="8">
        <v>168286.81</v>
      </c>
      <c r="J707" s="7">
        <v>3</v>
      </c>
      <c r="K707" s="7">
        <v>1</v>
      </c>
      <c r="L707" s="7">
        <v>0</v>
      </c>
      <c r="M707" s="9">
        <v>20451.990000000002</v>
      </c>
      <c r="N707" s="7">
        <v>1</v>
      </c>
    </row>
    <row r="708" spans="1:14" x14ac:dyDescent="0.25">
      <c r="A708" s="6">
        <v>707</v>
      </c>
      <c r="B708" s="7">
        <v>15776231</v>
      </c>
      <c r="C708" s="6" t="s">
        <v>584</v>
      </c>
      <c r="D708" s="7">
        <v>626</v>
      </c>
      <c r="E708" s="6" t="s">
        <v>26</v>
      </c>
      <c r="F708" s="6" t="s">
        <v>23</v>
      </c>
      <c r="G708" s="7">
        <v>35</v>
      </c>
      <c r="H708" s="7">
        <v>4</v>
      </c>
      <c r="I708" s="8">
        <v>88109.81</v>
      </c>
      <c r="J708" s="7">
        <v>1</v>
      </c>
      <c r="K708" s="7">
        <v>1</v>
      </c>
      <c r="L708" s="7">
        <v>1</v>
      </c>
      <c r="M708" s="9">
        <v>32825.5</v>
      </c>
      <c r="N708" s="7">
        <v>0</v>
      </c>
    </row>
    <row r="709" spans="1:14" x14ac:dyDescent="0.25">
      <c r="A709" s="6">
        <v>708</v>
      </c>
      <c r="B709" s="7">
        <v>15773809</v>
      </c>
      <c r="C709" s="6" t="s">
        <v>186</v>
      </c>
      <c r="D709" s="7">
        <v>620</v>
      </c>
      <c r="E709" s="6" t="s">
        <v>754</v>
      </c>
      <c r="F709" s="6" t="s">
        <v>23</v>
      </c>
      <c r="G709" s="7">
        <v>42</v>
      </c>
      <c r="H709" s="7">
        <v>4</v>
      </c>
      <c r="I709" s="8">
        <v>0</v>
      </c>
      <c r="J709" s="7">
        <v>2</v>
      </c>
      <c r="K709" s="7">
        <v>1</v>
      </c>
      <c r="L709" s="7">
        <v>0</v>
      </c>
      <c r="M709" s="9">
        <v>6232.31</v>
      </c>
      <c r="N709" s="7">
        <v>0</v>
      </c>
    </row>
    <row r="710" spans="1:14" x14ac:dyDescent="0.25">
      <c r="A710" s="6">
        <v>709</v>
      </c>
      <c r="B710" s="7">
        <v>15649423</v>
      </c>
      <c r="C710" s="6" t="s">
        <v>585</v>
      </c>
      <c r="D710" s="7">
        <v>580</v>
      </c>
      <c r="E710" s="6" t="s">
        <v>754</v>
      </c>
      <c r="F710" s="6" t="s">
        <v>16</v>
      </c>
      <c r="G710" s="7">
        <v>35</v>
      </c>
      <c r="H710" s="7">
        <v>8</v>
      </c>
      <c r="I710" s="8">
        <v>0</v>
      </c>
      <c r="J710" s="7">
        <v>2</v>
      </c>
      <c r="K710" s="7">
        <v>0</v>
      </c>
      <c r="L710" s="7">
        <v>1</v>
      </c>
      <c r="M710" s="9">
        <v>10357.030000000001</v>
      </c>
      <c r="N710" s="7">
        <v>0</v>
      </c>
    </row>
    <row r="711" spans="1:14" x14ac:dyDescent="0.25">
      <c r="A711" s="6">
        <v>710</v>
      </c>
      <c r="B711" s="7">
        <v>15734886</v>
      </c>
      <c r="C711" s="6" t="s">
        <v>586</v>
      </c>
      <c r="D711" s="7">
        <v>686</v>
      </c>
      <c r="E711" s="6" t="s">
        <v>754</v>
      </c>
      <c r="F711" s="6" t="s">
        <v>16</v>
      </c>
      <c r="G711" s="7">
        <v>34</v>
      </c>
      <c r="H711" s="7">
        <v>3</v>
      </c>
      <c r="I711" s="8">
        <v>123971.51</v>
      </c>
      <c r="J711" s="7">
        <v>2</v>
      </c>
      <c r="K711" s="7">
        <v>1</v>
      </c>
      <c r="L711" s="7">
        <v>0</v>
      </c>
      <c r="M711" s="9">
        <v>147794.63</v>
      </c>
      <c r="N711" s="7">
        <v>0</v>
      </c>
    </row>
    <row r="712" spans="1:14" x14ac:dyDescent="0.25">
      <c r="A712" s="6">
        <v>711</v>
      </c>
      <c r="B712" s="7">
        <v>15722548</v>
      </c>
      <c r="C712" s="6" t="s">
        <v>587</v>
      </c>
      <c r="D712" s="7">
        <v>540</v>
      </c>
      <c r="E712" s="6" t="s">
        <v>754</v>
      </c>
      <c r="F712" s="6" t="s">
        <v>23</v>
      </c>
      <c r="G712" s="7">
        <v>48</v>
      </c>
      <c r="H712" s="7">
        <v>0</v>
      </c>
      <c r="I712" s="8">
        <v>148116.48000000001</v>
      </c>
      <c r="J712" s="7">
        <v>1</v>
      </c>
      <c r="K712" s="7">
        <v>0</v>
      </c>
      <c r="L712" s="7">
        <v>0</v>
      </c>
      <c r="M712" s="9">
        <v>116973.48</v>
      </c>
      <c r="N712" s="7">
        <v>0</v>
      </c>
    </row>
    <row r="713" spans="1:14" x14ac:dyDescent="0.25">
      <c r="A713" s="6">
        <v>712</v>
      </c>
      <c r="B713" s="7">
        <v>15650288</v>
      </c>
      <c r="C713" s="6" t="s">
        <v>588</v>
      </c>
      <c r="D713" s="7">
        <v>634</v>
      </c>
      <c r="E713" s="6" t="s">
        <v>26</v>
      </c>
      <c r="F713" s="6" t="s">
        <v>23</v>
      </c>
      <c r="G713" s="7">
        <v>35</v>
      </c>
      <c r="H713" s="7">
        <v>6</v>
      </c>
      <c r="I713" s="8">
        <v>116269.01</v>
      </c>
      <c r="J713" s="7">
        <v>1</v>
      </c>
      <c r="K713" s="7">
        <v>1</v>
      </c>
      <c r="L713" s="7">
        <v>0</v>
      </c>
      <c r="M713" s="9">
        <v>129964.94</v>
      </c>
      <c r="N713" s="7">
        <v>0</v>
      </c>
    </row>
    <row r="714" spans="1:14" x14ac:dyDescent="0.25">
      <c r="A714" s="6">
        <v>713</v>
      </c>
      <c r="B714" s="7">
        <v>15629448</v>
      </c>
      <c r="C714" s="6" t="s">
        <v>589</v>
      </c>
      <c r="D714" s="7">
        <v>632</v>
      </c>
      <c r="E714" s="6" t="s">
        <v>18</v>
      </c>
      <c r="F714" s="6" t="s">
        <v>756</v>
      </c>
      <c r="G714" s="7">
        <v>38</v>
      </c>
      <c r="H714" s="7">
        <v>1</v>
      </c>
      <c r="I714" s="8">
        <v>120599.21</v>
      </c>
      <c r="J714" s="7">
        <v>1</v>
      </c>
      <c r="K714" s="7">
        <v>1</v>
      </c>
      <c r="L714" s="7">
        <v>0</v>
      </c>
      <c r="M714" s="9">
        <v>92816.86</v>
      </c>
      <c r="N714" s="7">
        <v>0</v>
      </c>
    </row>
    <row r="715" spans="1:14" x14ac:dyDescent="0.25">
      <c r="A715" s="6">
        <v>714</v>
      </c>
      <c r="B715" s="7">
        <v>15716164</v>
      </c>
      <c r="C715" s="6" t="s">
        <v>590</v>
      </c>
      <c r="D715" s="7">
        <v>501</v>
      </c>
      <c r="E715" s="6" t="s">
        <v>754</v>
      </c>
      <c r="F715" s="6" t="s">
        <v>16</v>
      </c>
      <c r="G715" s="7">
        <v>41</v>
      </c>
      <c r="H715" s="7">
        <v>3</v>
      </c>
      <c r="I715" s="8">
        <v>144260.5</v>
      </c>
      <c r="J715" s="7">
        <v>1</v>
      </c>
      <c r="K715" s="7">
        <v>1</v>
      </c>
      <c r="L715" s="7">
        <v>0</v>
      </c>
      <c r="M715" s="9">
        <v>172114.67</v>
      </c>
      <c r="N715" s="7">
        <v>0</v>
      </c>
    </row>
    <row r="716" spans="1:14" x14ac:dyDescent="0.25">
      <c r="A716" s="6">
        <v>715</v>
      </c>
      <c r="B716" s="7">
        <v>15807609</v>
      </c>
      <c r="C716" s="6" t="s">
        <v>307</v>
      </c>
      <c r="D716" s="7">
        <v>650</v>
      </c>
      <c r="E716" s="6" t="s">
        <v>18</v>
      </c>
      <c r="F716" s="6" t="s">
        <v>757</v>
      </c>
      <c r="G716" s="7">
        <v>2</v>
      </c>
      <c r="H716" s="7">
        <v>3</v>
      </c>
      <c r="I716" s="8">
        <v>86605.5</v>
      </c>
      <c r="J716" s="7">
        <v>3</v>
      </c>
      <c r="K716" s="7">
        <v>1</v>
      </c>
      <c r="L716" s="7">
        <v>0</v>
      </c>
      <c r="M716" s="9">
        <v>16649.310000000001</v>
      </c>
      <c r="N716" s="7">
        <v>1</v>
      </c>
    </row>
    <row r="717" spans="1:14" x14ac:dyDescent="0.25">
      <c r="A717" s="6">
        <v>716</v>
      </c>
      <c r="B717" s="7">
        <v>15578977</v>
      </c>
      <c r="C717" s="6" t="s">
        <v>176</v>
      </c>
      <c r="D717" s="7">
        <v>786</v>
      </c>
      <c r="E717" s="6" t="s">
        <v>754</v>
      </c>
      <c r="F717" s="6" t="s">
        <v>23</v>
      </c>
      <c r="G717" s="7">
        <v>34</v>
      </c>
      <c r="H717" s="7">
        <v>9</v>
      </c>
      <c r="I717" s="8">
        <v>0</v>
      </c>
      <c r="J717" s="7">
        <v>2</v>
      </c>
      <c r="K717" s="7">
        <v>1</v>
      </c>
      <c r="L717" s="7">
        <v>0</v>
      </c>
      <c r="M717" s="9">
        <v>144517.19</v>
      </c>
      <c r="N717" s="7">
        <v>0</v>
      </c>
    </row>
    <row r="718" spans="1:14" x14ac:dyDescent="0.25">
      <c r="A718" s="6">
        <v>717</v>
      </c>
      <c r="B718" s="7">
        <v>15677369</v>
      </c>
      <c r="C718" s="6" t="s">
        <v>591</v>
      </c>
      <c r="D718" s="7">
        <v>554</v>
      </c>
      <c r="E718" s="6" t="s">
        <v>26</v>
      </c>
      <c r="F718" s="6" t="s">
        <v>16</v>
      </c>
      <c r="G718" s="7">
        <v>37</v>
      </c>
      <c r="H718" s="7">
        <v>4</v>
      </c>
      <c r="I718" s="8">
        <v>58629.97</v>
      </c>
      <c r="J718" s="7">
        <v>1</v>
      </c>
      <c r="K718" s="7">
        <v>0</v>
      </c>
      <c r="L718" s="7">
        <v>0</v>
      </c>
      <c r="M718" s="9">
        <v>182038.6</v>
      </c>
      <c r="N718" s="7">
        <v>0</v>
      </c>
    </row>
    <row r="719" spans="1:14" x14ac:dyDescent="0.25">
      <c r="A719" s="6">
        <v>718</v>
      </c>
      <c r="B719" s="7">
        <v>15804072</v>
      </c>
      <c r="C719" s="6" t="s">
        <v>334</v>
      </c>
      <c r="D719" s="7">
        <v>701</v>
      </c>
      <c r="E719" s="6" t="s">
        <v>18</v>
      </c>
      <c r="F719" s="6" t="s">
        <v>757</v>
      </c>
      <c r="G719" s="7">
        <v>42</v>
      </c>
      <c r="H719" s="7">
        <v>5</v>
      </c>
      <c r="I719" s="8">
        <v>0</v>
      </c>
      <c r="J719" s="7">
        <v>2</v>
      </c>
      <c r="K719" s="7">
        <v>0</v>
      </c>
      <c r="L719" s="7">
        <v>0</v>
      </c>
      <c r="M719" s="9">
        <v>24210.560000000001</v>
      </c>
      <c r="N719" s="7">
        <v>0</v>
      </c>
    </row>
    <row r="720" spans="1:14" x14ac:dyDescent="0.25">
      <c r="A720" s="6">
        <v>719</v>
      </c>
      <c r="B720" s="7">
        <v>15696859</v>
      </c>
      <c r="C720" s="6" t="s">
        <v>592</v>
      </c>
      <c r="D720" s="7">
        <v>474</v>
      </c>
      <c r="E720" s="6" t="s">
        <v>754</v>
      </c>
      <c r="F720" s="6" t="s">
        <v>23</v>
      </c>
      <c r="G720" s="7">
        <v>45</v>
      </c>
      <c r="H720" s="7">
        <v>10</v>
      </c>
      <c r="I720" s="8">
        <v>0</v>
      </c>
      <c r="J720" s="7">
        <v>2</v>
      </c>
      <c r="K720" s="7">
        <v>0</v>
      </c>
      <c r="L720" s="7">
        <v>0</v>
      </c>
      <c r="M720" s="9">
        <v>172175.9</v>
      </c>
      <c r="N720" s="7">
        <v>0</v>
      </c>
    </row>
    <row r="721" spans="1:14" x14ac:dyDescent="0.25">
      <c r="A721" s="6">
        <v>720</v>
      </c>
      <c r="B721" s="7">
        <v>15653780</v>
      </c>
      <c r="C721" s="6" t="s">
        <v>593</v>
      </c>
      <c r="D721" s="7">
        <v>621</v>
      </c>
      <c r="E721" s="6" t="s">
        <v>754</v>
      </c>
      <c r="F721" s="6" t="s">
        <v>16</v>
      </c>
      <c r="G721" s="7">
        <v>43</v>
      </c>
      <c r="H721" s="7">
        <v>5</v>
      </c>
      <c r="I721" s="8">
        <v>0</v>
      </c>
      <c r="J721" s="7">
        <v>1</v>
      </c>
      <c r="K721" s="7">
        <v>1</v>
      </c>
      <c r="L721" s="7">
        <v>1</v>
      </c>
      <c r="M721" s="9">
        <v>47578.45</v>
      </c>
      <c r="N721" s="7">
        <v>0</v>
      </c>
    </row>
    <row r="722" spans="1:14" x14ac:dyDescent="0.25">
      <c r="A722" s="6">
        <v>721</v>
      </c>
      <c r="B722" s="7">
        <v>15721658</v>
      </c>
      <c r="C722" s="6" t="s">
        <v>544</v>
      </c>
      <c r="D722" s="7">
        <v>672</v>
      </c>
      <c r="E722" s="6" t="s">
        <v>18</v>
      </c>
      <c r="F722" s="6" t="s">
        <v>757</v>
      </c>
      <c r="G722" s="7">
        <v>56</v>
      </c>
      <c r="H722" s="7">
        <v>2</v>
      </c>
      <c r="I722" s="8">
        <v>209767.31</v>
      </c>
      <c r="J722" s="7">
        <v>2</v>
      </c>
      <c r="K722" s="7">
        <v>1</v>
      </c>
      <c r="L722" s="7">
        <v>1</v>
      </c>
      <c r="M722" s="9">
        <v>150694.42000000001</v>
      </c>
      <c r="N722" s="7">
        <v>1</v>
      </c>
    </row>
    <row r="723" spans="1:14" x14ac:dyDescent="0.25">
      <c r="A723" s="6">
        <v>722</v>
      </c>
      <c r="B723" s="7">
        <v>15578761</v>
      </c>
      <c r="C723" s="6" t="s">
        <v>356</v>
      </c>
      <c r="D723" s="7">
        <v>459</v>
      </c>
      <c r="E723" s="6" t="s">
        <v>18</v>
      </c>
      <c r="F723" s="6" t="s">
        <v>757</v>
      </c>
      <c r="G723" s="7">
        <v>42</v>
      </c>
      <c r="H723" s="7">
        <v>6</v>
      </c>
      <c r="I723" s="8">
        <v>129634.25</v>
      </c>
      <c r="J723" s="7">
        <v>2</v>
      </c>
      <c r="K723" s="7">
        <v>1</v>
      </c>
      <c r="L723" s="7">
        <v>1</v>
      </c>
      <c r="M723" s="9">
        <v>177683.02</v>
      </c>
      <c r="N723" s="7">
        <v>1</v>
      </c>
    </row>
    <row r="724" spans="1:14" x14ac:dyDescent="0.25">
      <c r="A724" s="6">
        <v>723</v>
      </c>
      <c r="B724" s="7">
        <v>15736879</v>
      </c>
      <c r="C724" s="6" t="s">
        <v>25</v>
      </c>
      <c r="D724" s="7">
        <v>669</v>
      </c>
      <c r="E724" s="6" t="s">
        <v>754</v>
      </c>
      <c r="F724" s="6" t="s">
        <v>23</v>
      </c>
      <c r="G724" s="7">
        <v>23</v>
      </c>
      <c r="H724" s="7">
        <v>1</v>
      </c>
      <c r="I724" s="8">
        <v>0</v>
      </c>
      <c r="J724" s="7">
        <v>2</v>
      </c>
      <c r="K724" s="7">
        <v>0</v>
      </c>
      <c r="L724" s="7">
        <v>0</v>
      </c>
      <c r="M724" s="9">
        <v>66088.83</v>
      </c>
      <c r="N724" s="7">
        <v>0</v>
      </c>
    </row>
    <row r="725" spans="1:14" x14ac:dyDescent="0.25">
      <c r="A725" s="6">
        <v>724</v>
      </c>
      <c r="B725" s="7">
        <v>15571973</v>
      </c>
      <c r="C725" s="6" t="s">
        <v>594</v>
      </c>
      <c r="D725" s="7">
        <v>776</v>
      </c>
      <c r="E725" s="6" t="s">
        <v>754</v>
      </c>
      <c r="F725" s="6" t="s">
        <v>16</v>
      </c>
      <c r="G725" s="7">
        <v>38</v>
      </c>
      <c r="H725" s="7">
        <v>2</v>
      </c>
      <c r="I725" s="8">
        <v>169824.46</v>
      </c>
      <c r="J725" s="7">
        <v>1</v>
      </c>
      <c r="K725" s="7">
        <v>1</v>
      </c>
      <c r="L725" s="7">
        <v>0</v>
      </c>
      <c r="M725" s="9">
        <v>169291.7</v>
      </c>
      <c r="N725" s="7">
        <v>0</v>
      </c>
    </row>
    <row r="726" spans="1:14" x14ac:dyDescent="0.25">
      <c r="A726" s="6">
        <v>725</v>
      </c>
      <c r="B726" s="7">
        <v>15626742</v>
      </c>
      <c r="C726" s="6" t="s">
        <v>365</v>
      </c>
      <c r="D726" s="7">
        <v>694</v>
      </c>
      <c r="E726" s="6" t="s">
        <v>754</v>
      </c>
      <c r="F726" s="6" t="s">
        <v>23</v>
      </c>
      <c r="G726" s="7">
        <v>36</v>
      </c>
      <c r="H726" s="7">
        <v>3</v>
      </c>
      <c r="I726" s="8">
        <v>97530.25</v>
      </c>
      <c r="J726" s="7">
        <v>1</v>
      </c>
      <c r="K726" s="7">
        <v>1</v>
      </c>
      <c r="L726" s="7">
        <v>1</v>
      </c>
      <c r="M726" s="9">
        <v>117140.41</v>
      </c>
      <c r="N726" s="7">
        <v>0</v>
      </c>
    </row>
    <row r="727" spans="1:14" x14ac:dyDescent="0.25">
      <c r="A727" s="6">
        <v>726</v>
      </c>
      <c r="B727" s="7">
        <v>15672692</v>
      </c>
      <c r="C727" s="6" t="s">
        <v>67</v>
      </c>
      <c r="D727" s="7">
        <v>787</v>
      </c>
      <c r="E727" s="6" t="s">
        <v>754</v>
      </c>
      <c r="F727" s="6" t="s">
        <v>16</v>
      </c>
      <c r="G727" s="7">
        <v>42</v>
      </c>
      <c r="H727" s="7">
        <v>10</v>
      </c>
      <c r="I727" s="8">
        <v>145988.65</v>
      </c>
      <c r="J727" s="7">
        <v>2</v>
      </c>
      <c r="K727" s="7">
        <v>1</v>
      </c>
      <c r="L727" s="7">
        <v>1</v>
      </c>
      <c r="M727" s="9">
        <v>79510.37</v>
      </c>
      <c r="N727" s="7">
        <v>0</v>
      </c>
    </row>
    <row r="728" spans="1:14" x14ac:dyDescent="0.25">
      <c r="A728" s="6">
        <v>727</v>
      </c>
      <c r="B728" s="7">
        <v>15673570</v>
      </c>
      <c r="C728" s="6" t="s">
        <v>595</v>
      </c>
      <c r="D728" s="7">
        <v>580</v>
      </c>
      <c r="E728" s="6" t="s">
        <v>754</v>
      </c>
      <c r="F728" s="6" t="s">
        <v>23</v>
      </c>
      <c r="G728" s="7">
        <v>37</v>
      </c>
      <c r="H728" s="7">
        <v>9</v>
      </c>
      <c r="I728" s="8">
        <v>0</v>
      </c>
      <c r="J728" s="7">
        <v>2</v>
      </c>
      <c r="K728" s="7">
        <v>0</v>
      </c>
      <c r="L728" s="7">
        <v>1</v>
      </c>
      <c r="M728" s="9">
        <v>77108.66</v>
      </c>
      <c r="N728" s="7">
        <v>0</v>
      </c>
    </row>
    <row r="729" spans="1:14" x14ac:dyDescent="0.25">
      <c r="A729" s="6">
        <v>728</v>
      </c>
      <c r="B729" s="7">
        <v>15767432</v>
      </c>
      <c r="C729" s="6" t="s">
        <v>305</v>
      </c>
      <c r="D729" s="7">
        <v>711</v>
      </c>
      <c r="E729" s="6" t="s">
        <v>15</v>
      </c>
      <c r="F729" s="6" t="s">
        <v>16</v>
      </c>
      <c r="G729" s="7">
        <v>25</v>
      </c>
      <c r="H729" s="7">
        <v>7</v>
      </c>
      <c r="I729" s="8">
        <v>0</v>
      </c>
      <c r="J729" s="7">
        <v>3</v>
      </c>
      <c r="K729" s="7">
        <v>1</v>
      </c>
      <c r="L729" s="7">
        <v>1</v>
      </c>
      <c r="M729" s="9">
        <v>9679.2800000000007</v>
      </c>
      <c r="N729" s="7">
        <v>0</v>
      </c>
    </row>
    <row r="730" spans="1:14" x14ac:dyDescent="0.25">
      <c r="A730" s="6">
        <v>729</v>
      </c>
      <c r="B730" s="7">
        <v>15654238</v>
      </c>
      <c r="C730" s="6" t="s">
        <v>596</v>
      </c>
      <c r="D730" s="7">
        <v>673</v>
      </c>
      <c r="E730" s="6" t="s">
        <v>15</v>
      </c>
      <c r="F730" s="6" t="s">
        <v>16</v>
      </c>
      <c r="G730" s="7">
        <v>40</v>
      </c>
      <c r="H730" s="7">
        <v>5</v>
      </c>
      <c r="I730" s="8">
        <v>137494.28</v>
      </c>
      <c r="J730" s="7">
        <v>1</v>
      </c>
      <c r="K730" s="7">
        <v>1</v>
      </c>
      <c r="L730" s="7">
        <v>0</v>
      </c>
      <c r="M730" s="9">
        <v>81753.919999999998</v>
      </c>
      <c r="N730" s="7">
        <v>0</v>
      </c>
    </row>
    <row r="731" spans="1:14" x14ac:dyDescent="0.25">
      <c r="A731" s="6">
        <v>730</v>
      </c>
      <c r="B731" s="7">
        <v>15612525</v>
      </c>
      <c r="C731" s="6" t="s">
        <v>597</v>
      </c>
      <c r="D731" s="7">
        <v>499</v>
      </c>
      <c r="E731" s="6" t="s">
        <v>15</v>
      </c>
      <c r="F731" s="6" t="s">
        <v>16</v>
      </c>
      <c r="G731" s="7">
        <v>57</v>
      </c>
      <c r="H731" s="7">
        <v>1</v>
      </c>
      <c r="I731" s="8">
        <v>0</v>
      </c>
      <c r="J731" s="7">
        <v>1</v>
      </c>
      <c r="K731" s="7">
        <v>0</v>
      </c>
      <c r="L731" s="7">
        <v>0</v>
      </c>
      <c r="M731" s="9">
        <v>131372.38</v>
      </c>
      <c r="N731" s="7">
        <v>1</v>
      </c>
    </row>
    <row r="732" spans="1:14" x14ac:dyDescent="0.25">
      <c r="A732" s="6">
        <v>731</v>
      </c>
      <c r="B732" s="7">
        <v>15812750</v>
      </c>
      <c r="C732" s="6" t="s">
        <v>598</v>
      </c>
      <c r="D732" s="7">
        <v>591</v>
      </c>
      <c r="E732" s="6" t="s">
        <v>15</v>
      </c>
      <c r="F732" s="6" t="s">
        <v>23</v>
      </c>
      <c r="G732" s="7">
        <v>24</v>
      </c>
      <c r="H732" s="7">
        <v>6</v>
      </c>
      <c r="I732" s="8">
        <v>147360</v>
      </c>
      <c r="J732" s="7">
        <v>1</v>
      </c>
      <c r="K732" s="7">
        <v>1</v>
      </c>
      <c r="L732" s="7">
        <v>1</v>
      </c>
      <c r="M732" s="9">
        <v>25310.82</v>
      </c>
      <c r="N732" s="7">
        <v>0</v>
      </c>
    </row>
    <row r="733" spans="1:14" x14ac:dyDescent="0.25">
      <c r="A733" s="6">
        <v>732</v>
      </c>
      <c r="B733" s="7">
        <v>15790757</v>
      </c>
      <c r="C733" s="6" t="s">
        <v>599</v>
      </c>
      <c r="D733" s="7">
        <v>769</v>
      </c>
      <c r="E733" s="6" t="s">
        <v>15</v>
      </c>
      <c r="F733" s="6" t="s">
        <v>16</v>
      </c>
      <c r="G733" s="7">
        <v>25</v>
      </c>
      <c r="H733" s="7">
        <v>10</v>
      </c>
      <c r="I733" s="8">
        <v>0</v>
      </c>
      <c r="J733" s="7">
        <v>2</v>
      </c>
      <c r="K733" s="7">
        <v>0</v>
      </c>
      <c r="L733" s="7">
        <v>0</v>
      </c>
      <c r="M733" s="9">
        <v>187925.75</v>
      </c>
      <c r="N733" s="7">
        <v>0</v>
      </c>
    </row>
    <row r="734" spans="1:14" x14ac:dyDescent="0.25">
      <c r="A734" s="6">
        <v>733</v>
      </c>
      <c r="B734" s="7">
        <v>15723873</v>
      </c>
      <c r="C734" s="6" t="s">
        <v>600</v>
      </c>
      <c r="D734" s="7">
        <v>657</v>
      </c>
      <c r="E734" s="6" t="s">
        <v>18</v>
      </c>
      <c r="F734" s="6" t="s">
        <v>756</v>
      </c>
      <c r="G734" s="7">
        <v>31</v>
      </c>
      <c r="H734" s="7">
        <v>3</v>
      </c>
      <c r="I734" s="8">
        <v>125167.02</v>
      </c>
      <c r="J734" s="7">
        <v>1</v>
      </c>
      <c r="K734" s="7">
        <v>0</v>
      </c>
      <c r="L734" s="7">
        <v>0</v>
      </c>
      <c r="M734" s="9">
        <v>98820.39</v>
      </c>
      <c r="N734" s="7">
        <v>0</v>
      </c>
    </row>
    <row r="735" spans="1:14" x14ac:dyDescent="0.25">
      <c r="A735" s="6">
        <v>734</v>
      </c>
      <c r="B735" s="7">
        <v>15744607</v>
      </c>
      <c r="C735" s="6" t="s">
        <v>65</v>
      </c>
      <c r="D735" s="7">
        <v>738</v>
      </c>
      <c r="E735" s="6" t="s">
        <v>26</v>
      </c>
      <c r="F735" s="6" t="s">
        <v>23</v>
      </c>
      <c r="G735" s="7">
        <v>43</v>
      </c>
      <c r="H735" s="7">
        <v>9</v>
      </c>
      <c r="I735" s="8">
        <v>121152.05</v>
      </c>
      <c r="J735" s="7">
        <v>2</v>
      </c>
      <c r="K735" s="7">
        <v>1</v>
      </c>
      <c r="L735" s="7">
        <v>0</v>
      </c>
      <c r="M735" s="9">
        <v>64166.7</v>
      </c>
      <c r="N735" s="7">
        <v>1</v>
      </c>
    </row>
    <row r="736" spans="1:14" x14ac:dyDescent="0.25">
      <c r="A736" s="6">
        <v>735</v>
      </c>
      <c r="B736" s="7">
        <v>15612966</v>
      </c>
      <c r="C736" s="6" t="s">
        <v>601</v>
      </c>
      <c r="D736" s="7">
        <v>545</v>
      </c>
      <c r="E736" s="6" t="s">
        <v>26</v>
      </c>
      <c r="F736" s="6" t="s">
        <v>16</v>
      </c>
      <c r="G736" s="7">
        <v>60</v>
      </c>
      <c r="H736" s="7">
        <v>7</v>
      </c>
      <c r="I736" s="8">
        <v>128981.07</v>
      </c>
      <c r="J736" s="7">
        <v>1</v>
      </c>
      <c r="K736" s="7">
        <v>0</v>
      </c>
      <c r="L736" s="7">
        <v>1</v>
      </c>
      <c r="M736" s="9">
        <v>176924.21</v>
      </c>
      <c r="N736" s="7">
        <v>1</v>
      </c>
    </row>
    <row r="737" spans="1:14" x14ac:dyDescent="0.25">
      <c r="A737" s="6">
        <v>736</v>
      </c>
      <c r="B737" s="7">
        <v>15784209</v>
      </c>
      <c r="C737" s="6" t="s">
        <v>602</v>
      </c>
      <c r="D737" s="7">
        <v>497</v>
      </c>
      <c r="E737" s="6" t="s">
        <v>15</v>
      </c>
      <c r="F737" s="6" t="s">
        <v>23</v>
      </c>
      <c r="G737" s="7">
        <v>47</v>
      </c>
      <c r="H737" s="7">
        <v>6</v>
      </c>
      <c r="I737" s="8">
        <v>0</v>
      </c>
      <c r="J737" s="7">
        <v>1</v>
      </c>
      <c r="K737" s="7">
        <v>1</v>
      </c>
      <c r="L737" s="7">
        <v>1</v>
      </c>
      <c r="M737" s="9">
        <v>90055.08</v>
      </c>
      <c r="N737" s="7">
        <v>0</v>
      </c>
    </row>
    <row r="738" spans="1:14" x14ac:dyDescent="0.25">
      <c r="A738" s="6">
        <v>737</v>
      </c>
      <c r="B738" s="7">
        <v>15794278</v>
      </c>
      <c r="C738" s="6" t="s">
        <v>603</v>
      </c>
      <c r="D738" s="7">
        <v>816</v>
      </c>
      <c r="E738" s="6" t="s">
        <v>18</v>
      </c>
      <c r="F738" s="6" t="s">
        <v>756</v>
      </c>
      <c r="G738" s="7">
        <v>67</v>
      </c>
      <c r="H738" s="7">
        <v>6</v>
      </c>
      <c r="I738" s="8">
        <v>151858.98000000001</v>
      </c>
      <c r="J738" s="7">
        <v>1</v>
      </c>
      <c r="K738" s="7">
        <v>1</v>
      </c>
      <c r="L738" s="7">
        <v>1</v>
      </c>
      <c r="M738" s="9">
        <v>72814.31</v>
      </c>
      <c r="N738" s="7">
        <v>0</v>
      </c>
    </row>
    <row r="739" spans="1:14" x14ac:dyDescent="0.25">
      <c r="A739" s="6">
        <v>738</v>
      </c>
      <c r="B739" s="7">
        <v>15766741</v>
      </c>
      <c r="C739" s="6" t="s">
        <v>222</v>
      </c>
      <c r="D739" s="7">
        <v>525</v>
      </c>
      <c r="E739" s="6" t="s">
        <v>15</v>
      </c>
      <c r="F739" s="6" t="s">
        <v>23</v>
      </c>
      <c r="G739" s="7">
        <v>36</v>
      </c>
      <c r="H739" s="7">
        <v>2</v>
      </c>
      <c r="I739" s="8">
        <v>114628.4</v>
      </c>
      <c r="J739" s="7">
        <v>1</v>
      </c>
      <c r="K739" s="7">
        <v>0</v>
      </c>
      <c r="L739" s="7">
        <v>1</v>
      </c>
      <c r="M739" s="9">
        <v>168290.06</v>
      </c>
      <c r="N739" s="7">
        <v>0</v>
      </c>
    </row>
    <row r="740" spans="1:14" x14ac:dyDescent="0.25">
      <c r="A740" s="6">
        <v>739</v>
      </c>
      <c r="B740" s="7">
        <v>15661036</v>
      </c>
      <c r="C740" s="6" t="s">
        <v>604</v>
      </c>
      <c r="D740" s="7">
        <v>725</v>
      </c>
      <c r="E740" s="6" t="s">
        <v>15</v>
      </c>
      <c r="F740" s="6" t="s">
        <v>23</v>
      </c>
      <c r="G740" s="7">
        <v>46</v>
      </c>
      <c r="H740" s="7">
        <v>6</v>
      </c>
      <c r="I740" s="8">
        <v>0</v>
      </c>
      <c r="J740" s="7">
        <v>2</v>
      </c>
      <c r="K740" s="7">
        <v>1</v>
      </c>
      <c r="L740" s="7">
        <v>0</v>
      </c>
      <c r="M740" s="9">
        <v>161767.38</v>
      </c>
      <c r="N740" s="7">
        <v>0</v>
      </c>
    </row>
    <row r="741" spans="1:14" ht="30" x14ac:dyDescent="0.25">
      <c r="A741" s="6">
        <v>740</v>
      </c>
      <c r="B741" s="7">
        <v>15705639</v>
      </c>
      <c r="C741" s="6" t="s">
        <v>605</v>
      </c>
      <c r="D741" s="7">
        <v>692</v>
      </c>
      <c r="E741" s="6" t="s">
        <v>15</v>
      </c>
      <c r="F741" s="6" t="s">
        <v>16</v>
      </c>
      <c r="G741" s="7">
        <v>28</v>
      </c>
      <c r="H741" s="7">
        <v>8</v>
      </c>
      <c r="I741" s="8">
        <v>95059.02</v>
      </c>
      <c r="J741" s="7">
        <v>2</v>
      </c>
      <c r="K741" s="7">
        <v>1</v>
      </c>
      <c r="L741" s="7">
        <v>0</v>
      </c>
      <c r="M741" s="9">
        <v>44420.18</v>
      </c>
      <c r="N741" s="7">
        <v>0</v>
      </c>
    </row>
    <row r="742" spans="1:14" x14ac:dyDescent="0.25">
      <c r="A742" s="6">
        <v>741</v>
      </c>
      <c r="B742" s="7">
        <v>15637414</v>
      </c>
      <c r="C742" s="6" t="s">
        <v>606</v>
      </c>
      <c r="D742" s="7">
        <v>618</v>
      </c>
      <c r="E742" s="6" t="s">
        <v>15</v>
      </c>
      <c r="F742" s="6" t="s">
        <v>16</v>
      </c>
      <c r="G742" s="7">
        <v>24</v>
      </c>
      <c r="H742" s="7">
        <v>7</v>
      </c>
      <c r="I742" s="8">
        <v>128736.39</v>
      </c>
      <c r="J742" s="7">
        <v>1</v>
      </c>
      <c r="K742" s="7">
        <v>0</v>
      </c>
      <c r="L742" s="7">
        <v>1</v>
      </c>
      <c r="M742" s="9">
        <v>37147.61</v>
      </c>
      <c r="N742" s="7">
        <v>0</v>
      </c>
    </row>
    <row r="743" spans="1:14" x14ac:dyDescent="0.25">
      <c r="A743" s="6">
        <v>742</v>
      </c>
      <c r="B743" s="7">
        <v>15716835</v>
      </c>
      <c r="C743" s="6" t="s">
        <v>259</v>
      </c>
      <c r="D743" s="7">
        <v>546</v>
      </c>
      <c r="E743" s="6" t="s">
        <v>15</v>
      </c>
      <c r="F743" s="6" t="s">
        <v>23</v>
      </c>
      <c r="G743" s="7">
        <v>24</v>
      </c>
      <c r="H743" s="7">
        <v>8</v>
      </c>
      <c r="I743" s="8">
        <v>156325.38</v>
      </c>
      <c r="J743" s="7">
        <v>1</v>
      </c>
      <c r="K743" s="7">
        <v>1</v>
      </c>
      <c r="L743" s="7">
        <v>1</v>
      </c>
      <c r="M743" s="9">
        <v>125381.02</v>
      </c>
      <c r="N743" s="7">
        <v>0</v>
      </c>
    </row>
    <row r="744" spans="1:14" x14ac:dyDescent="0.25">
      <c r="A744" s="6">
        <v>743</v>
      </c>
      <c r="B744" s="7">
        <v>15696231</v>
      </c>
      <c r="C744" s="6" t="s">
        <v>607</v>
      </c>
      <c r="D744" s="7">
        <v>635</v>
      </c>
      <c r="E744" s="6" t="s">
        <v>15</v>
      </c>
      <c r="F744" s="6" t="s">
        <v>23</v>
      </c>
      <c r="G744" s="7">
        <v>29</v>
      </c>
      <c r="H744" s="7">
        <v>7</v>
      </c>
      <c r="I744" s="8">
        <v>105405.97</v>
      </c>
      <c r="J744" s="7">
        <v>1</v>
      </c>
      <c r="K744" s="7">
        <v>1</v>
      </c>
      <c r="L744" s="7">
        <v>1</v>
      </c>
      <c r="M744" s="9">
        <v>149853.89000000001</v>
      </c>
      <c r="N744" s="7">
        <v>0</v>
      </c>
    </row>
    <row r="745" spans="1:14" x14ac:dyDescent="0.25">
      <c r="A745" s="6">
        <v>744</v>
      </c>
      <c r="B745" s="7">
        <v>15641675</v>
      </c>
      <c r="C745" s="6" t="s">
        <v>608</v>
      </c>
      <c r="D745" s="7">
        <v>611</v>
      </c>
      <c r="E745" s="6" t="s">
        <v>15</v>
      </c>
      <c r="F745" s="6" t="s">
        <v>16</v>
      </c>
      <c r="G745" s="7">
        <v>49</v>
      </c>
      <c r="H745" s="7">
        <v>2</v>
      </c>
      <c r="I745" s="8">
        <v>88915.37</v>
      </c>
      <c r="J745" s="7">
        <v>3</v>
      </c>
      <c r="K745" s="7">
        <v>0</v>
      </c>
      <c r="L745" s="7">
        <v>0</v>
      </c>
      <c r="M745" s="9">
        <v>161435.01999999999</v>
      </c>
      <c r="N745" s="7">
        <v>1</v>
      </c>
    </row>
    <row r="746" spans="1:14" x14ac:dyDescent="0.25">
      <c r="A746" s="6">
        <v>745</v>
      </c>
      <c r="B746" s="7">
        <v>15670755</v>
      </c>
      <c r="C746" s="6" t="s">
        <v>609</v>
      </c>
      <c r="D746" s="7">
        <v>650</v>
      </c>
      <c r="E746" s="6" t="s">
        <v>15</v>
      </c>
      <c r="F746" s="6" t="s">
        <v>23</v>
      </c>
      <c r="G746" s="7">
        <v>60</v>
      </c>
      <c r="H746" s="7">
        <v>8</v>
      </c>
      <c r="I746" s="8">
        <v>0</v>
      </c>
      <c r="J746" s="7">
        <v>2</v>
      </c>
      <c r="K746" s="7">
        <v>1</v>
      </c>
      <c r="L746" s="7">
        <v>1</v>
      </c>
      <c r="M746" s="9">
        <v>102925.75999999999</v>
      </c>
      <c r="N746" s="7">
        <v>0</v>
      </c>
    </row>
    <row r="747" spans="1:14" x14ac:dyDescent="0.25">
      <c r="A747" s="6">
        <v>746</v>
      </c>
      <c r="B747" s="7">
        <v>15640059</v>
      </c>
      <c r="C747" s="6" t="s">
        <v>234</v>
      </c>
      <c r="D747" s="7">
        <v>606</v>
      </c>
      <c r="E747" s="6" t="s">
        <v>15</v>
      </c>
      <c r="F747" s="6" t="s">
        <v>23</v>
      </c>
      <c r="G747" s="7">
        <v>40</v>
      </c>
      <c r="H747" s="7">
        <v>5</v>
      </c>
      <c r="I747" s="8">
        <v>0</v>
      </c>
      <c r="J747" s="7">
        <v>2</v>
      </c>
      <c r="K747" s="7">
        <v>1</v>
      </c>
      <c r="L747" s="7">
        <v>1</v>
      </c>
      <c r="M747" s="9">
        <v>70899.27</v>
      </c>
      <c r="N747" s="7">
        <v>0</v>
      </c>
    </row>
    <row r="748" spans="1:14" x14ac:dyDescent="0.25">
      <c r="A748" s="6">
        <v>747</v>
      </c>
      <c r="B748" s="7">
        <v>15787619</v>
      </c>
      <c r="C748" s="6" t="s">
        <v>313</v>
      </c>
      <c r="D748" s="7">
        <v>844</v>
      </c>
      <c r="E748" s="6" t="s">
        <v>15</v>
      </c>
      <c r="F748" s="6" t="s">
        <v>23</v>
      </c>
      <c r="G748" s="7">
        <v>18</v>
      </c>
      <c r="H748" s="7">
        <v>2</v>
      </c>
      <c r="I748" s="8">
        <v>160980.03</v>
      </c>
      <c r="J748" s="7">
        <v>1</v>
      </c>
      <c r="K748" s="7">
        <v>0</v>
      </c>
      <c r="L748" s="7">
        <v>0</v>
      </c>
      <c r="M748" s="9">
        <v>145936.28</v>
      </c>
      <c r="N748" s="7">
        <v>0</v>
      </c>
    </row>
    <row r="749" spans="1:14" ht="30" x14ac:dyDescent="0.25">
      <c r="A749" s="6">
        <v>748</v>
      </c>
      <c r="B749" s="7">
        <v>15587535</v>
      </c>
      <c r="C749" s="6" t="s">
        <v>605</v>
      </c>
      <c r="D749" s="7">
        <v>450</v>
      </c>
      <c r="E749" s="6" t="s">
        <v>18</v>
      </c>
      <c r="F749" s="6" t="s">
        <v>757</v>
      </c>
      <c r="G749" s="7">
        <v>46</v>
      </c>
      <c r="H749" s="7">
        <v>5</v>
      </c>
      <c r="I749" s="8">
        <v>177619.71</v>
      </c>
      <c r="J749" s="7">
        <v>1</v>
      </c>
      <c r="K749" s="7">
        <v>1</v>
      </c>
      <c r="L749" s="7">
        <v>0</v>
      </c>
      <c r="M749" s="9">
        <v>54227.06</v>
      </c>
      <c r="N749" s="7">
        <v>0</v>
      </c>
    </row>
    <row r="750" spans="1:14" x14ac:dyDescent="0.25">
      <c r="A750" s="6">
        <v>749</v>
      </c>
      <c r="B750" s="7">
        <v>15813034</v>
      </c>
      <c r="C750" s="6" t="s">
        <v>65</v>
      </c>
      <c r="D750" s="7">
        <v>727</v>
      </c>
      <c r="E750" s="6" t="s">
        <v>18</v>
      </c>
      <c r="F750" s="6" t="s">
        <v>756</v>
      </c>
      <c r="G750" s="7">
        <v>38</v>
      </c>
      <c r="H750" s="7">
        <v>2</v>
      </c>
      <c r="I750" s="8">
        <v>62276.99</v>
      </c>
      <c r="J750" s="7">
        <v>1</v>
      </c>
      <c r="K750" s="7">
        <v>1</v>
      </c>
      <c r="L750" s="7">
        <v>1</v>
      </c>
      <c r="M750" s="9">
        <v>59280.79</v>
      </c>
      <c r="N750" s="7">
        <v>0</v>
      </c>
    </row>
    <row r="751" spans="1:14" ht="30" x14ac:dyDescent="0.25">
      <c r="A751" s="6">
        <v>750</v>
      </c>
      <c r="B751" s="7">
        <v>15698839</v>
      </c>
      <c r="C751" s="6" t="s">
        <v>610</v>
      </c>
      <c r="D751" s="7">
        <v>460</v>
      </c>
      <c r="E751" s="6" t="s">
        <v>26</v>
      </c>
      <c r="F751" s="6" t="s">
        <v>23</v>
      </c>
      <c r="G751" s="7">
        <v>46</v>
      </c>
      <c r="H751" s="7">
        <v>4</v>
      </c>
      <c r="I751" s="8">
        <v>127559.97</v>
      </c>
      <c r="J751" s="7">
        <v>2</v>
      </c>
      <c r="K751" s="7">
        <v>1</v>
      </c>
      <c r="L751" s="7">
        <v>1</v>
      </c>
      <c r="M751" s="9">
        <v>126952.5</v>
      </c>
      <c r="N751" s="7">
        <v>0</v>
      </c>
    </row>
    <row r="752" spans="1:14" x14ac:dyDescent="0.25">
      <c r="A752" s="6">
        <v>751</v>
      </c>
      <c r="B752" s="7">
        <v>15790314</v>
      </c>
      <c r="C752" s="6" t="s">
        <v>611</v>
      </c>
      <c r="D752" s="7">
        <v>649</v>
      </c>
      <c r="E752" s="6" t="s">
        <v>15</v>
      </c>
      <c r="F752" s="6" t="s">
        <v>23</v>
      </c>
      <c r="G752" s="7">
        <v>41</v>
      </c>
      <c r="H752" s="7">
        <v>0</v>
      </c>
      <c r="I752" s="8">
        <v>0</v>
      </c>
      <c r="J752" s="7">
        <v>2</v>
      </c>
      <c r="K752" s="7">
        <v>0</v>
      </c>
      <c r="L752" s="7">
        <v>1</v>
      </c>
      <c r="M752" s="9">
        <v>130567.02</v>
      </c>
      <c r="N752" s="7">
        <v>0</v>
      </c>
    </row>
    <row r="753" spans="1:14" x14ac:dyDescent="0.25">
      <c r="A753" s="6">
        <v>752</v>
      </c>
      <c r="B753" s="7">
        <v>15634245</v>
      </c>
      <c r="C753" s="6" t="s">
        <v>612</v>
      </c>
      <c r="D753" s="7">
        <v>758</v>
      </c>
      <c r="E753" s="6" t="s">
        <v>26</v>
      </c>
      <c r="F753" s="6" t="s">
        <v>16</v>
      </c>
      <c r="G753" s="7">
        <v>47</v>
      </c>
      <c r="H753" s="7">
        <v>9</v>
      </c>
      <c r="I753" s="8">
        <v>95523.16</v>
      </c>
      <c r="J753" s="7">
        <v>1</v>
      </c>
      <c r="K753" s="7">
        <v>1</v>
      </c>
      <c r="L753" s="7">
        <v>0</v>
      </c>
      <c r="M753" s="9">
        <v>73294.48</v>
      </c>
      <c r="N753" s="7">
        <v>0</v>
      </c>
    </row>
    <row r="754" spans="1:14" x14ac:dyDescent="0.25">
      <c r="A754" s="6">
        <v>753</v>
      </c>
      <c r="B754" s="7">
        <v>15677305</v>
      </c>
      <c r="C754" s="6" t="s">
        <v>313</v>
      </c>
      <c r="D754" s="7">
        <v>490</v>
      </c>
      <c r="E754" s="6" t="s">
        <v>15</v>
      </c>
      <c r="F754" s="6" t="s">
        <v>16</v>
      </c>
      <c r="G754" s="7">
        <v>35</v>
      </c>
      <c r="H754" s="7">
        <v>7</v>
      </c>
      <c r="I754" s="8">
        <v>107749.03</v>
      </c>
      <c r="J754" s="7">
        <v>1</v>
      </c>
      <c r="K754" s="7">
        <v>1</v>
      </c>
      <c r="L754" s="7">
        <v>1</v>
      </c>
      <c r="M754" s="9">
        <v>3937.37</v>
      </c>
      <c r="N754" s="7">
        <v>0</v>
      </c>
    </row>
    <row r="755" spans="1:14" x14ac:dyDescent="0.25">
      <c r="A755" s="6">
        <v>754</v>
      </c>
      <c r="B755" s="7">
        <v>15661526</v>
      </c>
      <c r="C755" s="6" t="s">
        <v>540</v>
      </c>
      <c r="D755" s="7">
        <v>815</v>
      </c>
      <c r="E755" s="6" t="s">
        <v>26</v>
      </c>
      <c r="F755" s="6" t="s">
        <v>23</v>
      </c>
      <c r="G755" s="7">
        <v>37</v>
      </c>
      <c r="H755" s="7">
        <v>2</v>
      </c>
      <c r="I755" s="8">
        <v>110777.26</v>
      </c>
      <c r="J755" s="7">
        <v>2</v>
      </c>
      <c r="K755" s="7">
        <v>1</v>
      </c>
      <c r="L755" s="7">
        <v>0</v>
      </c>
      <c r="M755" s="9">
        <v>2383.59</v>
      </c>
      <c r="N755" s="7">
        <v>0</v>
      </c>
    </row>
    <row r="756" spans="1:14" x14ac:dyDescent="0.25">
      <c r="A756" s="6">
        <v>755</v>
      </c>
      <c r="B756" s="7">
        <v>15685997</v>
      </c>
      <c r="C756" s="6" t="s">
        <v>613</v>
      </c>
      <c r="D756" s="7">
        <v>838</v>
      </c>
      <c r="E756" s="6" t="s">
        <v>18</v>
      </c>
      <c r="F756" s="6" t="s">
        <v>757</v>
      </c>
      <c r="G756" s="7">
        <v>39</v>
      </c>
      <c r="H756" s="7">
        <v>5</v>
      </c>
      <c r="I756" s="8">
        <v>166733.92000000001</v>
      </c>
      <c r="J756" s="7">
        <v>2</v>
      </c>
      <c r="K756" s="7">
        <v>1</v>
      </c>
      <c r="L756" s="7">
        <v>0</v>
      </c>
      <c r="M756" s="9">
        <v>14279.44</v>
      </c>
      <c r="N756" s="7">
        <v>0</v>
      </c>
    </row>
    <row r="757" spans="1:14" x14ac:dyDescent="0.25">
      <c r="A757" s="6">
        <v>756</v>
      </c>
      <c r="B757" s="7">
        <v>15660101</v>
      </c>
      <c r="C757" s="6" t="s">
        <v>614</v>
      </c>
      <c r="D757" s="7">
        <v>803</v>
      </c>
      <c r="E757" s="6" t="s">
        <v>15</v>
      </c>
      <c r="F757" s="6" t="s">
        <v>23</v>
      </c>
      <c r="G757" s="7">
        <v>31</v>
      </c>
      <c r="H757" s="7">
        <v>9</v>
      </c>
      <c r="I757" s="8">
        <v>157120.85999999999</v>
      </c>
      <c r="J757" s="7">
        <v>2</v>
      </c>
      <c r="K757" s="7">
        <v>1</v>
      </c>
      <c r="L757" s="7">
        <v>0</v>
      </c>
      <c r="M757" s="9">
        <v>141300.53</v>
      </c>
      <c r="N757" s="7">
        <v>0</v>
      </c>
    </row>
    <row r="758" spans="1:14" x14ac:dyDescent="0.25">
      <c r="A758" s="6">
        <v>757</v>
      </c>
      <c r="B758" s="7">
        <v>15637979</v>
      </c>
      <c r="C758" s="6" t="s">
        <v>139</v>
      </c>
      <c r="D758" s="7">
        <v>664</v>
      </c>
      <c r="E758" s="6" t="s">
        <v>26</v>
      </c>
      <c r="F758" s="6" t="s">
        <v>16</v>
      </c>
      <c r="G758" s="7">
        <v>36</v>
      </c>
      <c r="H758" s="7">
        <v>2</v>
      </c>
      <c r="I758" s="8">
        <v>127160.78</v>
      </c>
      <c r="J758" s="7">
        <v>2</v>
      </c>
      <c r="K758" s="7">
        <v>1</v>
      </c>
      <c r="L758" s="7">
        <v>0</v>
      </c>
      <c r="M758" s="9">
        <v>78140.75</v>
      </c>
      <c r="N758" s="7">
        <v>0</v>
      </c>
    </row>
    <row r="759" spans="1:14" x14ac:dyDescent="0.25">
      <c r="A759" s="6">
        <v>758</v>
      </c>
      <c r="B759" s="7">
        <v>15815364</v>
      </c>
      <c r="C759" s="6" t="s">
        <v>615</v>
      </c>
      <c r="D759" s="7">
        <v>736</v>
      </c>
      <c r="E759" s="6" t="s">
        <v>18</v>
      </c>
      <c r="F759" s="6" t="s">
        <v>757</v>
      </c>
      <c r="G759" s="7">
        <v>28</v>
      </c>
      <c r="H759" s="7">
        <v>2</v>
      </c>
      <c r="I759" s="8">
        <v>0</v>
      </c>
      <c r="J759" s="7">
        <v>2</v>
      </c>
      <c r="K759" s="7">
        <v>1</v>
      </c>
      <c r="L759" s="7">
        <v>1</v>
      </c>
      <c r="M759" s="9">
        <v>117431.1</v>
      </c>
      <c r="N759" s="7">
        <v>0</v>
      </c>
    </row>
    <row r="760" spans="1:14" x14ac:dyDescent="0.25">
      <c r="A760" s="6">
        <v>759</v>
      </c>
      <c r="B760" s="7">
        <v>15647099</v>
      </c>
      <c r="C760" s="6" t="s">
        <v>616</v>
      </c>
      <c r="D760" s="7">
        <v>633</v>
      </c>
      <c r="E760" s="6" t="s">
        <v>15</v>
      </c>
      <c r="F760" s="6" t="s">
        <v>16</v>
      </c>
      <c r="G760" s="7">
        <v>37</v>
      </c>
      <c r="H760" s="7">
        <v>9</v>
      </c>
      <c r="I760" s="8">
        <v>156091.97</v>
      </c>
      <c r="J760" s="7">
        <v>1</v>
      </c>
      <c r="K760" s="7">
        <v>1</v>
      </c>
      <c r="L760" s="7">
        <v>0</v>
      </c>
      <c r="M760" s="9">
        <v>72008.61</v>
      </c>
      <c r="N760" s="7">
        <v>0</v>
      </c>
    </row>
    <row r="761" spans="1:14" x14ac:dyDescent="0.25">
      <c r="A761" s="6">
        <v>760</v>
      </c>
      <c r="B761" s="7">
        <v>15625944</v>
      </c>
      <c r="C761" s="6" t="s">
        <v>68</v>
      </c>
      <c r="D761" s="7">
        <v>664</v>
      </c>
      <c r="E761" s="6" t="s">
        <v>15</v>
      </c>
      <c r="F761" s="6" t="s">
        <v>23</v>
      </c>
      <c r="G761" s="7">
        <v>58</v>
      </c>
      <c r="H761" s="7">
        <v>5</v>
      </c>
      <c r="I761" s="8">
        <v>98668.18</v>
      </c>
      <c r="J761" s="7">
        <v>1</v>
      </c>
      <c r="K761" s="7">
        <v>1</v>
      </c>
      <c r="L761" s="7">
        <v>1</v>
      </c>
      <c r="M761" s="9">
        <v>60887.58</v>
      </c>
      <c r="N761" s="7">
        <v>0</v>
      </c>
    </row>
    <row r="762" spans="1:14" x14ac:dyDescent="0.25">
      <c r="A762" s="6">
        <v>761</v>
      </c>
      <c r="B762" s="7">
        <v>15583212</v>
      </c>
      <c r="C762" s="6" t="s">
        <v>133</v>
      </c>
      <c r="D762" s="7">
        <v>600</v>
      </c>
      <c r="E762" s="6" t="s">
        <v>15</v>
      </c>
      <c r="F762" s="6" t="s">
        <v>16</v>
      </c>
      <c r="G762" s="7">
        <v>43</v>
      </c>
      <c r="H762" s="7">
        <v>5</v>
      </c>
      <c r="I762" s="8">
        <v>134022.06</v>
      </c>
      <c r="J762" s="7">
        <v>1</v>
      </c>
      <c r="K762" s="7">
        <v>1</v>
      </c>
      <c r="L762" s="7">
        <v>0</v>
      </c>
      <c r="M762" s="9">
        <v>194764.83</v>
      </c>
      <c r="N762" s="7">
        <v>0</v>
      </c>
    </row>
    <row r="763" spans="1:14" x14ac:dyDescent="0.25">
      <c r="A763" s="6">
        <v>762</v>
      </c>
      <c r="B763" s="7">
        <v>15582741</v>
      </c>
      <c r="C763" s="6" t="s">
        <v>44</v>
      </c>
      <c r="D763" s="7">
        <v>693</v>
      </c>
      <c r="E763" s="6" t="s">
        <v>15</v>
      </c>
      <c r="F763" s="6" t="s">
        <v>16</v>
      </c>
      <c r="G763" s="7">
        <v>35</v>
      </c>
      <c r="H763" s="7">
        <v>5</v>
      </c>
      <c r="I763" s="8">
        <v>124151.09</v>
      </c>
      <c r="J763" s="7">
        <v>1</v>
      </c>
      <c r="K763" s="7">
        <v>1</v>
      </c>
      <c r="L763" s="7">
        <v>0</v>
      </c>
      <c r="M763" s="9">
        <v>88705.14</v>
      </c>
      <c r="N763" s="7">
        <v>1</v>
      </c>
    </row>
    <row r="764" spans="1:14" x14ac:dyDescent="0.25">
      <c r="A764" s="6">
        <v>763</v>
      </c>
      <c r="B764" s="7">
        <v>15637876</v>
      </c>
      <c r="C764" s="6" t="s">
        <v>422</v>
      </c>
      <c r="D764" s="7">
        <v>663</v>
      </c>
      <c r="E764" s="6" t="s">
        <v>26</v>
      </c>
      <c r="F764" s="6" t="s">
        <v>16</v>
      </c>
      <c r="G764" s="7">
        <v>36</v>
      </c>
      <c r="H764" s="7">
        <v>6</v>
      </c>
      <c r="I764" s="8">
        <v>77253.5</v>
      </c>
      <c r="J764" s="7">
        <v>1</v>
      </c>
      <c r="K764" s="7">
        <v>0</v>
      </c>
      <c r="L764" s="7">
        <v>0</v>
      </c>
      <c r="M764" s="9">
        <v>35817.97</v>
      </c>
      <c r="N764" s="7">
        <v>1</v>
      </c>
    </row>
    <row r="765" spans="1:14" x14ac:dyDescent="0.25">
      <c r="A765" s="6">
        <v>764</v>
      </c>
      <c r="B765" s="7">
        <v>15622750</v>
      </c>
      <c r="C765" s="6" t="s">
        <v>22</v>
      </c>
      <c r="D765" s="7">
        <v>742</v>
      </c>
      <c r="E765" s="6" t="s">
        <v>26</v>
      </c>
      <c r="F765" s="6" t="s">
        <v>16</v>
      </c>
      <c r="G765" s="7">
        <v>21</v>
      </c>
      <c r="H765" s="7">
        <v>1</v>
      </c>
      <c r="I765" s="8">
        <v>114292.48</v>
      </c>
      <c r="J765" s="7">
        <v>1</v>
      </c>
      <c r="K765" s="7">
        <v>1</v>
      </c>
      <c r="L765" s="7">
        <v>0</v>
      </c>
      <c r="M765" s="9">
        <v>31520.400000000001</v>
      </c>
      <c r="N765" s="7">
        <v>0</v>
      </c>
    </row>
    <row r="766" spans="1:14" x14ac:dyDescent="0.25">
      <c r="A766" s="6">
        <v>765</v>
      </c>
      <c r="B766" s="7">
        <v>15672056</v>
      </c>
      <c r="C766" s="6" t="s">
        <v>617</v>
      </c>
      <c r="D766" s="7">
        <v>710</v>
      </c>
      <c r="E766" s="6" t="s">
        <v>26</v>
      </c>
      <c r="F766" s="6" t="s">
        <v>23</v>
      </c>
      <c r="G766" s="7">
        <v>43</v>
      </c>
      <c r="H766" s="7">
        <v>2</v>
      </c>
      <c r="I766" s="8">
        <v>140080.32000000001</v>
      </c>
      <c r="J766" s="7">
        <v>3</v>
      </c>
      <c r="K766" s="7">
        <v>1</v>
      </c>
      <c r="L766" s="7">
        <v>1</v>
      </c>
      <c r="M766" s="9">
        <v>157908.19</v>
      </c>
      <c r="N766" s="7">
        <v>1</v>
      </c>
    </row>
    <row r="767" spans="1:14" x14ac:dyDescent="0.25">
      <c r="A767" s="6">
        <v>766</v>
      </c>
      <c r="B767" s="7">
        <v>15812351</v>
      </c>
      <c r="C767" s="6" t="s">
        <v>618</v>
      </c>
      <c r="D767" s="7">
        <v>710</v>
      </c>
      <c r="E767" s="6" t="s">
        <v>18</v>
      </c>
      <c r="F767" s="6" t="s">
        <v>757</v>
      </c>
      <c r="G767" s="7">
        <v>27</v>
      </c>
      <c r="H767" s="7">
        <v>2</v>
      </c>
      <c r="I767" s="8">
        <v>135277.96</v>
      </c>
      <c r="J767" s="7">
        <v>1</v>
      </c>
      <c r="K767" s="7">
        <v>1</v>
      </c>
      <c r="L767" s="7">
        <v>0</v>
      </c>
      <c r="M767" s="9">
        <v>142200.15</v>
      </c>
      <c r="N767" s="7">
        <v>0</v>
      </c>
    </row>
    <row r="768" spans="1:14" x14ac:dyDescent="0.25">
      <c r="A768" s="6">
        <v>767</v>
      </c>
      <c r="B768" s="7">
        <v>15810864</v>
      </c>
      <c r="C768" s="6" t="s">
        <v>619</v>
      </c>
      <c r="D768" s="7">
        <v>700</v>
      </c>
      <c r="E768" s="6" t="s">
        <v>15</v>
      </c>
      <c r="F768" s="6" t="s">
        <v>16</v>
      </c>
      <c r="G768" s="7">
        <v>82</v>
      </c>
      <c r="H768" s="7">
        <v>2</v>
      </c>
      <c r="I768" s="8">
        <v>0</v>
      </c>
      <c r="J768" s="7">
        <v>2</v>
      </c>
      <c r="K768" s="7">
        <v>0</v>
      </c>
      <c r="L768" s="7">
        <v>1</v>
      </c>
      <c r="M768" s="9">
        <v>182055.36</v>
      </c>
      <c r="N768" s="7">
        <v>0</v>
      </c>
    </row>
    <row r="769" spans="1:14" x14ac:dyDescent="0.25">
      <c r="A769" s="6">
        <v>768</v>
      </c>
      <c r="B769" s="7">
        <v>15677921</v>
      </c>
      <c r="C769" s="6" t="s">
        <v>620</v>
      </c>
      <c r="D769" s="7">
        <v>720</v>
      </c>
      <c r="E769" s="6" t="s">
        <v>26</v>
      </c>
      <c r="F769" s="6" t="s">
        <v>23</v>
      </c>
      <c r="G769" s="7">
        <v>60</v>
      </c>
      <c r="H769" s="7">
        <v>9</v>
      </c>
      <c r="I769" s="8">
        <v>115920.62</v>
      </c>
      <c r="J769" s="7">
        <v>2</v>
      </c>
      <c r="K769" s="7">
        <v>0</v>
      </c>
      <c r="L769" s="7">
        <v>0</v>
      </c>
      <c r="M769" s="9">
        <v>157552.07999999999</v>
      </c>
      <c r="N769" s="7">
        <v>1</v>
      </c>
    </row>
    <row r="770" spans="1:14" x14ac:dyDescent="0.25">
      <c r="A770" s="6">
        <v>769</v>
      </c>
      <c r="B770" s="7">
        <v>15724296</v>
      </c>
      <c r="C770" s="6" t="s">
        <v>319</v>
      </c>
      <c r="D770" s="7">
        <v>684</v>
      </c>
      <c r="E770" s="6" t="s">
        <v>18</v>
      </c>
      <c r="F770" s="6" t="s">
        <v>756</v>
      </c>
      <c r="G770" s="7">
        <v>41</v>
      </c>
      <c r="H770" s="7">
        <v>2</v>
      </c>
      <c r="I770" s="8">
        <v>119782.72</v>
      </c>
      <c r="J770" s="7">
        <v>2</v>
      </c>
      <c r="K770" s="7">
        <v>0</v>
      </c>
      <c r="L770" s="7">
        <v>0</v>
      </c>
      <c r="M770" s="9">
        <v>120284.67</v>
      </c>
      <c r="N770" s="7">
        <v>0</v>
      </c>
    </row>
    <row r="771" spans="1:14" x14ac:dyDescent="0.25">
      <c r="A771" s="6">
        <v>770</v>
      </c>
      <c r="B771" s="7">
        <v>15685329</v>
      </c>
      <c r="C771" s="6" t="s">
        <v>370</v>
      </c>
      <c r="D771" s="7">
        <v>531</v>
      </c>
      <c r="E771" s="6" t="s">
        <v>15</v>
      </c>
      <c r="F771" s="6" t="s">
        <v>16</v>
      </c>
      <c r="G771" s="7">
        <v>63</v>
      </c>
      <c r="H771" s="7">
        <v>1</v>
      </c>
      <c r="I771" s="8">
        <v>114715.71</v>
      </c>
      <c r="J771" s="7">
        <v>1</v>
      </c>
      <c r="K771" s="7">
        <v>0</v>
      </c>
      <c r="L771" s="7">
        <v>1</v>
      </c>
      <c r="M771" s="9">
        <v>24506.95</v>
      </c>
      <c r="N771" s="7">
        <v>1</v>
      </c>
    </row>
    <row r="772" spans="1:14" x14ac:dyDescent="0.25">
      <c r="A772" s="6">
        <v>771</v>
      </c>
      <c r="B772" s="7">
        <v>15584091</v>
      </c>
      <c r="C772" s="6" t="s">
        <v>621</v>
      </c>
      <c r="D772" s="7">
        <v>742</v>
      </c>
      <c r="E772" s="6" t="s">
        <v>26</v>
      </c>
      <c r="F772" s="6" t="s">
        <v>16</v>
      </c>
      <c r="G772" s="7">
        <v>36</v>
      </c>
      <c r="H772" s="7">
        <v>2</v>
      </c>
      <c r="I772" s="8">
        <v>129748.54</v>
      </c>
      <c r="J772" s="7">
        <v>2</v>
      </c>
      <c r="K772" s="7">
        <v>0</v>
      </c>
      <c r="L772" s="7">
        <v>0</v>
      </c>
      <c r="M772" s="9">
        <v>47271.61</v>
      </c>
      <c r="N772" s="7">
        <v>1</v>
      </c>
    </row>
    <row r="773" spans="1:14" x14ac:dyDescent="0.25">
      <c r="A773" s="6">
        <v>772</v>
      </c>
      <c r="B773" s="7">
        <v>15640442</v>
      </c>
      <c r="C773" s="6" t="s">
        <v>622</v>
      </c>
      <c r="D773" s="7">
        <v>717</v>
      </c>
      <c r="E773" s="6" t="s">
        <v>15</v>
      </c>
      <c r="F773" s="6" t="s">
        <v>23</v>
      </c>
      <c r="G773" s="7">
        <v>31</v>
      </c>
      <c r="H773" s="7">
        <v>4</v>
      </c>
      <c r="I773" s="8">
        <v>129722.57</v>
      </c>
      <c r="J773" s="7">
        <v>1</v>
      </c>
      <c r="K773" s="7">
        <v>0</v>
      </c>
      <c r="L773" s="7">
        <v>0</v>
      </c>
      <c r="M773" s="9">
        <v>41176.6</v>
      </c>
      <c r="N773" s="7">
        <v>0</v>
      </c>
    </row>
    <row r="774" spans="1:14" x14ac:dyDescent="0.25">
      <c r="A774" s="6">
        <v>773</v>
      </c>
      <c r="B774" s="7">
        <v>15639314</v>
      </c>
      <c r="C774" s="6" t="s">
        <v>623</v>
      </c>
      <c r="D774" s="7">
        <v>589</v>
      </c>
      <c r="E774" s="6" t="s">
        <v>15</v>
      </c>
      <c r="F774" s="6" t="s">
        <v>23</v>
      </c>
      <c r="G774" s="7">
        <v>32</v>
      </c>
      <c r="H774" s="7">
        <v>2</v>
      </c>
      <c r="I774" s="8">
        <v>0</v>
      </c>
      <c r="J774" s="7">
        <v>2</v>
      </c>
      <c r="K774" s="7">
        <v>0</v>
      </c>
      <c r="L774" s="7">
        <v>1</v>
      </c>
      <c r="M774" s="9">
        <v>9468.64</v>
      </c>
      <c r="N774" s="7">
        <v>0</v>
      </c>
    </row>
    <row r="775" spans="1:14" x14ac:dyDescent="0.25">
      <c r="A775" s="6">
        <v>774</v>
      </c>
      <c r="B775" s="7">
        <v>15685320</v>
      </c>
      <c r="C775" s="6" t="s">
        <v>624</v>
      </c>
      <c r="D775" s="7">
        <v>767</v>
      </c>
      <c r="E775" s="6" t="s">
        <v>15</v>
      </c>
      <c r="F775" s="6" t="s">
        <v>23</v>
      </c>
      <c r="G775" s="7">
        <v>36</v>
      </c>
      <c r="H775" s="7">
        <v>3</v>
      </c>
      <c r="I775" s="8">
        <v>139180.20000000001</v>
      </c>
      <c r="J775" s="7">
        <v>1</v>
      </c>
      <c r="K775" s="7">
        <v>0</v>
      </c>
      <c r="L775" s="7">
        <v>0</v>
      </c>
      <c r="M775" s="9">
        <v>123880.19</v>
      </c>
      <c r="N775" s="7">
        <v>0</v>
      </c>
    </row>
    <row r="776" spans="1:14" x14ac:dyDescent="0.25">
      <c r="A776" s="6">
        <v>775</v>
      </c>
      <c r="B776" s="7">
        <v>15789158</v>
      </c>
      <c r="C776" s="6" t="s">
        <v>625</v>
      </c>
      <c r="D776" s="7">
        <v>636</v>
      </c>
      <c r="E776" s="6" t="s">
        <v>26</v>
      </c>
      <c r="F776" s="6" t="s">
        <v>23</v>
      </c>
      <c r="G776" s="7">
        <v>49</v>
      </c>
      <c r="H776" s="7">
        <v>6</v>
      </c>
      <c r="I776" s="8">
        <v>113599.74</v>
      </c>
      <c r="J776" s="7">
        <v>2</v>
      </c>
      <c r="K776" s="7">
        <v>1</v>
      </c>
      <c r="L776" s="7">
        <v>0</v>
      </c>
      <c r="M776" s="9">
        <v>158887.09</v>
      </c>
      <c r="N776" s="7">
        <v>1</v>
      </c>
    </row>
    <row r="777" spans="1:14" x14ac:dyDescent="0.25">
      <c r="A777" s="6">
        <v>776</v>
      </c>
      <c r="B777" s="7">
        <v>15752137</v>
      </c>
      <c r="C777" s="6" t="s">
        <v>626</v>
      </c>
      <c r="D777" s="7">
        <v>648</v>
      </c>
      <c r="E777" s="6" t="s">
        <v>15</v>
      </c>
      <c r="F777" s="6" t="s">
        <v>23</v>
      </c>
      <c r="G777" s="7">
        <v>33</v>
      </c>
      <c r="H777" s="7">
        <v>7</v>
      </c>
      <c r="I777" s="8">
        <v>134944</v>
      </c>
      <c r="J777" s="7">
        <v>1</v>
      </c>
      <c r="K777" s="7">
        <v>1</v>
      </c>
      <c r="L777" s="7">
        <v>1</v>
      </c>
      <c r="M777" s="9">
        <v>117036.38</v>
      </c>
      <c r="N777" s="7">
        <v>0</v>
      </c>
    </row>
    <row r="778" spans="1:14" x14ac:dyDescent="0.25">
      <c r="A778" s="6">
        <v>777</v>
      </c>
      <c r="B778" s="7">
        <v>15712551</v>
      </c>
      <c r="C778" s="6" t="s">
        <v>627</v>
      </c>
      <c r="D778" s="7">
        <v>622</v>
      </c>
      <c r="E778" s="6" t="s">
        <v>26</v>
      </c>
      <c r="F778" s="6" t="s">
        <v>16</v>
      </c>
      <c r="G778" s="7">
        <v>58</v>
      </c>
      <c r="H778" s="7">
        <v>7</v>
      </c>
      <c r="I778" s="8">
        <v>116922.25</v>
      </c>
      <c r="J778" s="7">
        <v>1</v>
      </c>
      <c r="K778" s="7">
        <v>1</v>
      </c>
      <c r="L778" s="7">
        <v>0</v>
      </c>
      <c r="M778" s="9">
        <v>120415.61</v>
      </c>
      <c r="N778" s="7">
        <v>1</v>
      </c>
    </row>
    <row r="779" spans="1:14" x14ac:dyDescent="0.25">
      <c r="A779" s="6">
        <v>778</v>
      </c>
      <c r="B779" s="7">
        <v>15628936</v>
      </c>
      <c r="C779" s="6" t="s">
        <v>628</v>
      </c>
      <c r="D779" s="7">
        <v>692</v>
      </c>
      <c r="E779" s="6" t="s">
        <v>18</v>
      </c>
      <c r="F779" s="6" t="s">
        <v>756</v>
      </c>
      <c r="G779" s="7">
        <v>28</v>
      </c>
      <c r="H779" s="7">
        <v>9</v>
      </c>
      <c r="I779" s="8">
        <v>118945.09</v>
      </c>
      <c r="J779" s="7">
        <v>1</v>
      </c>
      <c r="K779" s="7">
        <v>0</v>
      </c>
      <c r="L779" s="7">
        <v>0</v>
      </c>
      <c r="M779" s="9">
        <v>16064.25</v>
      </c>
      <c r="N779" s="7">
        <v>1</v>
      </c>
    </row>
    <row r="780" spans="1:14" x14ac:dyDescent="0.25">
      <c r="A780" s="6">
        <v>779</v>
      </c>
      <c r="B780" s="7">
        <v>15797227</v>
      </c>
      <c r="C780" s="6" t="s">
        <v>629</v>
      </c>
      <c r="D780" s="7">
        <v>754</v>
      </c>
      <c r="E780" s="6" t="s">
        <v>15</v>
      </c>
      <c r="F780" s="6" t="s">
        <v>23</v>
      </c>
      <c r="G780" s="7">
        <v>28</v>
      </c>
      <c r="H780" s="7">
        <v>8</v>
      </c>
      <c r="I780" s="8">
        <v>0</v>
      </c>
      <c r="J780" s="7">
        <v>2</v>
      </c>
      <c r="K780" s="7">
        <v>1</v>
      </c>
      <c r="L780" s="7">
        <v>1</v>
      </c>
      <c r="M780" s="9">
        <v>52615.62</v>
      </c>
      <c r="N780" s="7">
        <v>0</v>
      </c>
    </row>
    <row r="781" spans="1:14" x14ac:dyDescent="0.25">
      <c r="A781" s="6">
        <v>780</v>
      </c>
      <c r="B781" s="7">
        <v>15769974</v>
      </c>
      <c r="C781" s="6" t="s">
        <v>219</v>
      </c>
      <c r="D781" s="7">
        <v>679</v>
      </c>
      <c r="E781" s="6" t="s">
        <v>18</v>
      </c>
      <c r="F781" s="6" t="s">
        <v>757</v>
      </c>
      <c r="G781" s="7">
        <v>35</v>
      </c>
      <c r="H781" s="7">
        <v>8</v>
      </c>
      <c r="I781" s="8">
        <v>119182.73</v>
      </c>
      <c r="J781" s="7">
        <v>1</v>
      </c>
      <c r="K781" s="7">
        <v>0</v>
      </c>
      <c r="L781" s="7">
        <v>0</v>
      </c>
      <c r="M781" s="9">
        <v>121210.09</v>
      </c>
      <c r="N781" s="7">
        <v>0</v>
      </c>
    </row>
    <row r="782" spans="1:14" x14ac:dyDescent="0.25">
      <c r="A782" s="6">
        <v>781</v>
      </c>
      <c r="B782" s="7">
        <v>15737051</v>
      </c>
      <c r="C782" s="6" t="s">
        <v>630</v>
      </c>
      <c r="D782" s="7">
        <v>639</v>
      </c>
      <c r="E782" s="6" t="s">
        <v>15</v>
      </c>
      <c r="F782" s="6" t="s">
        <v>23</v>
      </c>
      <c r="G782" s="7">
        <v>27</v>
      </c>
      <c r="H782" s="7">
        <v>8</v>
      </c>
      <c r="I782" s="8">
        <v>0</v>
      </c>
      <c r="J782" s="7">
        <v>2</v>
      </c>
      <c r="K782" s="7">
        <v>1</v>
      </c>
      <c r="L782" s="7">
        <v>0</v>
      </c>
      <c r="M782" s="9">
        <v>192247.35</v>
      </c>
      <c r="N782" s="7">
        <v>0</v>
      </c>
    </row>
    <row r="783" spans="1:14" x14ac:dyDescent="0.25">
      <c r="A783" s="6">
        <v>782</v>
      </c>
      <c r="B783" s="7">
        <v>15585595</v>
      </c>
      <c r="C783" s="6" t="s">
        <v>631</v>
      </c>
      <c r="D783" s="7">
        <v>774</v>
      </c>
      <c r="E783" s="6" t="s">
        <v>15</v>
      </c>
      <c r="F783" s="6" t="s">
        <v>16</v>
      </c>
      <c r="G783" s="7">
        <v>28</v>
      </c>
      <c r="H783" s="7">
        <v>1</v>
      </c>
      <c r="I783" s="8">
        <v>71264.02</v>
      </c>
      <c r="J783" s="7">
        <v>2</v>
      </c>
      <c r="K783" s="7">
        <v>0</v>
      </c>
      <c r="L783" s="7">
        <v>1</v>
      </c>
      <c r="M783" s="9">
        <v>68759.570000000007</v>
      </c>
      <c r="N783" s="7">
        <v>0</v>
      </c>
    </row>
    <row r="784" spans="1:14" x14ac:dyDescent="0.25">
      <c r="A784" s="6">
        <v>783</v>
      </c>
      <c r="B784" s="7">
        <v>15654060</v>
      </c>
      <c r="C784" s="6" t="s">
        <v>632</v>
      </c>
      <c r="D784" s="7">
        <v>517</v>
      </c>
      <c r="E784" s="6" t="s">
        <v>15</v>
      </c>
      <c r="F784" s="6" t="s">
        <v>23</v>
      </c>
      <c r="G784" s="7">
        <v>41</v>
      </c>
      <c r="H784" s="7">
        <v>2</v>
      </c>
      <c r="I784" s="8">
        <v>0</v>
      </c>
      <c r="J784" s="7">
        <v>2</v>
      </c>
      <c r="K784" s="7">
        <v>0</v>
      </c>
      <c r="L784" s="7">
        <v>1</v>
      </c>
      <c r="M784" s="9">
        <v>75937.47</v>
      </c>
      <c r="N784" s="7">
        <v>0</v>
      </c>
    </row>
    <row r="785" spans="1:14" x14ac:dyDescent="0.25">
      <c r="A785" s="6">
        <v>784</v>
      </c>
      <c r="B785" s="7">
        <v>15745196</v>
      </c>
      <c r="C785" s="6" t="s">
        <v>633</v>
      </c>
      <c r="D785" s="7">
        <v>571</v>
      </c>
      <c r="E785" s="6" t="s">
        <v>15</v>
      </c>
      <c r="F785" s="6" t="s">
        <v>16</v>
      </c>
      <c r="G785" s="7">
        <v>35</v>
      </c>
      <c r="H785" s="7">
        <v>8</v>
      </c>
      <c r="I785" s="8">
        <v>0</v>
      </c>
      <c r="J785" s="7">
        <v>2</v>
      </c>
      <c r="K785" s="7">
        <v>0</v>
      </c>
      <c r="L785" s="7">
        <v>0</v>
      </c>
      <c r="M785" s="9">
        <v>84569.13</v>
      </c>
      <c r="N785" s="7">
        <v>0</v>
      </c>
    </row>
    <row r="786" spans="1:14" x14ac:dyDescent="0.25">
      <c r="A786" s="6">
        <v>785</v>
      </c>
      <c r="B786" s="7">
        <v>15571221</v>
      </c>
      <c r="C786" s="6" t="s">
        <v>634</v>
      </c>
      <c r="D786" s="7">
        <v>747</v>
      </c>
      <c r="E786" s="6" t="s">
        <v>26</v>
      </c>
      <c r="F786" s="6" t="s">
        <v>23</v>
      </c>
      <c r="G786" s="7">
        <v>58</v>
      </c>
      <c r="H786" s="7">
        <v>7</v>
      </c>
      <c r="I786" s="8">
        <v>116313.57</v>
      </c>
      <c r="J786" s="7">
        <v>1</v>
      </c>
      <c r="K786" s="7">
        <v>1</v>
      </c>
      <c r="L786" s="7">
        <v>1</v>
      </c>
      <c r="M786" s="9">
        <v>190696.35</v>
      </c>
      <c r="N786" s="7">
        <v>1</v>
      </c>
    </row>
    <row r="787" spans="1:14" x14ac:dyDescent="0.25">
      <c r="A787" s="6">
        <v>786</v>
      </c>
      <c r="B787" s="7">
        <v>15660155</v>
      </c>
      <c r="C787" s="6" t="s">
        <v>56</v>
      </c>
      <c r="D787" s="7">
        <v>792</v>
      </c>
      <c r="E787" s="6" t="s">
        <v>18</v>
      </c>
      <c r="F787" s="6" t="s">
        <v>756</v>
      </c>
      <c r="G787" s="7">
        <v>36</v>
      </c>
      <c r="H787" s="7">
        <v>5</v>
      </c>
      <c r="I787" s="8">
        <v>92140.15</v>
      </c>
      <c r="J787" s="7">
        <v>1</v>
      </c>
      <c r="K787" s="7">
        <v>0</v>
      </c>
      <c r="L787" s="7">
        <v>1</v>
      </c>
      <c r="M787" s="9">
        <v>67468.67</v>
      </c>
      <c r="N787" s="7">
        <v>0</v>
      </c>
    </row>
    <row r="788" spans="1:14" x14ac:dyDescent="0.25">
      <c r="A788" s="6">
        <v>787</v>
      </c>
      <c r="B788" s="7">
        <v>15605284</v>
      </c>
      <c r="C788" s="6" t="s">
        <v>635</v>
      </c>
      <c r="D788" s="7">
        <v>688</v>
      </c>
      <c r="E788" s="6" t="s">
        <v>15</v>
      </c>
      <c r="F788" s="6" t="s">
        <v>23</v>
      </c>
      <c r="G788" s="7">
        <v>26</v>
      </c>
      <c r="H788" s="7">
        <v>1</v>
      </c>
      <c r="I788" s="8">
        <v>0</v>
      </c>
      <c r="J788" s="7">
        <v>2</v>
      </c>
      <c r="K788" s="7">
        <v>1</v>
      </c>
      <c r="L788" s="7">
        <v>1</v>
      </c>
      <c r="M788" s="9">
        <v>104435.94</v>
      </c>
      <c r="N788" s="7">
        <v>0</v>
      </c>
    </row>
    <row r="789" spans="1:14" x14ac:dyDescent="0.25">
      <c r="A789" s="6">
        <v>788</v>
      </c>
      <c r="B789" s="7">
        <v>15694366</v>
      </c>
      <c r="C789" s="6" t="s">
        <v>636</v>
      </c>
      <c r="D789" s="7">
        <v>714</v>
      </c>
      <c r="E789" s="6" t="s">
        <v>26</v>
      </c>
      <c r="F789" s="6" t="s">
        <v>23</v>
      </c>
      <c r="G789" s="7">
        <v>42</v>
      </c>
      <c r="H789" s="7">
        <v>2</v>
      </c>
      <c r="I789" s="8">
        <v>177640.09</v>
      </c>
      <c r="J789" s="7">
        <v>1</v>
      </c>
      <c r="K789" s="7">
        <v>0</v>
      </c>
      <c r="L789" s="7">
        <v>1</v>
      </c>
      <c r="M789" s="9">
        <v>47166.55</v>
      </c>
      <c r="N789" s="7">
        <v>0</v>
      </c>
    </row>
    <row r="790" spans="1:14" x14ac:dyDescent="0.25">
      <c r="A790" s="6">
        <v>789</v>
      </c>
      <c r="B790" s="7">
        <v>15600739</v>
      </c>
      <c r="C790" s="6" t="s">
        <v>637</v>
      </c>
      <c r="D790" s="7">
        <v>562</v>
      </c>
      <c r="E790" s="6" t="s">
        <v>18</v>
      </c>
      <c r="F790" s="6" t="s">
        <v>757</v>
      </c>
      <c r="G790" s="7">
        <v>35</v>
      </c>
      <c r="H790" s="7">
        <v>0</v>
      </c>
      <c r="I790" s="8">
        <v>0</v>
      </c>
      <c r="J790" s="7">
        <v>2</v>
      </c>
      <c r="K790" s="7">
        <v>1</v>
      </c>
      <c r="L790" s="7">
        <v>0</v>
      </c>
      <c r="M790" s="9">
        <v>119899.52</v>
      </c>
      <c r="N790" s="7">
        <v>0</v>
      </c>
    </row>
    <row r="791" spans="1:14" x14ac:dyDescent="0.25">
      <c r="A791" s="6">
        <v>790</v>
      </c>
      <c r="B791" s="7">
        <v>15653253</v>
      </c>
      <c r="C791" s="6" t="s">
        <v>530</v>
      </c>
      <c r="D791" s="7">
        <v>704</v>
      </c>
      <c r="E791" s="6" t="s">
        <v>18</v>
      </c>
      <c r="F791" s="6" t="s">
        <v>756</v>
      </c>
      <c r="G791" s="7">
        <v>48</v>
      </c>
      <c r="H791" s="7">
        <v>8</v>
      </c>
      <c r="I791" s="8">
        <v>167997.6</v>
      </c>
      <c r="J791" s="7">
        <v>1</v>
      </c>
      <c r="K791" s="7">
        <v>1</v>
      </c>
      <c r="L791" s="7">
        <v>1</v>
      </c>
      <c r="M791" s="9">
        <v>173498.45</v>
      </c>
      <c r="N791" s="7">
        <v>0</v>
      </c>
    </row>
    <row r="792" spans="1:14" ht="30" x14ac:dyDescent="0.25">
      <c r="A792" s="6">
        <v>791</v>
      </c>
      <c r="B792" s="7">
        <v>15763431</v>
      </c>
      <c r="C792" s="6" t="s">
        <v>638</v>
      </c>
      <c r="D792" s="7">
        <v>698</v>
      </c>
      <c r="E792" s="6" t="s">
        <v>15</v>
      </c>
      <c r="F792" s="6" t="s">
        <v>23</v>
      </c>
      <c r="G792" s="7">
        <v>36</v>
      </c>
      <c r="H792" s="7">
        <v>2</v>
      </c>
      <c r="I792" s="8">
        <v>82275.350000000006</v>
      </c>
      <c r="J792" s="7">
        <v>2</v>
      </c>
      <c r="K792" s="7">
        <v>1</v>
      </c>
      <c r="L792" s="7">
        <v>1</v>
      </c>
      <c r="M792" s="9">
        <v>93249.26</v>
      </c>
      <c r="N792" s="7">
        <v>0</v>
      </c>
    </row>
    <row r="793" spans="1:14" x14ac:dyDescent="0.25">
      <c r="A793" s="6">
        <v>792</v>
      </c>
      <c r="B793" s="7">
        <v>15643696</v>
      </c>
      <c r="C793" s="6" t="s">
        <v>45</v>
      </c>
      <c r="D793" s="7">
        <v>611</v>
      </c>
      <c r="E793" s="6" t="s">
        <v>15</v>
      </c>
      <c r="F793" s="6" t="s">
        <v>23</v>
      </c>
      <c r="G793" s="7">
        <v>49</v>
      </c>
      <c r="H793" s="7">
        <v>3</v>
      </c>
      <c r="I793" s="8">
        <v>0</v>
      </c>
      <c r="J793" s="7">
        <v>2</v>
      </c>
      <c r="K793" s="7">
        <v>1</v>
      </c>
      <c r="L793" s="7">
        <v>1</v>
      </c>
      <c r="M793" s="9">
        <v>142917.54</v>
      </c>
      <c r="N793" s="7">
        <v>0</v>
      </c>
    </row>
    <row r="794" spans="1:14" x14ac:dyDescent="0.25">
      <c r="A794" s="6">
        <v>793</v>
      </c>
      <c r="B794" s="7">
        <v>15707473</v>
      </c>
      <c r="C794" s="6" t="s">
        <v>588</v>
      </c>
      <c r="D794" s="7">
        <v>850</v>
      </c>
      <c r="E794" s="6" t="s">
        <v>26</v>
      </c>
      <c r="F794" s="6" t="s">
        <v>16</v>
      </c>
      <c r="G794" s="7">
        <v>48</v>
      </c>
      <c r="H794" s="7">
        <v>6</v>
      </c>
      <c r="I794" s="8">
        <v>111962.99</v>
      </c>
      <c r="J794" s="7">
        <v>1</v>
      </c>
      <c r="K794" s="7">
        <v>1</v>
      </c>
      <c r="L794" s="7">
        <v>0</v>
      </c>
      <c r="M794" s="9">
        <v>111755.8</v>
      </c>
      <c r="N794" s="7">
        <v>0</v>
      </c>
    </row>
    <row r="795" spans="1:14" x14ac:dyDescent="0.25">
      <c r="A795" s="6">
        <v>794</v>
      </c>
      <c r="B795" s="7">
        <v>15769504</v>
      </c>
      <c r="C795" s="6" t="s">
        <v>639</v>
      </c>
      <c r="D795" s="7">
        <v>743</v>
      </c>
      <c r="E795" s="6" t="s">
        <v>26</v>
      </c>
      <c r="F795" s="6" t="s">
        <v>16</v>
      </c>
      <c r="G795" s="7">
        <v>34</v>
      </c>
      <c r="H795" s="7">
        <v>1</v>
      </c>
      <c r="I795" s="8">
        <v>131736.88</v>
      </c>
      <c r="J795" s="7">
        <v>1</v>
      </c>
      <c r="K795" s="7">
        <v>1</v>
      </c>
      <c r="L795" s="7">
        <v>1</v>
      </c>
      <c r="M795" s="9">
        <v>108543.21</v>
      </c>
      <c r="N795" s="7">
        <v>0</v>
      </c>
    </row>
    <row r="796" spans="1:14" x14ac:dyDescent="0.25">
      <c r="A796" s="6">
        <v>795</v>
      </c>
      <c r="B796" s="7">
        <v>15776807</v>
      </c>
      <c r="C796" s="6" t="s">
        <v>292</v>
      </c>
      <c r="D796" s="7">
        <v>654</v>
      </c>
      <c r="E796" s="6" t="s">
        <v>15</v>
      </c>
      <c r="F796" s="6" t="s">
        <v>23</v>
      </c>
      <c r="G796" s="7">
        <v>29</v>
      </c>
      <c r="H796" s="7">
        <v>1</v>
      </c>
      <c r="I796" s="8">
        <v>0</v>
      </c>
      <c r="J796" s="7">
        <v>1</v>
      </c>
      <c r="K796" s="7">
        <v>1</v>
      </c>
      <c r="L796" s="7">
        <v>0</v>
      </c>
      <c r="M796" s="9">
        <v>180345.44</v>
      </c>
      <c r="N796" s="7">
        <v>0</v>
      </c>
    </row>
    <row r="797" spans="1:14" x14ac:dyDescent="0.25">
      <c r="A797" s="6">
        <v>796</v>
      </c>
      <c r="B797" s="7">
        <v>15686870</v>
      </c>
      <c r="C797" s="6" t="s">
        <v>640</v>
      </c>
      <c r="D797" s="7">
        <v>761</v>
      </c>
      <c r="E797" s="6" t="s">
        <v>26</v>
      </c>
      <c r="F797" s="6" t="s">
        <v>23</v>
      </c>
      <c r="G797" s="7">
        <v>36</v>
      </c>
      <c r="H797" s="7">
        <v>8</v>
      </c>
      <c r="I797" s="8">
        <v>108239.11</v>
      </c>
      <c r="J797" s="7">
        <v>2</v>
      </c>
      <c r="K797" s="7">
        <v>0</v>
      </c>
      <c r="L797" s="7">
        <v>0</v>
      </c>
      <c r="M797" s="9">
        <v>99444.02</v>
      </c>
      <c r="N797" s="7">
        <v>0</v>
      </c>
    </row>
    <row r="798" spans="1:14" x14ac:dyDescent="0.25">
      <c r="A798" s="6">
        <v>797</v>
      </c>
      <c r="B798" s="7">
        <v>15668747</v>
      </c>
      <c r="C798" s="6" t="s">
        <v>641</v>
      </c>
      <c r="D798" s="7">
        <v>702</v>
      </c>
      <c r="E798" s="6" t="s">
        <v>15</v>
      </c>
      <c r="F798" s="6" t="s">
        <v>16</v>
      </c>
      <c r="G798" s="7">
        <v>46</v>
      </c>
      <c r="H798" s="7">
        <v>9</v>
      </c>
      <c r="I798" s="8">
        <v>98444.19</v>
      </c>
      <c r="J798" s="7">
        <v>1</v>
      </c>
      <c r="K798" s="7">
        <v>0</v>
      </c>
      <c r="L798" s="7">
        <v>1</v>
      </c>
      <c r="M798" s="9">
        <v>109563.28</v>
      </c>
      <c r="N798" s="7">
        <v>0</v>
      </c>
    </row>
    <row r="799" spans="1:14" x14ac:dyDescent="0.25">
      <c r="A799" s="6">
        <v>798</v>
      </c>
      <c r="B799" s="7">
        <v>15766908</v>
      </c>
      <c r="C799" s="6" t="s">
        <v>70</v>
      </c>
      <c r="D799" s="7">
        <v>488</v>
      </c>
      <c r="E799" s="6" t="s">
        <v>26</v>
      </c>
      <c r="F799" s="6" t="s">
        <v>23</v>
      </c>
      <c r="G799" s="7">
        <v>32</v>
      </c>
      <c r="H799" s="7">
        <v>3</v>
      </c>
      <c r="I799" s="8">
        <v>114540.38</v>
      </c>
      <c r="J799" s="7">
        <v>1</v>
      </c>
      <c r="K799" s="7">
        <v>1</v>
      </c>
      <c r="L799" s="7">
        <v>0</v>
      </c>
      <c r="M799" s="9">
        <v>92568.07</v>
      </c>
      <c r="N799" s="7">
        <v>0</v>
      </c>
    </row>
    <row r="800" spans="1:14" x14ac:dyDescent="0.25">
      <c r="A800" s="6">
        <v>799</v>
      </c>
      <c r="B800" s="7">
        <v>15570134</v>
      </c>
      <c r="C800" s="6" t="s">
        <v>415</v>
      </c>
      <c r="D800" s="7">
        <v>683</v>
      </c>
      <c r="E800" s="6" t="s">
        <v>15</v>
      </c>
      <c r="F800" s="6" t="s">
        <v>16</v>
      </c>
      <c r="G800" s="7">
        <v>35</v>
      </c>
      <c r="H800" s="7">
        <v>6</v>
      </c>
      <c r="I800" s="8">
        <v>187530.66</v>
      </c>
      <c r="J800" s="7">
        <v>2</v>
      </c>
      <c r="K800" s="7">
        <v>1</v>
      </c>
      <c r="L800" s="7">
        <v>1</v>
      </c>
      <c r="M800" s="9">
        <v>37976.36</v>
      </c>
      <c r="N800" s="7">
        <v>0</v>
      </c>
    </row>
    <row r="801" spans="1:14" x14ac:dyDescent="0.25">
      <c r="A801" s="6">
        <v>800</v>
      </c>
      <c r="B801" s="7">
        <v>15567367</v>
      </c>
      <c r="C801" s="6" t="s">
        <v>642</v>
      </c>
      <c r="D801" s="7">
        <v>601</v>
      </c>
      <c r="E801" s="6" t="s">
        <v>26</v>
      </c>
      <c r="F801" s="6" t="s">
        <v>16</v>
      </c>
      <c r="G801" s="7">
        <v>42</v>
      </c>
      <c r="H801" s="7">
        <v>9</v>
      </c>
      <c r="I801" s="8">
        <v>133636.16</v>
      </c>
      <c r="J801" s="7">
        <v>1</v>
      </c>
      <c r="K801" s="7">
        <v>0</v>
      </c>
      <c r="L801" s="7">
        <v>1</v>
      </c>
      <c r="M801" s="9">
        <v>103315.74</v>
      </c>
      <c r="N801" s="7">
        <v>0</v>
      </c>
    </row>
    <row r="802" spans="1:14" x14ac:dyDescent="0.25">
      <c r="A802" s="6">
        <v>801</v>
      </c>
      <c r="B802" s="7">
        <v>15747542</v>
      </c>
      <c r="C802" s="6" t="s">
        <v>643</v>
      </c>
      <c r="D802" s="7">
        <v>605</v>
      </c>
      <c r="E802" s="6" t="s">
        <v>15</v>
      </c>
      <c r="F802" s="6" t="s">
        <v>23</v>
      </c>
      <c r="G802" s="7">
        <v>52</v>
      </c>
      <c r="H802" s="7">
        <v>7</v>
      </c>
      <c r="I802" s="8">
        <v>0</v>
      </c>
      <c r="J802" s="7">
        <v>2</v>
      </c>
      <c r="K802" s="7">
        <v>1</v>
      </c>
      <c r="L802" s="7">
        <v>1</v>
      </c>
      <c r="M802" s="9">
        <v>173952.5</v>
      </c>
      <c r="N802" s="7">
        <v>0</v>
      </c>
    </row>
    <row r="803" spans="1:14" x14ac:dyDescent="0.25">
      <c r="A803" s="6">
        <v>802</v>
      </c>
      <c r="B803" s="7">
        <v>15762238</v>
      </c>
      <c r="C803" s="6" t="s">
        <v>644</v>
      </c>
      <c r="D803" s="7">
        <v>671</v>
      </c>
      <c r="E803" s="6" t="s">
        <v>26</v>
      </c>
      <c r="F803" s="6" t="s">
        <v>16</v>
      </c>
      <c r="G803" s="7">
        <v>44</v>
      </c>
      <c r="H803" s="7">
        <v>0</v>
      </c>
      <c r="I803" s="8">
        <v>84745.03</v>
      </c>
      <c r="J803" s="7">
        <v>2</v>
      </c>
      <c r="K803" s="7">
        <v>0</v>
      </c>
      <c r="L803" s="7">
        <v>1</v>
      </c>
      <c r="M803" s="9">
        <v>34673.980000000003</v>
      </c>
      <c r="N803" s="7">
        <v>0</v>
      </c>
    </row>
    <row r="804" spans="1:14" x14ac:dyDescent="0.25">
      <c r="A804" s="6">
        <v>803</v>
      </c>
      <c r="B804" s="7">
        <v>15681554</v>
      </c>
      <c r="C804" s="6" t="s">
        <v>645</v>
      </c>
      <c r="D804" s="7">
        <v>614</v>
      </c>
      <c r="E804" s="6" t="s">
        <v>26</v>
      </c>
      <c r="F804" s="6" t="s">
        <v>16</v>
      </c>
      <c r="G804" s="7">
        <v>31</v>
      </c>
      <c r="H804" s="7">
        <v>7</v>
      </c>
      <c r="I804" s="8">
        <v>120599.38</v>
      </c>
      <c r="J804" s="7">
        <v>2</v>
      </c>
      <c r="K804" s="7">
        <v>1</v>
      </c>
      <c r="L804" s="7">
        <v>1</v>
      </c>
      <c r="M804" s="9">
        <v>46163.44</v>
      </c>
      <c r="N804" s="7">
        <v>0</v>
      </c>
    </row>
    <row r="805" spans="1:14" x14ac:dyDescent="0.25">
      <c r="A805" s="6">
        <v>804</v>
      </c>
      <c r="B805" s="7">
        <v>15712825</v>
      </c>
      <c r="C805" s="6" t="s">
        <v>549</v>
      </c>
      <c r="D805" s="7">
        <v>511</v>
      </c>
      <c r="E805" s="6" t="s">
        <v>18</v>
      </c>
      <c r="F805" s="6" t="s">
        <v>757</v>
      </c>
      <c r="G805" s="7">
        <v>29</v>
      </c>
      <c r="H805" s="7">
        <v>9</v>
      </c>
      <c r="I805" s="8">
        <v>0</v>
      </c>
      <c r="J805" s="7">
        <v>2</v>
      </c>
      <c r="K805" s="7">
        <v>0</v>
      </c>
      <c r="L805" s="7">
        <v>1</v>
      </c>
      <c r="M805" s="9">
        <v>140676.98000000001</v>
      </c>
      <c r="N805" s="7">
        <v>0</v>
      </c>
    </row>
    <row r="806" spans="1:14" x14ac:dyDescent="0.25">
      <c r="A806" s="6">
        <v>805</v>
      </c>
      <c r="B806" s="7">
        <v>15640280</v>
      </c>
      <c r="C806" s="6" t="s">
        <v>58</v>
      </c>
      <c r="D806" s="7">
        <v>850</v>
      </c>
      <c r="E806" s="6" t="s">
        <v>15</v>
      </c>
      <c r="F806" s="6" t="s">
        <v>23</v>
      </c>
      <c r="G806" s="7">
        <v>39</v>
      </c>
      <c r="H806" s="7">
        <v>4</v>
      </c>
      <c r="I806" s="8">
        <v>127771.35</v>
      </c>
      <c r="J806" s="7">
        <v>2</v>
      </c>
      <c r="K806" s="7">
        <v>0</v>
      </c>
      <c r="L806" s="7">
        <v>1</v>
      </c>
      <c r="M806" s="9">
        <v>151738.54</v>
      </c>
      <c r="N806" s="7">
        <v>0</v>
      </c>
    </row>
    <row r="807" spans="1:14" x14ac:dyDescent="0.25">
      <c r="A807" s="6">
        <v>806</v>
      </c>
      <c r="B807" s="7">
        <v>15756026</v>
      </c>
      <c r="C807" s="6" t="s">
        <v>646</v>
      </c>
      <c r="D807" s="7">
        <v>790</v>
      </c>
      <c r="E807" s="6" t="s">
        <v>18</v>
      </c>
      <c r="F807" s="6" t="s">
        <v>757</v>
      </c>
      <c r="G807" s="7">
        <v>46</v>
      </c>
      <c r="H807" s="7">
        <v>9</v>
      </c>
      <c r="I807" s="8">
        <v>0</v>
      </c>
      <c r="J807" s="7">
        <v>1</v>
      </c>
      <c r="K807" s="7">
        <v>0</v>
      </c>
      <c r="L807" s="7">
        <v>0</v>
      </c>
      <c r="M807" s="9">
        <v>14679.81</v>
      </c>
      <c r="N807" s="7">
        <v>1</v>
      </c>
    </row>
    <row r="808" spans="1:14" x14ac:dyDescent="0.25">
      <c r="A808" s="6">
        <v>807</v>
      </c>
      <c r="B808" s="7">
        <v>15613319</v>
      </c>
      <c r="C808" s="6" t="s">
        <v>647</v>
      </c>
      <c r="D808" s="7">
        <v>793</v>
      </c>
      <c r="E808" s="6" t="s">
        <v>15</v>
      </c>
      <c r="F808" s="6" t="s">
        <v>16</v>
      </c>
      <c r="G808" s="7">
        <v>33</v>
      </c>
      <c r="H808" s="7">
        <v>0</v>
      </c>
      <c r="I808" s="8">
        <v>0</v>
      </c>
      <c r="J808" s="7">
        <v>1</v>
      </c>
      <c r="K808" s="7">
        <v>0</v>
      </c>
      <c r="L808" s="7">
        <v>0</v>
      </c>
      <c r="M808" s="9">
        <v>175544.02</v>
      </c>
      <c r="N808" s="7">
        <v>0</v>
      </c>
    </row>
    <row r="809" spans="1:14" x14ac:dyDescent="0.25">
      <c r="A809" s="6">
        <v>808</v>
      </c>
      <c r="B809" s="7">
        <v>15798906</v>
      </c>
      <c r="C809" s="6" t="s">
        <v>648</v>
      </c>
      <c r="D809" s="7">
        <v>628</v>
      </c>
      <c r="E809" s="6" t="s">
        <v>15</v>
      </c>
      <c r="F809" s="6" t="s">
        <v>23</v>
      </c>
      <c r="G809" s="7">
        <v>69</v>
      </c>
      <c r="H809" s="7">
        <v>5</v>
      </c>
      <c r="I809" s="8">
        <v>0</v>
      </c>
      <c r="J809" s="7">
        <v>2</v>
      </c>
      <c r="K809" s="7">
        <v>1</v>
      </c>
      <c r="L809" s="7">
        <v>1</v>
      </c>
      <c r="M809" s="9">
        <v>181964.6</v>
      </c>
      <c r="N809" s="7">
        <v>0</v>
      </c>
    </row>
    <row r="810" spans="1:14" x14ac:dyDescent="0.25">
      <c r="A810" s="6">
        <v>809</v>
      </c>
      <c r="B810" s="7">
        <v>15708917</v>
      </c>
      <c r="C810" s="6" t="s">
        <v>65</v>
      </c>
      <c r="D810" s="7">
        <v>598</v>
      </c>
      <c r="E810" s="6" t="s">
        <v>26</v>
      </c>
      <c r="F810" s="6" t="s">
        <v>23</v>
      </c>
      <c r="G810" s="7">
        <v>53</v>
      </c>
      <c r="H810" s="7">
        <v>10</v>
      </c>
      <c r="I810" s="8">
        <v>167772.96</v>
      </c>
      <c r="J810" s="7">
        <v>1</v>
      </c>
      <c r="K810" s="7">
        <v>1</v>
      </c>
      <c r="L810" s="7">
        <v>1</v>
      </c>
      <c r="M810" s="9">
        <v>136886.85999999999</v>
      </c>
      <c r="N810" s="7">
        <v>0</v>
      </c>
    </row>
    <row r="811" spans="1:14" x14ac:dyDescent="0.25">
      <c r="A811" s="6">
        <v>810</v>
      </c>
      <c r="B811" s="7">
        <v>15778463</v>
      </c>
      <c r="C811" s="6" t="s">
        <v>649</v>
      </c>
      <c r="D811" s="7">
        <v>657</v>
      </c>
      <c r="E811" s="6" t="s">
        <v>15</v>
      </c>
      <c r="F811" s="6" t="s">
        <v>16</v>
      </c>
      <c r="G811" s="7">
        <v>37</v>
      </c>
      <c r="H811" s="7">
        <v>6</v>
      </c>
      <c r="I811" s="8">
        <v>95845.6</v>
      </c>
      <c r="J811" s="7">
        <v>1</v>
      </c>
      <c r="K811" s="7">
        <v>1</v>
      </c>
      <c r="L811" s="7">
        <v>0</v>
      </c>
      <c r="M811" s="9">
        <v>122218.23</v>
      </c>
      <c r="N811" s="7">
        <v>0</v>
      </c>
    </row>
    <row r="812" spans="1:14" x14ac:dyDescent="0.25">
      <c r="A812" s="6">
        <v>811</v>
      </c>
      <c r="B812" s="7">
        <v>15699430</v>
      </c>
      <c r="C812" s="6" t="s">
        <v>464</v>
      </c>
      <c r="D812" s="7">
        <v>618</v>
      </c>
      <c r="E812" s="6" t="s">
        <v>15</v>
      </c>
      <c r="F812" s="6" t="s">
        <v>16</v>
      </c>
      <c r="G812" s="7">
        <v>35</v>
      </c>
      <c r="H812" s="7">
        <v>10</v>
      </c>
      <c r="I812" s="8">
        <v>0</v>
      </c>
      <c r="J812" s="7">
        <v>2</v>
      </c>
      <c r="K812" s="7">
        <v>1</v>
      </c>
      <c r="L812" s="7">
        <v>0</v>
      </c>
      <c r="M812" s="9">
        <v>180439.75</v>
      </c>
      <c r="N812" s="7">
        <v>0</v>
      </c>
    </row>
    <row r="813" spans="1:14" x14ac:dyDescent="0.25">
      <c r="A813" s="6">
        <v>812</v>
      </c>
      <c r="B813" s="7">
        <v>15649992</v>
      </c>
      <c r="C813" s="6" t="s">
        <v>650</v>
      </c>
      <c r="D813" s="7">
        <v>681</v>
      </c>
      <c r="E813" s="6" t="s">
        <v>18</v>
      </c>
      <c r="F813" s="6" t="s">
        <v>756</v>
      </c>
      <c r="G813" s="7">
        <v>65</v>
      </c>
      <c r="H813" s="7">
        <v>7</v>
      </c>
      <c r="I813" s="8">
        <v>134714.70000000001</v>
      </c>
      <c r="J813" s="7">
        <v>2</v>
      </c>
      <c r="K813" s="7">
        <v>0</v>
      </c>
      <c r="L813" s="7">
        <v>1</v>
      </c>
      <c r="M813" s="9">
        <v>190419.81</v>
      </c>
      <c r="N813" s="7">
        <v>0</v>
      </c>
    </row>
    <row r="814" spans="1:14" x14ac:dyDescent="0.25">
      <c r="A814" s="6">
        <v>813</v>
      </c>
      <c r="B814" s="7">
        <v>15578980</v>
      </c>
      <c r="C814" s="6" t="s">
        <v>651</v>
      </c>
      <c r="D814" s="7">
        <v>516</v>
      </c>
      <c r="E814" s="6" t="s">
        <v>18</v>
      </c>
      <c r="F814" s="6" t="s">
        <v>757</v>
      </c>
      <c r="G814" s="7">
        <v>33</v>
      </c>
      <c r="H814" s="7">
        <v>3</v>
      </c>
      <c r="I814" s="8">
        <v>0</v>
      </c>
      <c r="J814" s="7">
        <v>2</v>
      </c>
      <c r="K814" s="7">
        <v>1</v>
      </c>
      <c r="L814" s="7">
        <v>1</v>
      </c>
      <c r="M814" s="9">
        <v>58685.59</v>
      </c>
      <c r="N814" s="7">
        <v>0</v>
      </c>
    </row>
    <row r="815" spans="1:14" x14ac:dyDescent="0.25">
      <c r="A815" s="6">
        <v>814</v>
      </c>
      <c r="B815" s="7">
        <v>15775306</v>
      </c>
      <c r="C815" s="6" t="s">
        <v>652</v>
      </c>
      <c r="D815" s="7">
        <v>421</v>
      </c>
      <c r="E815" s="6" t="s">
        <v>26</v>
      </c>
      <c r="F815" s="6" t="s">
        <v>23</v>
      </c>
      <c r="G815" s="7">
        <v>28</v>
      </c>
      <c r="H815" s="7">
        <v>8</v>
      </c>
      <c r="I815" s="8">
        <v>122384.22</v>
      </c>
      <c r="J815" s="7">
        <v>3</v>
      </c>
      <c r="K815" s="7">
        <v>1</v>
      </c>
      <c r="L815" s="7">
        <v>1</v>
      </c>
      <c r="M815" s="9">
        <v>89017.38</v>
      </c>
      <c r="N815" s="7">
        <v>1</v>
      </c>
    </row>
    <row r="816" spans="1:14" x14ac:dyDescent="0.25">
      <c r="A816" s="6">
        <v>815</v>
      </c>
      <c r="B816" s="7">
        <v>15641655</v>
      </c>
      <c r="C816" s="6" t="s">
        <v>350</v>
      </c>
      <c r="D816" s="7">
        <v>700</v>
      </c>
      <c r="E816" s="6" t="s">
        <v>15</v>
      </c>
      <c r="F816" s="6" t="s">
        <v>16</v>
      </c>
      <c r="G816" s="7">
        <v>26</v>
      </c>
      <c r="H816" s="7">
        <v>2</v>
      </c>
      <c r="I816" s="8">
        <v>0</v>
      </c>
      <c r="J816" s="7">
        <v>2</v>
      </c>
      <c r="K816" s="7">
        <v>0</v>
      </c>
      <c r="L816" s="7">
        <v>0</v>
      </c>
      <c r="M816" s="9">
        <v>50051.42</v>
      </c>
      <c r="N816" s="7">
        <v>0</v>
      </c>
    </row>
    <row r="817" spans="1:14" x14ac:dyDescent="0.25">
      <c r="A817" s="6">
        <v>816</v>
      </c>
      <c r="B817" s="7">
        <v>15619708</v>
      </c>
      <c r="C817" s="6" t="s">
        <v>653</v>
      </c>
      <c r="D817" s="7">
        <v>745</v>
      </c>
      <c r="E817" s="6" t="s">
        <v>15</v>
      </c>
      <c r="F817" s="6" t="s">
        <v>23</v>
      </c>
      <c r="G817" s="7">
        <v>25</v>
      </c>
      <c r="H817" s="7">
        <v>5</v>
      </c>
      <c r="I817" s="8">
        <v>157993.15</v>
      </c>
      <c r="J817" s="7">
        <v>2</v>
      </c>
      <c r="K817" s="7">
        <v>1</v>
      </c>
      <c r="L817" s="7">
        <v>0</v>
      </c>
      <c r="M817" s="9">
        <v>146041.45000000001</v>
      </c>
      <c r="N817" s="7">
        <v>0</v>
      </c>
    </row>
    <row r="818" spans="1:14" x14ac:dyDescent="0.25">
      <c r="A818" s="6">
        <v>817</v>
      </c>
      <c r="B818" s="7">
        <v>15734565</v>
      </c>
      <c r="C818" s="6" t="s">
        <v>249</v>
      </c>
      <c r="D818" s="7">
        <v>696</v>
      </c>
      <c r="E818" s="6" t="s">
        <v>15</v>
      </c>
      <c r="F818" s="6" t="s">
        <v>23</v>
      </c>
      <c r="G818" s="7">
        <v>29</v>
      </c>
      <c r="H818" s="7">
        <v>8</v>
      </c>
      <c r="I818" s="8">
        <v>0</v>
      </c>
      <c r="J818" s="7">
        <v>2</v>
      </c>
      <c r="K818" s="7">
        <v>1</v>
      </c>
      <c r="L818" s="7">
        <v>0</v>
      </c>
      <c r="M818" s="9">
        <v>191166.09</v>
      </c>
      <c r="N818" s="7">
        <v>0</v>
      </c>
    </row>
    <row r="819" spans="1:14" x14ac:dyDescent="0.25">
      <c r="A819" s="6">
        <v>818</v>
      </c>
      <c r="B819" s="7">
        <v>15806438</v>
      </c>
      <c r="C819" s="6" t="s">
        <v>654</v>
      </c>
      <c r="D819" s="7">
        <v>580</v>
      </c>
      <c r="E819" s="6" t="s">
        <v>26</v>
      </c>
      <c r="F819" s="6" t="s">
        <v>16</v>
      </c>
      <c r="G819" s="7">
        <v>42</v>
      </c>
      <c r="H819" s="7">
        <v>2</v>
      </c>
      <c r="I819" s="8">
        <v>123331.36</v>
      </c>
      <c r="J819" s="7">
        <v>1</v>
      </c>
      <c r="K819" s="7">
        <v>0</v>
      </c>
      <c r="L819" s="7">
        <v>0</v>
      </c>
      <c r="M819" s="9">
        <v>103516.08</v>
      </c>
      <c r="N819" s="7">
        <v>1</v>
      </c>
    </row>
    <row r="820" spans="1:14" x14ac:dyDescent="0.25">
      <c r="A820" s="6">
        <v>819</v>
      </c>
      <c r="B820" s="7">
        <v>15591969</v>
      </c>
      <c r="C820" s="6" t="s">
        <v>655</v>
      </c>
      <c r="D820" s="7">
        <v>497</v>
      </c>
      <c r="E820" s="6" t="s">
        <v>18</v>
      </c>
      <c r="F820" s="6" t="s">
        <v>756</v>
      </c>
      <c r="G820" s="7">
        <v>27</v>
      </c>
      <c r="H820" s="7">
        <v>9</v>
      </c>
      <c r="I820" s="8">
        <v>75263.16</v>
      </c>
      <c r="J820" s="7">
        <v>1</v>
      </c>
      <c r="K820" s="7">
        <v>1</v>
      </c>
      <c r="L820" s="7">
        <v>1</v>
      </c>
      <c r="M820" s="9">
        <v>164825.04</v>
      </c>
      <c r="N820" s="7">
        <v>0</v>
      </c>
    </row>
    <row r="821" spans="1:14" x14ac:dyDescent="0.25">
      <c r="A821" s="6">
        <v>820</v>
      </c>
      <c r="B821" s="7">
        <v>15747807</v>
      </c>
      <c r="C821" s="6" t="s">
        <v>656</v>
      </c>
      <c r="D821" s="7">
        <v>720</v>
      </c>
      <c r="E821" s="6" t="s">
        <v>15</v>
      </c>
      <c r="F821" s="6" t="s">
        <v>16</v>
      </c>
      <c r="G821" s="7">
        <v>43</v>
      </c>
      <c r="H821" s="7">
        <v>6</v>
      </c>
      <c r="I821" s="8">
        <v>137824.03</v>
      </c>
      <c r="J821" s="7">
        <v>2</v>
      </c>
      <c r="K821" s="7">
        <v>1</v>
      </c>
      <c r="L821" s="7">
        <v>0</v>
      </c>
      <c r="M821" s="9">
        <v>172557.77</v>
      </c>
      <c r="N821" s="7">
        <v>0</v>
      </c>
    </row>
    <row r="822" spans="1:14" x14ac:dyDescent="0.25">
      <c r="A822" s="6">
        <v>821</v>
      </c>
      <c r="B822" s="7">
        <v>15596939</v>
      </c>
      <c r="C822" s="6" t="s">
        <v>137</v>
      </c>
      <c r="D822" s="7">
        <v>659</v>
      </c>
      <c r="E822" s="6" t="s">
        <v>26</v>
      </c>
      <c r="F822" s="6" t="s">
        <v>23</v>
      </c>
      <c r="G822" s="7">
        <v>36</v>
      </c>
      <c r="H822" s="7">
        <v>4</v>
      </c>
      <c r="I822" s="8">
        <v>132578.92000000001</v>
      </c>
      <c r="J822" s="7">
        <v>2</v>
      </c>
      <c r="K822" s="7">
        <v>1</v>
      </c>
      <c r="L822" s="7">
        <v>0</v>
      </c>
      <c r="M822" s="9">
        <v>84320.94</v>
      </c>
      <c r="N822" s="7">
        <v>0</v>
      </c>
    </row>
    <row r="823" spans="1:14" x14ac:dyDescent="0.25">
      <c r="A823" s="6">
        <v>822</v>
      </c>
      <c r="B823" s="7">
        <v>15716155</v>
      </c>
      <c r="C823" s="6" t="s">
        <v>609</v>
      </c>
      <c r="D823" s="7">
        <v>841</v>
      </c>
      <c r="E823" s="6" t="s">
        <v>15</v>
      </c>
      <c r="F823" s="6" t="s">
        <v>16</v>
      </c>
      <c r="G823" s="7">
        <v>36</v>
      </c>
      <c r="H823" s="7">
        <v>5</v>
      </c>
      <c r="I823" s="8">
        <v>156021.31</v>
      </c>
      <c r="J823" s="7">
        <v>1</v>
      </c>
      <c r="K823" s="7">
        <v>0</v>
      </c>
      <c r="L823" s="7">
        <v>0</v>
      </c>
      <c r="M823" s="9">
        <v>122662.98</v>
      </c>
      <c r="N823" s="7">
        <v>0</v>
      </c>
    </row>
    <row r="824" spans="1:14" x14ac:dyDescent="0.25">
      <c r="A824" s="6">
        <v>823</v>
      </c>
      <c r="B824" s="7">
        <v>15765311</v>
      </c>
      <c r="C824" s="6" t="s">
        <v>657</v>
      </c>
      <c r="D824" s="7">
        <v>642</v>
      </c>
      <c r="E824" s="6" t="s">
        <v>18</v>
      </c>
      <c r="F824" s="6" t="s">
        <v>23</v>
      </c>
      <c r="G824" s="7">
        <v>34</v>
      </c>
      <c r="H824" s="7">
        <v>8</v>
      </c>
      <c r="I824" s="8">
        <v>0</v>
      </c>
      <c r="J824" s="7">
        <v>1</v>
      </c>
      <c r="K824" s="7">
        <v>1</v>
      </c>
      <c r="L824" s="7">
        <v>0</v>
      </c>
      <c r="M824" s="9">
        <v>72085.100000000006</v>
      </c>
      <c r="N824" s="7">
        <v>0</v>
      </c>
    </row>
    <row r="825" spans="1:14" x14ac:dyDescent="0.25">
      <c r="A825" s="6">
        <v>824</v>
      </c>
      <c r="B825" s="7">
        <v>15757811</v>
      </c>
      <c r="C825" s="6" t="s">
        <v>658</v>
      </c>
      <c r="D825" s="7">
        <v>732</v>
      </c>
      <c r="E825" s="6" t="s">
        <v>18</v>
      </c>
      <c r="F825" s="6" t="s">
        <v>757</v>
      </c>
      <c r="G825" s="7">
        <v>69</v>
      </c>
      <c r="H825" s="7">
        <v>9</v>
      </c>
      <c r="I825" s="8">
        <v>137453.43</v>
      </c>
      <c r="J825" s="7">
        <v>1</v>
      </c>
      <c r="K825" s="7">
        <v>0</v>
      </c>
      <c r="L825" s="7">
        <v>1</v>
      </c>
      <c r="M825" s="9">
        <v>110932.24</v>
      </c>
      <c r="N825" s="7">
        <v>1</v>
      </c>
    </row>
    <row r="826" spans="1:14" x14ac:dyDescent="0.25">
      <c r="A826" s="6">
        <v>825</v>
      </c>
      <c r="B826" s="7">
        <v>15603830</v>
      </c>
      <c r="C826" s="6" t="s">
        <v>659</v>
      </c>
      <c r="D826" s="7">
        <v>600</v>
      </c>
      <c r="E826" s="6" t="s">
        <v>18</v>
      </c>
      <c r="F826" s="6" t="s">
        <v>23</v>
      </c>
      <c r="G826" s="7">
        <v>36</v>
      </c>
      <c r="H826" s="7">
        <v>4</v>
      </c>
      <c r="I826" s="8">
        <v>0</v>
      </c>
      <c r="J826" s="7">
        <v>2</v>
      </c>
      <c r="K826" s="7">
        <v>1</v>
      </c>
      <c r="L826" s="7">
        <v>0</v>
      </c>
      <c r="M826" s="9">
        <v>143635.35999999999</v>
      </c>
      <c r="N826" s="7">
        <v>0</v>
      </c>
    </row>
    <row r="827" spans="1:14" x14ac:dyDescent="0.25">
      <c r="A827" s="6">
        <v>826</v>
      </c>
      <c r="B827" s="7">
        <v>15660602</v>
      </c>
      <c r="C827" s="6" t="s">
        <v>660</v>
      </c>
      <c r="D827" s="7">
        <v>464</v>
      </c>
      <c r="E827" s="6" t="s">
        <v>26</v>
      </c>
      <c r="F827" s="6" t="s">
        <v>23</v>
      </c>
      <c r="G827" s="7">
        <v>33</v>
      </c>
      <c r="H827" s="7">
        <v>8</v>
      </c>
      <c r="I827" s="8">
        <v>164284.72</v>
      </c>
      <c r="J827" s="7">
        <v>2</v>
      </c>
      <c r="K827" s="7">
        <v>1</v>
      </c>
      <c r="L827" s="7">
        <v>1</v>
      </c>
      <c r="M827" s="9">
        <v>3710.34</v>
      </c>
      <c r="N827" s="7">
        <v>0</v>
      </c>
    </row>
    <row r="828" spans="1:14" x14ac:dyDescent="0.25">
      <c r="A828" s="6">
        <v>827</v>
      </c>
      <c r="B828" s="7">
        <v>15660535</v>
      </c>
      <c r="C828" s="6" t="s">
        <v>661</v>
      </c>
      <c r="D828" s="7">
        <v>680</v>
      </c>
      <c r="E828" s="6" t="s">
        <v>15</v>
      </c>
      <c r="F828" s="6" t="s">
        <v>16</v>
      </c>
      <c r="G828" s="7">
        <v>47</v>
      </c>
      <c r="H828" s="7">
        <v>5</v>
      </c>
      <c r="I828" s="8">
        <v>0</v>
      </c>
      <c r="J828" s="7">
        <v>2</v>
      </c>
      <c r="K828" s="7">
        <v>1</v>
      </c>
      <c r="L828" s="7">
        <v>1</v>
      </c>
      <c r="M828" s="9">
        <v>179843.33</v>
      </c>
      <c r="N828" s="7">
        <v>0</v>
      </c>
    </row>
    <row r="829" spans="1:14" x14ac:dyDescent="0.25">
      <c r="A829" s="6">
        <v>828</v>
      </c>
      <c r="B829" s="7">
        <v>15666633</v>
      </c>
      <c r="C829" s="6" t="s">
        <v>277</v>
      </c>
      <c r="D829" s="7">
        <v>758</v>
      </c>
      <c r="E829" s="6" t="s">
        <v>18</v>
      </c>
      <c r="F829" s="6" t="s">
        <v>23</v>
      </c>
      <c r="G829" s="7">
        <v>56</v>
      </c>
      <c r="H829" s="7">
        <v>1</v>
      </c>
      <c r="I829" s="8">
        <v>0</v>
      </c>
      <c r="J829" s="7">
        <v>2</v>
      </c>
      <c r="K829" s="7">
        <v>1</v>
      </c>
      <c r="L829" s="7">
        <v>1</v>
      </c>
      <c r="M829" s="9">
        <v>10643.38</v>
      </c>
      <c r="N829" s="7">
        <v>0</v>
      </c>
    </row>
    <row r="830" spans="1:14" x14ac:dyDescent="0.25">
      <c r="A830" s="6">
        <v>829</v>
      </c>
      <c r="B830" s="7">
        <v>15596914</v>
      </c>
      <c r="C830" s="6" t="s">
        <v>609</v>
      </c>
      <c r="D830" s="7">
        <v>630</v>
      </c>
      <c r="E830" s="6" t="s">
        <v>26</v>
      </c>
      <c r="F830" s="6" t="s">
        <v>16</v>
      </c>
      <c r="G830" s="7">
        <v>31</v>
      </c>
      <c r="H830" s="7">
        <v>2</v>
      </c>
      <c r="I830" s="8">
        <v>112373.49</v>
      </c>
      <c r="J830" s="7">
        <v>2</v>
      </c>
      <c r="K830" s="7">
        <v>1</v>
      </c>
      <c r="L830" s="7">
        <v>1</v>
      </c>
      <c r="M830" s="9">
        <v>131167.98000000001</v>
      </c>
      <c r="N830" s="7">
        <v>0</v>
      </c>
    </row>
    <row r="831" spans="1:14" x14ac:dyDescent="0.25">
      <c r="A831" s="6">
        <v>830</v>
      </c>
      <c r="B831" s="7">
        <v>15639788</v>
      </c>
      <c r="C831" s="6" t="s">
        <v>307</v>
      </c>
      <c r="D831" s="7">
        <v>577</v>
      </c>
      <c r="E831" s="6" t="s">
        <v>15</v>
      </c>
      <c r="F831" s="6" t="s">
        <v>16</v>
      </c>
      <c r="G831" s="7">
        <v>39</v>
      </c>
      <c r="H831" s="7">
        <v>10</v>
      </c>
      <c r="I831" s="8">
        <v>0</v>
      </c>
      <c r="J831" s="7">
        <v>2</v>
      </c>
      <c r="K831" s="7">
        <v>1</v>
      </c>
      <c r="L831" s="7">
        <v>0</v>
      </c>
      <c r="M831" s="9">
        <v>10553.31</v>
      </c>
      <c r="N831" s="7">
        <v>0</v>
      </c>
    </row>
    <row r="832" spans="1:14" x14ac:dyDescent="0.25">
      <c r="A832" s="6">
        <v>831</v>
      </c>
      <c r="B832" s="7">
        <v>15695846</v>
      </c>
      <c r="C832" s="6" t="s">
        <v>179</v>
      </c>
      <c r="D832" s="7">
        <v>684</v>
      </c>
      <c r="E832" s="6" t="s">
        <v>15</v>
      </c>
      <c r="F832" s="6" t="s">
        <v>16</v>
      </c>
      <c r="G832" s="7">
        <v>34</v>
      </c>
      <c r="H832" s="7">
        <v>6</v>
      </c>
      <c r="I832" s="8">
        <v>0</v>
      </c>
      <c r="J832" s="7">
        <v>2</v>
      </c>
      <c r="K832" s="7">
        <v>1</v>
      </c>
      <c r="L832" s="7">
        <v>1</v>
      </c>
      <c r="M832" s="9">
        <v>130928.22</v>
      </c>
      <c r="N832" s="7">
        <v>0</v>
      </c>
    </row>
    <row r="833" spans="1:14" x14ac:dyDescent="0.25">
      <c r="A833" s="6">
        <v>832</v>
      </c>
      <c r="B833" s="7">
        <v>15726234</v>
      </c>
      <c r="C833" s="6" t="s">
        <v>662</v>
      </c>
      <c r="D833" s="7">
        <v>708</v>
      </c>
      <c r="E833" s="6" t="s">
        <v>18</v>
      </c>
      <c r="F833" s="6" t="s">
        <v>757</v>
      </c>
      <c r="G833" s="7">
        <v>41</v>
      </c>
      <c r="H833" s="7">
        <v>5</v>
      </c>
      <c r="I833" s="8">
        <v>0</v>
      </c>
      <c r="J833" s="7">
        <v>1</v>
      </c>
      <c r="K833" s="7">
        <v>0</v>
      </c>
      <c r="L833" s="7">
        <v>1</v>
      </c>
      <c r="M833" s="9">
        <v>157003.99</v>
      </c>
      <c r="N833" s="7">
        <v>0</v>
      </c>
    </row>
    <row r="834" spans="1:14" x14ac:dyDescent="0.25">
      <c r="A834" s="6">
        <v>833</v>
      </c>
      <c r="B834" s="7">
        <v>15797964</v>
      </c>
      <c r="C834" s="6" t="s">
        <v>58</v>
      </c>
      <c r="D834" s="7">
        <v>732</v>
      </c>
      <c r="E834" s="6" t="s">
        <v>26</v>
      </c>
      <c r="F834" s="6" t="s">
        <v>16</v>
      </c>
      <c r="G834" s="7">
        <v>29</v>
      </c>
      <c r="H834" s="7">
        <v>1</v>
      </c>
      <c r="I834" s="8">
        <v>154333.82</v>
      </c>
      <c r="J834" s="7">
        <v>1</v>
      </c>
      <c r="K834" s="7">
        <v>1</v>
      </c>
      <c r="L834" s="7">
        <v>1</v>
      </c>
      <c r="M834" s="9">
        <v>138527.56</v>
      </c>
      <c r="N834" s="7">
        <v>0</v>
      </c>
    </row>
    <row r="835" spans="1:14" x14ac:dyDescent="0.25">
      <c r="A835" s="6">
        <v>834</v>
      </c>
      <c r="B835" s="7">
        <v>15625881</v>
      </c>
      <c r="C835" s="6" t="s">
        <v>663</v>
      </c>
      <c r="D835" s="7">
        <v>634</v>
      </c>
      <c r="E835" s="6" t="s">
        <v>26</v>
      </c>
      <c r="F835" s="6" t="s">
        <v>23</v>
      </c>
      <c r="G835" s="7">
        <v>37</v>
      </c>
      <c r="H835" s="7">
        <v>3</v>
      </c>
      <c r="I835" s="8">
        <v>111432.77</v>
      </c>
      <c r="J835" s="7">
        <v>2</v>
      </c>
      <c r="K835" s="7">
        <v>1</v>
      </c>
      <c r="L835" s="7">
        <v>1</v>
      </c>
      <c r="M835" s="9">
        <v>167032.49</v>
      </c>
      <c r="N835" s="7">
        <v>0</v>
      </c>
    </row>
    <row r="836" spans="1:14" x14ac:dyDescent="0.25">
      <c r="A836" s="6">
        <v>835</v>
      </c>
      <c r="B836" s="7">
        <v>15780628</v>
      </c>
      <c r="C836" s="6" t="s">
        <v>134</v>
      </c>
      <c r="D836" s="7">
        <v>633</v>
      </c>
      <c r="E836" s="6" t="s">
        <v>15</v>
      </c>
      <c r="F836" s="6" t="s">
        <v>16</v>
      </c>
      <c r="G836" s="7">
        <v>30</v>
      </c>
      <c r="H836" s="7">
        <v>6</v>
      </c>
      <c r="I836" s="8">
        <v>0</v>
      </c>
      <c r="J836" s="7">
        <v>2</v>
      </c>
      <c r="K836" s="7">
        <v>0</v>
      </c>
      <c r="L836" s="7">
        <v>0</v>
      </c>
      <c r="M836" s="9">
        <v>41642.29</v>
      </c>
      <c r="N836" s="7">
        <v>0</v>
      </c>
    </row>
    <row r="837" spans="1:14" x14ac:dyDescent="0.25">
      <c r="A837" s="6">
        <v>836</v>
      </c>
      <c r="B837" s="7">
        <v>15575883</v>
      </c>
      <c r="C837" s="6" t="s">
        <v>387</v>
      </c>
      <c r="D837" s="7">
        <v>559</v>
      </c>
      <c r="E837" s="6" t="s">
        <v>15</v>
      </c>
      <c r="F837" s="6" t="s">
        <v>23</v>
      </c>
      <c r="G837" s="7">
        <v>34</v>
      </c>
      <c r="H837" s="7">
        <v>2</v>
      </c>
      <c r="I837" s="8">
        <v>137390.10999999999</v>
      </c>
      <c r="J837" s="7">
        <v>2</v>
      </c>
      <c r="K837" s="7">
        <v>1</v>
      </c>
      <c r="L837" s="7">
        <v>0</v>
      </c>
      <c r="M837" s="9">
        <v>9677</v>
      </c>
      <c r="N837" s="7">
        <v>0</v>
      </c>
    </row>
    <row r="838" spans="1:14" x14ac:dyDescent="0.25">
      <c r="A838" s="6">
        <v>837</v>
      </c>
      <c r="B838" s="7">
        <v>15585036</v>
      </c>
      <c r="C838" s="6" t="s">
        <v>664</v>
      </c>
      <c r="D838" s="7">
        <v>694</v>
      </c>
      <c r="E838" s="6" t="s">
        <v>18</v>
      </c>
      <c r="F838" s="6" t="s">
        <v>757</v>
      </c>
      <c r="G838" s="7">
        <v>37</v>
      </c>
      <c r="H838" s="7">
        <v>3</v>
      </c>
      <c r="I838" s="8">
        <v>0</v>
      </c>
      <c r="J838" s="7">
        <v>2</v>
      </c>
      <c r="K838" s="7">
        <v>1</v>
      </c>
      <c r="L838" s="7">
        <v>1</v>
      </c>
      <c r="M838" s="9">
        <v>147012.22</v>
      </c>
      <c r="N838" s="7">
        <v>0</v>
      </c>
    </row>
    <row r="839" spans="1:14" x14ac:dyDescent="0.25">
      <c r="A839" s="6">
        <v>838</v>
      </c>
      <c r="B839" s="7">
        <v>15589488</v>
      </c>
      <c r="C839" s="6" t="s">
        <v>660</v>
      </c>
      <c r="D839" s="7">
        <v>686</v>
      </c>
      <c r="E839" s="6" t="s">
        <v>26</v>
      </c>
      <c r="F839" s="6" t="s">
        <v>16</v>
      </c>
      <c r="G839" s="7">
        <v>56</v>
      </c>
      <c r="H839" s="7">
        <v>5</v>
      </c>
      <c r="I839" s="8">
        <v>111642.08</v>
      </c>
      <c r="J839" s="7">
        <v>1</v>
      </c>
      <c r="K839" s="7">
        <v>1</v>
      </c>
      <c r="L839" s="7">
        <v>1</v>
      </c>
      <c r="M839" s="9">
        <v>80553.87</v>
      </c>
      <c r="N839" s="7">
        <v>0</v>
      </c>
    </row>
    <row r="840" spans="1:14" x14ac:dyDescent="0.25">
      <c r="A840" s="6">
        <v>839</v>
      </c>
      <c r="B840" s="7">
        <v>15585888</v>
      </c>
      <c r="C840" s="6" t="s">
        <v>665</v>
      </c>
      <c r="D840" s="7">
        <v>553</v>
      </c>
      <c r="E840" s="6" t="s">
        <v>18</v>
      </c>
      <c r="F840" s="6" t="s">
        <v>757</v>
      </c>
      <c r="G840" s="7">
        <v>48</v>
      </c>
      <c r="H840" s="7">
        <v>3</v>
      </c>
      <c r="I840" s="8">
        <v>0</v>
      </c>
      <c r="J840" s="7">
        <v>1</v>
      </c>
      <c r="K840" s="7">
        <v>0</v>
      </c>
      <c r="L840" s="7">
        <v>1</v>
      </c>
      <c r="M840" s="9">
        <v>30730.95</v>
      </c>
      <c r="N840" s="7">
        <v>1</v>
      </c>
    </row>
    <row r="841" spans="1:14" x14ac:dyDescent="0.25">
      <c r="A841" s="6">
        <v>840</v>
      </c>
      <c r="B841" s="7">
        <v>15727915</v>
      </c>
      <c r="C841" s="6" t="s">
        <v>666</v>
      </c>
      <c r="D841" s="7">
        <v>507</v>
      </c>
      <c r="E841" s="6" t="s">
        <v>15</v>
      </c>
      <c r="F841" s="6" t="s">
        <v>23</v>
      </c>
      <c r="G841" s="7">
        <v>36</v>
      </c>
      <c r="H841" s="7">
        <v>4</v>
      </c>
      <c r="I841" s="8">
        <v>83543.37</v>
      </c>
      <c r="J841" s="7">
        <v>1</v>
      </c>
      <c r="K841" s="7">
        <v>0</v>
      </c>
      <c r="L841" s="7">
        <v>0</v>
      </c>
      <c r="M841" s="9">
        <v>140134.43</v>
      </c>
      <c r="N841" s="7">
        <v>0</v>
      </c>
    </row>
    <row r="842" spans="1:14" x14ac:dyDescent="0.25">
      <c r="A842" s="6">
        <v>841</v>
      </c>
      <c r="B842" s="7">
        <v>15707567</v>
      </c>
      <c r="C842" s="6" t="s">
        <v>667</v>
      </c>
      <c r="D842" s="7">
        <v>732</v>
      </c>
      <c r="E842" s="6" t="s">
        <v>26</v>
      </c>
      <c r="F842" s="6" t="s">
        <v>23</v>
      </c>
      <c r="G842" s="7">
        <v>50</v>
      </c>
      <c r="H842" s="7">
        <v>6</v>
      </c>
      <c r="I842" s="8">
        <v>145338.76</v>
      </c>
      <c r="J842" s="7">
        <v>1</v>
      </c>
      <c r="K842" s="7">
        <v>0</v>
      </c>
      <c r="L842" s="7">
        <v>0</v>
      </c>
      <c r="M842" s="9">
        <v>91936.1</v>
      </c>
      <c r="N842" s="7">
        <v>1</v>
      </c>
    </row>
    <row r="843" spans="1:14" x14ac:dyDescent="0.25">
      <c r="A843" s="6">
        <v>842</v>
      </c>
      <c r="B843" s="7">
        <v>15737792</v>
      </c>
      <c r="C843" s="6" t="s">
        <v>668</v>
      </c>
      <c r="D843" s="7">
        <v>818</v>
      </c>
      <c r="E843" s="6" t="s">
        <v>15</v>
      </c>
      <c r="F843" s="6" t="s">
        <v>16</v>
      </c>
      <c r="G843" s="7">
        <v>31</v>
      </c>
      <c r="H843" s="7">
        <v>1</v>
      </c>
      <c r="I843" s="8">
        <v>186796.37</v>
      </c>
      <c r="J843" s="7">
        <v>1</v>
      </c>
      <c r="K843" s="7">
        <v>0</v>
      </c>
      <c r="L843" s="7">
        <v>0</v>
      </c>
      <c r="M843" s="9">
        <v>178252.63</v>
      </c>
      <c r="N843" s="7">
        <v>0</v>
      </c>
    </row>
    <row r="844" spans="1:14" x14ac:dyDescent="0.25">
      <c r="A844" s="6">
        <v>843</v>
      </c>
      <c r="B844" s="7">
        <v>15599433</v>
      </c>
      <c r="C844" s="6" t="s">
        <v>116</v>
      </c>
      <c r="D844" s="7">
        <v>660</v>
      </c>
      <c r="E844" s="6" t="s">
        <v>26</v>
      </c>
      <c r="F844" s="6" t="s">
        <v>23</v>
      </c>
      <c r="G844" s="7">
        <v>35</v>
      </c>
      <c r="H844" s="7">
        <v>8</v>
      </c>
      <c r="I844" s="8">
        <v>58641.43</v>
      </c>
      <c r="J844" s="7">
        <v>1</v>
      </c>
      <c r="K844" s="7">
        <v>0</v>
      </c>
      <c r="L844" s="7">
        <v>1</v>
      </c>
      <c r="M844" s="9">
        <v>198674.08</v>
      </c>
      <c r="N844" s="7">
        <v>0</v>
      </c>
    </row>
    <row r="845" spans="1:14" x14ac:dyDescent="0.25">
      <c r="A845" s="6">
        <v>844</v>
      </c>
      <c r="B845" s="7">
        <v>15672012</v>
      </c>
      <c r="C845" s="6" t="s">
        <v>596</v>
      </c>
      <c r="D845" s="7">
        <v>773</v>
      </c>
      <c r="E845" s="6" t="s">
        <v>18</v>
      </c>
      <c r="F845" s="6" t="s">
        <v>757</v>
      </c>
      <c r="G845" s="7">
        <v>41</v>
      </c>
      <c r="H845" s="7">
        <v>5</v>
      </c>
      <c r="I845" s="8">
        <v>0</v>
      </c>
      <c r="J845" s="7">
        <v>1</v>
      </c>
      <c r="K845" s="7">
        <v>1</v>
      </c>
      <c r="L845" s="7">
        <v>0</v>
      </c>
      <c r="M845" s="9">
        <v>28266.9</v>
      </c>
      <c r="N845" s="7">
        <v>1</v>
      </c>
    </row>
    <row r="846" spans="1:14" x14ac:dyDescent="0.25">
      <c r="A846" s="6">
        <v>845</v>
      </c>
      <c r="B846" s="7">
        <v>15806983</v>
      </c>
      <c r="C846" s="6" t="s">
        <v>511</v>
      </c>
      <c r="D846" s="7">
        <v>640</v>
      </c>
      <c r="E846" s="6" t="s">
        <v>15</v>
      </c>
      <c r="F846" s="6" t="s">
        <v>23</v>
      </c>
      <c r="G846" s="7">
        <v>44</v>
      </c>
      <c r="H846" s="7">
        <v>3</v>
      </c>
      <c r="I846" s="8">
        <v>137148.68</v>
      </c>
      <c r="J846" s="7">
        <v>1</v>
      </c>
      <c r="K846" s="7">
        <v>1</v>
      </c>
      <c r="L846" s="7">
        <v>0</v>
      </c>
      <c r="M846" s="9">
        <v>92381.01</v>
      </c>
      <c r="N846" s="7">
        <v>0</v>
      </c>
    </row>
    <row r="847" spans="1:14" x14ac:dyDescent="0.25">
      <c r="A847" s="6">
        <v>846</v>
      </c>
      <c r="B847" s="7">
        <v>15592222</v>
      </c>
      <c r="C847" s="6" t="s">
        <v>441</v>
      </c>
      <c r="D847" s="7">
        <v>505</v>
      </c>
      <c r="E847" s="6" t="s">
        <v>15</v>
      </c>
      <c r="F847" s="6" t="s">
        <v>23</v>
      </c>
      <c r="G847" s="7">
        <v>49</v>
      </c>
      <c r="H847" s="7">
        <v>7</v>
      </c>
      <c r="I847" s="8">
        <v>80001.23</v>
      </c>
      <c r="J847" s="7">
        <v>1</v>
      </c>
      <c r="K847" s="7">
        <v>0</v>
      </c>
      <c r="L847" s="7">
        <v>0</v>
      </c>
      <c r="M847" s="9">
        <v>135180.10999999999</v>
      </c>
      <c r="N847" s="7">
        <v>0</v>
      </c>
    </row>
    <row r="848" spans="1:14" x14ac:dyDescent="0.25">
      <c r="A848" s="6">
        <v>847</v>
      </c>
      <c r="B848" s="7">
        <v>15608968</v>
      </c>
      <c r="C848" s="6" t="s">
        <v>669</v>
      </c>
      <c r="D848" s="7">
        <v>714</v>
      </c>
      <c r="E848" s="6" t="s">
        <v>26</v>
      </c>
      <c r="F848" s="6" t="s">
        <v>23</v>
      </c>
      <c r="G848" s="7">
        <v>21</v>
      </c>
      <c r="H848" s="7">
        <v>6</v>
      </c>
      <c r="I848" s="8">
        <v>86402.52</v>
      </c>
      <c r="J848" s="7">
        <v>2</v>
      </c>
      <c r="K848" s="7">
        <v>0</v>
      </c>
      <c r="L848" s="7">
        <v>0</v>
      </c>
      <c r="M848" s="9">
        <v>27330.59</v>
      </c>
      <c r="N848" s="7">
        <v>0</v>
      </c>
    </row>
    <row r="849" spans="1:14" x14ac:dyDescent="0.25">
      <c r="A849" s="6">
        <v>848</v>
      </c>
      <c r="B849" s="7">
        <v>15586959</v>
      </c>
      <c r="C849" s="6" t="s">
        <v>670</v>
      </c>
      <c r="D849" s="7">
        <v>468</v>
      </c>
      <c r="E849" s="6" t="s">
        <v>15</v>
      </c>
      <c r="F849" s="6" t="s">
        <v>16</v>
      </c>
      <c r="G849" s="7">
        <v>42</v>
      </c>
      <c r="H849" s="7">
        <v>5</v>
      </c>
      <c r="I849" s="8">
        <v>0</v>
      </c>
      <c r="J849" s="7">
        <v>2</v>
      </c>
      <c r="K849" s="7">
        <v>1</v>
      </c>
      <c r="L849" s="7">
        <v>0</v>
      </c>
      <c r="M849" s="9">
        <v>125305.34</v>
      </c>
      <c r="N849" s="7">
        <v>0</v>
      </c>
    </row>
    <row r="850" spans="1:14" x14ac:dyDescent="0.25">
      <c r="A850" s="6">
        <v>849</v>
      </c>
      <c r="B850" s="7">
        <v>15646558</v>
      </c>
      <c r="C850" s="6" t="s">
        <v>671</v>
      </c>
      <c r="D850" s="7">
        <v>611</v>
      </c>
      <c r="E850" s="6" t="s">
        <v>18</v>
      </c>
      <c r="F850" s="6" t="s">
        <v>23</v>
      </c>
      <c r="G850" s="7">
        <v>51</v>
      </c>
      <c r="H850" s="7">
        <v>1</v>
      </c>
      <c r="I850" s="8">
        <v>122874.74</v>
      </c>
      <c r="J850" s="7">
        <v>1</v>
      </c>
      <c r="K850" s="7">
        <v>1</v>
      </c>
      <c r="L850" s="7">
        <v>1</v>
      </c>
      <c r="M850" s="9">
        <v>149648.45000000001</v>
      </c>
      <c r="N850" s="7">
        <v>0</v>
      </c>
    </row>
    <row r="851" spans="1:14" x14ac:dyDescent="0.25">
      <c r="A851" s="6">
        <v>850</v>
      </c>
      <c r="B851" s="7">
        <v>15725811</v>
      </c>
      <c r="C851" s="6" t="s">
        <v>672</v>
      </c>
      <c r="D851" s="7">
        <v>705</v>
      </c>
      <c r="E851" s="6" t="s">
        <v>15</v>
      </c>
      <c r="F851" s="6" t="s">
        <v>23</v>
      </c>
      <c r="G851" s="7">
        <v>25</v>
      </c>
      <c r="H851" s="7">
        <v>0</v>
      </c>
      <c r="I851" s="8">
        <v>97544.29</v>
      </c>
      <c r="J851" s="7">
        <v>1</v>
      </c>
      <c r="K851" s="7">
        <v>0</v>
      </c>
      <c r="L851" s="7">
        <v>1</v>
      </c>
      <c r="M851" s="9">
        <v>59887.15</v>
      </c>
      <c r="N851" s="7">
        <v>0</v>
      </c>
    </row>
    <row r="852" spans="1:14" x14ac:dyDescent="0.25">
      <c r="A852" s="6">
        <v>851</v>
      </c>
      <c r="B852" s="7">
        <v>15572265</v>
      </c>
      <c r="C852" s="6" t="s">
        <v>134</v>
      </c>
      <c r="D852" s="7">
        <v>646</v>
      </c>
      <c r="E852" s="6" t="s">
        <v>26</v>
      </c>
      <c r="F852" s="6" t="s">
        <v>23</v>
      </c>
      <c r="G852" s="7">
        <v>46</v>
      </c>
      <c r="H852" s="7">
        <v>1</v>
      </c>
      <c r="I852" s="8">
        <v>170826.55</v>
      </c>
      <c r="J852" s="7">
        <v>2</v>
      </c>
      <c r="K852" s="7">
        <v>1</v>
      </c>
      <c r="L852" s="7">
        <v>0</v>
      </c>
      <c r="M852" s="9">
        <v>45041.32</v>
      </c>
      <c r="N852" s="7">
        <v>0</v>
      </c>
    </row>
    <row r="853" spans="1:14" x14ac:dyDescent="0.25">
      <c r="A853" s="6">
        <v>852</v>
      </c>
      <c r="B853" s="7">
        <v>15794048</v>
      </c>
      <c r="C853" s="6" t="s">
        <v>673</v>
      </c>
      <c r="D853" s="7">
        <v>667</v>
      </c>
      <c r="E853" s="6" t="s">
        <v>26</v>
      </c>
      <c r="F853" s="6" t="s">
        <v>16</v>
      </c>
      <c r="G853" s="7">
        <v>48</v>
      </c>
      <c r="H853" s="7">
        <v>1</v>
      </c>
      <c r="I853" s="8">
        <v>97133.92</v>
      </c>
      <c r="J853" s="7">
        <v>2</v>
      </c>
      <c r="K853" s="7">
        <v>0</v>
      </c>
      <c r="L853" s="7">
        <v>0</v>
      </c>
      <c r="M853" s="9">
        <v>113316.77</v>
      </c>
      <c r="N853" s="7">
        <v>1</v>
      </c>
    </row>
    <row r="854" spans="1:14" x14ac:dyDescent="0.25">
      <c r="A854" s="6">
        <v>853</v>
      </c>
      <c r="B854" s="7">
        <v>15677610</v>
      </c>
      <c r="C854" s="6" t="s">
        <v>533</v>
      </c>
      <c r="D854" s="7">
        <v>511</v>
      </c>
      <c r="E854" s="6" t="s">
        <v>26</v>
      </c>
      <c r="F854" s="6" t="s">
        <v>16</v>
      </c>
      <c r="G854" s="7">
        <v>41</v>
      </c>
      <c r="H854" s="7">
        <v>8</v>
      </c>
      <c r="I854" s="8">
        <v>153895.65</v>
      </c>
      <c r="J854" s="7">
        <v>1</v>
      </c>
      <c r="K854" s="7">
        <v>1</v>
      </c>
      <c r="L854" s="7">
        <v>1</v>
      </c>
      <c r="M854" s="9">
        <v>39087.42</v>
      </c>
      <c r="N854" s="7">
        <v>0</v>
      </c>
    </row>
    <row r="855" spans="1:14" x14ac:dyDescent="0.25">
      <c r="A855" s="6">
        <v>854</v>
      </c>
      <c r="B855" s="7">
        <v>15745012</v>
      </c>
      <c r="C855" s="6" t="s">
        <v>674</v>
      </c>
      <c r="D855" s="7">
        <v>653</v>
      </c>
      <c r="E855" s="6" t="s">
        <v>15</v>
      </c>
      <c r="F855" s="6" t="s">
        <v>16</v>
      </c>
      <c r="G855" s="7">
        <v>43</v>
      </c>
      <c r="H855" s="7">
        <v>6</v>
      </c>
      <c r="I855" s="8">
        <v>0</v>
      </c>
      <c r="J855" s="7">
        <v>2</v>
      </c>
      <c r="K855" s="7">
        <v>1</v>
      </c>
      <c r="L855" s="7">
        <v>1</v>
      </c>
      <c r="M855" s="9">
        <v>7330.59</v>
      </c>
      <c r="N855" s="7">
        <v>0</v>
      </c>
    </row>
    <row r="856" spans="1:14" x14ac:dyDescent="0.25">
      <c r="A856" s="6">
        <v>855</v>
      </c>
      <c r="B856" s="7">
        <v>15601589</v>
      </c>
      <c r="C856" s="6" t="s">
        <v>675</v>
      </c>
      <c r="D856" s="7">
        <v>675</v>
      </c>
      <c r="E856" s="6" t="s">
        <v>15</v>
      </c>
      <c r="F856" s="6" t="s">
        <v>16</v>
      </c>
      <c r="G856" s="7">
        <v>57</v>
      </c>
      <c r="H856" s="7">
        <v>8</v>
      </c>
      <c r="I856" s="8">
        <v>0</v>
      </c>
      <c r="J856" s="7">
        <v>2</v>
      </c>
      <c r="K856" s="7">
        <v>0</v>
      </c>
      <c r="L856" s="7">
        <v>1</v>
      </c>
      <c r="M856" s="9">
        <v>95463.29</v>
      </c>
      <c r="N856" s="7">
        <v>0</v>
      </c>
    </row>
    <row r="857" spans="1:14" x14ac:dyDescent="0.25">
      <c r="A857" s="6">
        <v>856</v>
      </c>
      <c r="B857" s="7">
        <v>15686436</v>
      </c>
      <c r="C857" s="6" t="s">
        <v>676</v>
      </c>
      <c r="D857" s="7">
        <v>523</v>
      </c>
      <c r="E857" s="6" t="s">
        <v>18</v>
      </c>
      <c r="F857" s="6" t="s">
        <v>23</v>
      </c>
      <c r="G857" s="7">
        <v>32</v>
      </c>
      <c r="H857" s="7">
        <v>4</v>
      </c>
      <c r="I857" s="8">
        <v>0</v>
      </c>
      <c r="J857" s="7">
        <v>2</v>
      </c>
      <c r="K857" s="7">
        <v>1</v>
      </c>
      <c r="L857" s="7">
        <v>0</v>
      </c>
      <c r="M857" s="9">
        <v>167848.02</v>
      </c>
      <c r="N857" s="7">
        <v>0</v>
      </c>
    </row>
    <row r="858" spans="1:14" x14ac:dyDescent="0.25">
      <c r="A858" s="6">
        <v>857</v>
      </c>
      <c r="B858" s="7">
        <v>15693864</v>
      </c>
      <c r="C858" s="6" t="s">
        <v>677</v>
      </c>
      <c r="D858" s="7">
        <v>567</v>
      </c>
      <c r="E858" s="6" t="s">
        <v>26</v>
      </c>
      <c r="F858" s="6" t="s">
        <v>16</v>
      </c>
      <c r="G858" s="7">
        <v>49</v>
      </c>
      <c r="H858" s="7">
        <v>5</v>
      </c>
      <c r="I858" s="8">
        <v>134956.01999999999</v>
      </c>
      <c r="J858" s="7">
        <v>1</v>
      </c>
      <c r="K858" s="7">
        <v>1</v>
      </c>
      <c r="L858" s="7">
        <v>0</v>
      </c>
      <c r="M858" s="9">
        <v>93953.84</v>
      </c>
      <c r="N858" s="7">
        <v>1</v>
      </c>
    </row>
    <row r="859" spans="1:14" x14ac:dyDescent="0.25">
      <c r="A859" s="6">
        <v>858</v>
      </c>
      <c r="B859" s="7">
        <v>15760550</v>
      </c>
      <c r="C859" s="6" t="s">
        <v>132</v>
      </c>
      <c r="D859" s="7">
        <v>741</v>
      </c>
      <c r="E859" s="6" t="s">
        <v>18</v>
      </c>
      <c r="F859" s="6" t="s">
        <v>23</v>
      </c>
      <c r="G859" s="7">
        <v>39</v>
      </c>
      <c r="H859" s="7">
        <v>7</v>
      </c>
      <c r="I859" s="8">
        <v>143637.57999999999</v>
      </c>
      <c r="J859" s="7">
        <v>2</v>
      </c>
      <c r="K859" s="7">
        <v>0</v>
      </c>
      <c r="L859" s="7">
        <v>1</v>
      </c>
      <c r="M859" s="9">
        <v>174227.66</v>
      </c>
      <c r="N859" s="7">
        <v>0</v>
      </c>
    </row>
    <row r="860" spans="1:14" x14ac:dyDescent="0.25">
      <c r="A860" s="6">
        <v>859</v>
      </c>
      <c r="B860" s="7">
        <v>15686137</v>
      </c>
      <c r="C860" s="6" t="s">
        <v>434</v>
      </c>
      <c r="D860" s="7">
        <v>456</v>
      </c>
      <c r="E860" s="6" t="s">
        <v>18</v>
      </c>
      <c r="F860" s="6" t="s">
        <v>23</v>
      </c>
      <c r="G860" s="7">
        <v>32</v>
      </c>
      <c r="H860" s="7">
        <v>9</v>
      </c>
      <c r="I860" s="8">
        <v>147506.25</v>
      </c>
      <c r="J860" s="7">
        <v>1</v>
      </c>
      <c r="K860" s="7">
        <v>1</v>
      </c>
      <c r="L860" s="7">
        <v>1</v>
      </c>
      <c r="M860" s="9">
        <v>135399.21</v>
      </c>
      <c r="N860" s="7">
        <v>0</v>
      </c>
    </row>
    <row r="861" spans="1:14" x14ac:dyDescent="0.25">
      <c r="A861" s="6">
        <v>860</v>
      </c>
      <c r="B861" s="7">
        <v>15809087</v>
      </c>
      <c r="C861" s="6" t="s">
        <v>678</v>
      </c>
      <c r="D861" s="7">
        <v>598</v>
      </c>
      <c r="E861" s="6" t="s">
        <v>15</v>
      </c>
      <c r="F861" s="6" t="s">
        <v>23</v>
      </c>
      <c r="G861" s="7">
        <v>64</v>
      </c>
      <c r="H861" s="7">
        <v>1</v>
      </c>
      <c r="I861" s="8">
        <v>0</v>
      </c>
      <c r="J861" s="7">
        <v>2</v>
      </c>
      <c r="K861" s="7">
        <v>1</v>
      </c>
      <c r="L861" s="7">
        <v>0</v>
      </c>
      <c r="M861" s="9">
        <v>195635.3</v>
      </c>
      <c r="N861" s="7">
        <v>1</v>
      </c>
    </row>
    <row r="862" spans="1:14" x14ac:dyDescent="0.25">
      <c r="A862" s="6">
        <v>861</v>
      </c>
      <c r="B862" s="7">
        <v>15807663</v>
      </c>
      <c r="C862" s="6" t="s">
        <v>679</v>
      </c>
      <c r="D862" s="7">
        <v>667</v>
      </c>
      <c r="E862" s="6" t="s">
        <v>15</v>
      </c>
      <c r="F862" s="6" t="s">
        <v>23</v>
      </c>
      <c r="G862" s="7">
        <v>43</v>
      </c>
      <c r="H862" s="7">
        <v>8</v>
      </c>
      <c r="I862" s="8">
        <v>190227.46</v>
      </c>
      <c r="J862" s="7">
        <v>1</v>
      </c>
      <c r="K862" s="7">
        <v>1</v>
      </c>
      <c r="L862" s="7">
        <v>0</v>
      </c>
      <c r="M862" s="9">
        <v>97508.04</v>
      </c>
      <c r="N862" s="7">
        <v>1</v>
      </c>
    </row>
    <row r="863" spans="1:14" x14ac:dyDescent="0.25">
      <c r="A863" s="6">
        <v>862</v>
      </c>
      <c r="B863" s="7">
        <v>15809100</v>
      </c>
      <c r="C863" s="6" t="s">
        <v>563</v>
      </c>
      <c r="D863" s="7">
        <v>548</v>
      </c>
      <c r="E863" s="6" t="s">
        <v>15</v>
      </c>
      <c r="F863" s="6" t="s">
        <v>16</v>
      </c>
      <c r="G863" s="7">
        <v>32</v>
      </c>
      <c r="H863" s="7">
        <v>2</v>
      </c>
      <c r="I863" s="8">
        <v>172448.77</v>
      </c>
      <c r="J863" s="7">
        <v>1</v>
      </c>
      <c r="K863" s="7">
        <v>1</v>
      </c>
      <c r="L863" s="7">
        <v>0</v>
      </c>
      <c r="M863" s="9">
        <v>188083.77</v>
      </c>
      <c r="N863" s="7">
        <v>1</v>
      </c>
    </row>
    <row r="864" spans="1:14" x14ac:dyDescent="0.25">
      <c r="A864" s="6">
        <v>863</v>
      </c>
      <c r="B864" s="7">
        <v>15794916</v>
      </c>
      <c r="C864" s="6" t="s">
        <v>680</v>
      </c>
      <c r="D864" s="7">
        <v>725</v>
      </c>
      <c r="E864" s="6" t="s">
        <v>15</v>
      </c>
      <c r="F864" s="6" t="s">
        <v>23</v>
      </c>
      <c r="G864" s="7">
        <v>41</v>
      </c>
      <c r="H864" s="7">
        <v>7</v>
      </c>
      <c r="I864" s="8">
        <v>113980.21</v>
      </c>
      <c r="J864" s="7">
        <v>1</v>
      </c>
      <c r="K864" s="7">
        <v>1</v>
      </c>
      <c r="L864" s="7">
        <v>1</v>
      </c>
      <c r="M864" s="9">
        <v>116704.25</v>
      </c>
      <c r="N864" s="7">
        <v>0</v>
      </c>
    </row>
    <row r="865" spans="1:14" x14ac:dyDescent="0.25">
      <c r="A865" s="6">
        <v>864</v>
      </c>
      <c r="B865" s="7">
        <v>15614215</v>
      </c>
      <c r="C865" s="6" t="s">
        <v>681</v>
      </c>
      <c r="D865" s="7">
        <v>717</v>
      </c>
      <c r="E865" s="6" t="s">
        <v>15</v>
      </c>
      <c r="F865" s="6" t="s">
        <v>23</v>
      </c>
      <c r="G865" s="7">
        <v>53</v>
      </c>
      <c r="H865" s="7">
        <v>6</v>
      </c>
      <c r="I865" s="8">
        <v>0</v>
      </c>
      <c r="J865" s="7">
        <v>2</v>
      </c>
      <c r="K865" s="7">
        <v>0</v>
      </c>
      <c r="L865" s="7">
        <v>1</v>
      </c>
      <c r="M865" s="9">
        <v>97614.87</v>
      </c>
      <c r="N865" s="7">
        <v>0</v>
      </c>
    </row>
    <row r="866" spans="1:14" x14ac:dyDescent="0.25">
      <c r="A866" s="6">
        <v>865</v>
      </c>
      <c r="B866" s="7">
        <v>15805449</v>
      </c>
      <c r="C866" s="6" t="s">
        <v>682</v>
      </c>
      <c r="D866" s="7">
        <v>594</v>
      </c>
      <c r="E866" s="6" t="s">
        <v>15</v>
      </c>
      <c r="F866" s="6" t="s">
        <v>23</v>
      </c>
      <c r="G866" s="7">
        <v>38</v>
      </c>
      <c r="H866" s="7">
        <v>4</v>
      </c>
      <c r="I866" s="8">
        <v>0</v>
      </c>
      <c r="J866" s="7">
        <v>2</v>
      </c>
      <c r="K866" s="7">
        <v>0</v>
      </c>
      <c r="L866" s="7">
        <v>0</v>
      </c>
      <c r="M866" s="9">
        <v>186884.04</v>
      </c>
      <c r="N866" s="7">
        <v>0</v>
      </c>
    </row>
    <row r="867" spans="1:14" x14ac:dyDescent="0.25">
      <c r="A867" s="6">
        <v>866</v>
      </c>
      <c r="B867" s="7">
        <v>15686983</v>
      </c>
      <c r="C867" s="6" t="s">
        <v>683</v>
      </c>
      <c r="D867" s="7">
        <v>678</v>
      </c>
      <c r="E867" s="6" t="s">
        <v>26</v>
      </c>
      <c r="F867" s="6" t="s">
        <v>16</v>
      </c>
      <c r="G867" s="7">
        <v>25</v>
      </c>
      <c r="H867" s="7">
        <v>10</v>
      </c>
      <c r="I867" s="8">
        <v>76968.12</v>
      </c>
      <c r="J867" s="7">
        <v>2</v>
      </c>
      <c r="K867" s="7">
        <v>0</v>
      </c>
      <c r="L867" s="7">
        <v>1</v>
      </c>
      <c r="M867" s="9">
        <v>131501.72</v>
      </c>
      <c r="N867" s="7">
        <v>0</v>
      </c>
    </row>
    <row r="868" spans="1:14" x14ac:dyDescent="0.25">
      <c r="A868" s="6">
        <v>867</v>
      </c>
      <c r="B868" s="7">
        <v>15808017</v>
      </c>
      <c r="C868" s="6" t="s">
        <v>684</v>
      </c>
      <c r="D868" s="7">
        <v>545</v>
      </c>
      <c r="E868" s="6" t="s">
        <v>15</v>
      </c>
      <c r="F868" s="6" t="s">
        <v>23</v>
      </c>
      <c r="G868" s="7">
        <v>38</v>
      </c>
      <c r="H868" s="7">
        <v>1</v>
      </c>
      <c r="I868" s="8">
        <v>88293.13</v>
      </c>
      <c r="J868" s="7">
        <v>2</v>
      </c>
      <c r="K868" s="7">
        <v>1</v>
      </c>
      <c r="L868" s="7">
        <v>1</v>
      </c>
      <c r="M868" s="9">
        <v>24302.95</v>
      </c>
      <c r="N868" s="7">
        <v>0</v>
      </c>
    </row>
    <row r="869" spans="1:14" x14ac:dyDescent="0.25">
      <c r="A869" s="6">
        <v>868</v>
      </c>
      <c r="B869" s="7">
        <v>15756804</v>
      </c>
      <c r="C869" s="6" t="s">
        <v>685</v>
      </c>
      <c r="D869" s="7">
        <v>636</v>
      </c>
      <c r="E869" s="6" t="s">
        <v>15</v>
      </c>
      <c r="F869" s="6" t="s">
        <v>16</v>
      </c>
      <c r="G869" s="7">
        <v>48</v>
      </c>
      <c r="H869" s="7">
        <v>1</v>
      </c>
      <c r="I869" s="8">
        <v>170833.46</v>
      </c>
      <c r="J869" s="7">
        <v>1</v>
      </c>
      <c r="K869" s="7">
        <v>1</v>
      </c>
      <c r="L869" s="7">
        <v>0</v>
      </c>
      <c r="M869" s="9">
        <v>110510.28</v>
      </c>
      <c r="N869" s="7">
        <v>1</v>
      </c>
    </row>
    <row r="870" spans="1:14" x14ac:dyDescent="0.25">
      <c r="A870" s="6">
        <v>869</v>
      </c>
      <c r="B870" s="7">
        <v>15646810</v>
      </c>
      <c r="C870" s="6" t="s">
        <v>686</v>
      </c>
      <c r="D870" s="7">
        <v>603</v>
      </c>
      <c r="E870" s="6" t="s">
        <v>26</v>
      </c>
      <c r="F870" s="6" t="s">
        <v>23</v>
      </c>
      <c r="G870" s="7">
        <v>44</v>
      </c>
      <c r="H870" s="7">
        <v>6</v>
      </c>
      <c r="I870" s="8">
        <v>108122.39</v>
      </c>
      <c r="J870" s="7">
        <v>2</v>
      </c>
      <c r="K870" s="7">
        <v>1</v>
      </c>
      <c r="L870" s="7">
        <v>0</v>
      </c>
      <c r="M870" s="9">
        <v>108488.33</v>
      </c>
      <c r="N870" s="7">
        <v>1</v>
      </c>
    </row>
    <row r="871" spans="1:14" x14ac:dyDescent="0.25">
      <c r="A871" s="6">
        <v>870</v>
      </c>
      <c r="B871" s="7">
        <v>15710424</v>
      </c>
      <c r="C871" s="6" t="s">
        <v>687</v>
      </c>
      <c r="D871" s="7">
        <v>435</v>
      </c>
      <c r="E871" s="6" t="s">
        <v>15</v>
      </c>
      <c r="F871" s="6" t="s">
        <v>23</v>
      </c>
      <c r="G871" s="7">
        <v>36</v>
      </c>
      <c r="H871" s="7">
        <v>4</v>
      </c>
      <c r="I871" s="8">
        <v>0</v>
      </c>
      <c r="J871" s="7">
        <v>1</v>
      </c>
      <c r="K871" s="7">
        <v>1</v>
      </c>
      <c r="L871" s="7">
        <v>1</v>
      </c>
      <c r="M871" s="9">
        <v>197015.2</v>
      </c>
      <c r="N871" s="7">
        <v>0</v>
      </c>
    </row>
    <row r="872" spans="1:14" x14ac:dyDescent="0.25">
      <c r="A872" s="6">
        <v>871</v>
      </c>
      <c r="B872" s="7">
        <v>15799422</v>
      </c>
      <c r="C872" s="6" t="s">
        <v>412</v>
      </c>
      <c r="D872" s="7">
        <v>535</v>
      </c>
      <c r="E872" s="6" t="s">
        <v>15</v>
      </c>
      <c r="F872" s="6" t="s">
        <v>16</v>
      </c>
      <c r="G872" s="7">
        <v>40</v>
      </c>
      <c r="H872" s="7">
        <v>8</v>
      </c>
      <c r="I872" s="8">
        <v>0</v>
      </c>
      <c r="J872" s="7">
        <v>1</v>
      </c>
      <c r="K872" s="7">
        <v>1</v>
      </c>
      <c r="L872" s="7">
        <v>1</v>
      </c>
      <c r="M872" s="9">
        <v>27689.77</v>
      </c>
      <c r="N872" s="7">
        <v>0</v>
      </c>
    </row>
    <row r="873" spans="1:14" x14ac:dyDescent="0.25">
      <c r="A873" s="6">
        <v>872</v>
      </c>
      <c r="B873" s="7">
        <v>15692750</v>
      </c>
      <c r="C873" s="6" t="s">
        <v>679</v>
      </c>
      <c r="D873" s="7">
        <v>629</v>
      </c>
      <c r="E873" s="6" t="s">
        <v>26</v>
      </c>
      <c r="F873" s="6" t="s">
        <v>16</v>
      </c>
      <c r="G873" s="7">
        <v>45</v>
      </c>
      <c r="H873" s="7">
        <v>7</v>
      </c>
      <c r="I873" s="8">
        <v>129818.39</v>
      </c>
      <c r="J873" s="7">
        <v>3</v>
      </c>
      <c r="K873" s="7">
        <v>1</v>
      </c>
      <c r="L873" s="7">
        <v>0</v>
      </c>
      <c r="M873" s="9">
        <v>9217.5499999999993</v>
      </c>
      <c r="N873" s="7">
        <v>1</v>
      </c>
    </row>
    <row r="874" spans="1:14" x14ac:dyDescent="0.25">
      <c r="A874" s="6">
        <v>873</v>
      </c>
      <c r="B874" s="7">
        <v>15794549</v>
      </c>
      <c r="C874" s="6" t="s">
        <v>30</v>
      </c>
      <c r="D874" s="7">
        <v>722</v>
      </c>
      <c r="E874" s="6" t="s">
        <v>15</v>
      </c>
      <c r="F874" s="6" t="s">
        <v>16</v>
      </c>
      <c r="G874" s="7">
        <v>35</v>
      </c>
      <c r="H874" s="7">
        <v>2</v>
      </c>
      <c r="I874" s="8">
        <v>163943.89000000001</v>
      </c>
      <c r="J874" s="7">
        <v>2</v>
      </c>
      <c r="K874" s="7">
        <v>1</v>
      </c>
      <c r="L874" s="7">
        <v>1</v>
      </c>
      <c r="M874" s="9">
        <v>15068.18</v>
      </c>
      <c r="N874" s="7">
        <v>0</v>
      </c>
    </row>
    <row r="875" spans="1:14" x14ac:dyDescent="0.25">
      <c r="A875" s="6">
        <v>874</v>
      </c>
      <c r="B875" s="7">
        <v>15803764</v>
      </c>
      <c r="C875" s="6" t="s">
        <v>688</v>
      </c>
      <c r="D875" s="7">
        <v>561</v>
      </c>
      <c r="E875" s="6" t="s">
        <v>15</v>
      </c>
      <c r="F875" s="6" t="s">
        <v>23</v>
      </c>
      <c r="G875" s="7">
        <v>28</v>
      </c>
      <c r="H875" s="7">
        <v>7</v>
      </c>
      <c r="I875" s="8">
        <v>0</v>
      </c>
      <c r="J875" s="7">
        <v>2</v>
      </c>
      <c r="K875" s="7">
        <v>1</v>
      </c>
      <c r="L875" s="7">
        <v>0</v>
      </c>
      <c r="M875" s="9">
        <v>7797.01</v>
      </c>
      <c r="N875" s="7">
        <v>0</v>
      </c>
    </row>
    <row r="876" spans="1:14" ht="30" x14ac:dyDescent="0.25">
      <c r="A876" s="6">
        <v>875</v>
      </c>
      <c r="B876" s="7">
        <v>15674840</v>
      </c>
      <c r="C876" s="6" t="s">
        <v>272</v>
      </c>
      <c r="D876" s="7">
        <v>645</v>
      </c>
      <c r="E876" s="6" t="s">
        <v>15</v>
      </c>
      <c r="F876" s="6" t="s">
        <v>16</v>
      </c>
      <c r="G876" s="7">
        <v>38</v>
      </c>
      <c r="H876" s="7">
        <v>5</v>
      </c>
      <c r="I876" s="8">
        <v>101430.3</v>
      </c>
      <c r="J876" s="7">
        <v>2</v>
      </c>
      <c r="K876" s="7">
        <v>0</v>
      </c>
      <c r="L876" s="7">
        <v>1</v>
      </c>
      <c r="M876" s="9">
        <v>4400.32</v>
      </c>
      <c r="N876" s="7">
        <v>0</v>
      </c>
    </row>
    <row r="877" spans="1:14" x14ac:dyDescent="0.25">
      <c r="A877" s="6">
        <v>876</v>
      </c>
      <c r="B877" s="7">
        <v>15653762</v>
      </c>
      <c r="C877" s="6" t="s">
        <v>69</v>
      </c>
      <c r="D877" s="7">
        <v>501</v>
      </c>
      <c r="E877" s="6" t="s">
        <v>15</v>
      </c>
      <c r="F877" s="6" t="s">
        <v>16</v>
      </c>
      <c r="G877" s="7">
        <v>39</v>
      </c>
      <c r="H877" s="7">
        <v>9</v>
      </c>
      <c r="I877" s="8">
        <v>117301.66</v>
      </c>
      <c r="J877" s="7">
        <v>1</v>
      </c>
      <c r="K877" s="7">
        <v>0</v>
      </c>
      <c r="L877" s="7">
        <v>0</v>
      </c>
      <c r="M877" s="9">
        <v>182025.95</v>
      </c>
      <c r="N877" s="7">
        <v>0</v>
      </c>
    </row>
    <row r="878" spans="1:14" x14ac:dyDescent="0.25">
      <c r="A878" s="6">
        <v>877</v>
      </c>
      <c r="B878" s="7">
        <v>15581229</v>
      </c>
      <c r="C878" s="6" t="s">
        <v>342</v>
      </c>
      <c r="D878" s="7">
        <v>502</v>
      </c>
      <c r="E878" s="6" t="s">
        <v>26</v>
      </c>
      <c r="F878" s="6" t="s">
        <v>16</v>
      </c>
      <c r="G878" s="7">
        <v>32</v>
      </c>
      <c r="H878" s="7">
        <v>1</v>
      </c>
      <c r="I878" s="8">
        <v>173340.83</v>
      </c>
      <c r="J878" s="7">
        <v>1</v>
      </c>
      <c r="K878" s="7">
        <v>0</v>
      </c>
      <c r="L878" s="7">
        <v>1</v>
      </c>
      <c r="M878" s="9">
        <v>122763.95</v>
      </c>
      <c r="N878" s="7">
        <v>0</v>
      </c>
    </row>
    <row r="879" spans="1:14" x14ac:dyDescent="0.25">
      <c r="A879" s="6">
        <v>878</v>
      </c>
      <c r="B879" s="7">
        <v>15800228</v>
      </c>
      <c r="C879" s="6" t="s">
        <v>689</v>
      </c>
      <c r="D879" s="7">
        <v>652</v>
      </c>
      <c r="E879" s="6" t="s">
        <v>18</v>
      </c>
      <c r="F879" s="6" t="s">
        <v>757</v>
      </c>
      <c r="G879" s="7">
        <v>42</v>
      </c>
      <c r="H879" s="7">
        <v>4</v>
      </c>
      <c r="I879" s="8">
        <v>0</v>
      </c>
      <c r="J879" s="7">
        <v>2</v>
      </c>
      <c r="K879" s="7">
        <v>1</v>
      </c>
      <c r="L879" s="7">
        <v>1</v>
      </c>
      <c r="M879" s="9">
        <v>38152.01</v>
      </c>
      <c r="N879" s="7">
        <v>0</v>
      </c>
    </row>
    <row r="880" spans="1:14" x14ac:dyDescent="0.25">
      <c r="A880" s="6">
        <v>879</v>
      </c>
      <c r="B880" s="7">
        <v>15656333</v>
      </c>
      <c r="C880" s="6" t="s">
        <v>596</v>
      </c>
      <c r="D880" s="7">
        <v>574</v>
      </c>
      <c r="E880" s="6" t="s">
        <v>15</v>
      </c>
      <c r="F880" s="6" t="s">
        <v>16</v>
      </c>
      <c r="G880" s="7">
        <v>33</v>
      </c>
      <c r="H880" s="7">
        <v>3</v>
      </c>
      <c r="I880" s="8">
        <v>134348.57</v>
      </c>
      <c r="J880" s="7">
        <v>1</v>
      </c>
      <c r="K880" s="7">
        <v>1</v>
      </c>
      <c r="L880" s="7">
        <v>0</v>
      </c>
      <c r="M880" s="9">
        <v>63163.99</v>
      </c>
      <c r="N880" s="7">
        <v>0</v>
      </c>
    </row>
    <row r="881" spans="1:14" x14ac:dyDescent="0.25">
      <c r="A881" s="6">
        <v>880</v>
      </c>
      <c r="B881" s="7">
        <v>15697497</v>
      </c>
      <c r="C881" s="6" t="s">
        <v>690</v>
      </c>
      <c r="D881" s="7">
        <v>518</v>
      </c>
      <c r="E881" s="6" t="s">
        <v>15</v>
      </c>
      <c r="F881" s="6" t="s">
        <v>16</v>
      </c>
      <c r="G881" s="7">
        <v>45</v>
      </c>
      <c r="H881" s="7">
        <v>9</v>
      </c>
      <c r="I881" s="8">
        <v>105525.65</v>
      </c>
      <c r="J881" s="7">
        <v>2</v>
      </c>
      <c r="K881" s="7">
        <v>1</v>
      </c>
      <c r="L881" s="7">
        <v>1</v>
      </c>
      <c r="M881" s="9">
        <v>73418.289999999994</v>
      </c>
      <c r="N881" s="7">
        <v>0</v>
      </c>
    </row>
    <row r="882" spans="1:14" x14ac:dyDescent="0.25">
      <c r="A882" s="6">
        <v>881</v>
      </c>
      <c r="B882" s="7">
        <v>15585362</v>
      </c>
      <c r="C882" s="6" t="s">
        <v>331</v>
      </c>
      <c r="D882" s="7">
        <v>749</v>
      </c>
      <c r="E882" s="6" t="s">
        <v>15</v>
      </c>
      <c r="F882" s="6" t="s">
        <v>16</v>
      </c>
      <c r="G882" s="7">
        <v>60</v>
      </c>
      <c r="H882" s="7">
        <v>6</v>
      </c>
      <c r="I882" s="8">
        <v>0</v>
      </c>
      <c r="J882" s="7">
        <v>1</v>
      </c>
      <c r="K882" s="7">
        <v>1</v>
      </c>
      <c r="L882" s="7">
        <v>0</v>
      </c>
      <c r="M882" s="9">
        <v>17978.68</v>
      </c>
      <c r="N882" s="7">
        <v>1</v>
      </c>
    </row>
    <row r="883" spans="1:14" x14ac:dyDescent="0.25">
      <c r="A883" s="6">
        <v>882</v>
      </c>
      <c r="B883" s="7">
        <v>15571928</v>
      </c>
      <c r="C883" s="6" t="s">
        <v>644</v>
      </c>
      <c r="D883" s="7">
        <v>679</v>
      </c>
      <c r="E883" s="6" t="s">
        <v>15</v>
      </c>
      <c r="F883" s="6" t="s">
        <v>16</v>
      </c>
      <c r="G883" s="7">
        <v>43</v>
      </c>
      <c r="H883" s="7">
        <v>4</v>
      </c>
      <c r="I883" s="8">
        <v>0</v>
      </c>
      <c r="J883" s="7">
        <v>3</v>
      </c>
      <c r="K883" s="7">
        <v>1</v>
      </c>
      <c r="L883" s="7">
        <v>0</v>
      </c>
      <c r="M883" s="9">
        <v>115136.51</v>
      </c>
      <c r="N883" s="7">
        <v>1</v>
      </c>
    </row>
    <row r="884" spans="1:14" x14ac:dyDescent="0.25">
      <c r="A884" s="6">
        <v>883</v>
      </c>
      <c r="B884" s="7">
        <v>15785519</v>
      </c>
      <c r="C884" s="6" t="s">
        <v>691</v>
      </c>
      <c r="D884" s="7">
        <v>565</v>
      </c>
      <c r="E884" s="6" t="s">
        <v>15</v>
      </c>
      <c r="F884" s="6" t="s">
        <v>23</v>
      </c>
      <c r="G884" s="7">
        <v>36</v>
      </c>
      <c r="H884" s="7">
        <v>6</v>
      </c>
      <c r="I884" s="8">
        <v>106192.1</v>
      </c>
      <c r="J884" s="7">
        <v>1</v>
      </c>
      <c r="K884" s="7">
        <v>1</v>
      </c>
      <c r="L884" s="7">
        <v>0</v>
      </c>
      <c r="M884" s="9">
        <v>149575.59</v>
      </c>
      <c r="N884" s="7">
        <v>0</v>
      </c>
    </row>
    <row r="885" spans="1:14" x14ac:dyDescent="0.25">
      <c r="A885" s="6">
        <v>884</v>
      </c>
      <c r="B885" s="7">
        <v>15743007</v>
      </c>
      <c r="C885" s="6" t="s">
        <v>692</v>
      </c>
      <c r="D885" s="7">
        <v>643</v>
      </c>
      <c r="E885" s="6" t="s">
        <v>15</v>
      </c>
      <c r="F885" s="6" t="s">
        <v>16</v>
      </c>
      <c r="G885" s="7">
        <v>45</v>
      </c>
      <c r="H885" s="7">
        <v>4</v>
      </c>
      <c r="I885" s="8">
        <v>45144.43</v>
      </c>
      <c r="J885" s="7">
        <v>1</v>
      </c>
      <c r="K885" s="7">
        <v>1</v>
      </c>
      <c r="L885" s="7">
        <v>0</v>
      </c>
      <c r="M885" s="9">
        <v>60917.24</v>
      </c>
      <c r="N885" s="7">
        <v>1</v>
      </c>
    </row>
    <row r="886" spans="1:14" x14ac:dyDescent="0.25">
      <c r="A886" s="6">
        <v>885</v>
      </c>
      <c r="B886" s="7">
        <v>15777211</v>
      </c>
      <c r="C886" s="6" t="s">
        <v>693</v>
      </c>
      <c r="D886" s="7">
        <v>515</v>
      </c>
      <c r="E886" s="6" t="s">
        <v>15</v>
      </c>
      <c r="F886" s="6" t="s">
        <v>23</v>
      </c>
      <c r="G886" s="7">
        <v>65</v>
      </c>
      <c r="H886" s="7">
        <v>7</v>
      </c>
      <c r="I886" s="8">
        <v>92113.61</v>
      </c>
      <c r="J886" s="7">
        <v>1</v>
      </c>
      <c r="K886" s="7">
        <v>1</v>
      </c>
      <c r="L886" s="7">
        <v>1</v>
      </c>
      <c r="M886" s="9">
        <v>142548.32999999999</v>
      </c>
      <c r="N886" s="7">
        <v>0</v>
      </c>
    </row>
    <row r="887" spans="1:14" x14ac:dyDescent="0.25">
      <c r="A887" s="6">
        <v>886</v>
      </c>
      <c r="B887" s="7">
        <v>15721935</v>
      </c>
      <c r="C887" s="6" t="s">
        <v>694</v>
      </c>
      <c r="D887" s="7">
        <v>521</v>
      </c>
      <c r="E887" s="6" t="s">
        <v>15</v>
      </c>
      <c r="F887" s="6" t="s">
        <v>23</v>
      </c>
      <c r="G887" s="7">
        <v>25</v>
      </c>
      <c r="H887" s="7">
        <v>7</v>
      </c>
      <c r="I887" s="8">
        <v>0</v>
      </c>
      <c r="J887" s="7">
        <v>2</v>
      </c>
      <c r="K887" s="7">
        <v>1</v>
      </c>
      <c r="L887" s="7">
        <v>1</v>
      </c>
      <c r="M887" s="9">
        <v>157878.67000000001</v>
      </c>
      <c r="N887" s="7">
        <v>0</v>
      </c>
    </row>
    <row r="888" spans="1:14" x14ac:dyDescent="0.25">
      <c r="A888" s="6">
        <v>887</v>
      </c>
      <c r="B888" s="7">
        <v>15591711</v>
      </c>
      <c r="C888" s="6" t="s">
        <v>695</v>
      </c>
      <c r="D888" s="7">
        <v>739</v>
      </c>
      <c r="E888" s="6" t="s">
        <v>18</v>
      </c>
      <c r="F888" s="6" t="s">
        <v>23</v>
      </c>
      <c r="G888" s="7">
        <v>38</v>
      </c>
      <c r="H888" s="7">
        <v>0</v>
      </c>
      <c r="I888" s="8">
        <v>128366.44</v>
      </c>
      <c r="J888" s="7">
        <v>1</v>
      </c>
      <c r="K888" s="7">
        <v>1</v>
      </c>
      <c r="L888" s="7">
        <v>0</v>
      </c>
      <c r="M888" s="9">
        <v>12796.43</v>
      </c>
      <c r="N888" s="7">
        <v>0</v>
      </c>
    </row>
    <row r="889" spans="1:14" x14ac:dyDescent="0.25">
      <c r="A889" s="6">
        <v>888</v>
      </c>
      <c r="B889" s="7">
        <v>15625021</v>
      </c>
      <c r="C889" s="6" t="s">
        <v>118</v>
      </c>
      <c r="D889" s="7">
        <v>585</v>
      </c>
      <c r="E889" s="6" t="s">
        <v>15</v>
      </c>
      <c r="F889" s="6" t="s">
        <v>23</v>
      </c>
      <c r="G889" s="7">
        <v>42</v>
      </c>
      <c r="H889" s="7">
        <v>2</v>
      </c>
      <c r="I889" s="8">
        <v>0</v>
      </c>
      <c r="J889" s="7">
        <v>2</v>
      </c>
      <c r="K889" s="7">
        <v>1</v>
      </c>
      <c r="L889" s="7">
        <v>1</v>
      </c>
      <c r="M889" s="9">
        <v>18657.77</v>
      </c>
      <c r="N889" s="7">
        <v>0</v>
      </c>
    </row>
    <row r="890" spans="1:14" x14ac:dyDescent="0.25">
      <c r="A890" s="6">
        <v>889</v>
      </c>
      <c r="B890" s="7">
        <v>15702968</v>
      </c>
      <c r="C890" s="6" t="s">
        <v>696</v>
      </c>
      <c r="D890" s="7">
        <v>733</v>
      </c>
      <c r="E890" s="6" t="s">
        <v>26</v>
      </c>
      <c r="F890" s="6" t="s">
        <v>23</v>
      </c>
      <c r="G890" s="7">
        <v>74</v>
      </c>
      <c r="H890" s="7">
        <v>3</v>
      </c>
      <c r="I890" s="8">
        <v>106545.53</v>
      </c>
      <c r="J890" s="7">
        <v>1</v>
      </c>
      <c r="K890" s="7">
        <v>1</v>
      </c>
      <c r="L890" s="7">
        <v>1</v>
      </c>
      <c r="M890" s="9">
        <v>134589.57999999999</v>
      </c>
      <c r="N890" s="7">
        <v>0</v>
      </c>
    </row>
    <row r="891" spans="1:14" x14ac:dyDescent="0.25">
      <c r="A891" s="6">
        <v>890</v>
      </c>
      <c r="B891" s="7">
        <v>15600462</v>
      </c>
      <c r="C891" s="6" t="s">
        <v>697</v>
      </c>
      <c r="D891" s="7">
        <v>542</v>
      </c>
      <c r="E891" s="6" t="s">
        <v>15</v>
      </c>
      <c r="F891" s="6" t="s">
        <v>16</v>
      </c>
      <c r="G891" s="7">
        <v>43</v>
      </c>
      <c r="H891" s="7">
        <v>8</v>
      </c>
      <c r="I891" s="8">
        <v>145618.37</v>
      </c>
      <c r="J891" s="7">
        <v>1</v>
      </c>
      <c r="K891" s="7">
        <v>0</v>
      </c>
      <c r="L891" s="7">
        <v>1</v>
      </c>
      <c r="M891" s="9">
        <v>10350.74</v>
      </c>
      <c r="N891" s="7">
        <v>0</v>
      </c>
    </row>
    <row r="892" spans="1:14" x14ac:dyDescent="0.25">
      <c r="A892" s="6">
        <v>891</v>
      </c>
      <c r="B892" s="7">
        <v>15768104</v>
      </c>
      <c r="C892" s="6" t="s">
        <v>698</v>
      </c>
      <c r="D892" s="7">
        <v>788</v>
      </c>
      <c r="E892" s="6" t="s">
        <v>18</v>
      </c>
      <c r="F892" s="6" t="s">
        <v>23</v>
      </c>
      <c r="G892" s="7">
        <v>37</v>
      </c>
      <c r="H892" s="7">
        <v>8</v>
      </c>
      <c r="I892" s="8">
        <v>141541.25</v>
      </c>
      <c r="J892" s="7">
        <v>1</v>
      </c>
      <c r="K892" s="7">
        <v>0</v>
      </c>
      <c r="L892" s="7">
        <v>0</v>
      </c>
      <c r="M892" s="9">
        <v>66013.27</v>
      </c>
      <c r="N892" s="7">
        <v>0</v>
      </c>
    </row>
    <row r="893" spans="1:14" x14ac:dyDescent="0.25">
      <c r="A893" s="6">
        <v>892</v>
      </c>
      <c r="B893" s="7">
        <v>15780140</v>
      </c>
      <c r="C893" s="6" t="s">
        <v>509</v>
      </c>
      <c r="D893" s="7">
        <v>435</v>
      </c>
      <c r="E893" s="6" t="s">
        <v>26</v>
      </c>
      <c r="F893" s="6" t="s">
        <v>23</v>
      </c>
      <c r="G893" s="7">
        <v>32</v>
      </c>
      <c r="H893" s="7">
        <v>2</v>
      </c>
      <c r="I893" s="8">
        <v>57017.06</v>
      </c>
      <c r="J893" s="7">
        <v>2</v>
      </c>
      <c r="K893" s="7">
        <v>1</v>
      </c>
      <c r="L893" s="7">
        <v>1</v>
      </c>
      <c r="M893" s="9">
        <v>5907.11</v>
      </c>
      <c r="N893" s="7">
        <v>0</v>
      </c>
    </row>
    <row r="894" spans="1:14" x14ac:dyDescent="0.25">
      <c r="A894" s="6">
        <v>893</v>
      </c>
      <c r="B894" s="7">
        <v>15585255</v>
      </c>
      <c r="C894" s="6" t="s">
        <v>699</v>
      </c>
      <c r="D894" s="7">
        <v>577</v>
      </c>
      <c r="E894" s="6" t="s">
        <v>15</v>
      </c>
      <c r="F894" s="6" t="s">
        <v>23</v>
      </c>
      <c r="G894" s="7">
        <v>42</v>
      </c>
      <c r="H894" s="7">
        <v>9</v>
      </c>
      <c r="I894" s="8">
        <v>0</v>
      </c>
      <c r="J894" s="7">
        <v>1</v>
      </c>
      <c r="K894" s="7">
        <v>1</v>
      </c>
      <c r="L894" s="7">
        <v>0</v>
      </c>
      <c r="M894" s="9">
        <v>74077.91</v>
      </c>
      <c r="N894" s="7">
        <v>0</v>
      </c>
    </row>
    <row r="895" spans="1:14" x14ac:dyDescent="0.25">
      <c r="A895" s="6">
        <v>894</v>
      </c>
      <c r="B895" s="7">
        <v>15772781</v>
      </c>
      <c r="C895" s="6" t="s">
        <v>640</v>
      </c>
      <c r="D895" s="7">
        <v>703</v>
      </c>
      <c r="E895" s="6" t="s">
        <v>15</v>
      </c>
      <c r="F895" s="6" t="s">
        <v>16</v>
      </c>
      <c r="G895" s="7">
        <v>51</v>
      </c>
      <c r="H895" s="7">
        <v>3</v>
      </c>
      <c r="I895" s="8">
        <v>0</v>
      </c>
      <c r="J895" s="7">
        <v>3</v>
      </c>
      <c r="K895" s="7">
        <v>1</v>
      </c>
      <c r="L895" s="7">
        <v>1</v>
      </c>
      <c r="M895" s="9">
        <v>77294.559999999998</v>
      </c>
      <c r="N895" s="7">
        <v>1</v>
      </c>
    </row>
    <row r="896" spans="1:14" x14ac:dyDescent="0.25">
      <c r="A896" s="6">
        <v>895</v>
      </c>
      <c r="B896" s="7">
        <v>15669987</v>
      </c>
      <c r="C896" s="6" t="s">
        <v>700</v>
      </c>
      <c r="D896" s="7">
        <v>728</v>
      </c>
      <c r="E896" s="6" t="s">
        <v>26</v>
      </c>
      <c r="F896" s="6" t="s">
        <v>16</v>
      </c>
      <c r="G896" s="7">
        <v>35</v>
      </c>
      <c r="H896" s="7">
        <v>8</v>
      </c>
      <c r="I896" s="8">
        <v>125884.95</v>
      </c>
      <c r="J896" s="7">
        <v>2</v>
      </c>
      <c r="K896" s="7">
        <v>1</v>
      </c>
      <c r="L896" s="7">
        <v>0</v>
      </c>
      <c r="M896" s="9">
        <v>54359.02</v>
      </c>
      <c r="N896" s="7">
        <v>1</v>
      </c>
    </row>
    <row r="897" spans="1:14" x14ac:dyDescent="0.25">
      <c r="A897" s="6">
        <v>896</v>
      </c>
      <c r="B897" s="7">
        <v>15697000</v>
      </c>
      <c r="C897" s="6" t="s">
        <v>701</v>
      </c>
      <c r="D897" s="7">
        <v>728</v>
      </c>
      <c r="E897" s="6" t="s">
        <v>26</v>
      </c>
      <c r="F897" s="6" t="s">
        <v>23</v>
      </c>
      <c r="G897" s="7">
        <v>32</v>
      </c>
      <c r="H897" s="7">
        <v>5</v>
      </c>
      <c r="I897" s="8">
        <v>61825.5</v>
      </c>
      <c r="J897" s="7">
        <v>1</v>
      </c>
      <c r="K897" s="7">
        <v>1</v>
      </c>
      <c r="L897" s="7">
        <v>1</v>
      </c>
      <c r="M897" s="9">
        <v>156124.93</v>
      </c>
      <c r="N897" s="7">
        <v>0</v>
      </c>
    </row>
    <row r="898" spans="1:14" x14ac:dyDescent="0.25">
      <c r="A898" s="6">
        <v>897</v>
      </c>
      <c r="B898" s="7">
        <v>15733119</v>
      </c>
      <c r="C898" s="6" t="s">
        <v>702</v>
      </c>
      <c r="D898" s="7">
        <v>718</v>
      </c>
      <c r="E898" s="6" t="s">
        <v>15</v>
      </c>
      <c r="F898" s="6" t="s">
        <v>23</v>
      </c>
      <c r="G898" s="7">
        <v>35</v>
      </c>
      <c r="H898" s="7">
        <v>8</v>
      </c>
      <c r="I898" s="8">
        <v>0</v>
      </c>
      <c r="J898" s="7">
        <v>2</v>
      </c>
      <c r="K898" s="7">
        <v>1</v>
      </c>
      <c r="L898" s="7">
        <v>0</v>
      </c>
      <c r="M898" s="9">
        <v>94820.85</v>
      </c>
      <c r="N898" s="7">
        <v>0</v>
      </c>
    </row>
    <row r="899" spans="1:14" x14ac:dyDescent="0.25">
      <c r="A899" s="6">
        <v>898</v>
      </c>
      <c r="B899" s="7">
        <v>15782390</v>
      </c>
      <c r="C899" s="6" t="s">
        <v>77</v>
      </c>
      <c r="D899" s="7">
        <v>621</v>
      </c>
      <c r="E899" s="6" t="s">
        <v>15</v>
      </c>
      <c r="F899" s="6" t="s">
        <v>16</v>
      </c>
      <c r="G899" s="7">
        <v>40</v>
      </c>
      <c r="H899" s="7">
        <v>6</v>
      </c>
      <c r="I899" s="8">
        <v>0</v>
      </c>
      <c r="J899" s="7">
        <v>1</v>
      </c>
      <c r="K899" s="7">
        <v>1</v>
      </c>
      <c r="L899" s="7">
        <v>0</v>
      </c>
      <c r="M899" s="9">
        <v>155155.25</v>
      </c>
      <c r="N899" s="7">
        <v>0</v>
      </c>
    </row>
    <row r="900" spans="1:14" x14ac:dyDescent="0.25">
      <c r="A900" s="6">
        <v>899</v>
      </c>
      <c r="B900" s="7">
        <v>15654700</v>
      </c>
      <c r="C900" s="6" t="s">
        <v>503</v>
      </c>
      <c r="D900" s="7">
        <v>523</v>
      </c>
      <c r="E900" s="6" t="s">
        <v>15</v>
      </c>
      <c r="F900" s="6" t="s">
        <v>16</v>
      </c>
      <c r="G900" s="7">
        <v>40</v>
      </c>
      <c r="H900" s="7">
        <v>2</v>
      </c>
      <c r="I900" s="8">
        <v>102967.41</v>
      </c>
      <c r="J900" s="7">
        <v>1</v>
      </c>
      <c r="K900" s="7">
        <v>1</v>
      </c>
      <c r="L900" s="7">
        <v>0</v>
      </c>
      <c r="M900" s="9">
        <v>128702.1</v>
      </c>
      <c r="N900" s="7">
        <v>1</v>
      </c>
    </row>
    <row r="901" spans="1:14" x14ac:dyDescent="0.25">
      <c r="A901" s="6">
        <v>900</v>
      </c>
      <c r="B901" s="7">
        <v>15632210</v>
      </c>
      <c r="C901" s="6" t="s">
        <v>17</v>
      </c>
      <c r="D901" s="7">
        <v>657</v>
      </c>
      <c r="E901" s="6" t="s">
        <v>26</v>
      </c>
      <c r="F901" s="6" t="s">
        <v>23</v>
      </c>
      <c r="G901" s="7">
        <v>25</v>
      </c>
      <c r="H901" s="7">
        <v>2</v>
      </c>
      <c r="I901" s="8">
        <v>171770.55</v>
      </c>
      <c r="J901" s="7">
        <v>1</v>
      </c>
      <c r="K901" s="7">
        <v>1</v>
      </c>
      <c r="L901" s="7">
        <v>0</v>
      </c>
      <c r="M901" s="9">
        <v>22745.5</v>
      </c>
      <c r="N901" s="7">
        <v>0</v>
      </c>
    </row>
    <row r="902" spans="1:14" x14ac:dyDescent="0.25">
      <c r="A902" s="6">
        <v>901</v>
      </c>
      <c r="B902" s="7">
        <v>15642041</v>
      </c>
      <c r="C902" s="6" t="s">
        <v>422</v>
      </c>
      <c r="D902" s="7">
        <v>727</v>
      </c>
      <c r="E902" s="6" t="s">
        <v>26</v>
      </c>
      <c r="F902" s="6" t="s">
        <v>23</v>
      </c>
      <c r="G902" s="7">
        <v>40</v>
      </c>
      <c r="H902" s="7">
        <v>1</v>
      </c>
      <c r="I902" s="8">
        <v>93051.64</v>
      </c>
      <c r="J902" s="7">
        <v>2</v>
      </c>
      <c r="K902" s="7">
        <v>1</v>
      </c>
      <c r="L902" s="7">
        <v>0</v>
      </c>
      <c r="M902" s="9">
        <v>71865.31</v>
      </c>
      <c r="N902" s="7">
        <v>1</v>
      </c>
    </row>
    <row r="903" spans="1:14" x14ac:dyDescent="0.25">
      <c r="A903" s="6">
        <v>902</v>
      </c>
      <c r="B903" s="7">
        <v>15709737</v>
      </c>
      <c r="C903" s="6" t="s">
        <v>79</v>
      </c>
      <c r="D903" s="7">
        <v>643</v>
      </c>
      <c r="E903" s="6" t="s">
        <v>15</v>
      </c>
      <c r="F903" s="6" t="s">
        <v>23</v>
      </c>
      <c r="G903" s="7">
        <v>36</v>
      </c>
      <c r="H903" s="7">
        <v>7</v>
      </c>
      <c r="I903" s="8">
        <v>161064.64000000001</v>
      </c>
      <c r="J903" s="7">
        <v>2</v>
      </c>
      <c r="K903" s="7">
        <v>0</v>
      </c>
      <c r="L903" s="7">
        <v>1</v>
      </c>
      <c r="M903" s="9">
        <v>84294.82</v>
      </c>
      <c r="N903" s="7">
        <v>0</v>
      </c>
    </row>
    <row r="904" spans="1:14" x14ac:dyDescent="0.25">
      <c r="A904" s="6">
        <v>903</v>
      </c>
      <c r="B904" s="7">
        <v>15792388</v>
      </c>
      <c r="C904" s="6" t="s">
        <v>148</v>
      </c>
      <c r="D904" s="7">
        <v>645</v>
      </c>
      <c r="E904" s="6" t="s">
        <v>15</v>
      </c>
      <c r="F904" s="6" t="s">
        <v>16</v>
      </c>
      <c r="G904" s="7">
        <v>48</v>
      </c>
      <c r="H904" s="7">
        <v>7</v>
      </c>
      <c r="I904" s="8">
        <v>90612.34</v>
      </c>
      <c r="J904" s="7">
        <v>1</v>
      </c>
      <c r="K904" s="7">
        <v>1</v>
      </c>
      <c r="L904" s="7">
        <v>1</v>
      </c>
      <c r="M904" s="9">
        <v>149139.13</v>
      </c>
      <c r="N904" s="7">
        <v>0</v>
      </c>
    </row>
    <row r="905" spans="1:14" x14ac:dyDescent="0.25">
      <c r="A905" s="6">
        <v>904</v>
      </c>
      <c r="B905" s="7">
        <v>15786014</v>
      </c>
      <c r="C905" s="6" t="s">
        <v>209</v>
      </c>
      <c r="D905" s="7">
        <v>568</v>
      </c>
      <c r="E905" s="6" t="s">
        <v>15</v>
      </c>
      <c r="F905" s="6" t="s">
        <v>23</v>
      </c>
      <c r="G905" s="7">
        <v>28</v>
      </c>
      <c r="H905" s="7">
        <v>5</v>
      </c>
      <c r="I905" s="8">
        <v>145105.64000000001</v>
      </c>
      <c r="J905" s="7">
        <v>2</v>
      </c>
      <c r="K905" s="7">
        <v>1</v>
      </c>
      <c r="L905" s="7">
        <v>0</v>
      </c>
      <c r="M905" s="9">
        <v>185489.11</v>
      </c>
      <c r="N905" s="7">
        <v>0</v>
      </c>
    </row>
    <row r="906" spans="1:14" x14ac:dyDescent="0.25">
      <c r="A906" s="6">
        <v>905</v>
      </c>
      <c r="B906" s="7">
        <v>15794580</v>
      </c>
      <c r="C906" s="6" t="s">
        <v>404</v>
      </c>
      <c r="D906" s="7">
        <v>599</v>
      </c>
      <c r="E906" s="6" t="s">
        <v>15</v>
      </c>
      <c r="F906" s="6" t="s">
        <v>23</v>
      </c>
      <c r="G906" s="7">
        <v>58</v>
      </c>
      <c r="H906" s="7">
        <v>4</v>
      </c>
      <c r="I906" s="8">
        <v>0</v>
      </c>
      <c r="J906" s="7">
        <v>1</v>
      </c>
      <c r="K906" s="7">
        <v>0</v>
      </c>
      <c r="L906" s="7">
        <v>0</v>
      </c>
      <c r="M906" s="9">
        <v>176407.15</v>
      </c>
      <c r="N906" s="7">
        <v>1</v>
      </c>
    </row>
    <row r="907" spans="1:14" ht="30" x14ac:dyDescent="0.25">
      <c r="A907" s="6">
        <v>906</v>
      </c>
      <c r="B907" s="7">
        <v>15675964</v>
      </c>
      <c r="C907" s="6" t="s">
        <v>703</v>
      </c>
      <c r="D907" s="7">
        <v>672</v>
      </c>
      <c r="E907" s="6" t="s">
        <v>15</v>
      </c>
      <c r="F907" s="6" t="s">
        <v>16</v>
      </c>
      <c r="G907" s="7">
        <v>45</v>
      </c>
      <c r="H907" s="7">
        <v>9</v>
      </c>
      <c r="I907" s="8">
        <v>0</v>
      </c>
      <c r="J907" s="7">
        <v>1</v>
      </c>
      <c r="K907" s="7">
        <v>1</v>
      </c>
      <c r="L907" s="7">
        <v>1</v>
      </c>
      <c r="M907" s="9">
        <v>92027.69</v>
      </c>
      <c r="N907" s="7">
        <v>1</v>
      </c>
    </row>
    <row r="908" spans="1:14" ht="30" x14ac:dyDescent="0.25">
      <c r="A908" s="6">
        <v>907</v>
      </c>
      <c r="B908" s="7">
        <v>15814275</v>
      </c>
      <c r="C908" s="6" t="s">
        <v>704</v>
      </c>
      <c r="D908" s="7">
        <v>685</v>
      </c>
      <c r="E908" s="6" t="s">
        <v>15</v>
      </c>
      <c r="F908" s="6" t="s">
        <v>23</v>
      </c>
      <c r="G908" s="7">
        <v>33</v>
      </c>
      <c r="H908" s="7">
        <v>6</v>
      </c>
      <c r="I908" s="8">
        <v>174912.72</v>
      </c>
      <c r="J908" s="7">
        <v>1</v>
      </c>
      <c r="K908" s="7">
        <v>1</v>
      </c>
      <c r="L908" s="7">
        <v>1</v>
      </c>
      <c r="M908" s="9">
        <v>43932.54</v>
      </c>
      <c r="N908" s="7">
        <v>0</v>
      </c>
    </row>
    <row r="909" spans="1:14" x14ac:dyDescent="0.25">
      <c r="A909" s="6">
        <v>908</v>
      </c>
      <c r="B909" s="7">
        <v>15724848</v>
      </c>
      <c r="C909" s="6" t="s">
        <v>705</v>
      </c>
      <c r="D909" s="7">
        <v>516</v>
      </c>
      <c r="E909" s="6" t="s">
        <v>15</v>
      </c>
      <c r="F909" s="6" t="s">
        <v>16</v>
      </c>
      <c r="G909" s="7">
        <v>46</v>
      </c>
      <c r="H909" s="7">
        <v>1</v>
      </c>
      <c r="I909" s="8">
        <v>104947.72</v>
      </c>
      <c r="J909" s="7">
        <v>1</v>
      </c>
      <c r="K909" s="7">
        <v>1</v>
      </c>
      <c r="L909" s="7">
        <v>0</v>
      </c>
      <c r="M909" s="9">
        <v>115789.25</v>
      </c>
      <c r="N909" s="7">
        <v>1</v>
      </c>
    </row>
    <row r="910" spans="1:14" x14ac:dyDescent="0.25">
      <c r="A910" s="6">
        <v>909</v>
      </c>
      <c r="B910" s="7">
        <v>15754713</v>
      </c>
      <c r="C910" s="6" t="s">
        <v>706</v>
      </c>
      <c r="D910" s="7">
        <v>685</v>
      </c>
      <c r="E910" s="6" t="s">
        <v>18</v>
      </c>
      <c r="F910" s="6" t="s">
        <v>23</v>
      </c>
      <c r="G910" s="7">
        <v>31</v>
      </c>
      <c r="H910" s="7">
        <v>10</v>
      </c>
      <c r="I910" s="8">
        <v>135213.71</v>
      </c>
      <c r="J910" s="7">
        <v>1</v>
      </c>
      <c r="K910" s="7">
        <v>1</v>
      </c>
      <c r="L910" s="7">
        <v>1</v>
      </c>
      <c r="M910" s="9">
        <v>125777.28</v>
      </c>
      <c r="N910" s="7">
        <v>0</v>
      </c>
    </row>
    <row r="911" spans="1:14" x14ac:dyDescent="0.25">
      <c r="A911" s="6">
        <v>910</v>
      </c>
      <c r="B911" s="7">
        <v>15693814</v>
      </c>
      <c r="C911" s="6" t="s">
        <v>707</v>
      </c>
      <c r="D911" s="7">
        <v>806</v>
      </c>
      <c r="E911" s="6" t="s">
        <v>18</v>
      </c>
      <c r="F911" s="6" t="s">
        <v>23</v>
      </c>
      <c r="G911" s="7">
        <v>25</v>
      </c>
      <c r="H911" s="7">
        <v>7</v>
      </c>
      <c r="I911" s="8">
        <v>0</v>
      </c>
      <c r="J911" s="7">
        <v>2</v>
      </c>
      <c r="K911" s="7">
        <v>1</v>
      </c>
      <c r="L911" s="7">
        <v>0</v>
      </c>
      <c r="M911" s="9">
        <v>18461.900000000001</v>
      </c>
      <c r="N911" s="7">
        <v>0</v>
      </c>
    </row>
    <row r="912" spans="1:14" x14ac:dyDescent="0.25">
      <c r="A912" s="6">
        <v>911</v>
      </c>
      <c r="B912" s="7">
        <v>15599660</v>
      </c>
      <c r="C912" s="6" t="s">
        <v>708</v>
      </c>
      <c r="D912" s="7">
        <v>604</v>
      </c>
      <c r="E912" s="6" t="s">
        <v>15</v>
      </c>
      <c r="F912" s="6" t="s">
        <v>23</v>
      </c>
      <c r="G912" s="7">
        <v>36</v>
      </c>
      <c r="H912" s="7">
        <v>6</v>
      </c>
      <c r="I912" s="8">
        <v>116229.85</v>
      </c>
      <c r="J912" s="7">
        <v>2</v>
      </c>
      <c r="K912" s="7">
        <v>1</v>
      </c>
      <c r="L912" s="7">
        <v>1</v>
      </c>
      <c r="M912" s="9">
        <v>79633.38</v>
      </c>
      <c r="N912" s="7">
        <v>0</v>
      </c>
    </row>
    <row r="913" spans="1:14" ht="30" x14ac:dyDescent="0.25">
      <c r="A913" s="6">
        <v>912</v>
      </c>
      <c r="B913" s="7">
        <v>15746490</v>
      </c>
      <c r="C913" s="6" t="s">
        <v>709</v>
      </c>
      <c r="D913" s="7">
        <v>648</v>
      </c>
      <c r="E913" s="6" t="s">
        <v>18</v>
      </c>
      <c r="F913" s="6" t="s">
        <v>16</v>
      </c>
      <c r="G913" s="7">
        <v>53</v>
      </c>
      <c r="H913" s="7">
        <v>6</v>
      </c>
      <c r="I913" s="8">
        <v>111201.41</v>
      </c>
      <c r="J913" s="7">
        <v>1</v>
      </c>
      <c r="K913" s="7">
        <v>1</v>
      </c>
      <c r="L913" s="7">
        <v>1</v>
      </c>
      <c r="M913" s="9">
        <v>121542.29</v>
      </c>
      <c r="N913" s="7">
        <v>0</v>
      </c>
    </row>
    <row r="914" spans="1:14" x14ac:dyDescent="0.25">
      <c r="A914" s="6">
        <v>913</v>
      </c>
      <c r="B914" s="7">
        <v>15566091</v>
      </c>
      <c r="C914" s="6" t="s">
        <v>710</v>
      </c>
      <c r="D914" s="7">
        <v>545</v>
      </c>
      <c r="E914" s="6" t="s">
        <v>18</v>
      </c>
      <c r="F914" s="6" t="s">
        <v>16</v>
      </c>
      <c r="G914" s="7">
        <v>32</v>
      </c>
      <c r="H914" s="7">
        <v>4</v>
      </c>
      <c r="I914" s="8">
        <v>0</v>
      </c>
      <c r="J914" s="7">
        <v>1</v>
      </c>
      <c r="K914" s="7">
        <v>1</v>
      </c>
      <c r="L914" s="7">
        <v>0</v>
      </c>
      <c r="M914" s="9">
        <v>94739.199999999997</v>
      </c>
      <c r="N914" s="7">
        <v>0</v>
      </c>
    </row>
    <row r="915" spans="1:14" x14ac:dyDescent="0.25">
      <c r="A915" s="6">
        <v>914</v>
      </c>
      <c r="B915" s="7">
        <v>15655961</v>
      </c>
      <c r="C915" s="6" t="s">
        <v>91</v>
      </c>
      <c r="D915" s="7">
        <v>756</v>
      </c>
      <c r="E915" s="6" t="s">
        <v>26</v>
      </c>
      <c r="F915" s="6" t="s">
        <v>23</v>
      </c>
      <c r="G915" s="7">
        <v>27</v>
      </c>
      <c r="H915" s="7">
        <v>1</v>
      </c>
      <c r="I915" s="8">
        <v>131899</v>
      </c>
      <c r="J915" s="7">
        <v>1</v>
      </c>
      <c r="K915" s="7">
        <v>1</v>
      </c>
      <c r="L915" s="7">
        <v>0</v>
      </c>
      <c r="M915" s="9">
        <v>93302.29</v>
      </c>
      <c r="N915" s="7">
        <v>0</v>
      </c>
    </row>
    <row r="916" spans="1:14" x14ac:dyDescent="0.25">
      <c r="A916" s="6">
        <v>915</v>
      </c>
      <c r="B916" s="7">
        <v>15710404</v>
      </c>
      <c r="C916" s="6" t="s">
        <v>711</v>
      </c>
      <c r="D916" s="7">
        <v>569</v>
      </c>
      <c r="E916" s="6" t="s">
        <v>15</v>
      </c>
      <c r="F916" s="6" t="s">
        <v>23</v>
      </c>
      <c r="G916" s="7">
        <v>35</v>
      </c>
      <c r="H916" s="7">
        <v>10</v>
      </c>
      <c r="I916" s="8">
        <v>124525.52</v>
      </c>
      <c r="J916" s="7">
        <v>1</v>
      </c>
      <c r="K916" s="7">
        <v>1</v>
      </c>
      <c r="L916" s="7">
        <v>1</v>
      </c>
      <c r="M916" s="9">
        <v>193793.78</v>
      </c>
      <c r="N916" s="7">
        <v>0</v>
      </c>
    </row>
    <row r="917" spans="1:14" x14ac:dyDescent="0.25">
      <c r="A917" s="6">
        <v>916</v>
      </c>
      <c r="B917" s="7">
        <v>15775625</v>
      </c>
      <c r="C917" s="6" t="s">
        <v>370</v>
      </c>
      <c r="D917" s="7">
        <v>596</v>
      </c>
      <c r="E917" s="6" t="s">
        <v>15</v>
      </c>
      <c r="F917" s="6" t="s">
        <v>23</v>
      </c>
      <c r="G917" s="7">
        <v>47</v>
      </c>
      <c r="H917" s="7">
        <v>6</v>
      </c>
      <c r="I917" s="8">
        <v>0</v>
      </c>
      <c r="J917" s="7">
        <v>1</v>
      </c>
      <c r="K917" s="7">
        <v>1</v>
      </c>
      <c r="L917" s="7">
        <v>0</v>
      </c>
      <c r="M917" s="9">
        <v>74835.649999999994</v>
      </c>
      <c r="N917" s="7">
        <v>0</v>
      </c>
    </row>
    <row r="918" spans="1:14" x14ac:dyDescent="0.25">
      <c r="A918" s="6">
        <v>917</v>
      </c>
      <c r="B918" s="7">
        <v>15792328</v>
      </c>
      <c r="C918" s="6" t="s">
        <v>712</v>
      </c>
      <c r="D918" s="7">
        <v>475</v>
      </c>
      <c r="E918" s="6" t="s">
        <v>15</v>
      </c>
      <c r="F918" s="6" t="s">
        <v>23</v>
      </c>
      <c r="G918" s="7">
        <v>39</v>
      </c>
      <c r="H918" s="7">
        <v>6</v>
      </c>
      <c r="I918" s="8">
        <v>0</v>
      </c>
      <c r="J918" s="7">
        <v>1</v>
      </c>
      <c r="K918" s="7">
        <v>1</v>
      </c>
      <c r="L918" s="7">
        <v>1</v>
      </c>
      <c r="M918" s="9">
        <v>56999.9</v>
      </c>
      <c r="N918" s="7">
        <v>1</v>
      </c>
    </row>
    <row r="919" spans="1:14" x14ac:dyDescent="0.25">
      <c r="A919" s="6">
        <v>918</v>
      </c>
      <c r="B919" s="7">
        <v>15719856</v>
      </c>
      <c r="C919" s="6" t="s">
        <v>713</v>
      </c>
      <c r="D919" s="7">
        <v>646</v>
      </c>
      <c r="E919" s="6" t="s">
        <v>15</v>
      </c>
      <c r="F919" s="6" t="s">
        <v>16</v>
      </c>
      <c r="G919" s="7">
        <v>45</v>
      </c>
      <c r="H919" s="7">
        <v>3</v>
      </c>
      <c r="I919" s="8">
        <v>47134.75</v>
      </c>
      <c r="J919" s="7">
        <v>1</v>
      </c>
      <c r="K919" s="7">
        <v>1</v>
      </c>
      <c r="L919" s="7">
        <v>1</v>
      </c>
      <c r="M919" s="9">
        <v>57236.44</v>
      </c>
      <c r="N919" s="7">
        <v>0</v>
      </c>
    </row>
    <row r="920" spans="1:14" x14ac:dyDescent="0.25">
      <c r="A920" s="6">
        <v>919</v>
      </c>
      <c r="B920" s="7">
        <v>15593773</v>
      </c>
      <c r="C920" s="6" t="s">
        <v>714</v>
      </c>
      <c r="D920" s="7">
        <v>784</v>
      </c>
      <c r="E920" s="6" t="s">
        <v>18</v>
      </c>
      <c r="F920" s="6" t="s">
        <v>23</v>
      </c>
      <c r="G920" s="7">
        <v>35</v>
      </c>
      <c r="H920" s="7">
        <v>3</v>
      </c>
      <c r="I920" s="8">
        <v>0</v>
      </c>
      <c r="J920" s="7">
        <v>2</v>
      </c>
      <c r="K920" s="7">
        <v>0</v>
      </c>
      <c r="L920" s="7">
        <v>0</v>
      </c>
      <c r="M920" s="9">
        <v>81483.64</v>
      </c>
      <c r="N920" s="7">
        <v>0</v>
      </c>
    </row>
    <row r="921" spans="1:14" x14ac:dyDescent="0.25">
      <c r="A921" s="6">
        <v>920</v>
      </c>
      <c r="B921" s="7">
        <v>15733114</v>
      </c>
      <c r="C921" s="6" t="s">
        <v>220</v>
      </c>
      <c r="D921" s="7">
        <v>552</v>
      </c>
      <c r="E921" s="6" t="s">
        <v>18</v>
      </c>
      <c r="F921" s="6" t="s">
        <v>23</v>
      </c>
      <c r="G921" s="7">
        <v>45</v>
      </c>
      <c r="H921" s="7">
        <v>9</v>
      </c>
      <c r="I921" s="8">
        <v>0</v>
      </c>
      <c r="J921" s="7">
        <v>2</v>
      </c>
      <c r="K921" s="7">
        <v>1</v>
      </c>
      <c r="L921" s="7">
        <v>0</v>
      </c>
      <c r="M921" s="9">
        <v>26752.560000000001</v>
      </c>
      <c r="N921" s="7">
        <v>0</v>
      </c>
    </row>
    <row r="922" spans="1:14" x14ac:dyDescent="0.25">
      <c r="A922" s="6">
        <v>921</v>
      </c>
      <c r="B922" s="7">
        <v>15797748</v>
      </c>
      <c r="C922" s="6" t="s">
        <v>456</v>
      </c>
      <c r="D922" s="7">
        <v>729</v>
      </c>
      <c r="E922" s="6" t="s">
        <v>15</v>
      </c>
      <c r="F922" s="6" t="s">
        <v>23</v>
      </c>
      <c r="G922" s="7">
        <v>44</v>
      </c>
      <c r="H922" s="7">
        <v>5</v>
      </c>
      <c r="I922" s="8">
        <v>0</v>
      </c>
      <c r="J922" s="7">
        <v>2</v>
      </c>
      <c r="K922" s="7">
        <v>0</v>
      </c>
      <c r="L922" s="7">
        <v>1</v>
      </c>
      <c r="M922" s="9">
        <v>9200.5400000000009</v>
      </c>
      <c r="N922" s="7">
        <v>0</v>
      </c>
    </row>
    <row r="923" spans="1:14" x14ac:dyDescent="0.25">
      <c r="A923" s="6">
        <v>922</v>
      </c>
      <c r="B923" s="7">
        <v>15743411</v>
      </c>
      <c r="C923" s="6" t="s">
        <v>715</v>
      </c>
      <c r="D923" s="7">
        <v>609</v>
      </c>
      <c r="E923" s="6" t="s">
        <v>18</v>
      </c>
      <c r="F923" s="6" t="s">
        <v>23</v>
      </c>
      <c r="G923" s="7">
        <v>61</v>
      </c>
      <c r="H923" s="7">
        <v>1</v>
      </c>
      <c r="I923" s="8">
        <v>0</v>
      </c>
      <c r="J923" s="7">
        <v>1</v>
      </c>
      <c r="K923" s="7">
        <v>1</v>
      </c>
      <c r="L923" s="7">
        <v>0</v>
      </c>
      <c r="M923" s="9">
        <v>22447.85</v>
      </c>
      <c r="N923" s="7">
        <v>1</v>
      </c>
    </row>
    <row r="924" spans="1:14" x14ac:dyDescent="0.25">
      <c r="A924" s="6">
        <v>923</v>
      </c>
      <c r="B924" s="7">
        <v>15753337</v>
      </c>
      <c r="C924" s="6" t="s">
        <v>716</v>
      </c>
      <c r="D924" s="7">
        <v>555</v>
      </c>
      <c r="E924" s="6" t="s">
        <v>15</v>
      </c>
      <c r="F924" s="6" t="s">
        <v>23</v>
      </c>
      <c r="G924" s="7">
        <v>51</v>
      </c>
      <c r="H924" s="7">
        <v>5</v>
      </c>
      <c r="I924" s="8">
        <v>0</v>
      </c>
      <c r="J924" s="7">
        <v>3</v>
      </c>
      <c r="K924" s="7">
        <v>1</v>
      </c>
      <c r="L924" s="7">
        <v>0</v>
      </c>
      <c r="M924" s="9">
        <v>189122.89</v>
      </c>
      <c r="N924" s="7">
        <v>1</v>
      </c>
    </row>
    <row r="925" spans="1:14" x14ac:dyDescent="0.25">
      <c r="A925" s="6">
        <v>924</v>
      </c>
      <c r="B925" s="7">
        <v>15601026</v>
      </c>
      <c r="C925" s="6" t="s">
        <v>656</v>
      </c>
      <c r="D925" s="7">
        <v>572</v>
      </c>
      <c r="E925" s="6" t="s">
        <v>26</v>
      </c>
      <c r="F925" s="6" t="s">
        <v>16</v>
      </c>
      <c r="G925" s="7">
        <v>19</v>
      </c>
      <c r="H925" s="7">
        <v>1</v>
      </c>
      <c r="I925" s="8">
        <v>138657.07999999999</v>
      </c>
      <c r="J925" s="7">
        <v>1</v>
      </c>
      <c r="K925" s="7">
        <v>1</v>
      </c>
      <c r="L925" s="7">
        <v>1</v>
      </c>
      <c r="M925" s="9">
        <v>16161.82</v>
      </c>
      <c r="N925" s="7">
        <v>0</v>
      </c>
    </row>
    <row r="926" spans="1:14" x14ac:dyDescent="0.25">
      <c r="A926" s="6">
        <v>925</v>
      </c>
      <c r="B926" s="7">
        <v>15658485</v>
      </c>
      <c r="C926" s="6" t="s">
        <v>376</v>
      </c>
      <c r="D926" s="7">
        <v>785</v>
      </c>
      <c r="E926" s="6" t="s">
        <v>15</v>
      </c>
      <c r="F926" s="6" t="s">
        <v>16</v>
      </c>
      <c r="G926" s="7">
        <v>34</v>
      </c>
      <c r="H926" s="7">
        <v>9</v>
      </c>
      <c r="I926" s="8">
        <v>70302.48</v>
      </c>
      <c r="J926" s="7">
        <v>1</v>
      </c>
      <c r="K926" s="7">
        <v>1</v>
      </c>
      <c r="L926" s="7">
        <v>1</v>
      </c>
      <c r="M926" s="9">
        <v>68600.36</v>
      </c>
      <c r="N926" s="7">
        <v>0</v>
      </c>
    </row>
    <row r="927" spans="1:14" x14ac:dyDescent="0.25">
      <c r="A927" s="6">
        <v>926</v>
      </c>
      <c r="B927" s="7">
        <v>15636731</v>
      </c>
      <c r="C927" s="6" t="s">
        <v>305</v>
      </c>
      <c r="D927" s="7">
        <v>714</v>
      </c>
      <c r="E927" s="6" t="s">
        <v>26</v>
      </c>
      <c r="F927" s="6" t="s">
        <v>16</v>
      </c>
      <c r="G927" s="7">
        <v>36</v>
      </c>
      <c r="H927" s="7">
        <v>1</v>
      </c>
      <c r="I927" s="8">
        <v>101609.01</v>
      </c>
      <c r="J927" s="7">
        <v>2</v>
      </c>
      <c r="K927" s="7">
        <v>1</v>
      </c>
      <c r="L927" s="7">
        <v>1</v>
      </c>
      <c r="M927" s="9">
        <v>447.73</v>
      </c>
      <c r="N927" s="7">
        <v>0</v>
      </c>
    </row>
    <row r="928" spans="1:14" x14ac:dyDescent="0.25">
      <c r="A928" s="6">
        <v>927</v>
      </c>
      <c r="B928" s="7">
        <v>15628303</v>
      </c>
      <c r="C928" s="6" t="s">
        <v>717</v>
      </c>
      <c r="D928" s="7">
        <v>738</v>
      </c>
      <c r="E928" s="6" t="s">
        <v>18</v>
      </c>
      <c r="F928" s="6" t="s">
        <v>23</v>
      </c>
      <c r="G928" s="7">
        <v>35</v>
      </c>
      <c r="H928" s="7">
        <v>3</v>
      </c>
      <c r="I928" s="8">
        <v>0</v>
      </c>
      <c r="J928" s="7">
        <v>1</v>
      </c>
      <c r="K928" s="7">
        <v>1</v>
      </c>
      <c r="L928" s="7">
        <v>1</v>
      </c>
      <c r="M928" s="9">
        <v>15650.73</v>
      </c>
      <c r="N928" s="7">
        <v>0</v>
      </c>
    </row>
    <row r="929" spans="1:14" x14ac:dyDescent="0.25">
      <c r="A929" s="6">
        <v>928</v>
      </c>
      <c r="B929" s="7">
        <v>15633461</v>
      </c>
      <c r="C929" s="6" t="s">
        <v>364</v>
      </c>
      <c r="D929" s="7">
        <v>639</v>
      </c>
      <c r="E929" s="6" t="s">
        <v>26</v>
      </c>
      <c r="F929" s="6" t="s">
        <v>23</v>
      </c>
      <c r="G929" s="7">
        <v>38</v>
      </c>
      <c r="H929" s="7">
        <v>5</v>
      </c>
      <c r="I929" s="8">
        <v>130170.82</v>
      </c>
      <c r="J929" s="7">
        <v>1</v>
      </c>
      <c r="K929" s="7">
        <v>1</v>
      </c>
      <c r="L929" s="7">
        <v>1</v>
      </c>
      <c r="M929" s="9">
        <v>149599.62</v>
      </c>
      <c r="N929" s="7">
        <v>0</v>
      </c>
    </row>
    <row r="930" spans="1:14" x14ac:dyDescent="0.25">
      <c r="A930" s="6">
        <v>929</v>
      </c>
      <c r="B930" s="7">
        <v>15677135</v>
      </c>
      <c r="C930" s="6" t="s">
        <v>56</v>
      </c>
      <c r="D930" s="7">
        <v>520</v>
      </c>
      <c r="E930" s="6" t="s">
        <v>26</v>
      </c>
      <c r="F930" s="6" t="s">
        <v>23</v>
      </c>
      <c r="G930" s="7">
        <v>61</v>
      </c>
      <c r="H930" s="7">
        <v>8</v>
      </c>
      <c r="I930" s="8">
        <v>133802.29</v>
      </c>
      <c r="J930" s="7">
        <v>2</v>
      </c>
      <c r="K930" s="7">
        <v>1</v>
      </c>
      <c r="L930" s="7">
        <v>1</v>
      </c>
      <c r="M930" s="9">
        <v>90304.01</v>
      </c>
      <c r="N930" s="7">
        <v>0</v>
      </c>
    </row>
    <row r="931" spans="1:14" x14ac:dyDescent="0.25">
      <c r="A931" s="6">
        <v>930</v>
      </c>
      <c r="B931" s="7">
        <v>15590876</v>
      </c>
      <c r="C931" s="6" t="s">
        <v>718</v>
      </c>
      <c r="D931" s="7">
        <v>764</v>
      </c>
      <c r="E931" s="6" t="s">
        <v>15</v>
      </c>
      <c r="F931" s="6" t="s">
        <v>16</v>
      </c>
      <c r="G931" s="7">
        <v>24</v>
      </c>
      <c r="H931" s="7">
        <v>7</v>
      </c>
      <c r="I931" s="8">
        <v>106234.02</v>
      </c>
      <c r="J931" s="7">
        <v>1</v>
      </c>
      <c r="K931" s="7">
        <v>0</v>
      </c>
      <c r="L931" s="7">
        <v>0</v>
      </c>
      <c r="M931" s="9">
        <v>115676.38</v>
      </c>
      <c r="N931" s="7">
        <v>0</v>
      </c>
    </row>
    <row r="932" spans="1:14" x14ac:dyDescent="0.25">
      <c r="A932" s="6">
        <v>931</v>
      </c>
      <c r="B932" s="7">
        <v>15790782</v>
      </c>
      <c r="C932" s="6" t="s">
        <v>719</v>
      </c>
      <c r="D932" s="7">
        <v>661</v>
      </c>
      <c r="E932" s="6" t="s">
        <v>18</v>
      </c>
      <c r="F932" s="6" t="s">
        <v>23</v>
      </c>
      <c r="G932" s="7">
        <v>39</v>
      </c>
      <c r="H932" s="7">
        <v>6</v>
      </c>
      <c r="I932" s="8">
        <v>132628.98000000001</v>
      </c>
      <c r="J932" s="7">
        <v>1</v>
      </c>
      <c r="K932" s="7">
        <v>0</v>
      </c>
      <c r="L932" s="7">
        <v>0</v>
      </c>
      <c r="M932" s="9">
        <v>38812.67</v>
      </c>
      <c r="N932" s="7">
        <v>0</v>
      </c>
    </row>
    <row r="933" spans="1:14" x14ac:dyDescent="0.25">
      <c r="A933" s="6">
        <v>932</v>
      </c>
      <c r="B933" s="7">
        <v>15700476</v>
      </c>
      <c r="C933" s="6" t="s">
        <v>613</v>
      </c>
      <c r="D933" s="7">
        <v>564</v>
      </c>
      <c r="E933" s="6" t="s">
        <v>26</v>
      </c>
      <c r="F933" s="6" t="s">
        <v>23</v>
      </c>
      <c r="G933" s="7">
        <v>41</v>
      </c>
      <c r="H933" s="7">
        <v>9</v>
      </c>
      <c r="I933" s="8">
        <v>103522.75</v>
      </c>
      <c r="J933" s="7">
        <v>2</v>
      </c>
      <c r="K933" s="7">
        <v>1</v>
      </c>
      <c r="L933" s="7">
        <v>1</v>
      </c>
      <c r="M933" s="9">
        <v>34338.21</v>
      </c>
      <c r="N933" s="7">
        <v>0</v>
      </c>
    </row>
    <row r="934" spans="1:14" x14ac:dyDescent="0.25">
      <c r="A934" s="6">
        <v>933</v>
      </c>
      <c r="B934" s="7">
        <v>15634141</v>
      </c>
      <c r="C934" s="6" t="s">
        <v>720</v>
      </c>
      <c r="D934" s="7">
        <v>708</v>
      </c>
      <c r="E934" s="6" t="s">
        <v>26</v>
      </c>
      <c r="F934" s="6" t="s">
        <v>16</v>
      </c>
      <c r="G934" s="7">
        <v>42</v>
      </c>
      <c r="H934" s="7">
        <v>8</v>
      </c>
      <c r="I934" s="8">
        <v>192390.52</v>
      </c>
      <c r="J934" s="7">
        <v>2</v>
      </c>
      <c r="K934" s="7">
        <v>1</v>
      </c>
      <c r="L934" s="7">
        <v>0</v>
      </c>
      <c r="M934" s="9">
        <v>823.36</v>
      </c>
      <c r="N934" s="7">
        <v>0</v>
      </c>
    </row>
    <row r="935" spans="1:14" x14ac:dyDescent="0.25">
      <c r="A935" s="6">
        <v>934</v>
      </c>
      <c r="B935" s="7">
        <v>15737795</v>
      </c>
      <c r="C935" s="6" t="s">
        <v>33</v>
      </c>
      <c r="D935" s="7">
        <v>512</v>
      </c>
      <c r="E935" s="6" t="s">
        <v>755</v>
      </c>
      <c r="F935" s="6" t="s">
        <v>23</v>
      </c>
      <c r="G935" s="7">
        <v>36</v>
      </c>
      <c r="H935" s="7">
        <v>1</v>
      </c>
      <c r="I935" s="8">
        <v>0</v>
      </c>
      <c r="J935" s="7">
        <v>1</v>
      </c>
      <c r="K935" s="7">
        <v>0</v>
      </c>
      <c r="L935" s="7">
        <v>1</v>
      </c>
      <c r="M935" s="9">
        <v>135482.26</v>
      </c>
      <c r="N935" s="7">
        <v>1</v>
      </c>
    </row>
    <row r="936" spans="1:14" x14ac:dyDescent="0.25">
      <c r="A936" s="6">
        <v>935</v>
      </c>
      <c r="B936" s="7">
        <v>15790299</v>
      </c>
      <c r="C936" s="6" t="s">
        <v>619</v>
      </c>
      <c r="D936" s="7">
        <v>592</v>
      </c>
      <c r="E936" s="6" t="s">
        <v>755</v>
      </c>
      <c r="F936" s="6" t="s">
        <v>23</v>
      </c>
      <c r="G936" s="7">
        <v>37</v>
      </c>
      <c r="H936" s="7">
        <v>9</v>
      </c>
      <c r="I936" s="8">
        <v>0</v>
      </c>
      <c r="J936" s="7">
        <v>3</v>
      </c>
      <c r="K936" s="7">
        <v>1</v>
      </c>
      <c r="L936" s="7">
        <v>1</v>
      </c>
      <c r="M936" s="9">
        <v>10656.89</v>
      </c>
      <c r="N936" s="7">
        <v>0</v>
      </c>
    </row>
    <row r="937" spans="1:14" x14ac:dyDescent="0.25">
      <c r="A937" s="6">
        <v>936</v>
      </c>
      <c r="B937" s="7">
        <v>15675316</v>
      </c>
      <c r="C937" s="6" t="s">
        <v>721</v>
      </c>
      <c r="D937" s="7">
        <v>619</v>
      </c>
      <c r="E937" s="6" t="s">
        <v>15</v>
      </c>
      <c r="F937" s="6" t="s">
        <v>16</v>
      </c>
      <c r="G937" s="7">
        <v>38</v>
      </c>
      <c r="H937" s="7">
        <v>3</v>
      </c>
      <c r="I937" s="8">
        <v>0</v>
      </c>
      <c r="J937" s="7">
        <v>2</v>
      </c>
      <c r="K937" s="7">
        <v>0</v>
      </c>
      <c r="L937" s="7">
        <v>1</v>
      </c>
      <c r="M937" s="9">
        <v>116467.35</v>
      </c>
      <c r="N937" s="7">
        <v>0</v>
      </c>
    </row>
    <row r="938" spans="1:14" x14ac:dyDescent="0.25">
      <c r="A938" s="6">
        <v>937</v>
      </c>
      <c r="B938" s="7">
        <v>15613630</v>
      </c>
      <c r="C938" s="6" t="s">
        <v>602</v>
      </c>
      <c r="D938" s="7">
        <v>775</v>
      </c>
      <c r="E938" s="6" t="s">
        <v>15</v>
      </c>
      <c r="F938" s="6" t="s">
        <v>23</v>
      </c>
      <c r="G938" s="7">
        <v>52</v>
      </c>
      <c r="H938" s="7">
        <v>8</v>
      </c>
      <c r="I938" s="8">
        <v>109922.61</v>
      </c>
      <c r="J938" s="7">
        <v>1</v>
      </c>
      <c r="K938" s="7">
        <v>1</v>
      </c>
      <c r="L938" s="7">
        <v>1</v>
      </c>
      <c r="M938" s="9">
        <v>96823.32</v>
      </c>
      <c r="N938" s="7">
        <v>1</v>
      </c>
    </row>
    <row r="939" spans="1:14" x14ac:dyDescent="0.25">
      <c r="A939" s="6">
        <v>938</v>
      </c>
      <c r="B939" s="7">
        <v>15662100</v>
      </c>
      <c r="C939" s="6" t="s">
        <v>722</v>
      </c>
      <c r="D939" s="7">
        <v>850</v>
      </c>
      <c r="E939" s="6" t="s">
        <v>26</v>
      </c>
      <c r="F939" s="6" t="s">
        <v>16</v>
      </c>
      <c r="G939" s="7">
        <v>44</v>
      </c>
      <c r="H939" s="7">
        <v>5</v>
      </c>
      <c r="I939" s="8">
        <v>128605.32</v>
      </c>
      <c r="J939" s="7">
        <v>1</v>
      </c>
      <c r="K939" s="7">
        <v>0</v>
      </c>
      <c r="L939" s="7">
        <v>1</v>
      </c>
      <c r="M939" s="9">
        <v>171096.2</v>
      </c>
      <c r="N939" s="7">
        <v>0</v>
      </c>
    </row>
    <row r="940" spans="1:14" x14ac:dyDescent="0.25">
      <c r="A940" s="6">
        <v>939</v>
      </c>
      <c r="B940" s="7">
        <v>15668032</v>
      </c>
      <c r="C940" s="6" t="s">
        <v>723</v>
      </c>
      <c r="D940" s="7">
        <v>577</v>
      </c>
      <c r="E940" s="6" t="s">
        <v>15</v>
      </c>
      <c r="F940" s="6" t="s">
        <v>16</v>
      </c>
      <c r="G940" s="7">
        <v>37</v>
      </c>
      <c r="H940" s="7">
        <v>4</v>
      </c>
      <c r="I940" s="8">
        <v>0</v>
      </c>
      <c r="J940" s="7">
        <v>1</v>
      </c>
      <c r="K940" s="7">
        <v>1</v>
      </c>
      <c r="L940" s="7">
        <v>1</v>
      </c>
      <c r="M940" s="9">
        <v>79881.39</v>
      </c>
      <c r="N940" s="7">
        <v>0</v>
      </c>
    </row>
    <row r="941" spans="1:14" x14ac:dyDescent="0.25">
      <c r="A941" s="6">
        <v>940</v>
      </c>
      <c r="B941" s="7">
        <v>15599289</v>
      </c>
      <c r="C941" s="6" t="s">
        <v>724</v>
      </c>
      <c r="D941" s="7">
        <v>724</v>
      </c>
      <c r="E941" s="6" t="s">
        <v>15</v>
      </c>
      <c r="F941" s="6" t="s">
        <v>16</v>
      </c>
      <c r="G941" s="7">
        <v>37</v>
      </c>
      <c r="H941" s="7">
        <v>10</v>
      </c>
      <c r="I941" s="8">
        <v>68598.559999999998</v>
      </c>
      <c r="J941" s="7">
        <v>1</v>
      </c>
      <c r="K941" s="7">
        <v>1</v>
      </c>
      <c r="L941" s="7">
        <v>0</v>
      </c>
      <c r="M941" s="9">
        <v>157862.82</v>
      </c>
      <c r="N941" s="7">
        <v>0</v>
      </c>
    </row>
    <row r="942" spans="1:14" x14ac:dyDescent="0.25">
      <c r="A942" s="6">
        <v>941</v>
      </c>
      <c r="B942" s="7">
        <v>15754084</v>
      </c>
      <c r="C942" s="6" t="s">
        <v>725</v>
      </c>
      <c r="D942" s="7">
        <v>710</v>
      </c>
      <c r="E942" s="6" t="s">
        <v>755</v>
      </c>
      <c r="F942" s="6" t="s">
        <v>23</v>
      </c>
      <c r="G942" s="7">
        <v>35</v>
      </c>
      <c r="H942" s="7">
        <v>1</v>
      </c>
      <c r="I942" s="8">
        <v>106518.52</v>
      </c>
      <c r="J942" s="7">
        <v>1</v>
      </c>
      <c r="K942" s="7">
        <v>1</v>
      </c>
      <c r="L942" s="7">
        <v>1</v>
      </c>
      <c r="M942" s="9">
        <v>127951.81</v>
      </c>
      <c r="N942" s="7">
        <v>0</v>
      </c>
    </row>
    <row r="943" spans="1:14" x14ac:dyDescent="0.25">
      <c r="A943" s="6">
        <v>942</v>
      </c>
      <c r="B943" s="7">
        <v>15676521</v>
      </c>
      <c r="C943" s="6" t="s">
        <v>726</v>
      </c>
      <c r="D943" s="7">
        <v>696</v>
      </c>
      <c r="E943" s="6" t="s">
        <v>15</v>
      </c>
      <c r="F943" s="6" t="s">
        <v>16</v>
      </c>
      <c r="G943" s="7">
        <v>31</v>
      </c>
      <c r="H943" s="7">
        <v>8</v>
      </c>
      <c r="I943" s="8">
        <v>0</v>
      </c>
      <c r="J943" s="7">
        <v>2</v>
      </c>
      <c r="K943" s="7">
        <v>0</v>
      </c>
      <c r="L943" s="7">
        <v>0</v>
      </c>
      <c r="M943" s="9">
        <v>191074.11</v>
      </c>
      <c r="N943" s="7">
        <v>0</v>
      </c>
    </row>
    <row r="944" spans="1:14" x14ac:dyDescent="0.25">
      <c r="A944" s="6">
        <v>943</v>
      </c>
      <c r="B944" s="7">
        <v>15804586</v>
      </c>
      <c r="C944" s="6" t="s">
        <v>486</v>
      </c>
      <c r="D944" s="7">
        <v>376</v>
      </c>
      <c r="E944" s="6" t="s">
        <v>15</v>
      </c>
      <c r="F944" s="6" t="s">
        <v>16</v>
      </c>
      <c r="G944" s="7">
        <v>46</v>
      </c>
      <c r="H944" s="7">
        <v>6</v>
      </c>
      <c r="I944" s="8">
        <v>0</v>
      </c>
      <c r="J944" s="7">
        <v>1</v>
      </c>
      <c r="K944" s="7">
        <v>1</v>
      </c>
      <c r="L944" s="7">
        <v>0</v>
      </c>
      <c r="M944" s="9">
        <v>157333.69</v>
      </c>
      <c r="N944" s="7">
        <v>1</v>
      </c>
    </row>
    <row r="945" spans="1:14" x14ac:dyDescent="0.25">
      <c r="A945" s="6">
        <v>944</v>
      </c>
      <c r="B945" s="7">
        <v>15781465</v>
      </c>
      <c r="C945" s="6" t="s">
        <v>727</v>
      </c>
      <c r="D945" s="7">
        <v>675</v>
      </c>
      <c r="E945" s="6" t="s">
        <v>26</v>
      </c>
      <c r="F945" s="6" t="s">
        <v>16</v>
      </c>
      <c r="G945" s="7">
        <v>29</v>
      </c>
      <c r="H945" s="7">
        <v>8</v>
      </c>
      <c r="I945" s="8">
        <v>121326.42</v>
      </c>
      <c r="J945" s="7">
        <v>1</v>
      </c>
      <c r="K945" s="7">
        <v>1</v>
      </c>
      <c r="L945" s="7">
        <v>0</v>
      </c>
      <c r="M945" s="9">
        <v>133457.51999999999</v>
      </c>
      <c r="N945" s="7">
        <v>0</v>
      </c>
    </row>
    <row r="946" spans="1:14" x14ac:dyDescent="0.25">
      <c r="A946" s="6">
        <v>945</v>
      </c>
      <c r="B946" s="7">
        <v>15729362</v>
      </c>
      <c r="C946" s="6" t="s">
        <v>499</v>
      </c>
      <c r="D946" s="7">
        <v>745</v>
      </c>
      <c r="E946" s="6" t="s">
        <v>15</v>
      </c>
      <c r="F946" s="6" t="s">
        <v>23</v>
      </c>
      <c r="G946" s="7">
        <v>36</v>
      </c>
      <c r="H946" s="7">
        <v>8</v>
      </c>
      <c r="I946" s="8">
        <v>67226.37</v>
      </c>
      <c r="J946" s="7">
        <v>1</v>
      </c>
      <c r="K946" s="7">
        <v>1</v>
      </c>
      <c r="L946" s="7">
        <v>0</v>
      </c>
      <c r="M946" s="9">
        <v>130789.6</v>
      </c>
      <c r="N946" s="7">
        <v>0</v>
      </c>
    </row>
    <row r="947" spans="1:14" x14ac:dyDescent="0.25">
      <c r="A947" s="6">
        <v>946</v>
      </c>
      <c r="B947" s="7">
        <v>15709295</v>
      </c>
      <c r="C947" s="6" t="s">
        <v>728</v>
      </c>
      <c r="D947" s="7">
        <v>697</v>
      </c>
      <c r="E947" s="6" t="s">
        <v>755</v>
      </c>
      <c r="F947" s="6" t="s">
        <v>16</v>
      </c>
      <c r="G947" s="7">
        <v>25</v>
      </c>
      <c r="H947" s="7">
        <v>5</v>
      </c>
      <c r="I947" s="8">
        <v>82931.850000000006</v>
      </c>
      <c r="J947" s="7">
        <v>2</v>
      </c>
      <c r="K947" s="7">
        <v>1</v>
      </c>
      <c r="L947" s="7">
        <v>1</v>
      </c>
      <c r="M947" s="9">
        <v>128373.88</v>
      </c>
      <c r="N947" s="7">
        <v>0</v>
      </c>
    </row>
    <row r="948" spans="1:14" x14ac:dyDescent="0.25">
      <c r="A948" s="6">
        <v>947</v>
      </c>
      <c r="B948" s="7">
        <v>15745324</v>
      </c>
      <c r="C948" s="6" t="s">
        <v>601</v>
      </c>
      <c r="D948" s="7">
        <v>599</v>
      </c>
      <c r="E948" s="6" t="s">
        <v>755</v>
      </c>
      <c r="F948" s="6" t="s">
        <v>16</v>
      </c>
      <c r="G948" s="7">
        <v>39</v>
      </c>
      <c r="H948" s="7">
        <v>4</v>
      </c>
      <c r="I948" s="8">
        <v>0</v>
      </c>
      <c r="J948" s="7">
        <v>1</v>
      </c>
      <c r="K948" s="7">
        <v>1</v>
      </c>
      <c r="L948" s="7">
        <v>0</v>
      </c>
      <c r="M948" s="9">
        <v>194273.2</v>
      </c>
      <c r="N948" s="7">
        <v>1</v>
      </c>
    </row>
    <row r="949" spans="1:14" x14ac:dyDescent="0.25">
      <c r="A949" s="6">
        <v>948</v>
      </c>
      <c r="B949" s="7">
        <v>15741336</v>
      </c>
      <c r="C949" s="6" t="s">
        <v>535</v>
      </c>
      <c r="D949" s="7">
        <v>715</v>
      </c>
      <c r="E949" s="6" t="s">
        <v>15</v>
      </c>
      <c r="F949" s="6" t="s">
        <v>16</v>
      </c>
      <c r="G949" s="7">
        <v>38</v>
      </c>
      <c r="H949" s="7">
        <v>5</v>
      </c>
      <c r="I949" s="8">
        <v>118590.41</v>
      </c>
      <c r="J949" s="7">
        <v>1</v>
      </c>
      <c r="K949" s="7">
        <v>1</v>
      </c>
      <c r="L949" s="7">
        <v>1</v>
      </c>
      <c r="M949" s="9">
        <v>5684.17</v>
      </c>
      <c r="N949" s="7">
        <v>1</v>
      </c>
    </row>
    <row r="950" spans="1:14" x14ac:dyDescent="0.25">
      <c r="A950" s="6">
        <v>949</v>
      </c>
      <c r="B950" s="7">
        <v>15783659</v>
      </c>
      <c r="C950" s="6" t="s">
        <v>729</v>
      </c>
      <c r="D950" s="7">
        <v>659</v>
      </c>
      <c r="E950" s="6" t="s">
        <v>15</v>
      </c>
      <c r="F950" s="6" t="s">
        <v>23</v>
      </c>
      <c r="G950" s="7">
        <v>67</v>
      </c>
      <c r="H950" s="7">
        <v>4</v>
      </c>
      <c r="I950" s="8">
        <v>145981.87</v>
      </c>
      <c r="J950" s="7">
        <v>1</v>
      </c>
      <c r="K950" s="7">
        <v>1</v>
      </c>
      <c r="L950" s="7">
        <v>1</v>
      </c>
      <c r="M950" s="9">
        <v>131043.2</v>
      </c>
      <c r="N950" s="7">
        <v>0</v>
      </c>
    </row>
    <row r="951" spans="1:14" x14ac:dyDescent="0.25">
      <c r="A951" s="6">
        <v>950</v>
      </c>
      <c r="B951" s="7">
        <v>15620981</v>
      </c>
      <c r="C951" s="6" t="s">
        <v>730</v>
      </c>
      <c r="D951" s="7">
        <v>684</v>
      </c>
      <c r="E951" s="6" t="s">
        <v>15</v>
      </c>
      <c r="F951" s="6" t="s">
        <v>16</v>
      </c>
      <c r="G951" s="7">
        <v>48</v>
      </c>
      <c r="H951" s="7">
        <v>3</v>
      </c>
      <c r="I951" s="8">
        <v>73309.38</v>
      </c>
      <c r="J951" s="7">
        <v>1</v>
      </c>
      <c r="K951" s="7">
        <v>0</v>
      </c>
      <c r="L951" s="7">
        <v>0</v>
      </c>
      <c r="M951" s="9">
        <v>21228.34</v>
      </c>
      <c r="N951" s="7">
        <v>1</v>
      </c>
    </row>
    <row r="952" spans="1:14" x14ac:dyDescent="0.25">
      <c r="A952" s="6">
        <v>951</v>
      </c>
      <c r="B952" s="7">
        <v>15630328</v>
      </c>
      <c r="C952" s="6" t="s">
        <v>731</v>
      </c>
      <c r="D952" s="7">
        <v>635</v>
      </c>
      <c r="E952" s="6" t="s">
        <v>15</v>
      </c>
      <c r="F952" s="6" t="s">
        <v>16</v>
      </c>
      <c r="G952" s="7">
        <v>48</v>
      </c>
      <c r="H952" s="7">
        <v>8</v>
      </c>
      <c r="I952" s="8">
        <v>130796.33</v>
      </c>
      <c r="J952" s="7">
        <v>2</v>
      </c>
      <c r="K952" s="7">
        <v>1</v>
      </c>
      <c r="L952" s="7">
        <v>1</v>
      </c>
      <c r="M952" s="9">
        <v>43250.3</v>
      </c>
      <c r="N952" s="7">
        <v>0</v>
      </c>
    </row>
    <row r="953" spans="1:14" x14ac:dyDescent="0.25">
      <c r="A953" s="6">
        <v>952</v>
      </c>
      <c r="B953" s="7">
        <v>15785899</v>
      </c>
      <c r="C953" s="6" t="s">
        <v>404</v>
      </c>
      <c r="D953" s="7">
        <v>789</v>
      </c>
      <c r="E953" s="6" t="s">
        <v>26</v>
      </c>
      <c r="F953" s="6" t="s">
        <v>23</v>
      </c>
      <c r="G953" s="7">
        <v>33</v>
      </c>
      <c r="H953" s="7">
        <v>8</v>
      </c>
      <c r="I953" s="8">
        <v>151607.56</v>
      </c>
      <c r="J953" s="7">
        <v>1</v>
      </c>
      <c r="K953" s="7">
        <v>1</v>
      </c>
      <c r="L953" s="7">
        <v>0</v>
      </c>
      <c r="M953" s="9">
        <v>4389.3999999999996</v>
      </c>
      <c r="N953" s="7">
        <v>0</v>
      </c>
    </row>
    <row r="954" spans="1:14" x14ac:dyDescent="0.25">
      <c r="A954" s="6">
        <v>953</v>
      </c>
      <c r="B954" s="7">
        <v>15606149</v>
      </c>
      <c r="C954" s="6" t="s">
        <v>178</v>
      </c>
      <c r="D954" s="7">
        <v>571</v>
      </c>
      <c r="E954" s="6" t="s">
        <v>26</v>
      </c>
      <c r="F954" s="6" t="s">
        <v>16</v>
      </c>
      <c r="G954" s="7">
        <v>66</v>
      </c>
      <c r="H954" s="7">
        <v>9</v>
      </c>
      <c r="I954" s="8">
        <v>111577.01</v>
      </c>
      <c r="J954" s="7">
        <v>1</v>
      </c>
      <c r="K954" s="7">
        <v>0</v>
      </c>
      <c r="L954" s="7">
        <v>1</v>
      </c>
      <c r="M954" s="9">
        <v>189271.9</v>
      </c>
      <c r="N954" s="7">
        <v>0</v>
      </c>
    </row>
    <row r="955" spans="1:14" x14ac:dyDescent="0.25">
      <c r="A955" s="6">
        <v>954</v>
      </c>
      <c r="B955" s="7">
        <v>15671139</v>
      </c>
      <c r="C955" s="6" t="s">
        <v>732</v>
      </c>
      <c r="D955" s="7">
        <v>694</v>
      </c>
      <c r="E955" s="6" t="s">
        <v>755</v>
      </c>
      <c r="F955" s="6" t="s">
        <v>23</v>
      </c>
      <c r="G955" s="7">
        <v>39</v>
      </c>
      <c r="H955" s="7">
        <v>0</v>
      </c>
      <c r="I955" s="8">
        <v>107042.74</v>
      </c>
      <c r="J955" s="7">
        <v>1</v>
      </c>
      <c r="K955" s="7">
        <v>1</v>
      </c>
      <c r="L955" s="7">
        <v>1</v>
      </c>
      <c r="M955" s="9">
        <v>102284.2</v>
      </c>
      <c r="N955" s="7">
        <v>0</v>
      </c>
    </row>
    <row r="956" spans="1:14" x14ac:dyDescent="0.25">
      <c r="A956" s="6">
        <v>955</v>
      </c>
      <c r="B956" s="7">
        <v>15660429</v>
      </c>
      <c r="C956" s="6" t="s">
        <v>733</v>
      </c>
      <c r="D956" s="7">
        <v>665</v>
      </c>
      <c r="E956" s="6" t="s">
        <v>755</v>
      </c>
      <c r="F956" s="6" t="s">
        <v>16</v>
      </c>
      <c r="G956" s="7">
        <v>42</v>
      </c>
      <c r="H956" s="7">
        <v>2</v>
      </c>
      <c r="I956" s="8">
        <v>156371.60999999999</v>
      </c>
      <c r="J956" s="7">
        <v>2</v>
      </c>
      <c r="K956" s="7">
        <v>0</v>
      </c>
      <c r="L956" s="7">
        <v>1</v>
      </c>
      <c r="M956" s="9">
        <v>156774.94</v>
      </c>
      <c r="N956" s="7">
        <v>1</v>
      </c>
    </row>
    <row r="957" spans="1:14" x14ac:dyDescent="0.25">
      <c r="A957" s="6">
        <v>956</v>
      </c>
      <c r="B957" s="7">
        <v>15571002</v>
      </c>
      <c r="C957" s="6" t="s">
        <v>734</v>
      </c>
      <c r="D957" s="7">
        <v>706</v>
      </c>
      <c r="E957" s="6" t="s">
        <v>15</v>
      </c>
      <c r="F957" s="6" t="s">
        <v>16</v>
      </c>
      <c r="G957" s="7">
        <v>44</v>
      </c>
      <c r="H957" s="7">
        <v>4</v>
      </c>
      <c r="I957" s="8">
        <v>129605.99</v>
      </c>
      <c r="J957" s="7">
        <v>1</v>
      </c>
      <c r="K957" s="7">
        <v>0</v>
      </c>
      <c r="L957" s="7">
        <v>0</v>
      </c>
      <c r="M957" s="9">
        <v>69865.490000000005</v>
      </c>
      <c r="N957" s="7">
        <v>0</v>
      </c>
    </row>
    <row r="958" spans="1:14" x14ac:dyDescent="0.25">
      <c r="A958" s="6">
        <v>957</v>
      </c>
      <c r="B958" s="7">
        <v>15631681</v>
      </c>
      <c r="C958" s="6" t="s">
        <v>735</v>
      </c>
      <c r="D958" s="7">
        <v>807</v>
      </c>
      <c r="E958" s="6" t="s">
        <v>755</v>
      </c>
      <c r="F958" s="6" t="s">
        <v>16</v>
      </c>
      <c r="G958" s="7">
        <v>43</v>
      </c>
      <c r="H958" s="7">
        <v>0</v>
      </c>
      <c r="I958" s="8">
        <v>0</v>
      </c>
      <c r="J958" s="7">
        <v>2</v>
      </c>
      <c r="K958" s="7">
        <v>0</v>
      </c>
      <c r="L958" s="7">
        <v>1</v>
      </c>
      <c r="M958" s="9">
        <v>85523.24</v>
      </c>
      <c r="N958" s="7">
        <v>0</v>
      </c>
    </row>
    <row r="959" spans="1:14" x14ac:dyDescent="0.25">
      <c r="A959" s="6">
        <v>958</v>
      </c>
      <c r="B959" s="7">
        <v>15731522</v>
      </c>
      <c r="C959" s="6" t="s">
        <v>616</v>
      </c>
      <c r="D959" s="7">
        <v>771</v>
      </c>
      <c r="E959" s="6" t="s">
        <v>755</v>
      </c>
      <c r="F959" s="6" t="s">
        <v>16</v>
      </c>
      <c r="G959" s="7">
        <v>67</v>
      </c>
      <c r="H959" s="7">
        <v>8</v>
      </c>
      <c r="I959" s="8">
        <v>0</v>
      </c>
      <c r="J959" s="7">
        <v>2</v>
      </c>
      <c r="K959" s="7">
        <v>1</v>
      </c>
      <c r="L959" s="7">
        <v>1</v>
      </c>
      <c r="M959" s="9">
        <v>51219.8</v>
      </c>
      <c r="N959" s="7">
        <v>0</v>
      </c>
    </row>
    <row r="960" spans="1:14" x14ac:dyDescent="0.25">
      <c r="A960" s="6">
        <v>959</v>
      </c>
      <c r="B960" s="7">
        <v>15619529</v>
      </c>
      <c r="C960" s="6" t="s">
        <v>104</v>
      </c>
      <c r="D960" s="7">
        <v>531</v>
      </c>
      <c r="E960" s="6" t="s">
        <v>755</v>
      </c>
      <c r="F960" s="6" t="s">
        <v>23</v>
      </c>
      <c r="G960" s="7">
        <v>27</v>
      </c>
      <c r="H960" s="7">
        <v>8</v>
      </c>
      <c r="I960" s="8">
        <v>132576.25</v>
      </c>
      <c r="J960" s="7">
        <v>1</v>
      </c>
      <c r="K960" s="7">
        <v>0</v>
      </c>
      <c r="L960" s="7">
        <v>0</v>
      </c>
      <c r="M960" s="9">
        <v>7222.92</v>
      </c>
      <c r="N960" s="7">
        <v>0</v>
      </c>
    </row>
    <row r="961" spans="1:14" x14ac:dyDescent="0.25">
      <c r="A961" s="6">
        <v>960</v>
      </c>
      <c r="B961" s="7">
        <v>15628034</v>
      </c>
      <c r="C961" s="6" t="s">
        <v>736</v>
      </c>
      <c r="D961" s="7">
        <v>629</v>
      </c>
      <c r="E961" s="6" t="s">
        <v>15</v>
      </c>
      <c r="F961" s="6" t="s">
        <v>16</v>
      </c>
      <c r="G961" s="7">
        <v>37</v>
      </c>
      <c r="H961" s="7">
        <v>6</v>
      </c>
      <c r="I961" s="8">
        <v>129101.3</v>
      </c>
      <c r="J961" s="7">
        <v>1</v>
      </c>
      <c r="K961" s="7">
        <v>1</v>
      </c>
      <c r="L961" s="7">
        <v>1</v>
      </c>
      <c r="M961" s="9">
        <v>23971.33</v>
      </c>
      <c r="N961" s="7">
        <v>0</v>
      </c>
    </row>
    <row r="962" spans="1:14" x14ac:dyDescent="0.25">
      <c r="A962" s="6">
        <v>961</v>
      </c>
      <c r="B962" s="7">
        <v>15686164</v>
      </c>
      <c r="C962" s="6" t="s">
        <v>44</v>
      </c>
      <c r="D962" s="7">
        <v>850</v>
      </c>
      <c r="E962" s="6" t="s">
        <v>26</v>
      </c>
      <c r="F962" s="6" t="s">
        <v>16</v>
      </c>
      <c r="G962" s="7">
        <v>31</v>
      </c>
      <c r="H962" s="7">
        <v>1</v>
      </c>
      <c r="I962" s="8">
        <v>108822.39999999999</v>
      </c>
      <c r="J962" s="7">
        <v>1</v>
      </c>
      <c r="K962" s="7">
        <v>1</v>
      </c>
      <c r="L962" s="7">
        <v>1</v>
      </c>
      <c r="M962" s="9">
        <v>132173.31</v>
      </c>
      <c r="N962" s="7">
        <v>0</v>
      </c>
    </row>
    <row r="963" spans="1:14" x14ac:dyDescent="0.25">
      <c r="A963" s="6">
        <v>962</v>
      </c>
      <c r="B963" s="7">
        <v>15582797</v>
      </c>
      <c r="C963" s="6" t="s">
        <v>262</v>
      </c>
      <c r="D963" s="7">
        <v>685</v>
      </c>
      <c r="E963" s="6" t="s">
        <v>755</v>
      </c>
      <c r="F963" s="6" t="s">
        <v>23</v>
      </c>
      <c r="G963" s="7">
        <v>35</v>
      </c>
      <c r="H963" s="7">
        <v>4</v>
      </c>
      <c r="I963" s="8">
        <v>137948.51</v>
      </c>
      <c r="J963" s="7">
        <v>1</v>
      </c>
      <c r="K963" s="7">
        <v>1</v>
      </c>
      <c r="L963" s="7">
        <v>0</v>
      </c>
      <c r="M963" s="9">
        <v>113639.64</v>
      </c>
      <c r="N963" s="7">
        <v>0</v>
      </c>
    </row>
    <row r="964" spans="1:14" x14ac:dyDescent="0.25">
      <c r="A964" s="6">
        <v>963</v>
      </c>
      <c r="B964" s="7">
        <v>15753831</v>
      </c>
      <c r="C964" s="6" t="s">
        <v>648</v>
      </c>
      <c r="D964" s="7">
        <v>642</v>
      </c>
      <c r="E964" s="6" t="s">
        <v>755</v>
      </c>
      <c r="F964" s="6" t="s">
        <v>23</v>
      </c>
      <c r="G964" s="7">
        <v>32</v>
      </c>
      <c r="H964" s="7">
        <v>7</v>
      </c>
      <c r="I964" s="8">
        <v>100433.8</v>
      </c>
      <c r="J964" s="7">
        <v>1</v>
      </c>
      <c r="K964" s="7">
        <v>1</v>
      </c>
      <c r="L964" s="7">
        <v>1</v>
      </c>
      <c r="M964" s="9">
        <v>39768.589999999997</v>
      </c>
      <c r="N964" s="7">
        <v>0</v>
      </c>
    </row>
    <row r="965" spans="1:14" x14ac:dyDescent="0.25">
      <c r="A965" s="6">
        <v>964</v>
      </c>
      <c r="B965" s="7">
        <v>15731815</v>
      </c>
      <c r="C965" s="6" t="s">
        <v>737</v>
      </c>
      <c r="D965" s="7">
        <v>529</v>
      </c>
      <c r="E965" s="6" t="s">
        <v>755</v>
      </c>
      <c r="F965" s="6" t="s">
        <v>23</v>
      </c>
      <c r="G965" s="7">
        <v>63</v>
      </c>
      <c r="H965" s="7">
        <v>4</v>
      </c>
      <c r="I965" s="8">
        <v>96134.11</v>
      </c>
      <c r="J965" s="7">
        <v>3</v>
      </c>
      <c r="K965" s="7">
        <v>1</v>
      </c>
      <c r="L965" s="7">
        <v>0</v>
      </c>
      <c r="M965" s="9">
        <v>108732.96</v>
      </c>
      <c r="N965" s="7">
        <v>1</v>
      </c>
    </row>
    <row r="966" spans="1:14" x14ac:dyDescent="0.25">
      <c r="A966" s="6">
        <v>965</v>
      </c>
      <c r="B966" s="7">
        <v>15580956</v>
      </c>
      <c r="C966" s="6" t="s">
        <v>738</v>
      </c>
      <c r="D966" s="7">
        <v>683</v>
      </c>
      <c r="E966" s="6" t="s">
        <v>26</v>
      </c>
      <c r="F966" s="6" t="s">
        <v>16</v>
      </c>
      <c r="G966" s="7">
        <v>43</v>
      </c>
      <c r="H966" s="7">
        <v>4</v>
      </c>
      <c r="I966" s="8">
        <v>115888.04</v>
      </c>
      <c r="J966" s="7">
        <v>1</v>
      </c>
      <c r="K966" s="7">
        <v>1</v>
      </c>
      <c r="L966" s="7">
        <v>1</v>
      </c>
      <c r="M966" s="9">
        <v>117349.19</v>
      </c>
      <c r="N966" s="7">
        <v>1</v>
      </c>
    </row>
    <row r="967" spans="1:14" x14ac:dyDescent="0.25">
      <c r="A967" s="6">
        <v>966</v>
      </c>
      <c r="B967" s="7">
        <v>15602084</v>
      </c>
      <c r="C967" s="6" t="s">
        <v>739</v>
      </c>
      <c r="D967" s="7">
        <v>663</v>
      </c>
      <c r="E967" s="6" t="s">
        <v>15</v>
      </c>
      <c r="F967" s="6" t="s">
        <v>16</v>
      </c>
      <c r="G967" s="7">
        <v>42</v>
      </c>
      <c r="H967" s="7">
        <v>5</v>
      </c>
      <c r="I967" s="8">
        <v>124626.07</v>
      </c>
      <c r="J967" s="7">
        <v>1</v>
      </c>
      <c r="K967" s="7">
        <v>1</v>
      </c>
      <c r="L967" s="7">
        <v>1</v>
      </c>
      <c r="M967" s="9">
        <v>78004.5</v>
      </c>
      <c r="N967" s="7">
        <v>0</v>
      </c>
    </row>
    <row r="968" spans="1:14" x14ac:dyDescent="0.25">
      <c r="A968" s="6">
        <v>967</v>
      </c>
      <c r="B968" s="7">
        <v>15589805</v>
      </c>
      <c r="C968" s="6" t="s">
        <v>740</v>
      </c>
      <c r="D968" s="7">
        <v>563</v>
      </c>
      <c r="E968" s="6" t="s">
        <v>15</v>
      </c>
      <c r="F968" s="6" t="s">
        <v>16</v>
      </c>
      <c r="G968" s="7">
        <v>34</v>
      </c>
      <c r="H968" s="7">
        <v>6</v>
      </c>
      <c r="I968" s="8">
        <v>139810.34</v>
      </c>
      <c r="J968" s="7">
        <v>1</v>
      </c>
      <c r="K968" s="7">
        <v>1</v>
      </c>
      <c r="L968" s="7">
        <v>1</v>
      </c>
      <c r="M968" s="9">
        <v>152417.79</v>
      </c>
      <c r="N968" s="7">
        <v>0</v>
      </c>
    </row>
    <row r="969" spans="1:14" x14ac:dyDescent="0.25">
      <c r="A969" s="6">
        <v>968</v>
      </c>
      <c r="B969" s="7">
        <v>15720893</v>
      </c>
      <c r="C969" s="6" t="s">
        <v>741</v>
      </c>
      <c r="D969" s="7">
        <v>637</v>
      </c>
      <c r="E969" s="6" t="s">
        <v>755</v>
      </c>
      <c r="F969" s="6" t="s">
        <v>16</v>
      </c>
      <c r="G969" s="7">
        <v>34</v>
      </c>
      <c r="H969" s="7">
        <v>9</v>
      </c>
      <c r="I969" s="8">
        <v>0</v>
      </c>
      <c r="J969" s="7">
        <v>2</v>
      </c>
      <c r="K969" s="7">
        <v>0</v>
      </c>
      <c r="L969" s="7">
        <v>0</v>
      </c>
      <c r="M969" s="9">
        <v>26057.08</v>
      </c>
      <c r="N969" s="7">
        <v>0</v>
      </c>
    </row>
    <row r="970" spans="1:14" x14ac:dyDescent="0.25">
      <c r="A970" s="6">
        <v>969</v>
      </c>
      <c r="B970" s="7">
        <v>15641009</v>
      </c>
      <c r="C970" s="6" t="s">
        <v>742</v>
      </c>
      <c r="D970" s="7">
        <v>544</v>
      </c>
      <c r="E970" s="6" t="s">
        <v>15</v>
      </c>
      <c r="F970" s="6" t="s">
        <v>23</v>
      </c>
      <c r="G970" s="7">
        <v>37</v>
      </c>
      <c r="H970" s="7">
        <v>3</v>
      </c>
      <c r="I970" s="8">
        <v>84496.71</v>
      </c>
      <c r="J970" s="7">
        <v>1</v>
      </c>
      <c r="K970" s="7">
        <v>0</v>
      </c>
      <c r="L970" s="7">
        <v>0</v>
      </c>
      <c r="M970" s="9">
        <v>79972.09</v>
      </c>
      <c r="N970" s="7">
        <v>0</v>
      </c>
    </row>
    <row r="971" spans="1:14" x14ac:dyDescent="0.25">
      <c r="A971" s="6">
        <v>970</v>
      </c>
      <c r="B971" s="7">
        <v>15605926</v>
      </c>
      <c r="C971" s="6" t="s">
        <v>743</v>
      </c>
      <c r="D971" s="7">
        <v>649</v>
      </c>
      <c r="E971" s="6" t="s">
        <v>26</v>
      </c>
      <c r="F971" s="6" t="s">
        <v>23</v>
      </c>
      <c r="G971" s="7">
        <v>70</v>
      </c>
      <c r="H971" s="7">
        <v>9</v>
      </c>
      <c r="I971" s="8">
        <v>116854.71</v>
      </c>
      <c r="J971" s="7">
        <v>2</v>
      </c>
      <c r="K971" s="7">
        <v>0</v>
      </c>
      <c r="L971" s="7">
        <v>1</v>
      </c>
      <c r="M971" s="9">
        <v>107125.79</v>
      </c>
      <c r="N971" s="7">
        <v>0</v>
      </c>
    </row>
    <row r="972" spans="1:14" x14ac:dyDescent="0.25">
      <c r="A972" s="6">
        <v>971</v>
      </c>
      <c r="B972" s="7">
        <v>15805955</v>
      </c>
      <c r="C972" s="6" t="s">
        <v>311</v>
      </c>
      <c r="D972" s="7">
        <v>638</v>
      </c>
      <c r="E972" s="6" t="s">
        <v>15</v>
      </c>
      <c r="F972" s="6" t="s">
        <v>16</v>
      </c>
      <c r="G972" s="7">
        <v>48</v>
      </c>
      <c r="H972" s="7">
        <v>10</v>
      </c>
      <c r="I972" s="8">
        <v>138333.03</v>
      </c>
      <c r="J972" s="7">
        <v>1</v>
      </c>
      <c r="K972" s="7">
        <v>1</v>
      </c>
      <c r="L972" s="7">
        <v>1</v>
      </c>
      <c r="M972" s="9">
        <v>47679.14</v>
      </c>
      <c r="N972" s="7">
        <v>0</v>
      </c>
    </row>
    <row r="973" spans="1:14" x14ac:dyDescent="0.25">
      <c r="A973" s="6">
        <v>972</v>
      </c>
      <c r="B973" s="7">
        <v>15801488</v>
      </c>
      <c r="C973" s="6" t="s">
        <v>744</v>
      </c>
      <c r="D973" s="7">
        <v>723</v>
      </c>
      <c r="E973" s="6" t="s">
        <v>15</v>
      </c>
      <c r="F973" s="6" t="s">
        <v>23</v>
      </c>
      <c r="G973" s="7">
        <v>25</v>
      </c>
      <c r="H973" s="7">
        <v>3</v>
      </c>
      <c r="I973" s="8">
        <v>0</v>
      </c>
      <c r="J973" s="7">
        <v>2</v>
      </c>
      <c r="K973" s="7">
        <v>1</v>
      </c>
      <c r="L973" s="7">
        <v>1</v>
      </c>
      <c r="M973" s="9">
        <v>134509.47</v>
      </c>
      <c r="N973" s="7">
        <v>0</v>
      </c>
    </row>
    <row r="974" spans="1:14" x14ac:dyDescent="0.25">
      <c r="A974" s="6">
        <v>973</v>
      </c>
      <c r="B974" s="7">
        <v>15605918</v>
      </c>
      <c r="C974" s="6" t="s">
        <v>745</v>
      </c>
      <c r="D974" s="7">
        <v>635</v>
      </c>
      <c r="E974" s="6" t="s">
        <v>26</v>
      </c>
      <c r="F974" s="6" t="s">
        <v>23</v>
      </c>
      <c r="G974" s="7">
        <v>43</v>
      </c>
      <c r="H974" s="7">
        <v>5</v>
      </c>
      <c r="I974" s="8">
        <v>78992.75</v>
      </c>
      <c r="J974" s="7">
        <v>2</v>
      </c>
      <c r="K974" s="7">
        <v>0</v>
      </c>
      <c r="L974" s="7">
        <v>0</v>
      </c>
      <c r="M974" s="9">
        <v>153265.31</v>
      </c>
      <c r="N974" s="7">
        <v>0</v>
      </c>
    </row>
    <row r="975" spans="1:14" x14ac:dyDescent="0.25">
      <c r="A975" s="6">
        <v>974</v>
      </c>
      <c r="B975" s="7">
        <v>15779711</v>
      </c>
      <c r="C975" s="6" t="s">
        <v>485</v>
      </c>
      <c r="D975" s="7">
        <v>750</v>
      </c>
      <c r="E975" s="6" t="s">
        <v>755</v>
      </c>
      <c r="F975" s="6" t="s">
        <v>16</v>
      </c>
      <c r="G975" s="7">
        <v>38</v>
      </c>
      <c r="H975" s="7">
        <v>7</v>
      </c>
      <c r="I975" s="8">
        <v>97257.41</v>
      </c>
      <c r="J975" s="7">
        <v>2</v>
      </c>
      <c r="K975" s="7">
        <v>0</v>
      </c>
      <c r="L975" s="7">
        <v>1</v>
      </c>
      <c r="M975" s="9">
        <v>179883.04</v>
      </c>
      <c r="N975" s="7">
        <v>0</v>
      </c>
    </row>
    <row r="976" spans="1:14" x14ac:dyDescent="0.25">
      <c r="A976" s="6">
        <v>975</v>
      </c>
      <c r="B976" s="7">
        <v>15705620</v>
      </c>
      <c r="C976" s="6" t="s">
        <v>456</v>
      </c>
      <c r="D976" s="7">
        <v>730</v>
      </c>
      <c r="E976" s="6" t="s">
        <v>15</v>
      </c>
      <c r="F976" s="6" t="s">
        <v>23</v>
      </c>
      <c r="G976" s="7">
        <v>34</v>
      </c>
      <c r="H976" s="7">
        <v>5</v>
      </c>
      <c r="I976" s="8">
        <v>122453.37</v>
      </c>
      <c r="J976" s="7">
        <v>2</v>
      </c>
      <c r="K976" s="7">
        <v>1</v>
      </c>
      <c r="L976" s="7">
        <v>0</v>
      </c>
      <c r="M976" s="9">
        <v>138882.98000000001</v>
      </c>
      <c r="N976" s="7">
        <v>0</v>
      </c>
    </row>
    <row r="977" spans="1:14" x14ac:dyDescent="0.25">
      <c r="A977" s="6">
        <v>976</v>
      </c>
      <c r="B977" s="7">
        <v>15685357</v>
      </c>
      <c r="C977" s="6" t="s">
        <v>698</v>
      </c>
      <c r="D977" s="7">
        <v>750</v>
      </c>
      <c r="E977" s="6" t="s">
        <v>755</v>
      </c>
      <c r="F977" s="6" t="s">
        <v>16</v>
      </c>
      <c r="G977" s="7">
        <v>36</v>
      </c>
      <c r="H977" s="7">
        <v>8</v>
      </c>
      <c r="I977" s="8">
        <v>112940.07</v>
      </c>
      <c r="J977" s="7">
        <v>1</v>
      </c>
      <c r="K977" s="7">
        <v>0</v>
      </c>
      <c r="L977" s="7">
        <v>1</v>
      </c>
      <c r="M977" s="9">
        <v>9855.81</v>
      </c>
      <c r="N977" s="7">
        <v>0</v>
      </c>
    </row>
    <row r="978" spans="1:14" x14ac:dyDescent="0.25">
      <c r="A978" s="6">
        <v>977</v>
      </c>
      <c r="B978" s="7">
        <v>15570060</v>
      </c>
      <c r="C978" s="6" t="s">
        <v>746</v>
      </c>
      <c r="D978" s="7"/>
      <c r="E978" s="6" t="s">
        <v>15</v>
      </c>
      <c r="F978" s="6" t="s">
        <v>16</v>
      </c>
      <c r="G978" s="7">
        <v>43</v>
      </c>
      <c r="H978" s="7">
        <v>8</v>
      </c>
      <c r="I978" s="8">
        <v>132558.26</v>
      </c>
      <c r="J978" s="7">
        <v>1</v>
      </c>
      <c r="K978" s="7">
        <v>1</v>
      </c>
      <c r="L978" s="7">
        <v>0</v>
      </c>
      <c r="M978" s="9">
        <v>67046.83</v>
      </c>
      <c r="N978" s="7">
        <v>1</v>
      </c>
    </row>
    <row r="979" spans="1:14" x14ac:dyDescent="0.25">
      <c r="A979" s="6">
        <v>978</v>
      </c>
      <c r="B979" s="7">
        <v>15582616</v>
      </c>
      <c r="C979" s="6" t="s">
        <v>726</v>
      </c>
      <c r="D979" s="7">
        <v>520</v>
      </c>
      <c r="E979" s="6" t="s">
        <v>15</v>
      </c>
      <c r="F979" s="6" t="s">
        <v>16</v>
      </c>
      <c r="G979" s="7">
        <v>38</v>
      </c>
      <c r="H979" s="7">
        <v>4</v>
      </c>
      <c r="I979" s="8">
        <v>0</v>
      </c>
      <c r="J979" s="7">
        <v>2</v>
      </c>
      <c r="K979" s="7">
        <v>1</v>
      </c>
      <c r="L979" s="7">
        <v>0</v>
      </c>
      <c r="M979" s="9">
        <v>56388.63</v>
      </c>
      <c r="N979" s="7">
        <v>0</v>
      </c>
    </row>
    <row r="980" spans="1:14" x14ac:dyDescent="0.25">
      <c r="A980" s="6">
        <v>979</v>
      </c>
      <c r="B980" s="7">
        <v>15799515</v>
      </c>
      <c r="C980" s="6" t="s">
        <v>171</v>
      </c>
      <c r="D980" s="7">
        <v>652</v>
      </c>
      <c r="E980" s="6" t="s">
        <v>15</v>
      </c>
      <c r="F980" s="6" t="s">
        <v>16</v>
      </c>
      <c r="G980" s="7">
        <v>48</v>
      </c>
      <c r="H980" s="7">
        <v>8</v>
      </c>
      <c r="I980" s="8">
        <v>133297.24</v>
      </c>
      <c r="J980" s="7">
        <v>1</v>
      </c>
      <c r="K980" s="7">
        <v>1</v>
      </c>
      <c r="L980" s="7">
        <v>0</v>
      </c>
      <c r="M980" s="9">
        <v>77764.37</v>
      </c>
      <c r="N980" s="7">
        <v>0</v>
      </c>
    </row>
    <row r="981" spans="1:14" x14ac:dyDescent="0.25">
      <c r="A981" s="6">
        <v>980</v>
      </c>
      <c r="B981" s="7">
        <v>15642937</v>
      </c>
      <c r="C981" s="6" t="s">
        <v>745</v>
      </c>
      <c r="D981" s="7">
        <v>550</v>
      </c>
      <c r="E981" s="6" t="s">
        <v>15</v>
      </c>
      <c r="F981" s="6" t="s">
        <v>16</v>
      </c>
      <c r="G981" s="7">
        <v>46</v>
      </c>
      <c r="H981" s="7">
        <v>7</v>
      </c>
      <c r="I981" s="8">
        <v>0</v>
      </c>
      <c r="J981" s="7">
        <v>2</v>
      </c>
      <c r="K981" s="7">
        <v>1</v>
      </c>
      <c r="L981" s="7">
        <v>0</v>
      </c>
      <c r="M981" s="9">
        <v>130590.35</v>
      </c>
      <c r="N981" s="7">
        <v>0</v>
      </c>
    </row>
    <row r="982" spans="1:14" x14ac:dyDescent="0.25">
      <c r="A982" s="6">
        <v>981</v>
      </c>
      <c r="B982" s="7">
        <v>15624729</v>
      </c>
      <c r="C982" s="6" t="s">
        <v>75</v>
      </c>
      <c r="D982" s="7">
        <v>594</v>
      </c>
      <c r="E982" s="6" t="s">
        <v>15</v>
      </c>
      <c r="F982" s="6" t="s">
        <v>23</v>
      </c>
      <c r="G982" s="7">
        <v>27</v>
      </c>
      <c r="H982" s="7">
        <v>0</v>
      </c>
      <c r="I982" s="8">
        <v>197041.8</v>
      </c>
      <c r="J982" s="7">
        <v>1</v>
      </c>
      <c r="K982" s="7">
        <v>0</v>
      </c>
      <c r="L982" s="7">
        <v>0</v>
      </c>
      <c r="M982" s="9">
        <v>151912.49</v>
      </c>
      <c r="N982" s="7">
        <v>0</v>
      </c>
    </row>
    <row r="983" spans="1:14" x14ac:dyDescent="0.25">
      <c r="A983" s="6">
        <v>982</v>
      </c>
      <c r="B983" s="7">
        <v>15566156</v>
      </c>
      <c r="C983" s="6" t="s">
        <v>369</v>
      </c>
      <c r="D983" s="7">
        <v>749</v>
      </c>
      <c r="E983" s="6" t="s">
        <v>26</v>
      </c>
      <c r="F983" s="6" t="s">
        <v>16</v>
      </c>
      <c r="G983" s="7">
        <v>44</v>
      </c>
      <c r="H983" s="7">
        <v>0</v>
      </c>
      <c r="I983" s="8">
        <v>71497.789999999994</v>
      </c>
      <c r="J983" s="7">
        <v>2</v>
      </c>
      <c r="K983" s="7">
        <v>0</v>
      </c>
      <c r="L983" s="7">
        <v>0</v>
      </c>
      <c r="M983" s="9">
        <v>151083.79999999999</v>
      </c>
      <c r="N983" s="7">
        <v>0</v>
      </c>
    </row>
    <row r="984" spans="1:14" x14ac:dyDescent="0.25">
      <c r="A984" s="6">
        <v>983</v>
      </c>
      <c r="B984" s="7">
        <v>15792360</v>
      </c>
      <c r="C984" s="6" t="s">
        <v>80</v>
      </c>
      <c r="D984" s="7">
        <v>668</v>
      </c>
      <c r="E984" s="6" t="s">
        <v>15</v>
      </c>
      <c r="F984" s="6" t="s">
        <v>23</v>
      </c>
      <c r="G984" s="7">
        <v>32</v>
      </c>
      <c r="H984" s="7">
        <v>7</v>
      </c>
      <c r="I984" s="8">
        <v>0</v>
      </c>
      <c r="J984" s="7">
        <v>2</v>
      </c>
      <c r="K984" s="7">
        <v>1</v>
      </c>
      <c r="L984" s="7">
        <v>1</v>
      </c>
      <c r="M984" s="9">
        <v>777.37</v>
      </c>
      <c r="N984" s="7">
        <v>0</v>
      </c>
    </row>
    <row r="985" spans="1:14" x14ac:dyDescent="0.25">
      <c r="A985" s="6">
        <v>984</v>
      </c>
      <c r="B985" s="7">
        <v>15807008</v>
      </c>
      <c r="C985" s="6" t="s">
        <v>679</v>
      </c>
      <c r="D985" s="7">
        <v>614</v>
      </c>
      <c r="E985" s="6" t="s">
        <v>26</v>
      </c>
      <c r="F985" s="6" t="s">
        <v>16</v>
      </c>
      <c r="G985" s="7">
        <v>35</v>
      </c>
      <c r="H985" s="7">
        <v>6</v>
      </c>
      <c r="I985" s="8">
        <v>128100.28</v>
      </c>
      <c r="J985" s="7">
        <v>1</v>
      </c>
      <c r="K985" s="7">
        <v>0</v>
      </c>
      <c r="L985" s="7">
        <v>0</v>
      </c>
      <c r="M985" s="9">
        <v>69454.240000000005</v>
      </c>
      <c r="N985" s="7">
        <v>1</v>
      </c>
    </row>
    <row r="986" spans="1:14" x14ac:dyDescent="0.25">
      <c r="A986" s="6">
        <v>985</v>
      </c>
      <c r="B986" s="7">
        <v>15704770</v>
      </c>
      <c r="C986" s="6" t="s">
        <v>747</v>
      </c>
      <c r="D986" s="7">
        <v>773</v>
      </c>
      <c r="E986" s="6" t="s">
        <v>15</v>
      </c>
      <c r="F986" s="6" t="s">
        <v>23</v>
      </c>
      <c r="G986" s="7">
        <v>25</v>
      </c>
      <c r="H986" s="7">
        <v>1</v>
      </c>
      <c r="I986" s="8">
        <v>124532.78</v>
      </c>
      <c r="J986" s="7">
        <v>2</v>
      </c>
      <c r="K986" s="7">
        <v>0</v>
      </c>
      <c r="L986" s="7">
        <v>1</v>
      </c>
      <c r="M986" s="9">
        <v>11723.57</v>
      </c>
      <c r="N986" s="7">
        <v>0</v>
      </c>
    </row>
    <row r="987" spans="1:14" x14ac:dyDescent="0.25">
      <c r="A987" s="6">
        <v>986</v>
      </c>
      <c r="B987" s="7">
        <v>15756475</v>
      </c>
      <c r="C987" s="6" t="s">
        <v>748</v>
      </c>
      <c r="D987" s="7">
        <v>551</v>
      </c>
      <c r="E987" s="6" t="s">
        <v>26</v>
      </c>
      <c r="F987" s="6" t="s">
        <v>23</v>
      </c>
      <c r="G987" s="7">
        <v>31</v>
      </c>
      <c r="H987" s="7">
        <v>9</v>
      </c>
      <c r="I987" s="8">
        <v>82293.820000000007</v>
      </c>
      <c r="J987" s="7">
        <v>2</v>
      </c>
      <c r="K987" s="7">
        <v>1</v>
      </c>
      <c r="L987" s="7">
        <v>1</v>
      </c>
      <c r="M987" s="9">
        <v>91565.25</v>
      </c>
      <c r="N987" s="7">
        <v>0</v>
      </c>
    </row>
    <row r="988" spans="1:14" x14ac:dyDescent="0.25">
      <c r="A988" s="6">
        <v>987</v>
      </c>
      <c r="B988" s="7">
        <v>15655339</v>
      </c>
      <c r="C988" s="6" t="s">
        <v>749</v>
      </c>
      <c r="D988" s="7">
        <v>566</v>
      </c>
      <c r="E988" s="6" t="s">
        <v>15</v>
      </c>
      <c r="F988" s="6" t="s">
        <v>23</v>
      </c>
      <c r="G988" s="7">
        <v>36</v>
      </c>
      <c r="H988" s="7">
        <v>1</v>
      </c>
      <c r="I988" s="8">
        <v>142120.91</v>
      </c>
      <c r="J988" s="7">
        <v>1</v>
      </c>
      <c r="K988" s="7">
        <v>1</v>
      </c>
      <c r="L988" s="7">
        <v>0</v>
      </c>
      <c r="M988" s="9">
        <v>79616.37</v>
      </c>
      <c r="N988" s="7">
        <v>0</v>
      </c>
    </row>
    <row r="989" spans="1:14" x14ac:dyDescent="0.25">
      <c r="A989" s="6">
        <v>988</v>
      </c>
      <c r="B989" s="7">
        <v>15613749</v>
      </c>
      <c r="C989" s="6" t="s">
        <v>750</v>
      </c>
      <c r="D989" s="7">
        <v>569</v>
      </c>
      <c r="E989" s="6" t="s">
        <v>755</v>
      </c>
      <c r="F989" s="6" t="s">
        <v>23</v>
      </c>
      <c r="G989" s="7">
        <v>34</v>
      </c>
      <c r="H989" s="7">
        <v>0</v>
      </c>
      <c r="I989" s="8">
        <v>151839.26</v>
      </c>
      <c r="J989" s="7">
        <v>1</v>
      </c>
      <c r="K989" s="7">
        <v>1</v>
      </c>
      <c r="L989" s="7">
        <v>0</v>
      </c>
      <c r="M989" s="9">
        <v>102299.81</v>
      </c>
      <c r="N989" s="7">
        <v>1</v>
      </c>
    </row>
    <row r="990" spans="1:14" x14ac:dyDescent="0.25">
      <c r="A990" s="6">
        <v>989</v>
      </c>
      <c r="B990" s="7">
        <v>15664521</v>
      </c>
      <c r="C990" s="6" t="s">
        <v>751</v>
      </c>
      <c r="D990" s="7">
        <v>659</v>
      </c>
      <c r="E990" s="6" t="s">
        <v>755</v>
      </c>
      <c r="F990" s="6" t="s">
        <v>23</v>
      </c>
      <c r="G990" s="7">
        <v>31</v>
      </c>
      <c r="H990" s="7">
        <v>7</v>
      </c>
      <c r="I990" s="8">
        <v>149620.88</v>
      </c>
      <c r="J990" s="7">
        <v>2</v>
      </c>
      <c r="K990" s="7">
        <v>1</v>
      </c>
      <c r="L990" s="7">
        <v>1</v>
      </c>
      <c r="M990" s="9">
        <v>104533.51</v>
      </c>
      <c r="N990" s="7">
        <v>0</v>
      </c>
    </row>
    <row r="991" spans="1:14" x14ac:dyDescent="0.25">
      <c r="A991" s="6">
        <v>990</v>
      </c>
      <c r="B991" s="7">
        <v>15681206</v>
      </c>
      <c r="C991" s="6" t="s">
        <v>752</v>
      </c>
      <c r="D991" s="7">
        <v>722</v>
      </c>
      <c r="E991" s="6" t="s">
        <v>15</v>
      </c>
      <c r="F991" s="6" t="s">
        <v>16</v>
      </c>
      <c r="G991" s="7">
        <v>49</v>
      </c>
      <c r="H991" s="7">
        <v>3</v>
      </c>
      <c r="I991" s="8">
        <v>168197.66</v>
      </c>
      <c r="J991" s="7">
        <v>1</v>
      </c>
      <c r="K991" s="7">
        <v>1</v>
      </c>
      <c r="L991" s="7">
        <v>0</v>
      </c>
      <c r="M991" s="9">
        <v>140765.57</v>
      </c>
      <c r="N991" s="7">
        <v>1</v>
      </c>
    </row>
    <row r="992" spans="1:14" x14ac:dyDescent="0.25">
      <c r="A992" s="6">
        <v>991</v>
      </c>
      <c r="B992" s="7">
        <v>15745527</v>
      </c>
      <c r="C992" s="6" t="s">
        <v>506</v>
      </c>
      <c r="D992" s="7">
        <v>655</v>
      </c>
      <c r="E992" s="6" t="s">
        <v>15</v>
      </c>
      <c r="F992" s="6" t="s">
        <v>23</v>
      </c>
      <c r="G992" s="7">
        <v>37</v>
      </c>
      <c r="H992" s="7">
        <v>5</v>
      </c>
      <c r="I992" s="8">
        <v>93147</v>
      </c>
      <c r="J992" s="7">
        <v>2</v>
      </c>
      <c r="K992" s="7">
        <v>1</v>
      </c>
      <c r="L992" s="7">
        <v>0</v>
      </c>
      <c r="M992" s="9">
        <v>66214.13</v>
      </c>
      <c r="N992" s="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C9C42-468B-44D7-A562-1AD52C8CF194}">
  <sheetPr>
    <tabColor rgb="FFFFC000"/>
  </sheetPr>
  <dimension ref="A1:D16387"/>
  <sheetViews>
    <sheetView workbookViewId="0">
      <selection activeCell="G15" sqref="G15"/>
    </sheetView>
  </sheetViews>
  <sheetFormatPr defaultRowHeight="15" x14ac:dyDescent="0.25"/>
  <cols>
    <col min="1" max="1" width="23.7109375" customWidth="1"/>
    <col min="2" max="3" width="57.5703125" customWidth="1"/>
    <col min="4" max="4" width="40.140625" customWidth="1"/>
  </cols>
  <sheetData>
    <row r="1" spans="1:4" ht="63.75" customHeight="1" thickBot="1" x14ac:dyDescent="0.3">
      <c r="A1" s="85" t="s">
        <v>759</v>
      </c>
      <c r="B1" s="86"/>
      <c r="C1" s="86"/>
      <c r="D1" s="87"/>
    </row>
    <row r="2" spans="1:4" ht="15.75" thickBot="1" x14ac:dyDescent="0.3"/>
    <row r="3" spans="1:4" ht="41.25" customHeight="1" thickBot="1" x14ac:dyDescent="0.3">
      <c r="A3" s="12" t="s">
        <v>763</v>
      </c>
      <c r="B3" s="15" t="s">
        <v>760</v>
      </c>
      <c r="C3" s="13" t="s">
        <v>761</v>
      </c>
      <c r="D3" s="14" t="s">
        <v>762</v>
      </c>
    </row>
    <row r="4" spans="1:4" x14ac:dyDescent="0.25">
      <c r="A4" s="19" t="s">
        <v>0</v>
      </c>
      <c r="B4" s="18"/>
      <c r="C4" s="18"/>
      <c r="D4" s="20"/>
    </row>
    <row r="5" spans="1:4" x14ac:dyDescent="0.25">
      <c r="A5" s="21" t="s">
        <v>1</v>
      </c>
      <c r="B5" s="17"/>
      <c r="C5" s="17"/>
      <c r="D5" s="22"/>
    </row>
    <row r="6" spans="1:4" ht="30" x14ac:dyDescent="0.25">
      <c r="A6" s="23" t="s">
        <v>2</v>
      </c>
      <c r="B6" s="17" t="s">
        <v>764</v>
      </c>
      <c r="C6" s="17"/>
      <c r="D6" s="22" t="s">
        <v>769</v>
      </c>
    </row>
    <row r="7" spans="1:4" ht="30" x14ac:dyDescent="0.25">
      <c r="A7" s="21" t="s">
        <v>3</v>
      </c>
      <c r="B7" s="17" t="s">
        <v>765</v>
      </c>
      <c r="C7" s="17"/>
      <c r="D7" s="22" t="s">
        <v>770</v>
      </c>
    </row>
    <row r="8" spans="1:4" ht="30" x14ac:dyDescent="0.25">
      <c r="A8" s="23" t="s">
        <v>4</v>
      </c>
      <c r="B8" s="17"/>
      <c r="C8" s="17" t="s">
        <v>767</v>
      </c>
      <c r="D8" s="22" t="s">
        <v>773</v>
      </c>
    </row>
    <row r="9" spans="1:4" ht="60" x14ac:dyDescent="0.25">
      <c r="A9" s="23" t="s">
        <v>5</v>
      </c>
      <c r="B9" s="17" t="s">
        <v>764</v>
      </c>
      <c r="C9" s="17" t="s">
        <v>768</v>
      </c>
      <c r="D9" s="22" t="s">
        <v>774</v>
      </c>
    </row>
    <row r="10" spans="1:4" ht="75" x14ac:dyDescent="0.25">
      <c r="A10" s="21" t="s">
        <v>6</v>
      </c>
      <c r="B10" s="17" t="s">
        <v>764</v>
      </c>
      <c r="C10" s="17" t="s">
        <v>766</v>
      </c>
      <c r="D10" s="22" t="s">
        <v>772</v>
      </c>
    </row>
    <row r="11" spans="1:4" x14ac:dyDescent="0.25">
      <c r="A11" s="21" t="s">
        <v>7</v>
      </c>
      <c r="B11" s="17"/>
      <c r="C11" s="17"/>
      <c r="D11" s="22"/>
    </row>
    <row r="12" spans="1:4" x14ac:dyDescent="0.25">
      <c r="A12" s="24" t="s">
        <v>8</v>
      </c>
      <c r="B12" s="17"/>
      <c r="C12" s="17"/>
      <c r="D12" s="22"/>
    </row>
    <row r="13" spans="1:4" x14ac:dyDescent="0.25">
      <c r="A13" s="21" t="s">
        <v>9</v>
      </c>
      <c r="B13" s="17"/>
      <c r="C13" s="17"/>
      <c r="D13" s="22"/>
    </row>
    <row r="14" spans="1:4" x14ac:dyDescent="0.25">
      <c r="A14" s="21" t="s">
        <v>10</v>
      </c>
      <c r="B14" s="17"/>
      <c r="C14" s="17"/>
      <c r="D14" s="22"/>
    </row>
    <row r="15" spans="1:4" x14ac:dyDescent="0.25">
      <c r="A15" s="21" t="s">
        <v>11</v>
      </c>
      <c r="B15" s="17"/>
      <c r="C15" s="17"/>
      <c r="D15" s="22"/>
    </row>
    <row r="16" spans="1:4" ht="30" x14ac:dyDescent="0.25">
      <c r="A16" s="23" t="s">
        <v>12</v>
      </c>
      <c r="B16" s="17" t="s">
        <v>764</v>
      </c>
      <c r="C16" s="17"/>
      <c r="D16" s="22" t="s">
        <v>771</v>
      </c>
    </row>
    <row r="17" spans="1:4" ht="15.75" thickBot="1" x14ac:dyDescent="0.3">
      <c r="A17" s="25" t="s">
        <v>13</v>
      </c>
      <c r="B17" s="26"/>
      <c r="C17" s="26"/>
      <c r="D17" s="27"/>
    </row>
    <row r="18" spans="1:4" x14ac:dyDescent="0.25">
      <c r="A18" s="16"/>
    </row>
    <row r="19" spans="1:4" x14ac:dyDescent="0.25">
      <c r="A19" s="16"/>
    </row>
    <row r="20" spans="1:4" x14ac:dyDescent="0.25">
      <c r="A20" s="16"/>
    </row>
    <row r="21" spans="1:4" x14ac:dyDescent="0.25">
      <c r="A21" s="16"/>
    </row>
    <row r="22" spans="1:4" x14ac:dyDescent="0.25">
      <c r="A22" s="16"/>
    </row>
    <row r="23" spans="1:4" x14ac:dyDescent="0.25">
      <c r="A23" s="16"/>
    </row>
    <row r="24" spans="1:4" x14ac:dyDescent="0.25">
      <c r="A24" s="16"/>
    </row>
    <row r="25" spans="1:4" x14ac:dyDescent="0.25">
      <c r="A25" s="16"/>
    </row>
    <row r="26" spans="1:4" x14ac:dyDescent="0.25">
      <c r="A26" s="16"/>
    </row>
    <row r="27" spans="1:4" x14ac:dyDescent="0.25">
      <c r="A27" s="16"/>
    </row>
    <row r="28" spans="1:4" x14ac:dyDescent="0.25">
      <c r="A28" s="16"/>
    </row>
    <row r="29" spans="1:4" x14ac:dyDescent="0.25">
      <c r="A29" s="16"/>
    </row>
    <row r="30" spans="1:4" x14ac:dyDescent="0.25">
      <c r="A30" s="16"/>
    </row>
    <row r="31" spans="1:4" x14ac:dyDescent="0.25">
      <c r="A31" s="16"/>
    </row>
    <row r="32" spans="1:4" x14ac:dyDescent="0.25">
      <c r="A32" s="16"/>
    </row>
    <row r="33" spans="1:1" x14ac:dyDescent="0.25">
      <c r="A33" s="16"/>
    </row>
    <row r="34" spans="1:1" x14ac:dyDescent="0.25">
      <c r="A34" s="16"/>
    </row>
    <row r="35" spans="1:1" x14ac:dyDescent="0.25">
      <c r="A35" s="16"/>
    </row>
    <row r="36" spans="1:1" x14ac:dyDescent="0.25">
      <c r="A36" s="16"/>
    </row>
    <row r="37" spans="1:1" x14ac:dyDescent="0.25">
      <c r="A37" s="16"/>
    </row>
    <row r="38" spans="1:1" x14ac:dyDescent="0.25">
      <c r="A38" s="16"/>
    </row>
    <row r="39" spans="1:1" x14ac:dyDescent="0.25">
      <c r="A39" s="16"/>
    </row>
    <row r="40" spans="1:1" x14ac:dyDescent="0.25">
      <c r="A40" s="16"/>
    </row>
    <row r="41" spans="1:1" x14ac:dyDescent="0.25">
      <c r="A41" s="16"/>
    </row>
    <row r="42" spans="1:1" x14ac:dyDescent="0.25">
      <c r="A42" s="16"/>
    </row>
    <row r="43" spans="1:1" x14ac:dyDescent="0.25">
      <c r="A43" s="16"/>
    </row>
    <row r="44" spans="1:1" x14ac:dyDescent="0.25">
      <c r="A44" s="16"/>
    </row>
    <row r="45" spans="1:1" x14ac:dyDescent="0.25">
      <c r="A45" s="16"/>
    </row>
    <row r="46" spans="1:1" x14ac:dyDescent="0.25">
      <c r="A46" s="16"/>
    </row>
    <row r="47" spans="1:1" x14ac:dyDescent="0.25">
      <c r="A47" s="16"/>
    </row>
    <row r="48" spans="1:1" x14ac:dyDescent="0.25">
      <c r="A48" s="16"/>
    </row>
    <row r="49" spans="1:1" x14ac:dyDescent="0.25">
      <c r="A49" s="16"/>
    </row>
    <row r="50" spans="1:1" x14ac:dyDescent="0.25">
      <c r="A50" s="16"/>
    </row>
    <row r="51" spans="1:1" x14ac:dyDescent="0.25">
      <c r="A51" s="16"/>
    </row>
    <row r="52" spans="1:1" x14ac:dyDescent="0.25">
      <c r="A52" s="16"/>
    </row>
    <row r="53" spans="1:1" x14ac:dyDescent="0.25">
      <c r="A53" s="16"/>
    </row>
    <row r="54" spans="1:1" x14ac:dyDescent="0.25">
      <c r="A54" s="16"/>
    </row>
    <row r="55" spans="1:1" x14ac:dyDescent="0.25">
      <c r="A55" s="16"/>
    </row>
    <row r="56" spans="1:1" x14ac:dyDescent="0.25">
      <c r="A56" s="16"/>
    </row>
    <row r="57" spans="1:1" x14ac:dyDescent="0.25">
      <c r="A57" s="16"/>
    </row>
    <row r="58" spans="1:1" x14ac:dyDescent="0.25">
      <c r="A58" s="16"/>
    </row>
    <row r="59" spans="1:1" x14ac:dyDescent="0.25">
      <c r="A59" s="16"/>
    </row>
    <row r="60" spans="1:1" x14ac:dyDescent="0.25">
      <c r="A60" s="16"/>
    </row>
    <row r="61" spans="1:1" x14ac:dyDescent="0.25">
      <c r="A61" s="16"/>
    </row>
    <row r="62" spans="1:1" x14ac:dyDescent="0.25">
      <c r="A62" s="16"/>
    </row>
    <row r="63" spans="1:1" x14ac:dyDescent="0.25">
      <c r="A63" s="16"/>
    </row>
    <row r="64" spans="1:1" x14ac:dyDescent="0.25">
      <c r="A64" s="16"/>
    </row>
    <row r="65" spans="1:1" x14ac:dyDescent="0.25">
      <c r="A65" s="16"/>
    </row>
    <row r="66" spans="1:1" x14ac:dyDescent="0.25">
      <c r="A66" s="16"/>
    </row>
    <row r="67" spans="1:1" x14ac:dyDescent="0.25">
      <c r="A67" s="16"/>
    </row>
    <row r="68" spans="1:1" x14ac:dyDescent="0.25">
      <c r="A68" s="16"/>
    </row>
    <row r="69" spans="1:1" x14ac:dyDescent="0.25">
      <c r="A69" s="16"/>
    </row>
    <row r="70" spans="1:1" x14ac:dyDescent="0.25">
      <c r="A70" s="16"/>
    </row>
    <row r="71" spans="1:1" x14ac:dyDescent="0.25">
      <c r="A71" s="16"/>
    </row>
    <row r="72" spans="1:1" x14ac:dyDescent="0.25">
      <c r="A72" s="16"/>
    </row>
    <row r="73" spans="1:1" x14ac:dyDescent="0.25">
      <c r="A73" s="16"/>
    </row>
    <row r="74" spans="1:1" x14ac:dyDescent="0.25">
      <c r="A74" s="16"/>
    </row>
    <row r="75" spans="1:1" x14ac:dyDescent="0.25">
      <c r="A75" s="16"/>
    </row>
    <row r="76" spans="1:1" x14ac:dyDescent="0.25">
      <c r="A76" s="16"/>
    </row>
    <row r="77" spans="1:1" x14ac:dyDescent="0.25">
      <c r="A77" s="16"/>
    </row>
    <row r="78" spans="1:1" x14ac:dyDescent="0.25">
      <c r="A78" s="16"/>
    </row>
    <row r="79" spans="1:1" x14ac:dyDescent="0.25">
      <c r="A79" s="16"/>
    </row>
    <row r="80" spans="1:1" x14ac:dyDescent="0.25">
      <c r="A80" s="16"/>
    </row>
    <row r="81" spans="1:1" x14ac:dyDescent="0.25">
      <c r="A81" s="16"/>
    </row>
    <row r="82" spans="1:1" x14ac:dyDescent="0.25">
      <c r="A82" s="16"/>
    </row>
    <row r="83" spans="1:1" x14ac:dyDescent="0.25">
      <c r="A83" s="16"/>
    </row>
    <row r="84" spans="1:1" x14ac:dyDescent="0.25">
      <c r="A84" s="16"/>
    </row>
    <row r="85" spans="1:1" x14ac:dyDescent="0.25">
      <c r="A85" s="16"/>
    </row>
    <row r="86" spans="1:1" x14ac:dyDescent="0.25">
      <c r="A86" s="16"/>
    </row>
    <row r="87" spans="1:1" x14ac:dyDescent="0.25">
      <c r="A87" s="16"/>
    </row>
    <row r="88" spans="1:1" x14ac:dyDescent="0.25">
      <c r="A88" s="16"/>
    </row>
    <row r="89" spans="1:1" x14ac:dyDescent="0.25">
      <c r="A89" s="16"/>
    </row>
    <row r="90" spans="1:1" x14ac:dyDescent="0.25">
      <c r="A90" s="16"/>
    </row>
    <row r="91" spans="1:1" x14ac:dyDescent="0.25">
      <c r="A91" s="16"/>
    </row>
    <row r="92" spans="1:1" x14ac:dyDescent="0.25">
      <c r="A92" s="16"/>
    </row>
    <row r="93" spans="1:1" x14ac:dyDescent="0.25">
      <c r="A93" s="16"/>
    </row>
    <row r="94" spans="1:1" x14ac:dyDescent="0.25">
      <c r="A94" s="16"/>
    </row>
    <row r="95" spans="1:1" x14ac:dyDescent="0.25">
      <c r="A95" s="16"/>
    </row>
    <row r="96" spans="1:1" x14ac:dyDescent="0.25">
      <c r="A96" s="16"/>
    </row>
    <row r="97" spans="1:1" x14ac:dyDescent="0.25">
      <c r="A97" s="16"/>
    </row>
    <row r="98" spans="1:1" x14ac:dyDescent="0.25">
      <c r="A98" s="16"/>
    </row>
    <row r="99" spans="1:1" x14ac:dyDescent="0.25">
      <c r="A99" s="16"/>
    </row>
    <row r="100" spans="1:1" x14ac:dyDescent="0.25">
      <c r="A100" s="16"/>
    </row>
    <row r="101" spans="1:1" x14ac:dyDescent="0.25">
      <c r="A101" s="16"/>
    </row>
    <row r="102" spans="1:1" x14ac:dyDescent="0.25">
      <c r="A102" s="16"/>
    </row>
    <row r="103" spans="1:1" x14ac:dyDescent="0.25">
      <c r="A103" s="16"/>
    </row>
    <row r="104" spans="1:1" x14ac:dyDescent="0.25">
      <c r="A104" s="16"/>
    </row>
    <row r="105" spans="1:1" x14ac:dyDescent="0.25">
      <c r="A105" s="16"/>
    </row>
    <row r="106" spans="1:1" x14ac:dyDescent="0.25">
      <c r="A106" s="16"/>
    </row>
    <row r="107" spans="1:1" x14ac:dyDescent="0.25">
      <c r="A107" s="16"/>
    </row>
    <row r="108" spans="1:1" x14ac:dyDescent="0.25">
      <c r="A108" s="16"/>
    </row>
    <row r="109" spans="1:1" x14ac:dyDescent="0.25">
      <c r="A109" s="16"/>
    </row>
    <row r="110" spans="1:1" x14ac:dyDescent="0.25">
      <c r="A110" s="16"/>
    </row>
    <row r="111" spans="1:1" x14ac:dyDescent="0.25">
      <c r="A111" s="16"/>
    </row>
    <row r="112" spans="1:1" x14ac:dyDescent="0.25">
      <c r="A112" s="16"/>
    </row>
    <row r="113" spans="1:1" x14ac:dyDescent="0.25">
      <c r="A113" s="16"/>
    </row>
    <row r="114" spans="1:1" x14ac:dyDescent="0.25">
      <c r="A114" s="16"/>
    </row>
    <row r="115" spans="1:1" x14ac:dyDescent="0.25">
      <c r="A115" s="16"/>
    </row>
    <row r="116" spans="1:1" x14ac:dyDescent="0.25">
      <c r="A116" s="16"/>
    </row>
    <row r="117" spans="1:1" x14ac:dyDescent="0.25">
      <c r="A117" s="16"/>
    </row>
    <row r="118" spans="1:1" x14ac:dyDescent="0.25">
      <c r="A118" s="16"/>
    </row>
    <row r="119" spans="1:1" x14ac:dyDescent="0.25">
      <c r="A119" s="16"/>
    </row>
    <row r="120" spans="1:1" x14ac:dyDescent="0.25">
      <c r="A120" s="16"/>
    </row>
    <row r="121" spans="1:1" x14ac:dyDescent="0.25">
      <c r="A121" s="16"/>
    </row>
    <row r="122" spans="1:1" x14ac:dyDescent="0.25">
      <c r="A122" s="16"/>
    </row>
    <row r="123" spans="1:1" x14ac:dyDescent="0.25">
      <c r="A123" s="16"/>
    </row>
    <row r="124" spans="1:1" x14ac:dyDescent="0.25">
      <c r="A124" s="16"/>
    </row>
    <row r="125" spans="1:1" x14ac:dyDescent="0.25">
      <c r="A125" s="16"/>
    </row>
    <row r="126" spans="1:1" x14ac:dyDescent="0.25">
      <c r="A126" s="16"/>
    </row>
    <row r="127" spans="1:1" x14ac:dyDescent="0.25">
      <c r="A127" s="16"/>
    </row>
    <row r="128" spans="1:1" x14ac:dyDescent="0.25">
      <c r="A128" s="16"/>
    </row>
    <row r="129" spans="1:1" x14ac:dyDescent="0.25">
      <c r="A129" s="16"/>
    </row>
    <row r="130" spans="1:1" x14ac:dyDescent="0.25">
      <c r="A130" s="16"/>
    </row>
    <row r="131" spans="1:1" x14ac:dyDescent="0.25">
      <c r="A131" s="16"/>
    </row>
    <row r="132" spans="1:1" x14ac:dyDescent="0.25">
      <c r="A132" s="16"/>
    </row>
    <row r="133" spans="1:1" x14ac:dyDescent="0.25">
      <c r="A133" s="16"/>
    </row>
    <row r="134" spans="1:1" x14ac:dyDescent="0.25">
      <c r="A134" s="16"/>
    </row>
    <row r="135" spans="1:1" x14ac:dyDescent="0.25">
      <c r="A135" s="16"/>
    </row>
    <row r="136" spans="1:1" x14ac:dyDescent="0.25">
      <c r="A136" s="16"/>
    </row>
    <row r="137" spans="1:1" x14ac:dyDescent="0.25">
      <c r="A137" s="16"/>
    </row>
    <row r="138" spans="1:1" x14ac:dyDescent="0.25">
      <c r="A138" s="16"/>
    </row>
    <row r="139" spans="1:1" x14ac:dyDescent="0.25">
      <c r="A139" s="16"/>
    </row>
    <row r="140" spans="1:1" x14ac:dyDescent="0.25">
      <c r="A140" s="16"/>
    </row>
    <row r="141" spans="1:1" x14ac:dyDescent="0.25">
      <c r="A141" s="16"/>
    </row>
    <row r="142" spans="1:1" x14ac:dyDescent="0.25">
      <c r="A142" s="16"/>
    </row>
    <row r="143" spans="1:1" x14ac:dyDescent="0.25">
      <c r="A143" s="16"/>
    </row>
    <row r="144" spans="1:1" x14ac:dyDescent="0.25">
      <c r="A144" s="16"/>
    </row>
    <row r="145" spans="1:1" x14ac:dyDescent="0.25">
      <c r="A145" s="16"/>
    </row>
    <row r="146" spans="1:1" x14ac:dyDescent="0.25">
      <c r="A146" s="16"/>
    </row>
    <row r="147" spans="1:1" x14ac:dyDescent="0.25">
      <c r="A147" s="16"/>
    </row>
    <row r="148" spans="1:1" x14ac:dyDescent="0.25">
      <c r="A148" s="16"/>
    </row>
    <row r="149" spans="1:1" x14ac:dyDescent="0.25">
      <c r="A149" s="16"/>
    </row>
    <row r="150" spans="1:1" x14ac:dyDescent="0.25">
      <c r="A150" s="16"/>
    </row>
    <row r="151" spans="1:1" x14ac:dyDescent="0.25">
      <c r="A151" s="16"/>
    </row>
    <row r="152" spans="1:1" x14ac:dyDescent="0.25">
      <c r="A152" s="16"/>
    </row>
    <row r="153" spans="1:1" x14ac:dyDescent="0.25">
      <c r="A153" s="16"/>
    </row>
    <row r="154" spans="1:1" x14ac:dyDescent="0.25">
      <c r="A154" s="16"/>
    </row>
    <row r="155" spans="1:1" x14ac:dyDescent="0.25">
      <c r="A155" s="16"/>
    </row>
    <row r="156" spans="1:1" x14ac:dyDescent="0.25">
      <c r="A156" s="16"/>
    </row>
    <row r="157" spans="1:1" x14ac:dyDescent="0.25">
      <c r="A157" s="16"/>
    </row>
    <row r="158" spans="1:1" x14ac:dyDescent="0.25">
      <c r="A158" s="16"/>
    </row>
    <row r="159" spans="1:1" x14ac:dyDescent="0.25">
      <c r="A159" s="16"/>
    </row>
    <row r="160" spans="1:1" x14ac:dyDescent="0.25">
      <c r="A160" s="16"/>
    </row>
    <row r="161" spans="1:1" x14ac:dyDescent="0.25">
      <c r="A161" s="16"/>
    </row>
    <row r="162" spans="1:1" x14ac:dyDescent="0.25">
      <c r="A162" s="16"/>
    </row>
    <row r="163" spans="1:1" x14ac:dyDescent="0.25">
      <c r="A163" s="16"/>
    </row>
    <row r="164" spans="1:1" x14ac:dyDescent="0.25">
      <c r="A164" s="16"/>
    </row>
    <row r="165" spans="1:1" x14ac:dyDescent="0.25">
      <c r="A165" s="16"/>
    </row>
    <row r="166" spans="1:1" x14ac:dyDescent="0.25">
      <c r="A166" s="16"/>
    </row>
    <row r="167" spans="1:1" x14ac:dyDescent="0.25">
      <c r="A167" s="16"/>
    </row>
    <row r="168" spans="1:1" x14ac:dyDescent="0.25">
      <c r="A168" s="16"/>
    </row>
    <row r="169" spans="1:1" x14ac:dyDescent="0.25">
      <c r="A169" s="16"/>
    </row>
    <row r="170" spans="1:1" x14ac:dyDescent="0.25">
      <c r="A170" s="16"/>
    </row>
    <row r="171" spans="1:1" x14ac:dyDescent="0.25">
      <c r="A171" s="16"/>
    </row>
    <row r="172" spans="1:1" x14ac:dyDescent="0.25">
      <c r="A172" s="16"/>
    </row>
    <row r="173" spans="1:1" x14ac:dyDescent="0.25">
      <c r="A173" s="16"/>
    </row>
    <row r="174" spans="1:1" x14ac:dyDescent="0.25">
      <c r="A174" s="16"/>
    </row>
    <row r="175" spans="1:1" x14ac:dyDescent="0.25">
      <c r="A175" s="16"/>
    </row>
    <row r="176" spans="1:1" x14ac:dyDescent="0.25">
      <c r="A176" s="16"/>
    </row>
    <row r="177" spans="1:1" x14ac:dyDescent="0.25">
      <c r="A177" s="16"/>
    </row>
    <row r="178" spans="1:1" x14ac:dyDescent="0.25">
      <c r="A178" s="16"/>
    </row>
    <row r="179" spans="1:1" x14ac:dyDescent="0.25">
      <c r="A179" s="16"/>
    </row>
    <row r="180" spans="1:1" x14ac:dyDescent="0.25">
      <c r="A180" s="16"/>
    </row>
    <row r="181" spans="1:1" x14ac:dyDescent="0.25">
      <c r="A181" s="16"/>
    </row>
    <row r="182" spans="1:1" x14ac:dyDescent="0.25">
      <c r="A182" s="16"/>
    </row>
    <row r="183" spans="1:1" x14ac:dyDescent="0.25">
      <c r="A183" s="16"/>
    </row>
    <row r="184" spans="1:1" x14ac:dyDescent="0.25">
      <c r="A184" s="16"/>
    </row>
    <row r="185" spans="1:1" x14ac:dyDescent="0.25">
      <c r="A185" s="16"/>
    </row>
    <row r="186" spans="1:1" x14ac:dyDescent="0.25">
      <c r="A186" s="16"/>
    </row>
    <row r="187" spans="1:1" x14ac:dyDescent="0.25">
      <c r="A187" s="16"/>
    </row>
    <row r="188" spans="1:1" x14ac:dyDescent="0.25">
      <c r="A188" s="16"/>
    </row>
    <row r="189" spans="1:1" x14ac:dyDescent="0.25">
      <c r="A189" s="16"/>
    </row>
    <row r="190" spans="1:1" x14ac:dyDescent="0.25">
      <c r="A190" s="16"/>
    </row>
    <row r="191" spans="1:1" x14ac:dyDescent="0.25">
      <c r="A191" s="16"/>
    </row>
    <row r="192" spans="1:1" x14ac:dyDescent="0.25">
      <c r="A192" s="16"/>
    </row>
    <row r="193" spans="1:1" x14ac:dyDescent="0.25">
      <c r="A193" s="16"/>
    </row>
    <row r="194" spans="1:1" x14ac:dyDescent="0.25">
      <c r="A194" s="16"/>
    </row>
    <row r="195" spans="1:1" x14ac:dyDescent="0.25">
      <c r="A195" s="16"/>
    </row>
    <row r="196" spans="1:1" x14ac:dyDescent="0.25">
      <c r="A196" s="16"/>
    </row>
    <row r="197" spans="1:1" x14ac:dyDescent="0.25">
      <c r="A197" s="16"/>
    </row>
    <row r="198" spans="1:1" x14ac:dyDescent="0.25">
      <c r="A198" s="16"/>
    </row>
    <row r="199" spans="1:1" x14ac:dyDescent="0.25">
      <c r="A199" s="16"/>
    </row>
    <row r="200" spans="1:1" x14ac:dyDescent="0.25">
      <c r="A200" s="16"/>
    </row>
    <row r="201" spans="1:1" x14ac:dyDescent="0.25">
      <c r="A201" s="16"/>
    </row>
    <row r="202" spans="1:1" x14ac:dyDescent="0.25">
      <c r="A202" s="16"/>
    </row>
    <row r="203" spans="1:1" x14ac:dyDescent="0.25">
      <c r="A203" s="16"/>
    </row>
    <row r="204" spans="1:1" x14ac:dyDescent="0.25">
      <c r="A204" s="16"/>
    </row>
    <row r="205" spans="1:1" x14ac:dyDescent="0.25">
      <c r="A205" s="16"/>
    </row>
    <row r="206" spans="1:1" x14ac:dyDescent="0.25">
      <c r="A206" s="16"/>
    </row>
    <row r="207" spans="1:1" x14ac:dyDescent="0.25">
      <c r="A207" s="16"/>
    </row>
    <row r="208" spans="1:1" x14ac:dyDescent="0.25">
      <c r="A208" s="16"/>
    </row>
    <row r="209" spans="1:1" x14ac:dyDescent="0.25">
      <c r="A209" s="16"/>
    </row>
    <row r="210" spans="1:1" x14ac:dyDescent="0.25">
      <c r="A210" s="16"/>
    </row>
    <row r="211" spans="1:1" x14ac:dyDescent="0.25">
      <c r="A211" s="16"/>
    </row>
    <row r="212" spans="1:1" x14ac:dyDescent="0.25">
      <c r="A212" s="16"/>
    </row>
    <row r="213" spans="1:1" x14ac:dyDescent="0.25">
      <c r="A213" s="16"/>
    </row>
    <row r="214" spans="1:1" x14ac:dyDescent="0.25">
      <c r="A214" s="16"/>
    </row>
    <row r="215" spans="1:1" x14ac:dyDescent="0.25">
      <c r="A215" s="16"/>
    </row>
    <row r="216" spans="1:1" x14ac:dyDescent="0.25">
      <c r="A216" s="16"/>
    </row>
    <row r="217" spans="1:1" x14ac:dyDescent="0.25">
      <c r="A217" s="16"/>
    </row>
    <row r="218" spans="1:1" x14ac:dyDescent="0.25">
      <c r="A218" s="16"/>
    </row>
    <row r="219" spans="1:1" x14ac:dyDescent="0.25">
      <c r="A219" s="16"/>
    </row>
    <row r="220" spans="1:1" x14ac:dyDescent="0.25">
      <c r="A220" s="16"/>
    </row>
    <row r="221" spans="1:1" x14ac:dyDescent="0.25">
      <c r="A221" s="16"/>
    </row>
    <row r="222" spans="1:1" x14ac:dyDescent="0.25">
      <c r="A222" s="16"/>
    </row>
    <row r="223" spans="1:1" x14ac:dyDescent="0.25">
      <c r="A223" s="16"/>
    </row>
    <row r="224" spans="1:1" x14ac:dyDescent="0.25">
      <c r="A224" s="16"/>
    </row>
    <row r="225" spans="1:1" x14ac:dyDescent="0.25">
      <c r="A225" s="16"/>
    </row>
    <row r="226" spans="1:1" x14ac:dyDescent="0.25">
      <c r="A226" s="16"/>
    </row>
    <row r="227" spans="1:1" x14ac:dyDescent="0.25">
      <c r="A227" s="16"/>
    </row>
    <row r="228" spans="1:1" x14ac:dyDescent="0.25">
      <c r="A228" s="16"/>
    </row>
    <row r="229" spans="1:1" x14ac:dyDescent="0.25">
      <c r="A229" s="16"/>
    </row>
    <row r="230" spans="1:1" x14ac:dyDescent="0.25">
      <c r="A230" s="16"/>
    </row>
    <row r="231" spans="1:1" x14ac:dyDescent="0.25">
      <c r="A231" s="16"/>
    </row>
    <row r="232" spans="1:1" x14ac:dyDescent="0.25">
      <c r="A232" s="16"/>
    </row>
    <row r="233" spans="1:1" x14ac:dyDescent="0.25">
      <c r="A233" s="16"/>
    </row>
    <row r="234" spans="1:1" x14ac:dyDescent="0.25">
      <c r="A234" s="16"/>
    </row>
    <row r="235" spans="1:1" x14ac:dyDescent="0.25">
      <c r="A235" s="16"/>
    </row>
    <row r="236" spans="1:1" x14ac:dyDescent="0.25">
      <c r="A236" s="16"/>
    </row>
    <row r="237" spans="1:1" x14ac:dyDescent="0.25">
      <c r="A237" s="16"/>
    </row>
    <row r="238" spans="1:1" x14ac:dyDescent="0.25">
      <c r="A238" s="16"/>
    </row>
    <row r="239" spans="1:1" x14ac:dyDescent="0.25">
      <c r="A239" s="16"/>
    </row>
    <row r="240" spans="1:1" x14ac:dyDescent="0.25">
      <c r="A240" s="16"/>
    </row>
    <row r="241" spans="1:1" x14ac:dyDescent="0.25">
      <c r="A241" s="16"/>
    </row>
    <row r="242" spans="1:1" x14ac:dyDescent="0.25">
      <c r="A242" s="16"/>
    </row>
    <row r="243" spans="1:1" x14ac:dyDescent="0.25">
      <c r="A243" s="16"/>
    </row>
    <row r="244" spans="1:1" x14ac:dyDescent="0.25">
      <c r="A244" s="16"/>
    </row>
    <row r="245" spans="1:1" x14ac:dyDescent="0.25">
      <c r="A245" s="16"/>
    </row>
    <row r="246" spans="1:1" x14ac:dyDescent="0.25">
      <c r="A246" s="16"/>
    </row>
    <row r="247" spans="1:1" x14ac:dyDescent="0.25">
      <c r="A247" s="16"/>
    </row>
    <row r="248" spans="1:1" x14ac:dyDescent="0.25">
      <c r="A248" s="16"/>
    </row>
    <row r="249" spans="1:1" x14ac:dyDescent="0.25">
      <c r="A249" s="16"/>
    </row>
    <row r="250" spans="1:1" x14ac:dyDescent="0.25">
      <c r="A250" s="16"/>
    </row>
    <row r="251" spans="1:1" x14ac:dyDescent="0.25">
      <c r="A251" s="16"/>
    </row>
    <row r="252" spans="1:1" x14ac:dyDescent="0.25">
      <c r="A252" s="16"/>
    </row>
    <row r="253" spans="1:1" x14ac:dyDescent="0.25">
      <c r="A253" s="16"/>
    </row>
    <row r="254" spans="1:1" x14ac:dyDescent="0.25">
      <c r="A254" s="16"/>
    </row>
    <row r="255" spans="1:1" x14ac:dyDescent="0.25">
      <c r="A255" s="16"/>
    </row>
    <row r="256" spans="1:1" x14ac:dyDescent="0.25">
      <c r="A256" s="16"/>
    </row>
    <row r="257" spans="1:1" x14ac:dyDescent="0.25">
      <c r="A257" s="16"/>
    </row>
    <row r="258" spans="1:1" x14ac:dyDescent="0.25">
      <c r="A258" s="16"/>
    </row>
    <row r="259" spans="1:1" x14ac:dyDescent="0.25">
      <c r="A259" s="16"/>
    </row>
    <row r="260" spans="1:1" x14ac:dyDescent="0.25">
      <c r="A260" s="16"/>
    </row>
    <row r="261" spans="1:1" x14ac:dyDescent="0.25">
      <c r="A261" s="16"/>
    </row>
    <row r="262" spans="1:1" x14ac:dyDescent="0.25">
      <c r="A262" s="16"/>
    </row>
    <row r="263" spans="1:1" x14ac:dyDescent="0.25">
      <c r="A263" s="16"/>
    </row>
    <row r="264" spans="1:1" x14ac:dyDescent="0.25">
      <c r="A264" s="16"/>
    </row>
    <row r="265" spans="1:1" x14ac:dyDescent="0.25">
      <c r="A265" s="16"/>
    </row>
    <row r="266" spans="1:1" x14ac:dyDescent="0.25">
      <c r="A266" s="16"/>
    </row>
    <row r="267" spans="1:1" x14ac:dyDescent="0.25">
      <c r="A267" s="16"/>
    </row>
    <row r="268" spans="1:1" x14ac:dyDescent="0.25">
      <c r="A268" s="16"/>
    </row>
    <row r="269" spans="1:1" x14ac:dyDescent="0.25">
      <c r="A269" s="16"/>
    </row>
    <row r="270" spans="1:1" x14ac:dyDescent="0.25">
      <c r="A270" s="16"/>
    </row>
    <row r="271" spans="1:1" x14ac:dyDescent="0.25">
      <c r="A271" s="16"/>
    </row>
    <row r="272" spans="1:1" x14ac:dyDescent="0.25">
      <c r="A272" s="16"/>
    </row>
    <row r="273" spans="1:1" x14ac:dyDescent="0.25">
      <c r="A273" s="16"/>
    </row>
    <row r="274" spans="1:1" x14ac:dyDescent="0.25">
      <c r="A274" s="16"/>
    </row>
    <row r="275" spans="1:1" x14ac:dyDescent="0.25">
      <c r="A275" s="16"/>
    </row>
    <row r="276" spans="1:1" x14ac:dyDescent="0.25">
      <c r="A276" s="16"/>
    </row>
    <row r="277" spans="1:1" x14ac:dyDescent="0.25">
      <c r="A277" s="16"/>
    </row>
    <row r="278" spans="1:1" x14ac:dyDescent="0.25">
      <c r="A278" s="16"/>
    </row>
    <row r="279" spans="1:1" x14ac:dyDescent="0.25">
      <c r="A279" s="16"/>
    </row>
    <row r="280" spans="1:1" x14ac:dyDescent="0.25">
      <c r="A280" s="16"/>
    </row>
    <row r="281" spans="1:1" x14ac:dyDescent="0.25">
      <c r="A281" s="16"/>
    </row>
    <row r="282" spans="1:1" x14ac:dyDescent="0.25">
      <c r="A282" s="16"/>
    </row>
    <row r="283" spans="1:1" x14ac:dyDescent="0.25">
      <c r="A283" s="16"/>
    </row>
    <row r="284" spans="1:1" x14ac:dyDescent="0.25">
      <c r="A284" s="16"/>
    </row>
    <row r="285" spans="1:1" x14ac:dyDescent="0.25">
      <c r="A285" s="16"/>
    </row>
    <row r="286" spans="1:1" x14ac:dyDescent="0.25">
      <c r="A286" s="16"/>
    </row>
    <row r="287" spans="1:1" x14ac:dyDescent="0.25">
      <c r="A287" s="16"/>
    </row>
    <row r="288" spans="1:1" x14ac:dyDescent="0.25">
      <c r="A288" s="16"/>
    </row>
    <row r="289" spans="1:1" x14ac:dyDescent="0.25">
      <c r="A289" s="16"/>
    </row>
    <row r="290" spans="1:1" x14ac:dyDescent="0.25">
      <c r="A290" s="16"/>
    </row>
    <row r="291" spans="1:1" x14ac:dyDescent="0.25">
      <c r="A291" s="16"/>
    </row>
    <row r="292" spans="1:1" x14ac:dyDescent="0.25">
      <c r="A292" s="16"/>
    </row>
    <row r="293" spans="1:1" x14ac:dyDescent="0.25">
      <c r="A293" s="16"/>
    </row>
    <row r="294" spans="1:1" x14ac:dyDescent="0.25">
      <c r="A294" s="16"/>
    </row>
    <row r="295" spans="1:1" x14ac:dyDescent="0.25">
      <c r="A295" s="16"/>
    </row>
    <row r="296" spans="1:1" x14ac:dyDescent="0.25">
      <c r="A296" s="16"/>
    </row>
    <row r="297" spans="1:1" x14ac:dyDescent="0.25">
      <c r="A297" s="16"/>
    </row>
    <row r="298" spans="1:1" x14ac:dyDescent="0.25">
      <c r="A298" s="16"/>
    </row>
    <row r="299" spans="1:1" x14ac:dyDescent="0.25">
      <c r="A299" s="16"/>
    </row>
    <row r="300" spans="1:1" x14ac:dyDescent="0.25">
      <c r="A300" s="16"/>
    </row>
    <row r="301" spans="1:1" x14ac:dyDescent="0.25">
      <c r="A301" s="16"/>
    </row>
    <row r="302" spans="1:1" x14ac:dyDescent="0.25">
      <c r="A302" s="16"/>
    </row>
    <row r="303" spans="1:1" x14ac:dyDescent="0.25">
      <c r="A303" s="16"/>
    </row>
    <row r="304" spans="1:1" x14ac:dyDescent="0.25">
      <c r="A304" s="16"/>
    </row>
    <row r="305" spans="1:1" x14ac:dyDescent="0.25">
      <c r="A305" s="16"/>
    </row>
    <row r="306" spans="1:1" x14ac:dyDescent="0.25">
      <c r="A306" s="16"/>
    </row>
    <row r="307" spans="1:1" x14ac:dyDescent="0.25">
      <c r="A307" s="16"/>
    </row>
    <row r="308" spans="1:1" x14ac:dyDescent="0.25">
      <c r="A308" s="16"/>
    </row>
    <row r="309" spans="1:1" x14ac:dyDescent="0.25">
      <c r="A309" s="16"/>
    </row>
    <row r="310" spans="1:1" x14ac:dyDescent="0.25">
      <c r="A310" s="16"/>
    </row>
    <row r="311" spans="1:1" x14ac:dyDescent="0.25">
      <c r="A311" s="16"/>
    </row>
    <row r="312" spans="1:1" x14ac:dyDescent="0.25">
      <c r="A312" s="16"/>
    </row>
    <row r="313" spans="1:1" x14ac:dyDescent="0.25">
      <c r="A313" s="16"/>
    </row>
    <row r="314" spans="1:1" x14ac:dyDescent="0.25">
      <c r="A314" s="16"/>
    </row>
    <row r="315" spans="1:1" x14ac:dyDescent="0.25">
      <c r="A315" s="16"/>
    </row>
    <row r="316" spans="1:1" x14ac:dyDescent="0.25">
      <c r="A316" s="16"/>
    </row>
    <row r="317" spans="1:1" x14ac:dyDescent="0.25">
      <c r="A317" s="16"/>
    </row>
    <row r="318" spans="1:1" x14ac:dyDescent="0.25">
      <c r="A318" s="16"/>
    </row>
    <row r="319" spans="1:1" x14ac:dyDescent="0.25">
      <c r="A319" s="16"/>
    </row>
    <row r="320" spans="1:1" x14ac:dyDescent="0.25">
      <c r="A320" s="16"/>
    </row>
    <row r="321" spans="1:1" x14ac:dyDescent="0.25">
      <c r="A321" s="16"/>
    </row>
    <row r="322" spans="1:1" x14ac:dyDescent="0.25">
      <c r="A322" s="16"/>
    </row>
    <row r="323" spans="1:1" x14ac:dyDescent="0.25">
      <c r="A323" s="16"/>
    </row>
    <row r="324" spans="1:1" x14ac:dyDescent="0.25">
      <c r="A324" s="16"/>
    </row>
    <row r="325" spans="1:1" x14ac:dyDescent="0.25">
      <c r="A325" s="16"/>
    </row>
    <row r="326" spans="1:1" x14ac:dyDescent="0.25">
      <c r="A326" s="16"/>
    </row>
    <row r="327" spans="1:1" x14ac:dyDescent="0.25">
      <c r="A327" s="16"/>
    </row>
    <row r="328" spans="1:1" x14ac:dyDescent="0.25">
      <c r="A328" s="16"/>
    </row>
    <row r="329" spans="1:1" x14ac:dyDescent="0.25">
      <c r="A329" s="16"/>
    </row>
    <row r="330" spans="1:1" x14ac:dyDescent="0.25">
      <c r="A330" s="16"/>
    </row>
    <row r="331" spans="1:1" x14ac:dyDescent="0.25">
      <c r="A331" s="16"/>
    </row>
    <row r="332" spans="1:1" x14ac:dyDescent="0.25">
      <c r="A332" s="16"/>
    </row>
    <row r="333" spans="1:1" x14ac:dyDescent="0.25">
      <c r="A333" s="16"/>
    </row>
    <row r="334" spans="1:1" x14ac:dyDescent="0.25">
      <c r="A334" s="16"/>
    </row>
    <row r="335" spans="1:1" x14ac:dyDescent="0.25">
      <c r="A335" s="16"/>
    </row>
    <row r="336" spans="1:1" x14ac:dyDescent="0.25">
      <c r="A336" s="16"/>
    </row>
    <row r="337" spans="1:1" x14ac:dyDescent="0.25">
      <c r="A337" s="16"/>
    </row>
    <row r="338" spans="1:1" x14ac:dyDescent="0.25">
      <c r="A338" s="16"/>
    </row>
    <row r="339" spans="1:1" x14ac:dyDescent="0.25">
      <c r="A339" s="16"/>
    </row>
    <row r="340" spans="1:1" x14ac:dyDescent="0.25">
      <c r="A340" s="16"/>
    </row>
    <row r="341" spans="1:1" x14ac:dyDescent="0.25">
      <c r="A341" s="16"/>
    </row>
    <row r="342" spans="1:1" x14ac:dyDescent="0.25">
      <c r="A342" s="16"/>
    </row>
    <row r="343" spans="1:1" x14ac:dyDescent="0.25">
      <c r="A343" s="16"/>
    </row>
    <row r="344" spans="1:1" x14ac:dyDescent="0.25">
      <c r="A344" s="16"/>
    </row>
    <row r="345" spans="1:1" x14ac:dyDescent="0.25">
      <c r="A345" s="16"/>
    </row>
    <row r="346" spans="1:1" x14ac:dyDescent="0.25">
      <c r="A346" s="16"/>
    </row>
    <row r="347" spans="1:1" x14ac:dyDescent="0.25">
      <c r="A347" s="16"/>
    </row>
    <row r="348" spans="1:1" x14ac:dyDescent="0.25">
      <c r="A348" s="16"/>
    </row>
    <row r="349" spans="1:1" x14ac:dyDescent="0.25">
      <c r="A349" s="16"/>
    </row>
    <row r="350" spans="1:1" x14ac:dyDescent="0.25">
      <c r="A350" s="16"/>
    </row>
    <row r="351" spans="1:1" x14ac:dyDescent="0.25">
      <c r="A351" s="16"/>
    </row>
    <row r="352" spans="1:1" x14ac:dyDescent="0.25">
      <c r="A352" s="16"/>
    </row>
    <row r="353" spans="1:1" x14ac:dyDescent="0.25">
      <c r="A353" s="16"/>
    </row>
    <row r="354" spans="1:1" x14ac:dyDescent="0.25">
      <c r="A354" s="16"/>
    </row>
    <row r="355" spans="1:1" x14ac:dyDescent="0.25">
      <c r="A355" s="16"/>
    </row>
    <row r="356" spans="1:1" x14ac:dyDescent="0.25">
      <c r="A356" s="16"/>
    </row>
    <row r="357" spans="1:1" x14ac:dyDescent="0.25">
      <c r="A357" s="16"/>
    </row>
    <row r="358" spans="1:1" x14ac:dyDescent="0.25">
      <c r="A358" s="16"/>
    </row>
    <row r="359" spans="1:1" x14ac:dyDescent="0.25">
      <c r="A359" s="16"/>
    </row>
    <row r="360" spans="1:1" x14ac:dyDescent="0.25">
      <c r="A360" s="16"/>
    </row>
    <row r="361" spans="1:1" x14ac:dyDescent="0.25">
      <c r="A361" s="16"/>
    </row>
    <row r="362" spans="1:1" x14ac:dyDescent="0.25">
      <c r="A362" s="16"/>
    </row>
    <row r="363" spans="1:1" x14ac:dyDescent="0.25">
      <c r="A363" s="16"/>
    </row>
    <row r="364" spans="1:1" x14ac:dyDescent="0.25">
      <c r="A364" s="16"/>
    </row>
    <row r="365" spans="1:1" x14ac:dyDescent="0.25">
      <c r="A365" s="16"/>
    </row>
    <row r="366" spans="1:1" x14ac:dyDescent="0.25">
      <c r="A366" s="16"/>
    </row>
    <row r="367" spans="1:1" x14ac:dyDescent="0.25">
      <c r="A367" s="16"/>
    </row>
    <row r="368" spans="1:1" x14ac:dyDescent="0.25">
      <c r="A368" s="16"/>
    </row>
    <row r="369" spans="1:1" x14ac:dyDescent="0.25">
      <c r="A369" s="16"/>
    </row>
    <row r="370" spans="1:1" x14ac:dyDescent="0.25">
      <c r="A370" s="16"/>
    </row>
    <row r="371" spans="1:1" x14ac:dyDescent="0.25">
      <c r="A371" s="16"/>
    </row>
    <row r="372" spans="1:1" x14ac:dyDescent="0.25">
      <c r="A372" s="16"/>
    </row>
    <row r="373" spans="1:1" x14ac:dyDescent="0.25">
      <c r="A373" s="16"/>
    </row>
    <row r="374" spans="1:1" x14ac:dyDescent="0.25">
      <c r="A374" s="16"/>
    </row>
    <row r="375" spans="1:1" x14ac:dyDescent="0.25">
      <c r="A375" s="16"/>
    </row>
    <row r="376" spans="1:1" x14ac:dyDescent="0.25">
      <c r="A376" s="16"/>
    </row>
    <row r="377" spans="1:1" x14ac:dyDescent="0.25">
      <c r="A377" s="16"/>
    </row>
    <row r="378" spans="1:1" x14ac:dyDescent="0.25">
      <c r="A378" s="16"/>
    </row>
    <row r="379" spans="1:1" x14ac:dyDescent="0.25">
      <c r="A379" s="16"/>
    </row>
    <row r="380" spans="1:1" x14ac:dyDescent="0.25">
      <c r="A380" s="16"/>
    </row>
    <row r="381" spans="1:1" x14ac:dyDescent="0.25">
      <c r="A381" s="16"/>
    </row>
    <row r="382" spans="1:1" x14ac:dyDescent="0.25">
      <c r="A382" s="16"/>
    </row>
    <row r="383" spans="1:1" x14ac:dyDescent="0.25">
      <c r="A383" s="16"/>
    </row>
    <row r="384" spans="1:1" x14ac:dyDescent="0.25">
      <c r="A384" s="16"/>
    </row>
    <row r="385" spans="1:1" x14ac:dyDescent="0.25">
      <c r="A385" s="16"/>
    </row>
    <row r="386" spans="1:1" x14ac:dyDescent="0.25">
      <c r="A386" s="16"/>
    </row>
    <row r="387" spans="1:1" x14ac:dyDescent="0.25">
      <c r="A387" s="16"/>
    </row>
    <row r="388" spans="1:1" x14ac:dyDescent="0.25">
      <c r="A388" s="16"/>
    </row>
    <row r="389" spans="1:1" x14ac:dyDescent="0.25">
      <c r="A389" s="16"/>
    </row>
    <row r="390" spans="1:1" x14ac:dyDescent="0.25">
      <c r="A390" s="16"/>
    </row>
    <row r="391" spans="1:1" x14ac:dyDescent="0.25">
      <c r="A391" s="16"/>
    </row>
    <row r="392" spans="1:1" x14ac:dyDescent="0.25">
      <c r="A392" s="16"/>
    </row>
    <row r="393" spans="1:1" x14ac:dyDescent="0.25">
      <c r="A393" s="16"/>
    </row>
    <row r="394" spans="1:1" x14ac:dyDescent="0.25">
      <c r="A394" s="16"/>
    </row>
    <row r="395" spans="1:1" x14ac:dyDescent="0.25">
      <c r="A395" s="16"/>
    </row>
    <row r="396" spans="1:1" x14ac:dyDescent="0.25">
      <c r="A396" s="16"/>
    </row>
    <row r="397" spans="1:1" x14ac:dyDescent="0.25">
      <c r="A397" s="16"/>
    </row>
    <row r="398" spans="1:1" x14ac:dyDescent="0.25">
      <c r="A398" s="16"/>
    </row>
    <row r="399" spans="1:1" x14ac:dyDescent="0.25">
      <c r="A399" s="16"/>
    </row>
    <row r="400" spans="1:1" x14ac:dyDescent="0.25">
      <c r="A400" s="16"/>
    </row>
    <row r="401" spans="1:1" x14ac:dyDescent="0.25">
      <c r="A401" s="16"/>
    </row>
    <row r="402" spans="1:1" x14ac:dyDescent="0.25">
      <c r="A402" s="16"/>
    </row>
    <row r="403" spans="1:1" x14ac:dyDescent="0.25">
      <c r="A403" s="16"/>
    </row>
    <row r="404" spans="1:1" x14ac:dyDescent="0.25">
      <c r="A404" s="16"/>
    </row>
    <row r="405" spans="1:1" x14ac:dyDescent="0.25">
      <c r="A405" s="16"/>
    </row>
    <row r="406" spans="1:1" x14ac:dyDescent="0.25">
      <c r="A406" s="16"/>
    </row>
    <row r="407" spans="1:1" x14ac:dyDescent="0.25">
      <c r="A407" s="16"/>
    </row>
    <row r="408" spans="1:1" x14ac:dyDescent="0.25">
      <c r="A408" s="16"/>
    </row>
    <row r="409" spans="1:1" x14ac:dyDescent="0.25">
      <c r="A409" s="16"/>
    </row>
    <row r="410" spans="1:1" x14ac:dyDescent="0.25">
      <c r="A410" s="16"/>
    </row>
    <row r="411" spans="1:1" x14ac:dyDescent="0.25">
      <c r="A411" s="16"/>
    </row>
    <row r="412" spans="1:1" x14ac:dyDescent="0.25">
      <c r="A412" s="16"/>
    </row>
    <row r="413" spans="1:1" x14ac:dyDescent="0.25">
      <c r="A413" s="16"/>
    </row>
    <row r="414" spans="1:1" x14ac:dyDescent="0.25">
      <c r="A414" s="16"/>
    </row>
    <row r="415" spans="1:1" x14ac:dyDescent="0.25">
      <c r="A415" s="16"/>
    </row>
    <row r="416" spans="1:1" x14ac:dyDescent="0.25">
      <c r="A416" s="16"/>
    </row>
    <row r="417" spans="1:1" x14ac:dyDescent="0.25">
      <c r="A417" s="16"/>
    </row>
    <row r="418" spans="1:1" x14ac:dyDescent="0.25">
      <c r="A418" s="16"/>
    </row>
    <row r="419" spans="1:1" x14ac:dyDescent="0.25">
      <c r="A419" s="16"/>
    </row>
    <row r="420" spans="1:1" x14ac:dyDescent="0.25">
      <c r="A420" s="16"/>
    </row>
    <row r="421" spans="1:1" x14ac:dyDescent="0.25">
      <c r="A421" s="16"/>
    </row>
    <row r="422" spans="1:1" x14ac:dyDescent="0.25">
      <c r="A422" s="16"/>
    </row>
    <row r="423" spans="1:1" x14ac:dyDescent="0.25">
      <c r="A423" s="16"/>
    </row>
    <row r="424" spans="1:1" x14ac:dyDescent="0.25">
      <c r="A424" s="16"/>
    </row>
    <row r="425" spans="1:1" x14ac:dyDescent="0.25">
      <c r="A425" s="16"/>
    </row>
    <row r="426" spans="1:1" x14ac:dyDescent="0.25">
      <c r="A426" s="16"/>
    </row>
    <row r="427" spans="1:1" x14ac:dyDescent="0.25">
      <c r="A427" s="16"/>
    </row>
    <row r="428" spans="1:1" x14ac:dyDescent="0.25">
      <c r="A428" s="16"/>
    </row>
    <row r="429" spans="1:1" x14ac:dyDescent="0.25">
      <c r="A429" s="16"/>
    </row>
    <row r="430" spans="1:1" x14ac:dyDescent="0.25">
      <c r="A430" s="16"/>
    </row>
    <row r="431" spans="1:1" x14ac:dyDescent="0.25">
      <c r="A431" s="16"/>
    </row>
    <row r="432" spans="1:1" x14ac:dyDescent="0.25">
      <c r="A432" s="16"/>
    </row>
    <row r="433" spans="1:1" x14ac:dyDescent="0.25">
      <c r="A433" s="16"/>
    </row>
    <row r="434" spans="1:1" x14ac:dyDescent="0.25">
      <c r="A434" s="16"/>
    </row>
    <row r="435" spans="1:1" x14ac:dyDescent="0.25">
      <c r="A435" s="16"/>
    </row>
    <row r="436" spans="1:1" x14ac:dyDescent="0.25">
      <c r="A436" s="16"/>
    </row>
    <row r="437" spans="1:1" x14ac:dyDescent="0.25">
      <c r="A437" s="16"/>
    </row>
    <row r="438" spans="1:1" x14ac:dyDescent="0.25">
      <c r="A438" s="16"/>
    </row>
    <row r="439" spans="1:1" x14ac:dyDescent="0.25">
      <c r="A439" s="16"/>
    </row>
    <row r="440" spans="1:1" x14ac:dyDescent="0.25">
      <c r="A440" s="16"/>
    </row>
    <row r="441" spans="1:1" x14ac:dyDescent="0.25">
      <c r="A441" s="16"/>
    </row>
    <row r="442" spans="1:1" x14ac:dyDescent="0.25">
      <c r="A442" s="16"/>
    </row>
    <row r="443" spans="1:1" x14ac:dyDescent="0.25">
      <c r="A443" s="16"/>
    </row>
    <row r="444" spans="1:1" x14ac:dyDescent="0.25">
      <c r="A444" s="16"/>
    </row>
    <row r="445" spans="1:1" x14ac:dyDescent="0.25">
      <c r="A445" s="16"/>
    </row>
    <row r="446" spans="1:1" x14ac:dyDescent="0.25">
      <c r="A446" s="16"/>
    </row>
    <row r="447" spans="1:1" x14ac:dyDescent="0.25">
      <c r="A447" s="16"/>
    </row>
    <row r="448" spans="1:1" x14ac:dyDescent="0.25">
      <c r="A448" s="16"/>
    </row>
    <row r="449" spans="1:1" x14ac:dyDescent="0.25">
      <c r="A449" s="16"/>
    </row>
    <row r="450" spans="1:1" x14ac:dyDescent="0.25">
      <c r="A450" s="16"/>
    </row>
    <row r="451" spans="1:1" x14ac:dyDescent="0.25">
      <c r="A451" s="16"/>
    </row>
    <row r="452" spans="1:1" x14ac:dyDescent="0.25">
      <c r="A452" s="16"/>
    </row>
    <row r="453" spans="1:1" x14ac:dyDescent="0.25">
      <c r="A453" s="16"/>
    </row>
    <row r="454" spans="1:1" x14ac:dyDescent="0.25">
      <c r="A454" s="16"/>
    </row>
    <row r="455" spans="1:1" x14ac:dyDescent="0.25">
      <c r="A455" s="16"/>
    </row>
    <row r="456" spans="1:1" x14ac:dyDescent="0.25">
      <c r="A456" s="16"/>
    </row>
    <row r="457" spans="1:1" x14ac:dyDescent="0.25">
      <c r="A457" s="16"/>
    </row>
    <row r="458" spans="1:1" x14ac:dyDescent="0.25">
      <c r="A458" s="16"/>
    </row>
    <row r="459" spans="1:1" x14ac:dyDescent="0.25">
      <c r="A459" s="16"/>
    </row>
    <row r="460" spans="1:1" x14ac:dyDescent="0.25">
      <c r="A460" s="16"/>
    </row>
    <row r="461" spans="1:1" x14ac:dyDescent="0.25">
      <c r="A461" s="16"/>
    </row>
    <row r="462" spans="1:1" x14ac:dyDescent="0.25">
      <c r="A462" s="16"/>
    </row>
    <row r="463" spans="1:1" x14ac:dyDescent="0.25">
      <c r="A463" s="16"/>
    </row>
    <row r="464" spans="1:1" x14ac:dyDescent="0.25">
      <c r="A464" s="16"/>
    </row>
    <row r="465" spans="1:1" x14ac:dyDescent="0.25">
      <c r="A465" s="16"/>
    </row>
    <row r="466" spans="1:1" x14ac:dyDescent="0.25">
      <c r="A466" s="16"/>
    </row>
    <row r="467" spans="1:1" x14ac:dyDescent="0.25">
      <c r="A467" s="16"/>
    </row>
    <row r="468" spans="1:1" x14ac:dyDescent="0.25">
      <c r="A468" s="16"/>
    </row>
    <row r="469" spans="1:1" x14ac:dyDescent="0.25">
      <c r="A469" s="16"/>
    </row>
    <row r="470" spans="1:1" x14ac:dyDescent="0.25">
      <c r="A470" s="16"/>
    </row>
    <row r="471" spans="1:1" x14ac:dyDescent="0.25">
      <c r="A471" s="16"/>
    </row>
    <row r="472" spans="1:1" x14ac:dyDescent="0.25">
      <c r="A472" s="16"/>
    </row>
    <row r="473" spans="1:1" x14ac:dyDescent="0.25">
      <c r="A473" s="16"/>
    </row>
    <row r="474" spans="1:1" x14ac:dyDescent="0.25">
      <c r="A474" s="16"/>
    </row>
    <row r="475" spans="1:1" x14ac:dyDescent="0.25">
      <c r="A475" s="16"/>
    </row>
    <row r="476" spans="1:1" x14ac:dyDescent="0.25">
      <c r="A476" s="16"/>
    </row>
    <row r="477" spans="1:1" x14ac:dyDescent="0.25">
      <c r="A477" s="16"/>
    </row>
    <row r="478" spans="1:1" x14ac:dyDescent="0.25">
      <c r="A478" s="16"/>
    </row>
    <row r="479" spans="1:1" x14ac:dyDescent="0.25">
      <c r="A479" s="16"/>
    </row>
    <row r="480" spans="1:1" x14ac:dyDescent="0.25">
      <c r="A480" s="16"/>
    </row>
    <row r="481" spans="1:1" x14ac:dyDescent="0.25">
      <c r="A481" s="16"/>
    </row>
    <row r="482" spans="1:1" x14ac:dyDescent="0.25">
      <c r="A482" s="16"/>
    </row>
    <row r="483" spans="1:1" x14ac:dyDescent="0.25">
      <c r="A483" s="16"/>
    </row>
    <row r="484" spans="1:1" x14ac:dyDescent="0.25">
      <c r="A484" s="16"/>
    </row>
    <row r="485" spans="1:1" x14ac:dyDescent="0.25">
      <c r="A485" s="16"/>
    </row>
    <row r="486" spans="1:1" x14ac:dyDescent="0.25">
      <c r="A486" s="16"/>
    </row>
    <row r="487" spans="1:1" x14ac:dyDescent="0.25">
      <c r="A487" s="16"/>
    </row>
    <row r="488" spans="1:1" x14ac:dyDescent="0.25">
      <c r="A488" s="16"/>
    </row>
    <row r="489" spans="1:1" x14ac:dyDescent="0.25">
      <c r="A489" s="16"/>
    </row>
    <row r="490" spans="1:1" x14ac:dyDescent="0.25">
      <c r="A490" s="16"/>
    </row>
    <row r="491" spans="1:1" x14ac:dyDescent="0.25">
      <c r="A491" s="16"/>
    </row>
    <row r="492" spans="1:1" x14ac:dyDescent="0.25">
      <c r="A492" s="16"/>
    </row>
    <row r="493" spans="1:1" x14ac:dyDescent="0.25">
      <c r="A493" s="16"/>
    </row>
    <row r="494" spans="1:1" x14ac:dyDescent="0.25">
      <c r="A494" s="16"/>
    </row>
    <row r="495" spans="1:1" x14ac:dyDescent="0.25">
      <c r="A495" s="16"/>
    </row>
    <row r="496" spans="1:1" x14ac:dyDescent="0.25">
      <c r="A496" s="16"/>
    </row>
    <row r="497" spans="1:1" x14ac:dyDescent="0.25">
      <c r="A497" s="16"/>
    </row>
    <row r="498" spans="1:1" x14ac:dyDescent="0.25">
      <c r="A498" s="16"/>
    </row>
    <row r="499" spans="1:1" x14ac:dyDescent="0.25">
      <c r="A499" s="16"/>
    </row>
    <row r="500" spans="1:1" x14ac:dyDescent="0.25">
      <c r="A500" s="16"/>
    </row>
    <row r="501" spans="1:1" x14ac:dyDescent="0.25">
      <c r="A501" s="16"/>
    </row>
    <row r="502" spans="1:1" x14ac:dyDescent="0.25">
      <c r="A502" s="16"/>
    </row>
    <row r="503" spans="1:1" x14ac:dyDescent="0.25">
      <c r="A503" s="16"/>
    </row>
    <row r="504" spans="1:1" x14ac:dyDescent="0.25">
      <c r="A504" s="16"/>
    </row>
    <row r="505" spans="1:1" x14ac:dyDescent="0.25">
      <c r="A505" s="16"/>
    </row>
    <row r="506" spans="1:1" x14ac:dyDescent="0.25">
      <c r="A506" s="16"/>
    </row>
    <row r="507" spans="1:1" x14ac:dyDescent="0.25">
      <c r="A507" s="16"/>
    </row>
    <row r="508" spans="1:1" x14ac:dyDescent="0.25">
      <c r="A508" s="16"/>
    </row>
    <row r="509" spans="1:1" x14ac:dyDescent="0.25">
      <c r="A509" s="16"/>
    </row>
    <row r="510" spans="1:1" x14ac:dyDescent="0.25">
      <c r="A510" s="16"/>
    </row>
    <row r="511" spans="1:1" x14ac:dyDescent="0.25">
      <c r="A511" s="16"/>
    </row>
    <row r="512" spans="1:1" x14ac:dyDescent="0.25">
      <c r="A512" s="16"/>
    </row>
    <row r="513" spans="1:1" x14ac:dyDescent="0.25">
      <c r="A513" s="16"/>
    </row>
    <row r="514" spans="1:1" x14ac:dyDescent="0.25">
      <c r="A514" s="16"/>
    </row>
    <row r="515" spans="1:1" x14ac:dyDescent="0.25">
      <c r="A515" s="16"/>
    </row>
    <row r="516" spans="1:1" x14ac:dyDescent="0.25">
      <c r="A516" s="16"/>
    </row>
    <row r="517" spans="1:1" x14ac:dyDescent="0.25">
      <c r="A517" s="16"/>
    </row>
    <row r="518" spans="1:1" x14ac:dyDescent="0.25">
      <c r="A518" s="16"/>
    </row>
    <row r="519" spans="1:1" x14ac:dyDescent="0.25">
      <c r="A519" s="16"/>
    </row>
    <row r="520" spans="1:1" x14ac:dyDescent="0.25">
      <c r="A520" s="16"/>
    </row>
    <row r="521" spans="1:1" x14ac:dyDescent="0.25">
      <c r="A521" s="16"/>
    </row>
    <row r="522" spans="1:1" x14ac:dyDescent="0.25">
      <c r="A522" s="16"/>
    </row>
    <row r="523" spans="1:1" x14ac:dyDescent="0.25">
      <c r="A523" s="16"/>
    </row>
    <row r="524" spans="1:1" x14ac:dyDescent="0.25">
      <c r="A524" s="16"/>
    </row>
    <row r="525" spans="1:1" x14ac:dyDescent="0.25">
      <c r="A525" s="16"/>
    </row>
    <row r="526" spans="1:1" x14ac:dyDescent="0.25">
      <c r="A526" s="16"/>
    </row>
    <row r="527" spans="1:1" x14ac:dyDescent="0.25">
      <c r="A527" s="16"/>
    </row>
    <row r="528" spans="1:1" x14ac:dyDescent="0.25">
      <c r="A528" s="16"/>
    </row>
    <row r="529" spans="1:1" x14ac:dyDescent="0.25">
      <c r="A529" s="16"/>
    </row>
    <row r="530" spans="1:1" x14ac:dyDescent="0.25">
      <c r="A530" s="16"/>
    </row>
    <row r="531" spans="1:1" x14ac:dyDescent="0.25">
      <c r="A531" s="16"/>
    </row>
    <row r="532" spans="1:1" x14ac:dyDescent="0.25">
      <c r="A532" s="16"/>
    </row>
    <row r="533" spans="1:1" x14ac:dyDescent="0.25">
      <c r="A533" s="16"/>
    </row>
    <row r="534" spans="1:1" x14ac:dyDescent="0.25">
      <c r="A534" s="16"/>
    </row>
    <row r="535" spans="1:1" x14ac:dyDescent="0.25">
      <c r="A535" s="16"/>
    </row>
    <row r="536" spans="1:1" x14ac:dyDescent="0.25">
      <c r="A536" s="16"/>
    </row>
    <row r="537" spans="1:1" x14ac:dyDescent="0.25">
      <c r="A537" s="16"/>
    </row>
    <row r="538" spans="1:1" x14ac:dyDescent="0.25">
      <c r="A538" s="16"/>
    </row>
    <row r="539" spans="1:1" x14ac:dyDescent="0.25">
      <c r="A539" s="16"/>
    </row>
    <row r="540" spans="1:1" x14ac:dyDescent="0.25">
      <c r="A540" s="16"/>
    </row>
    <row r="541" spans="1:1" x14ac:dyDescent="0.25">
      <c r="A541" s="16"/>
    </row>
    <row r="542" spans="1:1" x14ac:dyDescent="0.25">
      <c r="A542" s="16"/>
    </row>
    <row r="543" spans="1:1" x14ac:dyDescent="0.25">
      <c r="A543" s="16"/>
    </row>
    <row r="544" spans="1:1" x14ac:dyDescent="0.25">
      <c r="A544" s="16"/>
    </row>
    <row r="545" spans="1:1" x14ac:dyDescent="0.25">
      <c r="A545" s="16"/>
    </row>
    <row r="546" spans="1:1" x14ac:dyDescent="0.25">
      <c r="A546" s="16"/>
    </row>
    <row r="547" spans="1:1" x14ac:dyDescent="0.25">
      <c r="A547" s="16"/>
    </row>
    <row r="548" spans="1:1" x14ac:dyDescent="0.25">
      <c r="A548" s="16"/>
    </row>
    <row r="549" spans="1:1" x14ac:dyDescent="0.25">
      <c r="A549" s="16"/>
    </row>
    <row r="550" spans="1:1" x14ac:dyDescent="0.25">
      <c r="A550" s="16"/>
    </row>
    <row r="551" spans="1:1" x14ac:dyDescent="0.25">
      <c r="A551" s="16"/>
    </row>
    <row r="552" spans="1:1" x14ac:dyDescent="0.25">
      <c r="A552" s="16"/>
    </row>
    <row r="553" spans="1:1" x14ac:dyDescent="0.25">
      <c r="A553" s="16"/>
    </row>
    <row r="554" spans="1:1" x14ac:dyDescent="0.25">
      <c r="A554" s="16"/>
    </row>
    <row r="555" spans="1:1" x14ac:dyDescent="0.25">
      <c r="A555" s="16"/>
    </row>
    <row r="556" spans="1:1" x14ac:dyDescent="0.25">
      <c r="A556" s="16"/>
    </row>
    <row r="557" spans="1:1" x14ac:dyDescent="0.25">
      <c r="A557" s="16"/>
    </row>
    <row r="558" spans="1:1" x14ac:dyDescent="0.25">
      <c r="A558" s="16"/>
    </row>
    <row r="559" spans="1:1" x14ac:dyDescent="0.25">
      <c r="A559" s="16"/>
    </row>
    <row r="560" spans="1:1" x14ac:dyDescent="0.25">
      <c r="A560" s="16"/>
    </row>
    <row r="561" spans="1:1" x14ac:dyDescent="0.25">
      <c r="A561" s="16"/>
    </row>
    <row r="562" spans="1:1" x14ac:dyDescent="0.25">
      <c r="A562" s="16"/>
    </row>
    <row r="563" spans="1:1" x14ac:dyDescent="0.25">
      <c r="A563" s="16"/>
    </row>
    <row r="564" spans="1:1" x14ac:dyDescent="0.25">
      <c r="A564" s="16"/>
    </row>
    <row r="565" spans="1:1" x14ac:dyDescent="0.25">
      <c r="A565" s="16"/>
    </row>
    <row r="566" spans="1:1" x14ac:dyDescent="0.25">
      <c r="A566" s="16"/>
    </row>
    <row r="567" spans="1:1" x14ac:dyDescent="0.25">
      <c r="A567" s="16"/>
    </row>
    <row r="568" spans="1:1" x14ac:dyDescent="0.25">
      <c r="A568" s="16"/>
    </row>
    <row r="569" spans="1:1" x14ac:dyDescent="0.25">
      <c r="A569" s="16"/>
    </row>
    <row r="570" spans="1:1" x14ac:dyDescent="0.25">
      <c r="A570" s="16"/>
    </row>
    <row r="571" spans="1:1" x14ac:dyDescent="0.25">
      <c r="A571" s="16"/>
    </row>
    <row r="572" spans="1:1" x14ac:dyDescent="0.25">
      <c r="A572" s="16"/>
    </row>
    <row r="573" spans="1:1" x14ac:dyDescent="0.25">
      <c r="A573" s="16"/>
    </row>
    <row r="574" spans="1:1" x14ac:dyDescent="0.25">
      <c r="A574" s="16"/>
    </row>
    <row r="575" spans="1:1" x14ac:dyDescent="0.25">
      <c r="A575" s="16"/>
    </row>
    <row r="576" spans="1:1" x14ac:dyDescent="0.25">
      <c r="A576" s="16"/>
    </row>
    <row r="577" spans="1:1" x14ac:dyDescent="0.25">
      <c r="A577" s="16"/>
    </row>
    <row r="578" spans="1:1" x14ac:dyDescent="0.25">
      <c r="A578" s="16"/>
    </row>
    <row r="579" spans="1:1" x14ac:dyDescent="0.25">
      <c r="A579" s="16"/>
    </row>
    <row r="580" spans="1:1" x14ac:dyDescent="0.25">
      <c r="A580" s="16"/>
    </row>
    <row r="581" spans="1:1" x14ac:dyDescent="0.25">
      <c r="A581" s="16"/>
    </row>
    <row r="582" spans="1:1" x14ac:dyDescent="0.25">
      <c r="A582" s="16"/>
    </row>
    <row r="583" spans="1:1" x14ac:dyDescent="0.25">
      <c r="A583" s="16"/>
    </row>
    <row r="584" spans="1:1" x14ac:dyDescent="0.25">
      <c r="A584" s="16"/>
    </row>
    <row r="585" spans="1:1" x14ac:dyDescent="0.25">
      <c r="A585" s="16"/>
    </row>
    <row r="586" spans="1:1" x14ac:dyDescent="0.25">
      <c r="A586" s="16"/>
    </row>
    <row r="587" spans="1:1" x14ac:dyDescent="0.25">
      <c r="A587" s="16"/>
    </row>
    <row r="588" spans="1:1" x14ac:dyDescent="0.25">
      <c r="A588" s="16"/>
    </row>
    <row r="589" spans="1:1" x14ac:dyDescent="0.25">
      <c r="A589" s="16"/>
    </row>
    <row r="590" spans="1:1" x14ac:dyDescent="0.25">
      <c r="A590" s="16"/>
    </row>
    <row r="591" spans="1:1" x14ac:dyDescent="0.25">
      <c r="A591" s="16"/>
    </row>
    <row r="592" spans="1:1" x14ac:dyDescent="0.25">
      <c r="A592" s="16"/>
    </row>
    <row r="593" spans="1:1" x14ac:dyDescent="0.25">
      <c r="A593" s="16"/>
    </row>
    <row r="594" spans="1:1" x14ac:dyDescent="0.25">
      <c r="A594" s="16"/>
    </row>
    <row r="595" spans="1:1" x14ac:dyDescent="0.25">
      <c r="A595" s="16"/>
    </row>
    <row r="596" spans="1:1" x14ac:dyDescent="0.25">
      <c r="A596" s="16"/>
    </row>
    <row r="597" spans="1:1" x14ac:dyDescent="0.25">
      <c r="A597" s="16"/>
    </row>
    <row r="598" spans="1:1" x14ac:dyDescent="0.25">
      <c r="A598" s="16"/>
    </row>
    <row r="599" spans="1:1" x14ac:dyDescent="0.25">
      <c r="A599" s="16"/>
    </row>
    <row r="600" spans="1:1" x14ac:dyDescent="0.25">
      <c r="A600" s="16"/>
    </row>
    <row r="601" spans="1:1" x14ac:dyDescent="0.25">
      <c r="A601" s="16"/>
    </row>
    <row r="602" spans="1:1" x14ac:dyDescent="0.25">
      <c r="A602" s="16"/>
    </row>
    <row r="603" spans="1:1" x14ac:dyDescent="0.25">
      <c r="A603" s="16"/>
    </row>
    <row r="604" spans="1:1" x14ac:dyDescent="0.25">
      <c r="A604" s="16"/>
    </row>
    <row r="605" spans="1:1" x14ac:dyDescent="0.25">
      <c r="A605" s="16"/>
    </row>
    <row r="606" spans="1:1" x14ac:dyDescent="0.25">
      <c r="A606" s="16"/>
    </row>
    <row r="607" spans="1:1" x14ac:dyDescent="0.25">
      <c r="A607" s="16"/>
    </row>
    <row r="608" spans="1:1" x14ac:dyDescent="0.25">
      <c r="A608" s="16"/>
    </row>
    <row r="609" spans="1:1" x14ac:dyDescent="0.25">
      <c r="A609" s="16"/>
    </row>
    <row r="610" spans="1:1" x14ac:dyDescent="0.25">
      <c r="A610" s="16"/>
    </row>
    <row r="611" spans="1:1" x14ac:dyDescent="0.25">
      <c r="A611" s="16"/>
    </row>
    <row r="612" spans="1:1" x14ac:dyDescent="0.25">
      <c r="A612" s="16"/>
    </row>
    <row r="613" spans="1:1" x14ac:dyDescent="0.25">
      <c r="A613" s="16"/>
    </row>
    <row r="614" spans="1:1" x14ac:dyDescent="0.25">
      <c r="A614" s="16"/>
    </row>
    <row r="615" spans="1:1" x14ac:dyDescent="0.25">
      <c r="A615" s="16"/>
    </row>
    <row r="616" spans="1:1" x14ac:dyDescent="0.25">
      <c r="A616" s="16"/>
    </row>
    <row r="617" spans="1:1" x14ac:dyDescent="0.25">
      <c r="A617" s="16"/>
    </row>
    <row r="618" spans="1:1" x14ac:dyDescent="0.25">
      <c r="A618" s="16"/>
    </row>
    <row r="619" spans="1:1" x14ac:dyDescent="0.25">
      <c r="A619" s="16"/>
    </row>
    <row r="620" spans="1:1" x14ac:dyDescent="0.25">
      <c r="A620" s="16"/>
    </row>
    <row r="621" spans="1:1" x14ac:dyDescent="0.25">
      <c r="A621" s="16"/>
    </row>
    <row r="622" spans="1:1" x14ac:dyDescent="0.25">
      <c r="A622" s="16"/>
    </row>
    <row r="623" spans="1:1" x14ac:dyDescent="0.25">
      <c r="A623" s="16"/>
    </row>
    <row r="624" spans="1:1" x14ac:dyDescent="0.25">
      <c r="A624" s="16"/>
    </row>
    <row r="625" spans="1:1" x14ac:dyDescent="0.25">
      <c r="A625" s="16"/>
    </row>
    <row r="626" spans="1:1" x14ac:dyDescent="0.25">
      <c r="A626" s="16"/>
    </row>
    <row r="627" spans="1:1" x14ac:dyDescent="0.25">
      <c r="A627" s="16"/>
    </row>
    <row r="628" spans="1:1" x14ac:dyDescent="0.25">
      <c r="A628" s="16"/>
    </row>
    <row r="629" spans="1:1" x14ac:dyDescent="0.25">
      <c r="A629" s="16"/>
    </row>
    <row r="630" spans="1:1" x14ac:dyDescent="0.25">
      <c r="A630" s="16"/>
    </row>
    <row r="631" spans="1:1" x14ac:dyDescent="0.25">
      <c r="A631" s="16"/>
    </row>
    <row r="632" spans="1:1" x14ac:dyDescent="0.25">
      <c r="A632" s="16"/>
    </row>
    <row r="633" spans="1:1" x14ac:dyDescent="0.25">
      <c r="A633" s="16"/>
    </row>
    <row r="634" spans="1:1" x14ac:dyDescent="0.25">
      <c r="A634" s="16"/>
    </row>
    <row r="635" spans="1:1" x14ac:dyDescent="0.25">
      <c r="A635" s="16"/>
    </row>
    <row r="636" spans="1:1" x14ac:dyDescent="0.25">
      <c r="A636" s="16"/>
    </row>
    <row r="637" spans="1:1" x14ac:dyDescent="0.25">
      <c r="A637" s="16"/>
    </row>
    <row r="638" spans="1:1" x14ac:dyDescent="0.25">
      <c r="A638" s="16"/>
    </row>
    <row r="639" spans="1:1" x14ac:dyDescent="0.25">
      <c r="A639" s="16"/>
    </row>
    <row r="640" spans="1:1" x14ac:dyDescent="0.25">
      <c r="A640" s="16"/>
    </row>
    <row r="641" spans="1:1" x14ac:dyDescent="0.25">
      <c r="A641" s="16"/>
    </row>
    <row r="642" spans="1:1" x14ac:dyDescent="0.25">
      <c r="A642" s="16"/>
    </row>
    <row r="643" spans="1:1" x14ac:dyDescent="0.25">
      <c r="A643" s="16"/>
    </row>
    <row r="644" spans="1:1" x14ac:dyDescent="0.25">
      <c r="A644" s="16"/>
    </row>
    <row r="645" spans="1:1" x14ac:dyDescent="0.25">
      <c r="A645" s="16"/>
    </row>
    <row r="646" spans="1:1" x14ac:dyDescent="0.25">
      <c r="A646" s="16"/>
    </row>
    <row r="647" spans="1:1" x14ac:dyDescent="0.25">
      <c r="A647" s="16"/>
    </row>
    <row r="648" spans="1:1" x14ac:dyDescent="0.25">
      <c r="A648" s="16"/>
    </row>
    <row r="649" spans="1:1" x14ac:dyDescent="0.25">
      <c r="A649" s="16"/>
    </row>
    <row r="650" spans="1:1" x14ac:dyDescent="0.25">
      <c r="A650" s="16"/>
    </row>
    <row r="651" spans="1:1" x14ac:dyDescent="0.25">
      <c r="A651" s="16"/>
    </row>
    <row r="652" spans="1:1" x14ac:dyDescent="0.25">
      <c r="A652" s="16"/>
    </row>
    <row r="653" spans="1:1" x14ac:dyDescent="0.25">
      <c r="A653" s="16"/>
    </row>
    <row r="654" spans="1:1" x14ac:dyDescent="0.25">
      <c r="A654" s="16"/>
    </row>
    <row r="655" spans="1:1" x14ac:dyDescent="0.25">
      <c r="A655" s="16"/>
    </row>
    <row r="656" spans="1:1" x14ac:dyDescent="0.25">
      <c r="A656" s="16"/>
    </row>
    <row r="657" spans="1:1" x14ac:dyDescent="0.25">
      <c r="A657" s="16"/>
    </row>
    <row r="658" spans="1:1" x14ac:dyDescent="0.25">
      <c r="A658" s="16"/>
    </row>
    <row r="659" spans="1:1" x14ac:dyDescent="0.25">
      <c r="A659" s="16"/>
    </row>
    <row r="660" spans="1:1" x14ac:dyDescent="0.25">
      <c r="A660" s="16"/>
    </row>
    <row r="661" spans="1:1" x14ac:dyDescent="0.25">
      <c r="A661" s="16"/>
    </row>
    <row r="662" spans="1:1" x14ac:dyDescent="0.25">
      <c r="A662" s="16"/>
    </row>
    <row r="663" spans="1:1" x14ac:dyDescent="0.25">
      <c r="A663" s="16"/>
    </row>
    <row r="664" spans="1:1" x14ac:dyDescent="0.25">
      <c r="A664" s="16"/>
    </row>
    <row r="665" spans="1:1" x14ac:dyDescent="0.25">
      <c r="A665" s="16"/>
    </row>
    <row r="666" spans="1:1" x14ac:dyDescent="0.25">
      <c r="A666" s="16"/>
    </row>
    <row r="667" spans="1:1" x14ac:dyDescent="0.25">
      <c r="A667" s="16"/>
    </row>
    <row r="668" spans="1:1" x14ac:dyDescent="0.25">
      <c r="A668" s="16"/>
    </row>
    <row r="669" spans="1:1" x14ac:dyDescent="0.25">
      <c r="A669" s="16"/>
    </row>
    <row r="670" spans="1:1" x14ac:dyDescent="0.25">
      <c r="A670" s="16"/>
    </row>
    <row r="671" spans="1:1" x14ac:dyDescent="0.25">
      <c r="A671" s="16"/>
    </row>
    <row r="672" spans="1:1" x14ac:dyDescent="0.25">
      <c r="A672" s="16"/>
    </row>
    <row r="673" spans="1:1" x14ac:dyDescent="0.25">
      <c r="A673" s="16"/>
    </row>
    <row r="674" spans="1:1" x14ac:dyDescent="0.25">
      <c r="A674" s="16"/>
    </row>
    <row r="675" spans="1:1" x14ac:dyDescent="0.25">
      <c r="A675" s="16"/>
    </row>
    <row r="676" spans="1:1" x14ac:dyDescent="0.25">
      <c r="A676" s="16"/>
    </row>
    <row r="677" spans="1:1" x14ac:dyDescent="0.25">
      <c r="A677" s="16"/>
    </row>
    <row r="678" spans="1:1" x14ac:dyDescent="0.25">
      <c r="A678" s="16"/>
    </row>
    <row r="679" spans="1:1" x14ac:dyDescent="0.25">
      <c r="A679" s="16"/>
    </row>
    <row r="680" spans="1:1" x14ac:dyDescent="0.25">
      <c r="A680" s="16"/>
    </row>
    <row r="681" spans="1:1" x14ac:dyDescent="0.25">
      <c r="A681" s="16"/>
    </row>
    <row r="682" spans="1:1" x14ac:dyDescent="0.25">
      <c r="A682" s="16"/>
    </row>
    <row r="683" spans="1:1" x14ac:dyDescent="0.25">
      <c r="A683" s="16"/>
    </row>
    <row r="684" spans="1:1" x14ac:dyDescent="0.25">
      <c r="A684" s="16"/>
    </row>
    <row r="685" spans="1:1" x14ac:dyDescent="0.25">
      <c r="A685" s="16"/>
    </row>
    <row r="686" spans="1:1" x14ac:dyDescent="0.25">
      <c r="A686" s="16"/>
    </row>
    <row r="687" spans="1:1" x14ac:dyDescent="0.25">
      <c r="A687" s="16"/>
    </row>
    <row r="688" spans="1:1" x14ac:dyDescent="0.25">
      <c r="A688" s="16"/>
    </row>
    <row r="689" spans="1:1" x14ac:dyDescent="0.25">
      <c r="A689" s="16"/>
    </row>
    <row r="690" spans="1:1" x14ac:dyDescent="0.25">
      <c r="A690" s="16"/>
    </row>
    <row r="691" spans="1:1" x14ac:dyDescent="0.25">
      <c r="A691" s="16"/>
    </row>
    <row r="692" spans="1:1" x14ac:dyDescent="0.25">
      <c r="A692" s="16"/>
    </row>
    <row r="693" spans="1:1" x14ac:dyDescent="0.25">
      <c r="A693" s="16"/>
    </row>
    <row r="694" spans="1:1" x14ac:dyDescent="0.25">
      <c r="A694" s="16"/>
    </row>
    <row r="695" spans="1:1" x14ac:dyDescent="0.25">
      <c r="A695" s="16"/>
    </row>
    <row r="696" spans="1:1" x14ac:dyDescent="0.25">
      <c r="A696" s="16"/>
    </row>
    <row r="697" spans="1:1" x14ac:dyDescent="0.25">
      <c r="A697" s="16"/>
    </row>
    <row r="698" spans="1:1" x14ac:dyDescent="0.25">
      <c r="A698" s="16"/>
    </row>
    <row r="699" spans="1:1" x14ac:dyDescent="0.25">
      <c r="A699" s="16"/>
    </row>
    <row r="700" spans="1:1" x14ac:dyDescent="0.25">
      <c r="A700" s="16"/>
    </row>
    <row r="701" spans="1:1" x14ac:dyDescent="0.25">
      <c r="A701" s="16"/>
    </row>
    <row r="702" spans="1:1" x14ac:dyDescent="0.25">
      <c r="A702" s="16"/>
    </row>
    <row r="703" spans="1:1" x14ac:dyDescent="0.25">
      <c r="A703" s="16"/>
    </row>
    <row r="704" spans="1:1" x14ac:dyDescent="0.25">
      <c r="A704" s="16"/>
    </row>
    <row r="705" spans="1:1" x14ac:dyDescent="0.25">
      <c r="A705" s="16"/>
    </row>
    <row r="706" spans="1:1" x14ac:dyDescent="0.25">
      <c r="A706" s="16"/>
    </row>
    <row r="707" spans="1:1" x14ac:dyDescent="0.25">
      <c r="A707" s="16"/>
    </row>
    <row r="708" spans="1:1" x14ac:dyDescent="0.25">
      <c r="A708" s="16"/>
    </row>
    <row r="709" spans="1:1" x14ac:dyDescent="0.25">
      <c r="A709" s="16"/>
    </row>
    <row r="710" spans="1:1" x14ac:dyDescent="0.25">
      <c r="A710" s="16"/>
    </row>
    <row r="711" spans="1:1" x14ac:dyDescent="0.25">
      <c r="A711" s="16"/>
    </row>
    <row r="712" spans="1:1" x14ac:dyDescent="0.25">
      <c r="A712" s="16"/>
    </row>
    <row r="713" spans="1:1" x14ac:dyDescent="0.25">
      <c r="A713" s="16"/>
    </row>
    <row r="714" spans="1:1" x14ac:dyDescent="0.25">
      <c r="A714" s="16"/>
    </row>
    <row r="715" spans="1:1" x14ac:dyDescent="0.25">
      <c r="A715" s="16"/>
    </row>
    <row r="716" spans="1:1" x14ac:dyDescent="0.25">
      <c r="A716" s="16"/>
    </row>
    <row r="717" spans="1:1" x14ac:dyDescent="0.25">
      <c r="A717" s="16"/>
    </row>
    <row r="718" spans="1:1" x14ac:dyDescent="0.25">
      <c r="A718" s="16"/>
    </row>
    <row r="719" spans="1:1" x14ac:dyDescent="0.25">
      <c r="A719" s="16"/>
    </row>
    <row r="720" spans="1:1" x14ac:dyDescent="0.25">
      <c r="A720" s="16"/>
    </row>
    <row r="721" spans="1:1" x14ac:dyDescent="0.25">
      <c r="A721" s="16"/>
    </row>
    <row r="722" spans="1:1" x14ac:dyDescent="0.25">
      <c r="A722" s="16"/>
    </row>
    <row r="723" spans="1:1" x14ac:dyDescent="0.25">
      <c r="A723" s="16"/>
    </row>
    <row r="724" spans="1:1" x14ac:dyDescent="0.25">
      <c r="A724" s="16"/>
    </row>
    <row r="725" spans="1:1" x14ac:dyDescent="0.25">
      <c r="A725" s="16"/>
    </row>
    <row r="726" spans="1:1" x14ac:dyDescent="0.25">
      <c r="A726" s="16"/>
    </row>
    <row r="727" spans="1:1" x14ac:dyDescent="0.25">
      <c r="A727" s="16"/>
    </row>
    <row r="728" spans="1:1" x14ac:dyDescent="0.25">
      <c r="A728" s="16"/>
    </row>
    <row r="729" spans="1:1" x14ac:dyDescent="0.25">
      <c r="A729" s="16"/>
    </row>
    <row r="730" spans="1:1" x14ac:dyDescent="0.25">
      <c r="A730" s="16"/>
    </row>
    <row r="731" spans="1:1" x14ac:dyDescent="0.25">
      <c r="A731" s="16"/>
    </row>
    <row r="732" spans="1:1" x14ac:dyDescent="0.25">
      <c r="A732" s="16"/>
    </row>
    <row r="733" spans="1:1" x14ac:dyDescent="0.25">
      <c r="A733" s="16"/>
    </row>
    <row r="734" spans="1:1" x14ac:dyDescent="0.25">
      <c r="A734" s="16"/>
    </row>
    <row r="735" spans="1:1" x14ac:dyDescent="0.25">
      <c r="A735" s="16"/>
    </row>
    <row r="736" spans="1:1" x14ac:dyDescent="0.25">
      <c r="A736" s="16"/>
    </row>
    <row r="737" spans="1:1" x14ac:dyDescent="0.25">
      <c r="A737" s="16"/>
    </row>
    <row r="738" spans="1:1" x14ac:dyDescent="0.25">
      <c r="A738" s="16"/>
    </row>
    <row r="739" spans="1:1" x14ac:dyDescent="0.25">
      <c r="A739" s="16"/>
    </row>
    <row r="740" spans="1:1" x14ac:dyDescent="0.25">
      <c r="A740" s="16"/>
    </row>
    <row r="741" spans="1:1" x14ac:dyDescent="0.25">
      <c r="A741" s="16"/>
    </row>
    <row r="742" spans="1:1" x14ac:dyDescent="0.25">
      <c r="A742" s="16"/>
    </row>
    <row r="743" spans="1:1" x14ac:dyDescent="0.25">
      <c r="A743" s="16"/>
    </row>
    <row r="744" spans="1:1" x14ac:dyDescent="0.25">
      <c r="A744" s="16"/>
    </row>
    <row r="745" spans="1:1" x14ac:dyDescent="0.25">
      <c r="A745" s="16"/>
    </row>
    <row r="746" spans="1:1" x14ac:dyDescent="0.25">
      <c r="A746" s="16"/>
    </row>
    <row r="747" spans="1:1" x14ac:dyDescent="0.25">
      <c r="A747" s="16"/>
    </row>
    <row r="748" spans="1:1" x14ac:dyDescent="0.25">
      <c r="A748" s="16"/>
    </row>
    <row r="749" spans="1:1" x14ac:dyDescent="0.25">
      <c r="A749" s="16"/>
    </row>
    <row r="750" spans="1:1" x14ac:dyDescent="0.25">
      <c r="A750" s="16"/>
    </row>
    <row r="751" spans="1:1" x14ac:dyDescent="0.25">
      <c r="A751" s="16"/>
    </row>
    <row r="752" spans="1:1" x14ac:dyDescent="0.25">
      <c r="A752" s="16"/>
    </row>
    <row r="753" spans="1:1" x14ac:dyDescent="0.25">
      <c r="A753" s="16"/>
    </row>
    <row r="754" spans="1:1" x14ac:dyDescent="0.25">
      <c r="A754" s="16"/>
    </row>
    <row r="755" spans="1:1" x14ac:dyDescent="0.25">
      <c r="A755" s="16"/>
    </row>
    <row r="756" spans="1:1" x14ac:dyDescent="0.25">
      <c r="A756" s="16"/>
    </row>
    <row r="757" spans="1:1" x14ac:dyDescent="0.25">
      <c r="A757" s="16"/>
    </row>
    <row r="758" spans="1:1" x14ac:dyDescent="0.25">
      <c r="A758" s="16"/>
    </row>
    <row r="759" spans="1:1" x14ac:dyDescent="0.25">
      <c r="A759" s="16"/>
    </row>
    <row r="760" spans="1:1" x14ac:dyDescent="0.25">
      <c r="A760" s="16"/>
    </row>
    <row r="761" spans="1:1" x14ac:dyDescent="0.25">
      <c r="A761" s="16"/>
    </row>
    <row r="762" spans="1:1" x14ac:dyDescent="0.25">
      <c r="A762" s="16"/>
    </row>
    <row r="763" spans="1:1" x14ac:dyDescent="0.25">
      <c r="A763" s="16"/>
    </row>
    <row r="764" spans="1:1" x14ac:dyDescent="0.25">
      <c r="A764" s="16"/>
    </row>
    <row r="765" spans="1:1" x14ac:dyDescent="0.25">
      <c r="A765" s="16"/>
    </row>
    <row r="766" spans="1:1" x14ac:dyDescent="0.25">
      <c r="A766" s="16"/>
    </row>
    <row r="767" spans="1:1" x14ac:dyDescent="0.25">
      <c r="A767" s="16"/>
    </row>
    <row r="768" spans="1:1" x14ac:dyDescent="0.25">
      <c r="A768" s="16"/>
    </row>
    <row r="769" spans="1:1" x14ac:dyDescent="0.25">
      <c r="A769" s="16"/>
    </row>
    <row r="770" spans="1:1" x14ac:dyDescent="0.25">
      <c r="A770" s="16"/>
    </row>
    <row r="771" spans="1:1" x14ac:dyDescent="0.25">
      <c r="A771" s="16"/>
    </row>
    <row r="772" spans="1:1" x14ac:dyDescent="0.25">
      <c r="A772" s="16"/>
    </row>
    <row r="773" spans="1:1" x14ac:dyDescent="0.25">
      <c r="A773" s="16"/>
    </row>
    <row r="774" spans="1:1" x14ac:dyDescent="0.25">
      <c r="A774" s="16"/>
    </row>
    <row r="775" spans="1:1" x14ac:dyDescent="0.25">
      <c r="A775" s="16"/>
    </row>
    <row r="776" spans="1:1" x14ac:dyDescent="0.25">
      <c r="A776" s="16"/>
    </row>
    <row r="777" spans="1:1" x14ac:dyDescent="0.25">
      <c r="A777" s="16"/>
    </row>
    <row r="778" spans="1:1" x14ac:dyDescent="0.25">
      <c r="A778" s="16"/>
    </row>
    <row r="779" spans="1:1" x14ac:dyDescent="0.25">
      <c r="A779" s="16"/>
    </row>
    <row r="780" spans="1:1" x14ac:dyDescent="0.25">
      <c r="A780" s="16"/>
    </row>
    <row r="781" spans="1:1" x14ac:dyDescent="0.25">
      <c r="A781" s="16"/>
    </row>
    <row r="782" spans="1:1" x14ac:dyDescent="0.25">
      <c r="A782" s="16"/>
    </row>
    <row r="783" spans="1:1" x14ac:dyDescent="0.25">
      <c r="A783" s="16"/>
    </row>
    <row r="784" spans="1:1" x14ac:dyDescent="0.25">
      <c r="A784" s="16"/>
    </row>
    <row r="785" spans="1:1" x14ac:dyDescent="0.25">
      <c r="A785" s="16"/>
    </row>
    <row r="786" spans="1:1" x14ac:dyDescent="0.25">
      <c r="A786" s="16"/>
    </row>
    <row r="787" spans="1:1" x14ac:dyDescent="0.25">
      <c r="A787" s="16"/>
    </row>
    <row r="788" spans="1:1" x14ac:dyDescent="0.25">
      <c r="A788" s="16"/>
    </row>
    <row r="789" spans="1:1" x14ac:dyDescent="0.25">
      <c r="A789" s="16"/>
    </row>
    <row r="790" spans="1:1" x14ac:dyDescent="0.25">
      <c r="A790" s="16"/>
    </row>
    <row r="791" spans="1:1" x14ac:dyDescent="0.25">
      <c r="A791" s="16"/>
    </row>
    <row r="792" spans="1:1" x14ac:dyDescent="0.25">
      <c r="A792" s="16"/>
    </row>
    <row r="793" spans="1:1" x14ac:dyDescent="0.25">
      <c r="A793" s="16"/>
    </row>
    <row r="794" spans="1:1" x14ac:dyDescent="0.25">
      <c r="A794" s="16"/>
    </row>
    <row r="795" spans="1:1" x14ac:dyDescent="0.25">
      <c r="A795" s="16"/>
    </row>
    <row r="796" spans="1:1" x14ac:dyDescent="0.25">
      <c r="A796" s="16"/>
    </row>
    <row r="797" spans="1:1" x14ac:dyDescent="0.25">
      <c r="A797" s="16"/>
    </row>
    <row r="798" spans="1:1" x14ac:dyDescent="0.25">
      <c r="A798" s="16"/>
    </row>
    <row r="799" spans="1:1" x14ac:dyDescent="0.25">
      <c r="A799" s="16"/>
    </row>
    <row r="800" spans="1:1" x14ac:dyDescent="0.25">
      <c r="A800" s="16"/>
    </row>
    <row r="801" spans="1:1" x14ac:dyDescent="0.25">
      <c r="A801" s="16"/>
    </row>
    <row r="802" spans="1:1" x14ac:dyDescent="0.25">
      <c r="A802" s="16"/>
    </row>
    <row r="803" spans="1:1" x14ac:dyDescent="0.25">
      <c r="A803" s="16"/>
    </row>
    <row r="804" spans="1:1" x14ac:dyDescent="0.25">
      <c r="A804" s="16"/>
    </row>
    <row r="805" spans="1:1" x14ac:dyDescent="0.25">
      <c r="A805" s="16"/>
    </row>
    <row r="806" spans="1:1" x14ac:dyDescent="0.25">
      <c r="A806" s="16"/>
    </row>
    <row r="807" spans="1:1" x14ac:dyDescent="0.25">
      <c r="A807" s="16"/>
    </row>
    <row r="808" spans="1:1" x14ac:dyDescent="0.25">
      <c r="A808" s="16"/>
    </row>
    <row r="809" spans="1:1" x14ac:dyDescent="0.25">
      <c r="A809" s="16"/>
    </row>
    <row r="810" spans="1:1" x14ac:dyDescent="0.25">
      <c r="A810" s="16"/>
    </row>
    <row r="811" spans="1:1" x14ac:dyDescent="0.25">
      <c r="A811" s="16"/>
    </row>
    <row r="812" spans="1:1" x14ac:dyDescent="0.25">
      <c r="A812" s="16"/>
    </row>
    <row r="813" spans="1:1" x14ac:dyDescent="0.25">
      <c r="A813" s="16"/>
    </row>
    <row r="814" spans="1:1" x14ac:dyDescent="0.25">
      <c r="A814" s="16"/>
    </row>
    <row r="815" spans="1:1" x14ac:dyDescent="0.25">
      <c r="A815" s="16"/>
    </row>
    <row r="816" spans="1:1" x14ac:dyDescent="0.25">
      <c r="A816" s="16"/>
    </row>
    <row r="817" spans="1:1" x14ac:dyDescent="0.25">
      <c r="A817" s="16"/>
    </row>
    <row r="818" spans="1:1" x14ac:dyDescent="0.25">
      <c r="A818" s="16"/>
    </row>
    <row r="819" spans="1:1" x14ac:dyDescent="0.25">
      <c r="A819" s="16"/>
    </row>
    <row r="820" spans="1:1" x14ac:dyDescent="0.25">
      <c r="A820" s="16"/>
    </row>
    <row r="821" spans="1:1" x14ac:dyDescent="0.25">
      <c r="A821" s="16"/>
    </row>
    <row r="822" spans="1:1" x14ac:dyDescent="0.25">
      <c r="A822" s="16"/>
    </row>
    <row r="823" spans="1:1" x14ac:dyDescent="0.25">
      <c r="A823" s="16"/>
    </row>
    <row r="824" spans="1:1" x14ac:dyDescent="0.25">
      <c r="A824" s="16"/>
    </row>
    <row r="825" spans="1:1" x14ac:dyDescent="0.25">
      <c r="A825" s="16"/>
    </row>
    <row r="826" spans="1:1" x14ac:dyDescent="0.25">
      <c r="A826" s="16"/>
    </row>
    <row r="827" spans="1:1" x14ac:dyDescent="0.25">
      <c r="A827" s="16"/>
    </row>
    <row r="828" spans="1:1" x14ac:dyDescent="0.25">
      <c r="A828" s="16"/>
    </row>
    <row r="829" spans="1:1" x14ac:dyDescent="0.25">
      <c r="A829" s="16"/>
    </row>
    <row r="830" spans="1:1" x14ac:dyDescent="0.25">
      <c r="A830" s="16"/>
    </row>
    <row r="831" spans="1:1" x14ac:dyDescent="0.25">
      <c r="A831" s="16"/>
    </row>
    <row r="832" spans="1:1" x14ac:dyDescent="0.25">
      <c r="A832" s="16"/>
    </row>
    <row r="833" spans="1:1" x14ac:dyDescent="0.25">
      <c r="A833" s="16"/>
    </row>
    <row r="834" spans="1:1" x14ac:dyDescent="0.25">
      <c r="A834" s="16"/>
    </row>
    <row r="835" spans="1:1" x14ac:dyDescent="0.25">
      <c r="A835" s="16"/>
    </row>
    <row r="836" spans="1:1" x14ac:dyDescent="0.25">
      <c r="A836" s="16"/>
    </row>
    <row r="837" spans="1:1" x14ac:dyDescent="0.25">
      <c r="A837" s="16"/>
    </row>
    <row r="838" spans="1:1" x14ac:dyDescent="0.25">
      <c r="A838" s="16"/>
    </row>
    <row r="839" spans="1:1" x14ac:dyDescent="0.25">
      <c r="A839" s="16"/>
    </row>
    <row r="840" spans="1:1" x14ac:dyDescent="0.25">
      <c r="A840" s="16"/>
    </row>
    <row r="841" spans="1:1" x14ac:dyDescent="0.25">
      <c r="A841" s="16"/>
    </row>
    <row r="842" spans="1:1" x14ac:dyDescent="0.25">
      <c r="A842" s="16"/>
    </row>
    <row r="843" spans="1:1" x14ac:dyDescent="0.25">
      <c r="A843" s="16"/>
    </row>
    <row r="844" spans="1:1" x14ac:dyDescent="0.25">
      <c r="A844" s="16"/>
    </row>
    <row r="845" spans="1:1" x14ac:dyDescent="0.25">
      <c r="A845" s="16"/>
    </row>
    <row r="846" spans="1:1" x14ac:dyDescent="0.25">
      <c r="A846" s="16"/>
    </row>
    <row r="847" spans="1:1" x14ac:dyDescent="0.25">
      <c r="A847" s="16"/>
    </row>
    <row r="848" spans="1:1" x14ac:dyDescent="0.25">
      <c r="A848" s="16"/>
    </row>
    <row r="849" spans="1:1" x14ac:dyDescent="0.25">
      <c r="A849" s="16"/>
    </row>
    <row r="850" spans="1:1" x14ac:dyDescent="0.25">
      <c r="A850" s="16"/>
    </row>
    <row r="851" spans="1:1" x14ac:dyDescent="0.25">
      <c r="A851" s="16"/>
    </row>
    <row r="852" spans="1:1" x14ac:dyDescent="0.25">
      <c r="A852" s="16"/>
    </row>
    <row r="853" spans="1:1" x14ac:dyDescent="0.25">
      <c r="A853" s="16"/>
    </row>
    <row r="854" spans="1:1" x14ac:dyDescent="0.25">
      <c r="A854" s="16"/>
    </row>
    <row r="855" spans="1:1" x14ac:dyDescent="0.25">
      <c r="A855" s="16"/>
    </row>
    <row r="856" spans="1:1" x14ac:dyDescent="0.25">
      <c r="A856" s="16"/>
    </row>
    <row r="857" spans="1:1" x14ac:dyDescent="0.25">
      <c r="A857" s="16"/>
    </row>
    <row r="858" spans="1:1" x14ac:dyDescent="0.25">
      <c r="A858" s="16"/>
    </row>
    <row r="859" spans="1:1" x14ac:dyDescent="0.25">
      <c r="A859" s="16"/>
    </row>
    <row r="860" spans="1:1" x14ac:dyDescent="0.25">
      <c r="A860" s="16"/>
    </row>
    <row r="861" spans="1:1" x14ac:dyDescent="0.25">
      <c r="A861" s="16"/>
    </row>
    <row r="862" spans="1:1" x14ac:dyDescent="0.25">
      <c r="A862" s="16"/>
    </row>
    <row r="863" spans="1:1" x14ac:dyDescent="0.25">
      <c r="A863" s="16"/>
    </row>
    <row r="864" spans="1:1" x14ac:dyDescent="0.25">
      <c r="A864" s="16"/>
    </row>
    <row r="865" spans="1:1" x14ac:dyDescent="0.25">
      <c r="A865" s="16"/>
    </row>
    <row r="866" spans="1:1" x14ac:dyDescent="0.25">
      <c r="A866" s="16"/>
    </row>
    <row r="867" spans="1:1" x14ac:dyDescent="0.25">
      <c r="A867" s="16"/>
    </row>
    <row r="868" spans="1:1" x14ac:dyDescent="0.25">
      <c r="A868" s="16"/>
    </row>
    <row r="869" spans="1:1" x14ac:dyDescent="0.25">
      <c r="A869" s="16"/>
    </row>
    <row r="870" spans="1:1" x14ac:dyDescent="0.25">
      <c r="A870" s="16"/>
    </row>
    <row r="871" spans="1:1" x14ac:dyDescent="0.25">
      <c r="A871" s="16"/>
    </row>
    <row r="872" spans="1:1" x14ac:dyDescent="0.25">
      <c r="A872" s="16"/>
    </row>
    <row r="873" spans="1:1" x14ac:dyDescent="0.25">
      <c r="A873" s="16"/>
    </row>
    <row r="874" spans="1:1" x14ac:dyDescent="0.25">
      <c r="A874" s="16"/>
    </row>
    <row r="875" spans="1:1" x14ac:dyDescent="0.25">
      <c r="A875" s="16"/>
    </row>
    <row r="876" spans="1:1" x14ac:dyDescent="0.25">
      <c r="A876" s="16"/>
    </row>
    <row r="877" spans="1:1" x14ac:dyDescent="0.25">
      <c r="A877" s="16"/>
    </row>
    <row r="878" spans="1:1" x14ac:dyDescent="0.25">
      <c r="A878" s="16"/>
    </row>
    <row r="879" spans="1:1" x14ac:dyDescent="0.25">
      <c r="A879" s="16"/>
    </row>
    <row r="880" spans="1:1" x14ac:dyDescent="0.25">
      <c r="A880" s="16"/>
    </row>
    <row r="881" spans="1:1" x14ac:dyDescent="0.25">
      <c r="A881" s="16"/>
    </row>
    <row r="882" spans="1:1" x14ac:dyDescent="0.25">
      <c r="A882" s="16"/>
    </row>
    <row r="883" spans="1:1" x14ac:dyDescent="0.25">
      <c r="A883" s="16"/>
    </row>
    <row r="884" spans="1:1" x14ac:dyDescent="0.25">
      <c r="A884" s="16"/>
    </row>
    <row r="885" spans="1:1" x14ac:dyDescent="0.25">
      <c r="A885" s="16"/>
    </row>
    <row r="886" spans="1:1" x14ac:dyDescent="0.25">
      <c r="A886" s="16"/>
    </row>
    <row r="887" spans="1:1" x14ac:dyDescent="0.25">
      <c r="A887" s="16"/>
    </row>
    <row r="888" spans="1:1" x14ac:dyDescent="0.25">
      <c r="A888" s="16"/>
    </row>
    <row r="889" spans="1:1" x14ac:dyDescent="0.25">
      <c r="A889" s="16"/>
    </row>
    <row r="890" spans="1:1" x14ac:dyDescent="0.25">
      <c r="A890" s="16"/>
    </row>
    <row r="891" spans="1:1" x14ac:dyDescent="0.25">
      <c r="A891" s="16"/>
    </row>
    <row r="892" spans="1:1" x14ac:dyDescent="0.25">
      <c r="A892" s="16"/>
    </row>
    <row r="893" spans="1:1" x14ac:dyDescent="0.25">
      <c r="A893" s="16"/>
    </row>
    <row r="894" spans="1:1" x14ac:dyDescent="0.25">
      <c r="A894" s="16"/>
    </row>
    <row r="895" spans="1:1" x14ac:dyDescent="0.25">
      <c r="A895" s="16"/>
    </row>
    <row r="896" spans="1:1" x14ac:dyDescent="0.25">
      <c r="A896" s="16"/>
    </row>
    <row r="897" spans="1:1" x14ac:dyDescent="0.25">
      <c r="A897" s="16"/>
    </row>
    <row r="898" spans="1:1" x14ac:dyDescent="0.25">
      <c r="A898" s="16"/>
    </row>
    <row r="899" spans="1:1" x14ac:dyDescent="0.25">
      <c r="A899" s="16"/>
    </row>
    <row r="900" spans="1:1" x14ac:dyDescent="0.25">
      <c r="A900" s="16"/>
    </row>
    <row r="901" spans="1:1" x14ac:dyDescent="0.25">
      <c r="A901" s="16"/>
    </row>
    <row r="902" spans="1:1" x14ac:dyDescent="0.25">
      <c r="A902" s="16"/>
    </row>
    <row r="903" spans="1:1" x14ac:dyDescent="0.25">
      <c r="A903" s="16"/>
    </row>
    <row r="904" spans="1:1" x14ac:dyDescent="0.25">
      <c r="A904" s="16"/>
    </row>
    <row r="905" spans="1:1" x14ac:dyDescent="0.25">
      <c r="A905" s="16"/>
    </row>
    <row r="906" spans="1:1" x14ac:dyDescent="0.25">
      <c r="A906" s="16"/>
    </row>
    <row r="907" spans="1:1" x14ac:dyDescent="0.25">
      <c r="A907" s="16"/>
    </row>
    <row r="908" spans="1:1" x14ac:dyDescent="0.25">
      <c r="A908" s="16"/>
    </row>
    <row r="909" spans="1:1" x14ac:dyDescent="0.25">
      <c r="A909" s="16"/>
    </row>
    <row r="910" spans="1:1" x14ac:dyDescent="0.25">
      <c r="A910" s="16"/>
    </row>
    <row r="911" spans="1:1" x14ac:dyDescent="0.25">
      <c r="A911" s="16"/>
    </row>
    <row r="912" spans="1:1" x14ac:dyDescent="0.25">
      <c r="A912" s="16"/>
    </row>
    <row r="913" spans="1:1" x14ac:dyDescent="0.25">
      <c r="A913" s="16"/>
    </row>
    <row r="914" spans="1:1" x14ac:dyDescent="0.25">
      <c r="A914" s="16"/>
    </row>
    <row r="915" spans="1:1" x14ac:dyDescent="0.25">
      <c r="A915" s="16"/>
    </row>
    <row r="916" spans="1:1" x14ac:dyDescent="0.25">
      <c r="A916" s="16"/>
    </row>
    <row r="917" spans="1:1" x14ac:dyDescent="0.25">
      <c r="A917" s="16"/>
    </row>
    <row r="918" spans="1:1" x14ac:dyDescent="0.25">
      <c r="A918" s="16"/>
    </row>
    <row r="919" spans="1:1" x14ac:dyDescent="0.25">
      <c r="A919" s="16"/>
    </row>
    <row r="920" spans="1:1" x14ac:dyDescent="0.25">
      <c r="A920" s="16"/>
    </row>
    <row r="921" spans="1:1" x14ac:dyDescent="0.25">
      <c r="A921" s="16"/>
    </row>
    <row r="922" spans="1:1" x14ac:dyDescent="0.25">
      <c r="A922" s="16"/>
    </row>
    <row r="923" spans="1:1" x14ac:dyDescent="0.25">
      <c r="A923" s="16"/>
    </row>
    <row r="924" spans="1:1" x14ac:dyDescent="0.25">
      <c r="A924" s="16"/>
    </row>
    <row r="925" spans="1:1" x14ac:dyDescent="0.25">
      <c r="A925" s="16"/>
    </row>
    <row r="926" spans="1:1" x14ac:dyDescent="0.25">
      <c r="A926" s="16"/>
    </row>
    <row r="927" spans="1:1" x14ac:dyDescent="0.25">
      <c r="A927" s="16"/>
    </row>
    <row r="928" spans="1:1" x14ac:dyDescent="0.25">
      <c r="A928" s="16"/>
    </row>
    <row r="929" spans="1:1" x14ac:dyDescent="0.25">
      <c r="A929" s="16"/>
    </row>
    <row r="930" spans="1:1" x14ac:dyDescent="0.25">
      <c r="A930" s="16"/>
    </row>
    <row r="931" spans="1:1" x14ac:dyDescent="0.25">
      <c r="A931" s="16"/>
    </row>
    <row r="932" spans="1:1" x14ac:dyDescent="0.25">
      <c r="A932" s="16"/>
    </row>
    <row r="933" spans="1:1" x14ac:dyDescent="0.25">
      <c r="A933" s="16"/>
    </row>
    <row r="934" spans="1:1" x14ac:dyDescent="0.25">
      <c r="A934" s="16"/>
    </row>
    <row r="935" spans="1:1" x14ac:dyDescent="0.25">
      <c r="A935" s="16"/>
    </row>
    <row r="936" spans="1:1" x14ac:dyDescent="0.25">
      <c r="A936" s="16"/>
    </row>
    <row r="937" spans="1:1" x14ac:dyDescent="0.25">
      <c r="A937" s="16"/>
    </row>
    <row r="938" spans="1:1" x14ac:dyDescent="0.25">
      <c r="A938" s="16"/>
    </row>
    <row r="939" spans="1:1" x14ac:dyDescent="0.25">
      <c r="A939" s="16"/>
    </row>
    <row r="940" spans="1:1" x14ac:dyDescent="0.25">
      <c r="A940" s="16"/>
    </row>
    <row r="941" spans="1:1" x14ac:dyDescent="0.25">
      <c r="A941" s="16"/>
    </row>
    <row r="942" spans="1:1" x14ac:dyDescent="0.25">
      <c r="A942" s="16"/>
    </row>
    <row r="943" spans="1:1" x14ac:dyDescent="0.25">
      <c r="A943" s="16"/>
    </row>
    <row r="944" spans="1:1" x14ac:dyDescent="0.25">
      <c r="A944" s="16"/>
    </row>
    <row r="945" spans="1:1" x14ac:dyDescent="0.25">
      <c r="A945" s="16"/>
    </row>
    <row r="946" spans="1:1" x14ac:dyDescent="0.25">
      <c r="A946" s="16"/>
    </row>
    <row r="947" spans="1:1" x14ac:dyDescent="0.25">
      <c r="A947" s="16"/>
    </row>
    <row r="948" spans="1:1" x14ac:dyDescent="0.25">
      <c r="A948" s="16"/>
    </row>
    <row r="949" spans="1:1" x14ac:dyDescent="0.25">
      <c r="A949" s="16"/>
    </row>
    <row r="950" spans="1:1" x14ac:dyDescent="0.25">
      <c r="A950" s="16"/>
    </row>
    <row r="951" spans="1:1" x14ac:dyDescent="0.25">
      <c r="A951" s="16"/>
    </row>
    <row r="952" spans="1:1" x14ac:dyDescent="0.25">
      <c r="A952" s="16"/>
    </row>
    <row r="953" spans="1:1" x14ac:dyDescent="0.25">
      <c r="A953" s="16"/>
    </row>
    <row r="954" spans="1:1" x14ac:dyDescent="0.25">
      <c r="A954" s="16"/>
    </row>
    <row r="955" spans="1:1" x14ac:dyDescent="0.25">
      <c r="A955" s="16"/>
    </row>
    <row r="956" spans="1:1" x14ac:dyDescent="0.25">
      <c r="A956" s="16"/>
    </row>
    <row r="957" spans="1:1" x14ac:dyDescent="0.25">
      <c r="A957" s="16"/>
    </row>
    <row r="958" spans="1:1" x14ac:dyDescent="0.25">
      <c r="A958" s="16"/>
    </row>
    <row r="959" spans="1:1" x14ac:dyDescent="0.25">
      <c r="A959" s="16"/>
    </row>
    <row r="960" spans="1:1" x14ac:dyDescent="0.25">
      <c r="A960" s="16"/>
    </row>
    <row r="961" spans="1:1" x14ac:dyDescent="0.25">
      <c r="A961" s="16"/>
    </row>
    <row r="962" spans="1:1" x14ac:dyDescent="0.25">
      <c r="A962" s="16"/>
    </row>
    <row r="963" spans="1:1" x14ac:dyDescent="0.25">
      <c r="A963" s="16"/>
    </row>
    <row r="964" spans="1:1" x14ac:dyDescent="0.25">
      <c r="A964" s="16"/>
    </row>
    <row r="965" spans="1:1" x14ac:dyDescent="0.25">
      <c r="A965" s="16"/>
    </row>
    <row r="966" spans="1:1" x14ac:dyDescent="0.25">
      <c r="A966" s="16"/>
    </row>
    <row r="967" spans="1:1" x14ac:dyDescent="0.25">
      <c r="A967" s="16"/>
    </row>
    <row r="968" spans="1:1" x14ac:dyDescent="0.25">
      <c r="A968" s="16"/>
    </row>
    <row r="969" spans="1:1" x14ac:dyDescent="0.25">
      <c r="A969" s="16"/>
    </row>
    <row r="970" spans="1:1" x14ac:dyDescent="0.25">
      <c r="A970" s="16"/>
    </row>
    <row r="971" spans="1:1" x14ac:dyDescent="0.25">
      <c r="A971" s="16"/>
    </row>
    <row r="972" spans="1:1" x14ac:dyDescent="0.25">
      <c r="A972" s="16"/>
    </row>
    <row r="973" spans="1:1" x14ac:dyDescent="0.25">
      <c r="A973" s="16"/>
    </row>
    <row r="974" spans="1:1" x14ac:dyDescent="0.25">
      <c r="A974" s="16"/>
    </row>
    <row r="975" spans="1:1" x14ac:dyDescent="0.25">
      <c r="A975" s="16"/>
    </row>
    <row r="976" spans="1:1" x14ac:dyDescent="0.25">
      <c r="A976" s="16"/>
    </row>
    <row r="977" spans="1:1" x14ac:dyDescent="0.25">
      <c r="A977" s="16"/>
    </row>
    <row r="978" spans="1:1" x14ac:dyDescent="0.25">
      <c r="A978" s="16"/>
    </row>
    <row r="979" spans="1:1" x14ac:dyDescent="0.25">
      <c r="A979" s="16"/>
    </row>
    <row r="980" spans="1:1" x14ac:dyDescent="0.25">
      <c r="A980" s="16"/>
    </row>
    <row r="981" spans="1:1" x14ac:dyDescent="0.25">
      <c r="A981" s="16"/>
    </row>
    <row r="982" spans="1:1" x14ac:dyDescent="0.25">
      <c r="A982" s="16"/>
    </row>
    <row r="983" spans="1:1" x14ac:dyDescent="0.25">
      <c r="A983" s="16"/>
    </row>
    <row r="984" spans="1:1" x14ac:dyDescent="0.25">
      <c r="A984" s="16"/>
    </row>
    <row r="985" spans="1:1" x14ac:dyDescent="0.25">
      <c r="A985" s="16"/>
    </row>
    <row r="986" spans="1:1" x14ac:dyDescent="0.25">
      <c r="A986" s="16"/>
    </row>
    <row r="987" spans="1:1" x14ac:dyDescent="0.25">
      <c r="A987" s="16"/>
    </row>
    <row r="988" spans="1:1" x14ac:dyDescent="0.25">
      <c r="A988" s="16"/>
    </row>
    <row r="989" spans="1:1" x14ac:dyDescent="0.25">
      <c r="A989" s="16"/>
    </row>
    <row r="990" spans="1:1" x14ac:dyDescent="0.25">
      <c r="A990" s="16"/>
    </row>
    <row r="991" spans="1:1" x14ac:dyDescent="0.25">
      <c r="A991" s="16"/>
    </row>
    <row r="992" spans="1:1" x14ac:dyDescent="0.25">
      <c r="A992" s="16"/>
    </row>
    <row r="993" spans="1:1" x14ac:dyDescent="0.25">
      <c r="A993" s="16"/>
    </row>
    <row r="994" spans="1:1" x14ac:dyDescent="0.25">
      <c r="A994" s="16"/>
    </row>
    <row r="995" spans="1:1" x14ac:dyDescent="0.25">
      <c r="A995" s="16"/>
    </row>
    <row r="996" spans="1:1" x14ac:dyDescent="0.25">
      <c r="A996" s="16"/>
    </row>
    <row r="997" spans="1:1" x14ac:dyDescent="0.25">
      <c r="A997" s="16"/>
    </row>
    <row r="998" spans="1:1" x14ac:dyDescent="0.25">
      <c r="A998" s="16"/>
    </row>
    <row r="999" spans="1:1" x14ac:dyDescent="0.25">
      <c r="A999" s="16"/>
    </row>
    <row r="1000" spans="1:1" x14ac:dyDescent="0.25">
      <c r="A1000" s="16"/>
    </row>
    <row r="1001" spans="1:1" x14ac:dyDescent="0.25">
      <c r="A1001" s="16"/>
    </row>
    <row r="1002" spans="1:1" x14ac:dyDescent="0.25">
      <c r="A1002" s="16"/>
    </row>
    <row r="1003" spans="1:1" x14ac:dyDescent="0.25">
      <c r="A1003" s="16"/>
    </row>
    <row r="1004" spans="1:1" x14ac:dyDescent="0.25">
      <c r="A1004" s="16"/>
    </row>
    <row r="1005" spans="1:1" x14ac:dyDescent="0.25">
      <c r="A1005" s="16"/>
    </row>
    <row r="1006" spans="1:1" x14ac:dyDescent="0.25">
      <c r="A1006" s="16"/>
    </row>
    <row r="1007" spans="1:1" x14ac:dyDescent="0.25">
      <c r="A1007" s="16"/>
    </row>
    <row r="1008" spans="1:1" x14ac:dyDescent="0.25">
      <c r="A1008" s="16"/>
    </row>
    <row r="1009" spans="1:1" x14ac:dyDescent="0.25">
      <c r="A1009" s="16"/>
    </row>
    <row r="1010" spans="1:1" x14ac:dyDescent="0.25">
      <c r="A1010" s="16"/>
    </row>
    <row r="1011" spans="1:1" x14ac:dyDescent="0.25">
      <c r="A1011" s="16"/>
    </row>
    <row r="1012" spans="1:1" x14ac:dyDescent="0.25">
      <c r="A1012" s="16"/>
    </row>
    <row r="1013" spans="1:1" x14ac:dyDescent="0.25">
      <c r="A1013" s="16"/>
    </row>
    <row r="1014" spans="1:1" x14ac:dyDescent="0.25">
      <c r="A1014" s="16"/>
    </row>
    <row r="1015" spans="1:1" x14ac:dyDescent="0.25">
      <c r="A1015" s="16"/>
    </row>
    <row r="1016" spans="1:1" x14ac:dyDescent="0.25">
      <c r="A1016" s="16"/>
    </row>
    <row r="1017" spans="1:1" x14ac:dyDescent="0.25">
      <c r="A1017" s="16"/>
    </row>
    <row r="1018" spans="1:1" x14ac:dyDescent="0.25">
      <c r="A1018" s="16"/>
    </row>
    <row r="1019" spans="1:1" x14ac:dyDescent="0.25">
      <c r="A1019" s="16"/>
    </row>
    <row r="1020" spans="1:1" x14ac:dyDescent="0.25">
      <c r="A1020" s="16"/>
    </row>
    <row r="1021" spans="1:1" x14ac:dyDescent="0.25">
      <c r="A1021" s="16"/>
    </row>
    <row r="1022" spans="1:1" x14ac:dyDescent="0.25">
      <c r="A1022" s="16"/>
    </row>
    <row r="1023" spans="1:1" x14ac:dyDescent="0.25">
      <c r="A1023" s="16"/>
    </row>
    <row r="1024" spans="1:1" x14ac:dyDescent="0.25">
      <c r="A1024" s="16"/>
    </row>
    <row r="1025" spans="1:1" x14ac:dyDescent="0.25">
      <c r="A1025" s="16"/>
    </row>
    <row r="1026" spans="1:1" x14ac:dyDescent="0.25">
      <c r="A1026" s="16"/>
    </row>
    <row r="1027" spans="1:1" x14ac:dyDescent="0.25">
      <c r="A1027" s="16"/>
    </row>
    <row r="1028" spans="1:1" x14ac:dyDescent="0.25">
      <c r="A1028" s="16"/>
    </row>
    <row r="1029" spans="1:1" x14ac:dyDescent="0.25">
      <c r="A1029" s="16"/>
    </row>
    <row r="1030" spans="1:1" x14ac:dyDescent="0.25">
      <c r="A1030" s="16"/>
    </row>
    <row r="1031" spans="1:1" x14ac:dyDescent="0.25">
      <c r="A1031" s="16"/>
    </row>
    <row r="1032" spans="1:1" x14ac:dyDescent="0.25">
      <c r="A1032" s="16"/>
    </row>
    <row r="1033" spans="1:1" x14ac:dyDescent="0.25">
      <c r="A1033" s="16"/>
    </row>
    <row r="1034" spans="1:1" x14ac:dyDescent="0.25">
      <c r="A1034" s="16"/>
    </row>
    <row r="1035" spans="1:1" x14ac:dyDescent="0.25">
      <c r="A1035" s="16"/>
    </row>
    <row r="1036" spans="1:1" x14ac:dyDescent="0.25">
      <c r="A1036" s="16"/>
    </row>
    <row r="1037" spans="1:1" x14ac:dyDescent="0.25">
      <c r="A1037" s="16"/>
    </row>
    <row r="1038" spans="1:1" x14ac:dyDescent="0.25">
      <c r="A1038" s="16"/>
    </row>
    <row r="1039" spans="1:1" x14ac:dyDescent="0.25">
      <c r="A1039" s="16"/>
    </row>
    <row r="1040" spans="1:1" x14ac:dyDescent="0.25">
      <c r="A1040" s="16"/>
    </row>
    <row r="1041" spans="1:1" x14ac:dyDescent="0.25">
      <c r="A1041" s="16"/>
    </row>
    <row r="1042" spans="1:1" x14ac:dyDescent="0.25">
      <c r="A1042" s="16"/>
    </row>
    <row r="1043" spans="1:1" x14ac:dyDescent="0.25">
      <c r="A1043" s="16"/>
    </row>
    <row r="1044" spans="1:1" x14ac:dyDescent="0.25">
      <c r="A1044" s="16"/>
    </row>
    <row r="1045" spans="1:1" x14ac:dyDescent="0.25">
      <c r="A1045" s="16"/>
    </row>
    <row r="1046" spans="1:1" x14ac:dyDescent="0.25">
      <c r="A1046" s="16"/>
    </row>
    <row r="1047" spans="1:1" x14ac:dyDescent="0.25">
      <c r="A1047" s="16"/>
    </row>
    <row r="1048" spans="1:1" x14ac:dyDescent="0.25">
      <c r="A1048" s="16"/>
    </row>
    <row r="1049" spans="1:1" x14ac:dyDescent="0.25">
      <c r="A1049" s="16"/>
    </row>
    <row r="1050" spans="1:1" x14ac:dyDescent="0.25">
      <c r="A1050" s="16"/>
    </row>
    <row r="1051" spans="1:1" x14ac:dyDescent="0.25">
      <c r="A1051" s="16"/>
    </row>
    <row r="1052" spans="1:1" x14ac:dyDescent="0.25">
      <c r="A1052" s="16"/>
    </row>
    <row r="1053" spans="1:1" x14ac:dyDescent="0.25">
      <c r="A1053" s="16"/>
    </row>
    <row r="1054" spans="1:1" x14ac:dyDescent="0.25">
      <c r="A1054" s="16"/>
    </row>
    <row r="1055" spans="1:1" x14ac:dyDescent="0.25">
      <c r="A1055" s="16"/>
    </row>
    <row r="1056" spans="1:1" x14ac:dyDescent="0.25">
      <c r="A1056" s="16"/>
    </row>
    <row r="1057" spans="1:1" x14ac:dyDescent="0.25">
      <c r="A1057" s="16"/>
    </row>
    <row r="1058" spans="1:1" x14ac:dyDescent="0.25">
      <c r="A1058" s="16"/>
    </row>
    <row r="1059" spans="1:1" x14ac:dyDescent="0.25">
      <c r="A1059" s="16"/>
    </row>
    <row r="1060" spans="1:1" x14ac:dyDescent="0.25">
      <c r="A1060" s="16"/>
    </row>
    <row r="1061" spans="1:1" x14ac:dyDescent="0.25">
      <c r="A1061" s="16"/>
    </row>
    <row r="1062" spans="1:1" x14ac:dyDescent="0.25">
      <c r="A1062" s="16"/>
    </row>
    <row r="1063" spans="1:1" x14ac:dyDescent="0.25">
      <c r="A1063" s="16"/>
    </row>
    <row r="1064" spans="1:1" x14ac:dyDescent="0.25">
      <c r="A1064" s="16"/>
    </row>
    <row r="1065" spans="1:1" x14ac:dyDescent="0.25">
      <c r="A1065" s="16"/>
    </row>
    <row r="1066" spans="1:1" x14ac:dyDescent="0.25">
      <c r="A1066" s="16"/>
    </row>
    <row r="1067" spans="1:1" x14ac:dyDescent="0.25">
      <c r="A1067" s="16"/>
    </row>
    <row r="1068" spans="1:1" x14ac:dyDescent="0.25">
      <c r="A1068" s="16"/>
    </row>
    <row r="1069" spans="1:1" x14ac:dyDescent="0.25">
      <c r="A1069" s="16"/>
    </row>
    <row r="1070" spans="1:1" x14ac:dyDescent="0.25">
      <c r="A1070" s="16"/>
    </row>
    <row r="1071" spans="1:1" x14ac:dyDescent="0.25">
      <c r="A1071" s="16"/>
    </row>
    <row r="1072" spans="1:1" x14ac:dyDescent="0.25">
      <c r="A1072" s="16"/>
    </row>
    <row r="1073" spans="1:1" x14ac:dyDescent="0.25">
      <c r="A1073" s="16"/>
    </row>
    <row r="1074" spans="1:1" x14ac:dyDescent="0.25">
      <c r="A1074" s="16"/>
    </row>
    <row r="1075" spans="1:1" x14ac:dyDescent="0.25">
      <c r="A1075" s="16"/>
    </row>
    <row r="1076" spans="1:1" x14ac:dyDescent="0.25">
      <c r="A1076" s="16"/>
    </row>
    <row r="1077" spans="1:1" x14ac:dyDescent="0.25">
      <c r="A1077" s="16"/>
    </row>
    <row r="1078" spans="1:1" x14ac:dyDescent="0.25">
      <c r="A1078" s="16"/>
    </row>
    <row r="1079" spans="1:1" x14ac:dyDescent="0.25">
      <c r="A1079" s="16"/>
    </row>
    <row r="1080" spans="1:1" x14ac:dyDescent="0.25">
      <c r="A1080" s="16"/>
    </row>
    <row r="1081" spans="1:1" x14ac:dyDescent="0.25">
      <c r="A1081" s="16"/>
    </row>
    <row r="1082" spans="1:1" x14ac:dyDescent="0.25">
      <c r="A1082" s="16"/>
    </row>
    <row r="1083" spans="1:1" x14ac:dyDescent="0.25">
      <c r="A1083" s="16"/>
    </row>
    <row r="1084" spans="1:1" x14ac:dyDescent="0.25">
      <c r="A1084" s="16"/>
    </row>
    <row r="1085" spans="1:1" x14ac:dyDescent="0.25">
      <c r="A1085" s="16"/>
    </row>
    <row r="1086" spans="1:1" x14ac:dyDescent="0.25">
      <c r="A1086" s="16"/>
    </row>
    <row r="1087" spans="1:1" x14ac:dyDescent="0.25">
      <c r="A1087" s="16"/>
    </row>
    <row r="1088" spans="1:1" x14ac:dyDescent="0.25">
      <c r="A1088" s="16"/>
    </row>
    <row r="1089" spans="1:1" x14ac:dyDescent="0.25">
      <c r="A1089" s="16"/>
    </row>
    <row r="1090" spans="1:1" x14ac:dyDescent="0.25">
      <c r="A1090" s="16"/>
    </row>
    <row r="1091" spans="1:1" x14ac:dyDescent="0.25">
      <c r="A1091" s="16"/>
    </row>
    <row r="1092" spans="1:1" x14ac:dyDescent="0.25">
      <c r="A1092" s="16"/>
    </row>
    <row r="1093" spans="1:1" x14ac:dyDescent="0.25">
      <c r="A1093" s="16"/>
    </row>
    <row r="1094" spans="1:1" x14ac:dyDescent="0.25">
      <c r="A1094" s="16"/>
    </row>
    <row r="1095" spans="1:1" x14ac:dyDescent="0.25">
      <c r="A1095" s="16"/>
    </row>
    <row r="1096" spans="1:1" x14ac:dyDescent="0.25">
      <c r="A1096" s="16"/>
    </row>
    <row r="1097" spans="1:1" x14ac:dyDescent="0.25">
      <c r="A1097" s="16"/>
    </row>
    <row r="1098" spans="1:1" x14ac:dyDescent="0.25">
      <c r="A1098" s="16"/>
    </row>
    <row r="1099" spans="1:1" x14ac:dyDescent="0.25">
      <c r="A1099" s="16"/>
    </row>
    <row r="1100" spans="1:1" x14ac:dyDescent="0.25">
      <c r="A1100" s="16"/>
    </row>
    <row r="1101" spans="1:1" x14ac:dyDescent="0.25">
      <c r="A1101" s="16"/>
    </row>
    <row r="1102" spans="1:1" x14ac:dyDescent="0.25">
      <c r="A1102" s="16"/>
    </row>
    <row r="1103" spans="1:1" x14ac:dyDescent="0.25">
      <c r="A1103" s="16"/>
    </row>
    <row r="1104" spans="1:1" x14ac:dyDescent="0.25">
      <c r="A1104" s="16"/>
    </row>
    <row r="1105" spans="1:1" x14ac:dyDescent="0.25">
      <c r="A1105" s="16"/>
    </row>
    <row r="1106" spans="1:1" x14ac:dyDescent="0.25">
      <c r="A1106" s="16"/>
    </row>
    <row r="1107" spans="1:1" x14ac:dyDescent="0.25">
      <c r="A1107" s="16"/>
    </row>
    <row r="1108" spans="1:1" x14ac:dyDescent="0.25">
      <c r="A1108" s="16"/>
    </row>
    <row r="1109" spans="1:1" x14ac:dyDescent="0.25">
      <c r="A1109" s="16"/>
    </row>
    <row r="1110" spans="1:1" x14ac:dyDescent="0.25">
      <c r="A1110" s="16"/>
    </row>
    <row r="1111" spans="1:1" x14ac:dyDescent="0.25">
      <c r="A1111" s="16"/>
    </row>
    <row r="1112" spans="1:1" x14ac:dyDescent="0.25">
      <c r="A1112" s="16"/>
    </row>
    <row r="1113" spans="1:1" x14ac:dyDescent="0.25">
      <c r="A1113" s="16"/>
    </row>
    <row r="1114" spans="1:1" x14ac:dyDescent="0.25">
      <c r="A1114" s="16"/>
    </row>
    <row r="1115" spans="1:1" x14ac:dyDescent="0.25">
      <c r="A1115" s="16"/>
    </row>
    <row r="1116" spans="1:1" x14ac:dyDescent="0.25">
      <c r="A1116" s="16"/>
    </row>
    <row r="1117" spans="1:1" x14ac:dyDescent="0.25">
      <c r="A1117" s="16"/>
    </row>
    <row r="1118" spans="1:1" x14ac:dyDescent="0.25">
      <c r="A1118" s="16"/>
    </row>
    <row r="1119" spans="1:1" x14ac:dyDescent="0.25">
      <c r="A1119" s="16"/>
    </row>
    <row r="1120" spans="1:1" x14ac:dyDescent="0.25">
      <c r="A1120" s="16"/>
    </row>
    <row r="1121" spans="1:1" x14ac:dyDescent="0.25">
      <c r="A1121" s="16"/>
    </row>
    <row r="1122" spans="1:1" x14ac:dyDescent="0.25">
      <c r="A1122" s="16"/>
    </row>
    <row r="1123" spans="1:1" x14ac:dyDescent="0.25">
      <c r="A1123" s="16"/>
    </row>
    <row r="1124" spans="1:1" x14ac:dyDescent="0.25">
      <c r="A1124" s="16"/>
    </row>
    <row r="1125" spans="1:1" x14ac:dyDescent="0.25">
      <c r="A1125" s="16"/>
    </row>
    <row r="1126" spans="1:1" x14ac:dyDescent="0.25">
      <c r="A1126" s="16"/>
    </row>
    <row r="1127" spans="1:1" x14ac:dyDescent="0.25">
      <c r="A1127" s="16"/>
    </row>
    <row r="1128" spans="1:1" x14ac:dyDescent="0.25">
      <c r="A1128" s="16"/>
    </row>
    <row r="1129" spans="1:1" x14ac:dyDescent="0.25">
      <c r="A1129" s="16"/>
    </row>
    <row r="1130" spans="1:1" x14ac:dyDescent="0.25">
      <c r="A1130" s="16"/>
    </row>
    <row r="1131" spans="1:1" x14ac:dyDescent="0.25">
      <c r="A1131" s="16"/>
    </row>
    <row r="1132" spans="1:1" x14ac:dyDescent="0.25">
      <c r="A1132" s="16"/>
    </row>
    <row r="1133" spans="1:1" x14ac:dyDescent="0.25">
      <c r="A1133" s="16"/>
    </row>
    <row r="1134" spans="1:1" x14ac:dyDescent="0.25">
      <c r="A1134" s="16"/>
    </row>
    <row r="1135" spans="1:1" x14ac:dyDescent="0.25">
      <c r="A1135" s="16"/>
    </row>
    <row r="1136" spans="1:1" x14ac:dyDescent="0.25">
      <c r="A1136" s="16"/>
    </row>
    <row r="1137" spans="1:1" x14ac:dyDescent="0.25">
      <c r="A1137" s="16"/>
    </row>
    <row r="1138" spans="1:1" x14ac:dyDescent="0.25">
      <c r="A1138" s="16"/>
    </row>
    <row r="1139" spans="1:1" x14ac:dyDescent="0.25">
      <c r="A1139" s="16"/>
    </row>
    <row r="1140" spans="1:1" x14ac:dyDescent="0.25">
      <c r="A1140" s="16"/>
    </row>
    <row r="1141" spans="1:1" x14ac:dyDescent="0.25">
      <c r="A1141" s="16"/>
    </row>
    <row r="1142" spans="1:1" x14ac:dyDescent="0.25">
      <c r="A1142" s="16"/>
    </row>
    <row r="1143" spans="1:1" x14ac:dyDescent="0.25">
      <c r="A1143" s="16"/>
    </row>
    <row r="1144" spans="1:1" x14ac:dyDescent="0.25">
      <c r="A1144" s="16"/>
    </row>
    <row r="1145" spans="1:1" x14ac:dyDescent="0.25">
      <c r="A1145" s="16"/>
    </row>
    <row r="1146" spans="1:1" x14ac:dyDescent="0.25">
      <c r="A1146" s="16"/>
    </row>
    <row r="1147" spans="1:1" x14ac:dyDescent="0.25">
      <c r="A1147" s="16"/>
    </row>
    <row r="1148" spans="1:1" x14ac:dyDescent="0.25">
      <c r="A1148" s="16"/>
    </row>
    <row r="1149" spans="1:1" x14ac:dyDescent="0.25">
      <c r="A1149" s="16"/>
    </row>
    <row r="1150" spans="1:1" x14ac:dyDescent="0.25">
      <c r="A1150" s="16"/>
    </row>
    <row r="1151" spans="1:1" x14ac:dyDescent="0.25">
      <c r="A1151" s="16"/>
    </row>
    <row r="1152" spans="1:1" x14ac:dyDescent="0.25">
      <c r="A1152" s="16"/>
    </row>
    <row r="1153" spans="1:1" x14ac:dyDescent="0.25">
      <c r="A1153" s="16"/>
    </row>
    <row r="1154" spans="1:1" x14ac:dyDescent="0.25">
      <c r="A1154" s="16"/>
    </row>
    <row r="1155" spans="1:1" x14ac:dyDescent="0.25">
      <c r="A1155" s="16"/>
    </row>
    <row r="1156" spans="1:1" x14ac:dyDescent="0.25">
      <c r="A1156" s="16"/>
    </row>
    <row r="1157" spans="1:1" x14ac:dyDescent="0.25">
      <c r="A1157" s="16"/>
    </row>
    <row r="1158" spans="1:1" x14ac:dyDescent="0.25">
      <c r="A1158" s="16"/>
    </row>
    <row r="1159" spans="1:1" x14ac:dyDescent="0.25">
      <c r="A1159" s="16"/>
    </row>
    <row r="1160" spans="1:1" x14ac:dyDescent="0.25">
      <c r="A1160" s="16"/>
    </row>
    <row r="1161" spans="1:1" x14ac:dyDescent="0.25">
      <c r="A1161" s="16"/>
    </row>
    <row r="1162" spans="1:1" x14ac:dyDescent="0.25">
      <c r="A1162" s="16"/>
    </row>
    <row r="1163" spans="1:1" x14ac:dyDescent="0.25">
      <c r="A1163" s="16"/>
    </row>
    <row r="1164" spans="1:1" x14ac:dyDescent="0.25">
      <c r="A1164" s="16"/>
    </row>
    <row r="1165" spans="1:1" x14ac:dyDescent="0.25">
      <c r="A1165" s="16"/>
    </row>
    <row r="1166" spans="1:1" x14ac:dyDescent="0.25">
      <c r="A1166" s="16"/>
    </row>
    <row r="1167" spans="1:1" x14ac:dyDescent="0.25">
      <c r="A1167" s="16"/>
    </row>
    <row r="1168" spans="1:1" x14ac:dyDescent="0.25">
      <c r="A1168" s="16"/>
    </row>
    <row r="1169" spans="1:1" x14ac:dyDescent="0.25">
      <c r="A1169" s="16"/>
    </row>
    <row r="1170" spans="1:1" x14ac:dyDescent="0.25">
      <c r="A1170" s="16"/>
    </row>
    <row r="1171" spans="1:1" x14ac:dyDescent="0.25">
      <c r="A1171" s="16"/>
    </row>
    <row r="1172" spans="1:1" x14ac:dyDescent="0.25">
      <c r="A1172" s="16"/>
    </row>
    <row r="1173" spans="1:1" x14ac:dyDescent="0.25">
      <c r="A1173" s="16"/>
    </row>
    <row r="1174" spans="1:1" x14ac:dyDescent="0.25">
      <c r="A1174" s="16"/>
    </row>
    <row r="1175" spans="1:1" x14ac:dyDescent="0.25">
      <c r="A1175" s="16"/>
    </row>
    <row r="1176" spans="1:1" x14ac:dyDescent="0.25">
      <c r="A1176" s="16"/>
    </row>
    <row r="1177" spans="1:1" x14ac:dyDescent="0.25">
      <c r="A1177" s="16"/>
    </row>
    <row r="1178" spans="1:1" x14ac:dyDescent="0.25">
      <c r="A1178" s="16"/>
    </row>
    <row r="1179" spans="1:1" x14ac:dyDescent="0.25">
      <c r="A1179" s="16"/>
    </row>
    <row r="1180" spans="1:1" x14ac:dyDescent="0.25">
      <c r="A1180" s="16"/>
    </row>
    <row r="1181" spans="1:1" x14ac:dyDescent="0.25">
      <c r="A1181" s="16"/>
    </row>
    <row r="1182" spans="1:1" x14ac:dyDescent="0.25">
      <c r="A1182" s="16"/>
    </row>
    <row r="1183" spans="1:1" x14ac:dyDescent="0.25">
      <c r="A1183" s="16"/>
    </row>
    <row r="1184" spans="1:1" x14ac:dyDescent="0.25">
      <c r="A1184" s="16"/>
    </row>
    <row r="1185" spans="1:1" x14ac:dyDescent="0.25">
      <c r="A1185" s="16"/>
    </row>
    <row r="1186" spans="1:1" x14ac:dyDescent="0.25">
      <c r="A1186" s="16"/>
    </row>
    <row r="1187" spans="1:1" x14ac:dyDescent="0.25">
      <c r="A1187" s="16"/>
    </row>
    <row r="1188" spans="1:1" x14ac:dyDescent="0.25">
      <c r="A1188" s="16"/>
    </row>
    <row r="1189" spans="1:1" x14ac:dyDescent="0.25">
      <c r="A1189" s="16"/>
    </row>
    <row r="1190" spans="1:1" x14ac:dyDescent="0.25">
      <c r="A1190" s="16"/>
    </row>
    <row r="1191" spans="1:1" x14ac:dyDescent="0.25">
      <c r="A1191" s="16"/>
    </row>
    <row r="1192" spans="1:1" x14ac:dyDescent="0.25">
      <c r="A1192" s="16"/>
    </row>
    <row r="1193" spans="1:1" x14ac:dyDescent="0.25">
      <c r="A1193" s="16"/>
    </row>
    <row r="1194" spans="1:1" x14ac:dyDescent="0.25">
      <c r="A1194" s="16"/>
    </row>
    <row r="1195" spans="1:1" x14ac:dyDescent="0.25">
      <c r="A1195" s="16"/>
    </row>
    <row r="1196" spans="1:1" x14ac:dyDescent="0.25">
      <c r="A1196" s="16"/>
    </row>
    <row r="1197" spans="1:1" x14ac:dyDescent="0.25">
      <c r="A1197" s="16"/>
    </row>
    <row r="1198" spans="1:1" x14ac:dyDescent="0.25">
      <c r="A1198" s="16"/>
    </row>
    <row r="1199" spans="1:1" x14ac:dyDescent="0.25">
      <c r="A1199" s="16"/>
    </row>
    <row r="1200" spans="1:1" x14ac:dyDescent="0.25">
      <c r="A1200" s="16"/>
    </row>
    <row r="1201" spans="1:1" x14ac:dyDescent="0.25">
      <c r="A1201" s="16"/>
    </row>
    <row r="1202" spans="1:1" x14ac:dyDescent="0.25">
      <c r="A1202" s="16"/>
    </row>
    <row r="1203" spans="1:1" x14ac:dyDescent="0.25">
      <c r="A1203" s="16"/>
    </row>
    <row r="1204" spans="1:1" x14ac:dyDescent="0.25">
      <c r="A1204" s="16"/>
    </row>
    <row r="1205" spans="1:1" x14ac:dyDescent="0.25">
      <c r="A1205" s="16"/>
    </row>
    <row r="1206" spans="1:1" x14ac:dyDescent="0.25">
      <c r="A1206" s="16"/>
    </row>
    <row r="1207" spans="1:1" x14ac:dyDescent="0.25">
      <c r="A1207" s="16"/>
    </row>
    <row r="1208" spans="1:1" x14ac:dyDescent="0.25">
      <c r="A1208" s="16"/>
    </row>
    <row r="1209" spans="1:1" x14ac:dyDescent="0.25">
      <c r="A1209" s="16"/>
    </row>
    <row r="1210" spans="1:1" x14ac:dyDescent="0.25">
      <c r="A1210" s="16"/>
    </row>
    <row r="1211" spans="1:1" x14ac:dyDescent="0.25">
      <c r="A1211" s="16"/>
    </row>
    <row r="1212" spans="1:1" x14ac:dyDescent="0.25">
      <c r="A1212" s="16"/>
    </row>
    <row r="1213" spans="1:1" x14ac:dyDescent="0.25">
      <c r="A1213" s="16"/>
    </row>
    <row r="1214" spans="1:1" x14ac:dyDescent="0.25">
      <c r="A1214" s="16"/>
    </row>
    <row r="1215" spans="1:1" x14ac:dyDescent="0.25">
      <c r="A1215" s="16"/>
    </row>
    <row r="1216" spans="1:1" x14ac:dyDescent="0.25">
      <c r="A1216" s="16"/>
    </row>
    <row r="1217" spans="1:1" x14ac:dyDescent="0.25">
      <c r="A1217" s="16"/>
    </row>
    <row r="1218" spans="1:1" x14ac:dyDescent="0.25">
      <c r="A1218" s="16"/>
    </row>
    <row r="1219" spans="1:1" x14ac:dyDescent="0.25">
      <c r="A1219" s="16"/>
    </row>
    <row r="1220" spans="1:1" x14ac:dyDescent="0.25">
      <c r="A1220" s="16"/>
    </row>
    <row r="1221" spans="1:1" x14ac:dyDescent="0.25">
      <c r="A1221" s="16"/>
    </row>
    <row r="1222" spans="1:1" x14ac:dyDescent="0.25">
      <c r="A1222" s="16"/>
    </row>
    <row r="1223" spans="1:1" x14ac:dyDescent="0.25">
      <c r="A1223" s="16"/>
    </row>
    <row r="1224" spans="1:1" x14ac:dyDescent="0.25">
      <c r="A1224" s="16"/>
    </row>
    <row r="1225" spans="1:1" x14ac:dyDescent="0.25">
      <c r="A1225" s="16"/>
    </row>
    <row r="1226" spans="1:1" x14ac:dyDescent="0.25">
      <c r="A1226" s="16"/>
    </row>
    <row r="1227" spans="1:1" x14ac:dyDescent="0.25">
      <c r="A1227" s="16"/>
    </row>
    <row r="1228" spans="1:1" x14ac:dyDescent="0.25">
      <c r="A1228" s="16"/>
    </row>
    <row r="1229" spans="1:1" x14ac:dyDescent="0.25">
      <c r="A1229" s="16"/>
    </row>
    <row r="1230" spans="1:1" x14ac:dyDescent="0.25">
      <c r="A1230" s="16"/>
    </row>
    <row r="1231" spans="1:1" x14ac:dyDescent="0.25">
      <c r="A1231" s="16"/>
    </row>
    <row r="1232" spans="1:1" x14ac:dyDescent="0.25">
      <c r="A1232" s="16"/>
    </row>
    <row r="1233" spans="1:1" x14ac:dyDescent="0.25">
      <c r="A1233" s="16"/>
    </row>
    <row r="1234" spans="1:1" x14ac:dyDescent="0.25">
      <c r="A1234" s="16"/>
    </row>
    <row r="1235" spans="1:1" x14ac:dyDescent="0.25">
      <c r="A1235" s="16"/>
    </row>
    <row r="1236" spans="1:1" x14ac:dyDescent="0.25">
      <c r="A1236" s="16"/>
    </row>
    <row r="1237" spans="1:1" x14ac:dyDescent="0.25">
      <c r="A1237" s="16"/>
    </row>
    <row r="1238" spans="1:1" x14ac:dyDescent="0.25">
      <c r="A1238" s="16"/>
    </row>
    <row r="1239" spans="1:1" x14ac:dyDescent="0.25">
      <c r="A1239" s="16"/>
    </row>
    <row r="1240" spans="1:1" x14ac:dyDescent="0.25">
      <c r="A1240" s="16"/>
    </row>
    <row r="1241" spans="1:1" x14ac:dyDescent="0.25">
      <c r="A1241" s="16"/>
    </row>
    <row r="1242" spans="1:1" x14ac:dyDescent="0.25">
      <c r="A1242" s="16"/>
    </row>
    <row r="1243" spans="1:1" x14ac:dyDescent="0.25">
      <c r="A1243" s="16"/>
    </row>
    <row r="1244" spans="1:1" x14ac:dyDescent="0.25">
      <c r="A1244" s="16"/>
    </row>
    <row r="1245" spans="1:1" x14ac:dyDescent="0.25">
      <c r="A1245" s="16"/>
    </row>
    <row r="1246" spans="1:1" x14ac:dyDescent="0.25">
      <c r="A1246" s="16"/>
    </row>
    <row r="1247" spans="1:1" x14ac:dyDescent="0.25">
      <c r="A1247" s="16"/>
    </row>
    <row r="1248" spans="1:1" x14ac:dyDescent="0.25">
      <c r="A1248" s="16"/>
    </row>
    <row r="1249" spans="1:1" x14ac:dyDescent="0.25">
      <c r="A1249" s="16"/>
    </row>
    <row r="1250" spans="1:1" x14ac:dyDescent="0.25">
      <c r="A1250" s="16"/>
    </row>
    <row r="1251" spans="1:1" x14ac:dyDescent="0.25">
      <c r="A1251" s="16"/>
    </row>
    <row r="1252" spans="1:1" x14ac:dyDescent="0.25">
      <c r="A1252" s="16"/>
    </row>
    <row r="1253" spans="1:1" x14ac:dyDescent="0.25">
      <c r="A1253" s="16"/>
    </row>
    <row r="1254" spans="1:1" x14ac:dyDescent="0.25">
      <c r="A1254" s="16"/>
    </row>
    <row r="1255" spans="1:1" x14ac:dyDescent="0.25">
      <c r="A1255" s="16"/>
    </row>
    <row r="1256" spans="1:1" x14ac:dyDescent="0.25">
      <c r="A1256" s="16"/>
    </row>
    <row r="1257" spans="1:1" x14ac:dyDescent="0.25">
      <c r="A1257" s="16"/>
    </row>
    <row r="1258" spans="1:1" x14ac:dyDescent="0.25">
      <c r="A1258" s="16"/>
    </row>
    <row r="1259" spans="1:1" x14ac:dyDescent="0.25">
      <c r="A1259" s="16"/>
    </row>
    <row r="1260" spans="1:1" x14ac:dyDescent="0.25">
      <c r="A1260" s="16"/>
    </row>
    <row r="1261" spans="1:1" x14ac:dyDescent="0.25">
      <c r="A1261" s="16"/>
    </row>
    <row r="1262" spans="1:1" x14ac:dyDescent="0.25">
      <c r="A1262" s="16"/>
    </row>
    <row r="1263" spans="1:1" x14ac:dyDescent="0.25">
      <c r="A1263" s="16"/>
    </row>
    <row r="1264" spans="1:1" x14ac:dyDescent="0.25">
      <c r="A1264" s="16"/>
    </row>
    <row r="1265" spans="1:1" x14ac:dyDescent="0.25">
      <c r="A1265" s="16"/>
    </row>
    <row r="1266" spans="1:1" x14ac:dyDescent="0.25">
      <c r="A1266" s="16"/>
    </row>
    <row r="1267" spans="1:1" x14ac:dyDescent="0.25">
      <c r="A1267" s="16"/>
    </row>
    <row r="1268" spans="1:1" x14ac:dyDescent="0.25">
      <c r="A1268" s="16"/>
    </row>
    <row r="1269" spans="1:1" x14ac:dyDescent="0.25">
      <c r="A1269" s="16"/>
    </row>
    <row r="1270" spans="1:1" x14ac:dyDescent="0.25">
      <c r="A1270" s="16"/>
    </row>
    <row r="1271" spans="1:1" x14ac:dyDescent="0.25">
      <c r="A1271" s="16"/>
    </row>
    <row r="1272" spans="1:1" x14ac:dyDescent="0.25">
      <c r="A1272" s="16"/>
    </row>
    <row r="1273" spans="1:1" x14ac:dyDescent="0.25">
      <c r="A1273" s="16"/>
    </row>
    <row r="1274" spans="1:1" x14ac:dyDescent="0.25">
      <c r="A1274" s="16"/>
    </row>
    <row r="1275" spans="1:1" x14ac:dyDescent="0.25">
      <c r="A1275" s="16"/>
    </row>
    <row r="1276" spans="1:1" x14ac:dyDescent="0.25">
      <c r="A1276" s="16"/>
    </row>
    <row r="1277" spans="1:1" x14ac:dyDescent="0.25">
      <c r="A1277" s="16"/>
    </row>
    <row r="1278" spans="1:1" x14ac:dyDescent="0.25">
      <c r="A1278" s="16"/>
    </row>
    <row r="1279" spans="1:1" x14ac:dyDescent="0.25">
      <c r="A1279" s="16"/>
    </row>
    <row r="1280" spans="1:1" x14ac:dyDescent="0.25">
      <c r="A1280" s="16"/>
    </row>
    <row r="1281" spans="1:1" x14ac:dyDescent="0.25">
      <c r="A1281" s="16"/>
    </row>
    <row r="1282" spans="1:1" x14ac:dyDescent="0.25">
      <c r="A1282" s="16"/>
    </row>
    <row r="1283" spans="1:1" x14ac:dyDescent="0.25">
      <c r="A1283" s="16"/>
    </row>
    <row r="1284" spans="1:1" x14ac:dyDescent="0.25">
      <c r="A1284" s="16"/>
    </row>
    <row r="1285" spans="1:1" x14ac:dyDescent="0.25">
      <c r="A1285" s="16"/>
    </row>
    <row r="1286" spans="1:1" x14ac:dyDescent="0.25">
      <c r="A1286" s="16"/>
    </row>
    <row r="1287" spans="1:1" x14ac:dyDescent="0.25">
      <c r="A1287" s="16"/>
    </row>
    <row r="1288" spans="1:1" x14ac:dyDescent="0.25">
      <c r="A1288" s="16"/>
    </row>
    <row r="1289" spans="1:1" x14ac:dyDescent="0.25">
      <c r="A1289" s="16"/>
    </row>
    <row r="1290" spans="1:1" x14ac:dyDescent="0.25">
      <c r="A1290" s="16"/>
    </row>
    <row r="1291" spans="1:1" x14ac:dyDescent="0.25">
      <c r="A1291" s="16"/>
    </row>
    <row r="1292" spans="1:1" x14ac:dyDescent="0.25">
      <c r="A1292" s="16"/>
    </row>
    <row r="1293" spans="1:1" x14ac:dyDescent="0.25">
      <c r="A1293" s="16"/>
    </row>
    <row r="1294" spans="1:1" x14ac:dyDescent="0.25">
      <c r="A1294" s="16"/>
    </row>
    <row r="1295" spans="1:1" x14ac:dyDescent="0.25">
      <c r="A1295" s="16"/>
    </row>
    <row r="1296" spans="1:1" x14ac:dyDescent="0.25">
      <c r="A1296" s="16"/>
    </row>
    <row r="1297" spans="1:1" x14ac:dyDescent="0.25">
      <c r="A1297" s="16"/>
    </row>
    <row r="1298" spans="1:1" x14ac:dyDescent="0.25">
      <c r="A1298" s="16"/>
    </row>
    <row r="1299" spans="1:1" x14ac:dyDescent="0.25">
      <c r="A1299" s="16"/>
    </row>
    <row r="1300" spans="1:1" x14ac:dyDescent="0.25">
      <c r="A1300" s="16"/>
    </row>
    <row r="1301" spans="1:1" x14ac:dyDescent="0.25">
      <c r="A1301" s="16"/>
    </row>
    <row r="1302" spans="1:1" x14ac:dyDescent="0.25">
      <c r="A1302" s="16"/>
    </row>
    <row r="1303" spans="1:1" x14ac:dyDescent="0.25">
      <c r="A1303" s="16"/>
    </row>
    <row r="1304" spans="1:1" x14ac:dyDescent="0.25">
      <c r="A1304" s="16"/>
    </row>
    <row r="1305" spans="1:1" x14ac:dyDescent="0.25">
      <c r="A1305" s="16"/>
    </row>
    <row r="1306" spans="1:1" x14ac:dyDescent="0.25">
      <c r="A1306" s="16"/>
    </row>
    <row r="1307" spans="1:1" x14ac:dyDescent="0.25">
      <c r="A1307" s="16"/>
    </row>
    <row r="1308" spans="1:1" x14ac:dyDescent="0.25">
      <c r="A1308" s="16"/>
    </row>
    <row r="1309" spans="1:1" x14ac:dyDescent="0.25">
      <c r="A1309" s="16"/>
    </row>
    <row r="1310" spans="1:1" x14ac:dyDescent="0.25">
      <c r="A1310" s="16"/>
    </row>
    <row r="1311" spans="1:1" x14ac:dyDescent="0.25">
      <c r="A1311" s="16"/>
    </row>
    <row r="1312" spans="1:1" x14ac:dyDescent="0.25">
      <c r="A1312" s="16"/>
    </row>
    <row r="1313" spans="1:1" x14ac:dyDescent="0.25">
      <c r="A1313" s="16"/>
    </row>
    <row r="1314" spans="1:1" x14ac:dyDescent="0.25">
      <c r="A1314" s="16"/>
    </row>
    <row r="1315" spans="1:1" x14ac:dyDescent="0.25">
      <c r="A1315" s="16"/>
    </row>
    <row r="1316" spans="1:1" x14ac:dyDescent="0.25">
      <c r="A1316" s="16"/>
    </row>
    <row r="1317" spans="1:1" x14ac:dyDescent="0.25">
      <c r="A1317" s="16"/>
    </row>
    <row r="1318" spans="1:1" x14ac:dyDescent="0.25">
      <c r="A1318" s="16"/>
    </row>
    <row r="1319" spans="1:1" x14ac:dyDescent="0.25">
      <c r="A1319" s="16"/>
    </row>
    <row r="1320" spans="1:1" x14ac:dyDescent="0.25">
      <c r="A1320" s="16"/>
    </row>
    <row r="1321" spans="1:1" x14ac:dyDescent="0.25">
      <c r="A1321" s="16"/>
    </row>
    <row r="1322" spans="1:1" x14ac:dyDescent="0.25">
      <c r="A1322" s="16"/>
    </row>
    <row r="1323" spans="1:1" x14ac:dyDescent="0.25">
      <c r="A1323" s="16"/>
    </row>
    <row r="1324" spans="1:1" x14ac:dyDescent="0.25">
      <c r="A1324" s="16"/>
    </row>
    <row r="1325" spans="1:1" x14ac:dyDescent="0.25">
      <c r="A1325" s="16"/>
    </row>
    <row r="1326" spans="1:1" x14ac:dyDescent="0.25">
      <c r="A1326" s="16"/>
    </row>
    <row r="1327" spans="1:1" x14ac:dyDescent="0.25">
      <c r="A1327" s="16"/>
    </row>
    <row r="1328" spans="1:1" x14ac:dyDescent="0.25">
      <c r="A1328" s="16"/>
    </row>
    <row r="1329" spans="1:1" x14ac:dyDescent="0.25">
      <c r="A1329" s="16"/>
    </row>
    <row r="1330" spans="1:1" x14ac:dyDescent="0.25">
      <c r="A1330" s="16"/>
    </row>
    <row r="1331" spans="1:1" x14ac:dyDescent="0.25">
      <c r="A1331" s="16"/>
    </row>
    <row r="1332" spans="1:1" x14ac:dyDescent="0.25">
      <c r="A1332" s="16"/>
    </row>
    <row r="1333" spans="1:1" x14ac:dyDescent="0.25">
      <c r="A1333" s="16"/>
    </row>
    <row r="1334" spans="1:1" x14ac:dyDescent="0.25">
      <c r="A1334" s="16"/>
    </row>
    <row r="1335" spans="1:1" x14ac:dyDescent="0.25">
      <c r="A1335" s="16"/>
    </row>
    <row r="1336" spans="1:1" x14ac:dyDescent="0.25">
      <c r="A1336" s="16"/>
    </row>
    <row r="1337" spans="1:1" x14ac:dyDescent="0.25">
      <c r="A1337" s="16"/>
    </row>
    <row r="1338" spans="1:1" x14ac:dyDescent="0.25">
      <c r="A1338" s="16"/>
    </row>
    <row r="1339" spans="1:1" x14ac:dyDescent="0.25">
      <c r="A1339" s="16"/>
    </row>
    <row r="1340" spans="1:1" x14ac:dyDescent="0.25">
      <c r="A1340" s="16"/>
    </row>
    <row r="1341" spans="1:1" x14ac:dyDescent="0.25">
      <c r="A1341" s="16"/>
    </row>
    <row r="1342" spans="1:1" x14ac:dyDescent="0.25">
      <c r="A1342" s="16"/>
    </row>
    <row r="1343" spans="1:1" x14ac:dyDescent="0.25">
      <c r="A1343" s="16"/>
    </row>
    <row r="1344" spans="1:1" x14ac:dyDescent="0.25">
      <c r="A1344" s="16"/>
    </row>
    <row r="1345" spans="1:1" x14ac:dyDescent="0.25">
      <c r="A1345" s="16"/>
    </row>
    <row r="1346" spans="1:1" x14ac:dyDescent="0.25">
      <c r="A1346" s="16"/>
    </row>
    <row r="1347" spans="1:1" x14ac:dyDescent="0.25">
      <c r="A1347" s="16"/>
    </row>
    <row r="1348" spans="1:1" x14ac:dyDescent="0.25">
      <c r="A1348" s="16"/>
    </row>
    <row r="1349" spans="1:1" x14ac:dyDescent="0.25">
      <c r="A1349" s="16"/>
    </row>
    <row r="1350" spans="1:1" x14ac:dyDescent="0.25">
      <c r="A1350" s="16"/>
    </row>
    <row r="1351" spans="1:1" x14ac:dyDescent="0.25">
      <c r="A1351" s="16"/>
    </row>
    <row r="1352" spans="1:1" x14ac:dyDescent="0.25">
      <c r="A1352" s="16"/>
    </row>
    <row r="1353" spans="1:1" x14ac:dyDescent="0.25">
      <c r="A1353" s="16"/>
    </row>
    <row r="1354" spans="1:1" x14ac:dyDescent="0.25">
      <c r="A1354" s="16"/>
    </row>
    <row r="1355" spans="1:1" x14ac:dyDescent="0.25">
      <c r="A1355" s="16"/>
    </row>
    <row r="1356" spans="1:1" x14ac:dyDescent="0.25">
      <c r="A1356" s="16"/>
    </row>
    <row r="1357" spans="1:1" x14ac:dyDescent="0.25">
      <c r="A1357" s="16"/>
    </row>
    <row r="1358" spans="1:1" x14ac:dyDescent="0.25">
      <c r="A1358" s="16"/>
    </row>
    <row r="1359" spans="1:1" x14ac:dyDescent="0.25">
      <c r="A1359" s="16"/>
    </row>
    <row r="1360" spans="1:1" x14ac:dyDescent="0.25">
      <c r="A1360" s="16"/>
    </row>
    <row r="1361" spans="1:1" x14ac:dyDescent="0.25">
      <c r="A1361" s="16"/>
    </row>
    <row r="1362" spans="1:1" x14ac:dyDescent="0.25">
      <c r="A1362" s="16"/>
    </row>
    <row r="1363" spans="1:1" x14ac:dyDescent="0.25">
      <c r="A1363" s="16"/>
    </row>
    <row r="1364" spans="1:1" x14ac:dyDescent="0.25">
      <c r="A1364" s="16"/>
    </row>
    <row r="1365" spans="1:1" x14ac:dyDescent="0.25">
      <c r="A1365" s="16"/>
    </row>
    <row r="1366" spans="1:1" x14ac:dyDescent="0.25">
      <c r="A1366" s="16"/>
    </row>
    <row r="1367" spans="1:1" x14ac:dyDescent="0.25">
      <c r="A1367" s="16"/>
    </row>
    <row r="1368" spans="1:1" x14ac:dyDescent="0.25">
      <c r="A1368" s="16"/>
    </row>
    <row r="1369" spans="1:1" x14ac:dyDescent="0.25">
      <c r="A1369" s="16"/>
    </row>
    <row r="1370" spans="1:1" x14ac:dyDescent="0.25">
      <c r="A1370" s="16"/>
    </row>
    <row r="1371" spans="1:1" x14ac:dyDescent="0.25">
      <c r="A1371" s="16"/>
    </row>
    <row r="1372" spans="1:1" x14ac:dyDescent="0.25">
      <c r="A1372" s="16"/>
    </row>
    <row r="1373" spans="1:1" x14ac:dyDescent="0.25">
      <c r="A1373" s="16"/>
    </row>
    <row r="1374" spans="1:1" x14ac:dyDescent="0.25">
      <c r="A1374" s="16"/>
    </row>
    <row r="1375" spans="1:1" x14ac:dyDescent="0.25">
      <c r="A1375" s="16"/>
    </row>
    <row r="1376" spans="1:1" x14ac:dyDescent="0.25">
      <c r="A1376" s="16"/>
    </row>
    <row r="1377" spans="1:1" x14ac:dyDescent="0.25">
      <c r="A1377" s="16"/>
    </row>
    <row r="1378" spans="1:1" x14ac:dyDescent="0.25">
      <c r="A1378" s="16"/>
    </row>
    <row r="1379" spans="1:1" x14ac:dyDescent="0.25">
      <c r="A1379" s="16"/>
    </row>
    <row r="1380" spans="1:1" x14ac:dyDescent="0.25">
      <c r="A1380" s="16"/>
    </row>
    <row r="1381" spans="1:1" x14ac:dyDescent="0.25">
      <c r="A1381" s="16"/>
    </row>
    <row r="1382" spans="1:1" x14ac:dyDescent="0.25">
      <c r="A1382" s="16"/>
    </row>
    <row r="1383" spans="1:1" x14ac:dyDescent="0.25">
      <c r="A1383" s="16"/>
    </row>
    <row r="1384" spans="1:1" x14ac:dyDescent="0.25">
      <c r="A1384" s="16"/>
    </row>
    <row r="1385" spans="1:1" x14ac:dyDescent="0.25">
      <c r="A1385" s="16"/>
    </row>
    <row r="1386" spans="1:1" x14ac:dyDescent="0.25">
      <c r="A1386" s="16"/>
    </row>
    <row r="1387" spans="1:1" x14ac:dyDescent="0.25">
      <c r="A1387" s="16"/>
    </row>
    <row r="1388" spans="1:1" x14ac:dyDescent="0.25">
      <c r="A1388" s="16"/>
    </row>
    <row r="1389" spans="1:1" x14ac:dyDescent="0.25">
      <c r="A1389" s="16"/>
    </row>
    <row r="1390" spans="1:1" x14ac:dyDescent="0.25">
      <c r="A1390" s="16"/>
    </row>
    <row r="1391" spans="1:1" x14ac:dyDescent="0.25">
      <c r="A1391" s="16"/>
    </row>
    <row r="1392" spans="1:1" x14ac:dyDescent="0.25">
      <c r="A1392" s="16"/>
    </row>
    <row r="1393" spans="1:1" x14ac:dyDescent="0.25">
      <c r="A1393" s="16"/>
    </row>
    <row r="1394" spans="1:1" x14ac:dyDescent="0.25">
      <c r="A1394" s="16"/>
    </row>
    <row r="1395" spans="1:1" x14ac:dyDescent="0.25">
      <c r="A1395" s="16"/>
    </row>
    <row r="1396" spans="1:1" x14ac:dyDescent="0.25">
      <c r="A1396" s="16"/>
    </row>
    <row r="1397" spans="1:1" x14ac:dyDescent="0.25">
      <c r="A1397" s="16"/>
    </row>
    <row r="1398" spans="1:1" x14ac:dyDescent="0.25">
      <c r="A1398" s="16"/>
    </row>
    <row r="1399" spans="1:1" x14ac:dyDescent="0.25">
      <c r="A1399" s="16"/>
    </row>
    <row r="1400" spans="1:1" x14ac:dyDescent="0.25">
      <c r="A1400" s="16"/>
    </row>
    <row r="1401" spans="1:1" x14ac:dyDescent="0.25">
      <c r="A1401" s="16"/>
    </row>
    <row r="1402" spans="1:1" x14ac:dyDescent="0.25">
      <c r="A1402" s="16"/>
    </row>
    <row r="1403" spans="1:1" x14ac:dyDescent="0.25">
      <c r="A1403" s="16"/>
    </row>
    <row r="1404" spans="1:1" x14ac:dyDescent="0.25">
      <c r="A1404" s="16"/>
    </row>
    <row r="1405" spans="1:1" x14ac:dyDescent="0.25">
      <c r="A1405" s="16"/>
    </row>
    <row r="1406" spans="1:1" x14ac:dyDescent="0.25">
      <c r="A1406" s="16"/>
    </row>
    <row r="1407" spans="1:1" x14ac:dyDescent="0.25">
      <c r="A1407" s="16"/>
    </row>
    <row r="1408" spans="1:1" x14ac:dyDescent="0.25">
      <c r="A1408" s="16"/>
    </row>
    <row r="1409" spans="1:1" x14ac:dyDescent="0.25">
      <c r="A1409" s="16"/>
    </row>
    <row r="1410" spans="1:1" x14ac:dyDescent="0.25">
      <c r="A1410" s="16"/>
    </row>
    <row r="1411" spans="1:1" x14ac:dyDescent="0.25">
      <c r="A1411" s="16"/>
    </row>
    <row r="1412" spans="1:1" x14ac:dyDescent="0.25">
      <c r="A1412" s="16"/>
    </row>
    <row r="1413" spans="1:1" x14ac:dyDescent="0.25">
      <c r="A1413" s="16"/>
    </row>
    <row r="1414" spans="1:1" x14ac:dyDescent="0.25">
      <c r="A1414" s="16"/>
    </row>
    <row r="1415" spans="1:1" x14ac:dyDescent="0.25">
      <c r="A1415" s="16"/>
    </row>
    <row r="1416" spans="1:1" x14ac:dyDescent="0.25">
      <c r="A1416" s="16"/>
    </row>
    <row r="1417" spans="1:1" x14ac:dyDescent="0.25">
      <c r="A1417" s="16"/>
    </row>
    <row r="1418" spans="1:1" x14ac:dyDescent="0.25">
      <c r="A1418" s="16"/>
    </row>
    <row r="1419" spans="1:1" x14ac:dyDescent="0.25">
      <c r="A1419" s="16"/>
    </row>
    <row r="1420" spans="1:1" x14ac:dyDescent="0.25">
      <c r="A1420" s="16"/>
    </row>
    <row r="1421" spans="1:1" x14ac:dyDescent="0.25">
      <c r="A1421" s="16"/>
    </row>
    <row r="1422" spans="1:1" x14ac:dyDescent="0.25">
      <c r="A1422" s="16"/>
    </row>
    <row r="1423" spans="1:1" x14ac:dyDescent="0.25">
      <c r="A1423" s="16"/>
    </row>
    <row r="1424" spans="1:1" x14ac:dyDescent="0.25">
      <c r="A1424" s="16"/>
    </row>
    <row r="1425" spans="1:1" x14ac:dyDescent="0.25">
      <c r="A1425" s="16"/>
    </row>
    <row r="1426" spans="1:1" x14ac:dyDescent="0.25">
      <c r="A1426" s="16"/>
    </row>
    <row r="1427" spans="1:1" x14ac:dyDescent="0.25">
      <c r="A1427" s="16"/>
    </row>
    <row r="1428" spans="1:1" x14ac:dyDescent="0.25">
      <c r="A1428" s="16"/>
    </row>
    <row r="1429" spans="1:1" x14ac:dyDescent="0.25">
      <c r="A1429" s="16"/>
    </row>
    <row r="1430" spans="1:1" x14ac:dyDescent="0.25">
      <c r="A1430" s="16"/>
    </row>
    <row r="1431" spans="1:1" x14ac:dyDescent="0.25">
      <c r="A1431" s="16"/>
    </row>
    <row r="1432" spans="1:1" x14ac:dyDescent="0.25">
      <c r="A1432" s="16"/>
    </row>
    <row r="1433" spans="1:1" x14ac:dyDescent="0.25">
      <c r="A1433" s="16"/>
    </row>
    <row r="1434" spans="1:1" x14ac:dyDescent="0.25">
      <c r="A1434" s="16"/>
    </row>
    <row r="1435" spans="1:1" x14ac:dyDescent="0.25">
      <c r="A1435" s="16"/>
    </row>
    <row r="1436" spans="1:1" x14ac:dyDescent="0.25">
      <c r="A1436" s="16"/>
    </row>
    <row r="1437" spans="1:1" x14ac:dyDescent="0.25">
      <c r="A1437" s="16"/>
    </row>
    <row r="1438" spans="1:1" x14ac:dyDescent="0.25">
      <c r="A1438" s="16"/>
    </row>
    <row r="1439" spans="1:1" x14ac:dyDescent="0.25">
      <c r="A1439" s="16"/>
    </row>
    <row r="1440" spans="1:1" x14ac:dyDescent="0.25">
      <c r="A1440" s="16"/>
    </row>
    <row r="1441" spans="1:1" x14ac:dyDescent="0.25">
      <c r="A1441" s="16"/>
    </row>
    <row r="1442" spans="1:1" x14ac:dyDescent="0.25">
      <c r="A1442" s="16"/>
    </row>
    <row r="1443" spans="1:1" x14ac:dyDescent="0.25">
      <c r="A1443" s="16"/>
    </row>
    <row r="1444" spans="1:1" x14ac:dyDescent="0.25">
      <c r="A1444" s="16"/>
    </row>
    <row r="1445" spans="1:1" x14ac:dyDescent="0.25">
      <c r="A1445" s="16"/>
    </row>
    <row r="1446" spans="1:1" x14ac:dyDescent="0.25">
      <c r="A1446" s="16"/>
    </row>
    <row r="1447" spans="1:1" x14ac:dyDescent="0.25">
      <c r="A1447" s="16"/>
    </row>
    <row r="1448" spans="1:1" x14ac:dyDescent="0.25">
      <c r="A1448" s="16"/>
    </row>
    <row r="1449" spans="1:1" x14ac:dyDescent="0.25">
      <c r="A1449" s="16"/>
    </row>
    <row r="1450" spans="1:1" x14ac:dyDescent="0.25">
      <c r="A1450" s="16"/>
    </row>
    <row r="1451" spans="1:1" x14ac:dyDescent="0.25">
      <c r="A1451" s="16"/>
    </row>
    <row r="1452" spans="1:1" x14ac:dyDescent="0.25">
      <c r="A1452" s="16"/>
    </row>
    <row r="1453" spans="1:1" x14ac:dyDescent="0.25">
      <c r="A1453" s="16"/>
    </row>
    <row r="1454" spans="1:1" x14ac:dyDescent="0.25">
      <c r="A1454" s="16"/>
    </row>
    <row r="1455" spans="1:1" x14ac:dyDescent="0.25">
      <c r="A1455" s="16"/>
    </row>
    <row r="1456" spans="1:1" x14ac:dyDescent="0.25">
      <c r="A1456" s="16"/>
    </row>
    <row r="1457" spans="1:1" x14ac:dyDescent="0.25">
      <c r="A1457" s="16"/>
    </row>
    <row r="1458" spans="1:1" x14ac:dyDescent="0.25">
      <c r="A1458" s="16"/>
    </row>
    <row r="1459" spans="1:1" x14ac:dyDescent="0.25">
      <c r="A1459" s="16"/>
    </row>
    <row r="1460" spans="1:1" x14ac:dyDescent="0.25">
      <c r="A1460" s="16"/>
    </row>
    <row r="1461" spans="1:1" x14ac:dyDescent="0.25">
      <c r="A1461" s="16"/>
    </row>
    <row r="1462" spans="1:1" x14ac:dyDescent="0.25">
      <c r="A1462" s="16"/>
    </row>
    <row r="1463" spans="1:1" x14ac:dyDescent="0.25">
      <c r="A1463" s="16"/>
    </row>
    <row r="1464" spans="1:1" x14ac:dyDescent="0.25">
      <c r="A1464" s="16"/>
    </row>
    <row r="1465" spans="1:1" x14ac:dyDescent="0.25">
      <c r="A1465" s="16"/>
    </row>
    <row r="1466" spans="1:1" x14ac:dyDescent="0.25">
      <c r="A1466" s="16"/>
    </row>
    <row r="1467" spans="1:1" x14ac:dyDescent="0.25">
      <c r="A1467" s="16"/>
    </row>
    <row r="1468" spans="1:1" x14ac:dyDescent="0.25">
      <c r="A1468" s="16"/>
    </row>
    <row r="1469" spans="1:1" x14ac:dyDescent="0.25">
      <c r="A1469" s="16"/>
    </row>
    <row r="1470" spans="1:1" x14ac:dyDescent="0.25">
      <c r="A1470" s="16"/>
    </row>
    <row r="1471" spans="1:1" x14ac:dyDescent="0.25">
      <c r="A1471" s="16"/>
    </row>
    <row r="1472" spans="1:1" x14ac:dyDescent="0.25">
      <c r="A1472" s="16"/>
    </row>
    <row r="1473" spans="1:1" x14ac:dyDescent="0.25">
      <c r="A1473" s="16"/>
    </row>
    <row r="1474" spans="1:1" x14ac:dyDescent="0.25">
      <c r="A1474" s="16"/>
    </row>
    <row r="1475" spans="1:1" x14ac:dyDescent="0.25">
      <c r="A1475" s="16"/>
    </row>
    <row r="1476" spans="1:1" x14ac:dyDescent="0.25">
      <c r="A1476" s="16"/>
    </row>
    <row r="1477" spans="1:1" x14ac:dyDescent="0.25">
      <c r="A1477" s="16"/>
    </row>
    <row r="1478" spans="1:1" x14ac:dyDescent="0.25">
      <c r="A1478" s="16"/>
    </row>
    <row r="1479" spans="1:1" x14ac:dyDescent="0.25">
      <c r="A1479" s="16"/>
    </row>
    <row r="1480" spans="1:1" x14ac:dyDescent="0.25">
      <c r="A1480" s="16"/>
    </row>
    <row r="1481" spans="1:1" x14ac:dyDescent="0.25">
      <c r="A1481" s="16"/>
    </row>
    <row r="1482" spans="1:1" x14ac:dyDescent="0.25">
      <c r="A1482" s="16"/>
    </row>
    <row r="1483" spans="1:1" x14ac:dyDescent="0.25">
      <c r="A1483" s="16"/>
    </row>
    <row r="1484" spans="1:1" x14ac:dyDescent="0.25">
      <c r="A1484" s="16"/>
    </row>
    <row r="1485" spans="1:1" x14ac:dyDescent="0.25">
      <c r="A1485" s="16"/>
    </row>
    <row r="1486" spans="1:1" x14ac:dyDescent="0.25">
      <c r="A1486" s="16"/>
    </row>
    <row r="1487" spans="1:1" x14ac:dyDescent="0.25">
      <c r="A1487" s="16"/>
    </row>
    <row r="1488" spans="1:1" x14ac:dyDescent="0.25">
      <c r="A1488" s="16"/>
    </row>
    <row r="1489" spans="1:1" x14ac:dyDescent="0.25">
      <c r="A1489" s="16"/>
    </row>
    <row r="1490" spans="1:1" x14ac:dyDescent="0.25">
      <c r="A1490" s="16"/>
    </row>
    <row r="1491" spans="1:1" x14ac:dyDescent="0.25">
      <c r="A1491" s="16"/>
    </row>
    <row r="1492" spans="1:1" x14ac:dyDescent="0.25">
      <c r="A1492" s="16"/>
    </row>
    <row r="1493" spans="1:1" x14ac:dyDescent="0.25">
      <c r="A1493" s="16"/>
    </row>
    <row r="1494" spans="1:1" x14ac:dyDescent="0.25">
      <c r="A1494" s="16"/>
    </row>
    <row r="1495" spans="1:1" x14ac:dyDescent="0.25">
      <c r="A1495" s="16"/>
    </row>
    <row r="1496" spans="1:1" x14ac:dyDescent="0.25">
      <c r="A1496" s="16"/>
    </row>
    <row r="1497" spans="1:1" x14ac:dyDescent="0.25">
      <c r="A1497" s="16"/>
    </row>
    <row r="1498" spans="1:1" x14ac:dyDescent="0.25">
      <c r="A1498" s="16"/>
    </row>
    <row r="1499" spans="1:1" x14ac:dyDescent="0.25">
      <c r="A1499" s="16"/>
    </row>
    <row r="1500" spans="1:1" x14ac:dyDescent="0.25">
      <c r="A1500" s="16"/>
    </row>
    <row r="1501" spans="1:1" x14ac:dyDescent="0.25">
      <c r="A1501" s="16"/>
    </row>
    <row r="1502" spans="1:1" x14ac:dyDescent="0.25">
      <c r="A1502" s="16"/>
    </row>
    <row r="1503" spans="1:1" x14ac:dyDescent="0.25">
      <c r="A1503" s="16"/>
    </row>
    <row r="1504" spans="1:1" x14ac:dyDescent="0.25">
      <c r="A1504" s="16"/>
    </row>
    <row r="1505" spans="1:1" x14ac:dyDescent="0.25">
      <c r="A1505" s="16"/>
    </row>
    <row r="1506" spans="1:1" x14ac:dyDescent="0.25">
      <c r="A1506" s="16"/>
    </row>
    <row r="1507" spans="1:1" x14ac:dyDescent="0.25">
      <c r="A1507" s="16"/>
    </row>
    <row r="1508" spans="1:1" x14ac:dyDescent="0.25">
      <c r="A1508" s="16"/>
    </row>
    <row r="1509" spans="1:1" x14ac:dyDescent="0.25">
      <c r="A1509" s="16"/>
    </row>
    <row r="1510" spans="1:1" x14ac:dyDescent="0.25">
      <c r="A1510" s="16"/>
    </row>
    <row r="1511" spans="1:1" x14ac:dyDescent="0.25">
      <c r="A1511" s="16"/>
    </row>
    <row r="1512" spans="1:1" x14ac:dyDescent="0.25">
      <c r="A1512" s="16"/>
    </row>
    <row r="1513" spans="1:1" x14ac:dyDescent="0.25">
      <c r="A1513" s="16"/>
    </row>
    <row r="1514" spans="1:1" x14ac:dyDescent="0.25">
      <c r="A1514" s="16"/>
    </row>
    <row r="1515" spans="1:1" x14ac:dyDescent="0.25">
      <c r="A1515" s="16"/>
    </row>
    <row r="1516" spans="1:1" x14ac:dyDescent="0.25">
      <c r="A1516" s="16"/>
    </row>
    <row r="1517" spans="1:1" x14ac:dyDescent="0.25">
      <c r="A1517" s="16"/>
    </row>
    <row r="1518" spans="1:1" x14ac:dyDescent="0.25">
      <c r="A1518" s="16"/>
    </row>
    <row r="1519" spans="1:1" x14ac:dyDescent="0.25">
      <c r="A1519" s="16"/>
    </row>
    <row r="1520" spans="1:1" x14ac:dyDescent="0.25">
      <c r="A1520" s="16"/>
    </row>
    <row r="1521" spans="1:1" x14ac:dyDescent="0.25">
      <c r="A1521" s="16"/>
    </row>
    <row r="1522" spans="1:1" x14ac:dyDescent="0.25">
      <c r="A1522" s="16"/>
    </row>
    <row r="1523" spans="1:1" x14ac:dyDescent="0.25">
      <c r="A1523" s="16"/>
    </row>
    <row r="1524" spans="1:1" x14ac:dyDescent="0.25">
      <c r="A1524" s="16"/>
    </row>
    <row r="1525" spans="1:1" x14ac:dyDescent="0.25">
      <c r="A1525" s="16"/>
    </row>
    <row r="1526" spans="1:1" x14ac:dyDescent="0.25">
      <c r="A1526" s="16"/>
    </row>
    <row r="1527" spans="1:1" x14ac:dyDescent="0.25">
      <c r="A1527" s="16"/>
    </row>
    <row r="1528" spans="1:1" x14ac:dyDescent="0.25">
      <c r="A1528" s="16"/>
    </row>
    <row r="1529" spans="1:1" x14ac:dyDescent="0.25">
      <c r="A1529" s="16"/>
    </row>
    <row r="1530" spans="1:1" x14ac:dyDescent="0.25">
      <c r="A1530" s="16"/>
    </row>
    <row r="1531" spans="1:1" x14ac:dyDescent="0.25">
      <c r="A1531" s="16"/>
    </row>
    <row r="1532" spans="1:1" x14ac:dyDescent="0.25">
      <c r="A1532" s="16"/>
    </row>
    <row r="1533" spans="1:1" x14ac:dyDescent="0.25">
      <c r="A1533" s="16"/>
    </row>
    <row r="1534" spans="1:1" x14ac:dyDescent="0.25">
      <c r="A1534" s="16"/>
    </row>
    <row r="1535" spans="1:1" x14ac:dyDescent="0.25">
      <c r="A1535" s="16"/>
    </row>
    <row r="1536" spans="1:1" x14ac:dyDescent="0.25">
      <c r="A1536" s="16"/>
    </row>
    <row r="1537" spans="1:1" x14ac:dyDescent="0.25">
      <c r="A1537" s="16"/>
    </row>
    <row r="1538" spans="1:1" x14ac:dyDescent="0.25">
      <c r="A1538" s="16"/>
    </row>
    <row r="1539" spans="1:1" x14ac:dyDescent="0.25">
      <c r="A1539" s="16"/>
    </row>
    <row r="1540" spans="1:1" x14ac:dyDescent="0.25">
      <c r="A1540" s="16"/>
    </row>
    <row r="1541" spans="1:1" x14ac:dyDescent="0.25">
      <c r="A1541" s="16"/>
    </row>
    <row r="1542" spans="1:1" x14ac:dyDescent="0.25">
      <c r="A1542" s="16"/>
    </row>
    <row r="1543" spans="1:1" x14ac:dyDescent="0.25">
      <c r="A1543" s="16"/>
    </row>
    <row r="1544" spans="1:1" x14ac:dyDescent="0.25">
      <c r="A1544" s="16"/>
    </row>
    <row r="1545" spans="1:1" x14ac:dyDescent="0.25">
      <c r="A1545" s="16"/>
    </row>
    <row r="1546" spans="1:1" x14ac:dyDescent="0.25">
      <c r="A1546" s="16"/>
    </row>
    <row r="1547" spans="1:1" x14ac:dyDescent="0.25">
      <c r="A1547" s="16"/>
    </row>
    <row r="1548" spans="1:1" x14ac:dyDescent="0.25">
      <c r="A1548" s="16"/>
    </row>
    <row r="1549" spans="1:1" x14ac:dyDescent="0.25">
      <c r="A1549" s="16"/>
    </row>
    <row r="1550" spans="1:1" x14ac:dyDescent="0.25">
      <c r="A1550" s="16"/>
    </row>
    <row r="1551" spans="1:1" x14ac:dyDescent="0.25">
      <c r="A1551" s="16"/>
    </row>
    <row r="1552" spans="1:1" x14ac:dyDescent="0.25">
      <c r="A1552" s="16"/>
    </row>
    <row r="1553" spans="1:1" x14ac:dyDescent="0.25">
      <c r="A1553" s="16"/>
    </row>
    <row r="1554" spans="1:1" x14ac:dyDescent="0.25">
      <c r="A1554" s="16"/>
    </row>
    <row r="1555" spans="1:1" x14ac:dyDescent="0.25">
      <c r="A1555" s="16"/>
    </row>
    <row r="1556" spans="1:1" x14ac:dyDescent="0.25">
      <c r="A1556" s="16"/>
    </row>
    <row r="1557" spans="1:1" x14ac:dyDescent="0.25">
      <c r="A1557" s="16"/>
    </row>
    <row r="1558" spans="1:1" x14ac:dyDescent="0.25">
      <c r="A1558" s="16"/>
    </row>
    <row r="1559" spans="1:1" x14ac:dyDescent="0.25">
      <c r="A1559" s="16"/>
    </row>
    <row r="1560" spans="1:1" x14ac:dyDescent="0.25">
      <c r="A1560" s="16"/>
    </row>
    <row r="1561" spans="1:1" x14ac:dyDescent="0.25">
      <c r="A1561" s="16"/>
    </row>
    <row r="1562" spans="1:1" x14ac:dyDescent="0.25">
      <c r="A1562" s="16"/>
    </row>
    <row r="1563" spans="1:1" x14ac:dyDescent="0.25">
      <c r="A1563" s="16"/>
    </row>
    <row r="1564" spans="1:1" x14ac:dyDescent="0.25">
      <c r="A1564" s="16"/>
    </row>
    <row r="1565" spans="1:1" x14ac:dyDescent="0.25">
      <c r="A1565" s="16"/>
    </row>
    <row r="1566" spans="1:1" x14ac:dyDescent="0.25">
      <c r="A1566" s="16"/>
    </row>
    <row r="1567" spans="1:1" x14ac:dyDescent="0.25">
      <c r="A1567" s="16"/>
    </row>
    <row r="1568" spans="1:1" x14ac:dyDescent="0.25">
      <c r="A1568" s="16"/>
    </row>
    <row r="1569" spans="1:1" x14ac:dyDescent="0.25">
      <c r="A1569" s="16"/>
    </row>
    <row r="1570" spans="1:1" x14ac:dyDescent="0.25">
      <c r="A1570" s="16"/>
    </row>
    <row r="1571" spans="1:1" x14ac:dyDescent="0.25">
      <c r="A1571" s="16"/>
    </row>
    <row r="1572" spans="1:1" x14ac:dyDescent="0.25">
      <c r="A1572" s="16"/>
    </row>
    <row r="1573" spans="1:1" x14ac:dyDescent="0.25">
      <c r="A1573" s="16"/>
    </row>
    <row r="1574" spans="1:1" x14ac:dyDescent="0.25">
      <c r="A1574" s="16"/>
    </row>
    <row r="1575" spans="1:1" x14ac:dyDescent="0.25">
      <c r="A1575" s="16"/>
    </row>
    <row r="1576" spans="1:1" x14ac:dyDescent="0.25">
      <c r="A1576" s="16"/>
    </row>
    <row r="1577" spans="1:1" x14ac:dyDescent="0.25">
      <c r="A1577" s="16"/>
    </row>
    <row r="1578" spans="1:1" x14ac:dyDescent="0.25">
      <c r="A1578" s="16"/>
    </row>
    <row r="1579" spans="1:1" x14ac:dyDescent="0.25">
      <c r="A1579" s="16"/>
    </row>
    <row r="1580" spans="1:1" x14ac:dyDescent="0.25">
      <c r="A1580" s="16"/>
    </row>
    <row r="1581" spans="1:1" x14ac:dyDescent="0.25">
      <c r="A1581" s="16"/>
    </row>
    <row r="1582" spans="1:1" x14ac:dyDescent="0.25">
      <c r="A1582" s="16"/>
    </row>
    <row r="1583" spans="1:1" x14ac:dyDescent="0.25">
      <c r="A1583" s="16"/>
    </row>
    <row r="1584" spans="1:1" x14ac:dyDescent="0.25">
      <c r="A1584" s="16"/>
    </row>
    <row r="1585" spans="1:1" x14ac:dyDescent="0.25">
      <c r="A1585" s="16"/>
    </row>
    <row r="1586" spans="1:1" x14ac:dyDescent="0.25">
      <c r="A1586" s="16"/>
    </row>
    <row r="1587" spans="1:1" x14ac:dyDescent="0.25">
      <c r="A1587" s="16"/>
    </row>
    <row r="1588" spans="1:1" x14ac:dyDescent="0.25">
      <c r="A1588" s="16"/>
    </row>
    <row r="1589" spans="1:1" x14ac:dyDescent="0.25">
      <c r="A1589" s="16"/>
    </row>
    <row r="1590" spans="1:1" x14ac:dyDescent="0.25">
      <c r="A1590" s="16"/>
    </row>
    <row r="1591" spans="1:1" x14ac:dyDescent="0.25">
      <c r="A1591" s="16"/>
    </row>
    <row r="1592" spans="1:1" x14ac:dyDescent="0.25">
      <c r="A1592" s="16"/>
    </row>
    <row r="1593" spans="1:1" x14ac:dyDescent="0.25">
      <c r="A1593" s="16"/>
    </row>
    <row r="1594" spans="1:1" x14ac:dyDescent="0.25">
      <c r="A1594" s="16"/>
    </row>
    <row r="1595" spans="1:1" x14ac:dyDescent="0.25">
      <c r="A1595" s="16"/>
    </row>
    <row r="1596" spans="1:1" x14ac:dyDescent="0.25">
      <c r="A1596" s="16"/>
    </row>
    <row r="1597" spans="1:1" x14ac:dyDescent="0.25">
      <c r="A1597" s="16"/>
    </row>
    <row r="1598" spans="1:1" x14ac:dyDescent="0.25">
      <c r="A1598" s="16"/>
    </row>
    <row r="1599" spans="1:1" x14ac:dyDescent="0.25">
      <c r="A1599" s="16"/>
    </row>
    <row r="1600" spans="1:1" x14ac:dyDescent="0.25">
      <c r="A1600" s="16"/>
    </row>
    <row r="1601" spans="1:1" x14ac:dyDescent="0.25">
      <c r="A1601" s="16"/>
    </row>
    <row r="1602" spans="1:1" x14ac:dyDescent="0.25">
      <c r="A1602" s="16"/>
    </row>
    <row r="1603" spans="1:1" x14ac:dyDescent="0.25">
      <c r="A1603" s="16"/>
    </row>
    <row r="1604" spans="1:1" x14ac:dyDescent="0.25">
      <c r="A1604" s="16"/>
    </row>
    <row r="1605" spans="1:1" x14ac:dyDescent="0.25">
      <c r="A1605" s="16"/>
    </row>
    <row r="1606" spans="1:1" x14ac:dyDescent="0.25">
      <c r="A1606" s="16"/>
    </row>
    <row r="1607" spans="1:1" x14ac:dyDescent="0.25">
      <c r="A1607" s="16"/>
    </row>
    <row r="1608" spans="1:1" x14ac:dyDescent="0.25">
      <c r="A1608" s="16"/>
    </row>
    <row r="1609" spans="1:1" x14ac:dyDescent="0.25">
      <c r="A1609" s="16"/>
    </row>
    <row r="1610" spans="1:1" x14ac:dyDescent="0.25">
      <c r="A1610" s="16"/>
    </row>
    <row r="1611" spans="1:1" x14ac:dyDescent="0.25">
      <c r="A1611" s="16"/>
    </row>
    <row r="1612" spans="1:1" x14ac:dyDescent="0.25">
      <c r="A1612" s="16"/>
    </row>
    <row r="1613" spans="1:1" x14ac:dyDescent="0.25">
      <c r="A1613" s="16"/>
    </row>
    <row r="1614" spans="1:1" x14ac:dyDescent="0.25">
      <c r="A1614" s="16"/>
    </row>
    <row r="1615" spans="1:1" x14ac:dyDescent="0.25">
      <c r="A1615" s="16"/>
    </row>
    <row r="1616" spans="1:1" x14ac:dyDescent="0.25">
      <c r="A1616" s="16"/>
    </row>
    <row r="1617" spans="1:1" x14ac:dyDescent="0.25">
      <c r="A1617" s="16"/>
    </row>
    <row r="1618" spans="1:1" x14ac:dyDescent="0.25">
      <c r="A1618" s="16"/>
    </row>
    <row r="1619" spans="1:1" x14ac:dyDescent="0.25">
      <c r="A1619" s="16"/>
    </row>
    <row r="1620" spans="1:1" x14ac:dyDescent="0.25">
      <c r="A1620" s="16"/>
    </row>
    <row r="1621" spans="1:1" x14ac:dyDescent="0.25">
      <c r="A1621" s="16"/>
    </row>
    <row r="1622" spans="1:1" x14ac:dyDescent="0.25">
      <c r="A1622" s="16"/>
    </row>
    <row r="1623" spans="1:1" x14ac:dyDescent="0.25">
      <c r="A1623" s="16"/>
    </row>
    <row r="1624" spans="1:1" x14ac:dyDescent="0.25">
      <c r="A1624" s="16"/>
    </row>
    <row r="1625" spans="1:1" x14ac:dyDescent="0.25">
      <c r="A1625" s="16"/>
    </row>
    <row r="1626" spans="1:1" x14ac:dyDescent="0.25">
      <c r="A1626" s="16"/>
    </row>
    <row r="1627" spans="1:1" x14ac:dyDescent="0.25">
      <c r="A1627" s="16"/>
    </row>
    <row r="1628" spans="1:1" x14ac:dyDescent="0.25">
      <c r="A1628" s="16"/>
    </row>
    <row r="1629" spans="1:1" x14ac:dyDescent="0.25">
      <c r="A1629" s="16"/>
    </row>
    <row r="1630" spans="1:1" x14ac:dyDescent="0.25">
      <c r="A1630" s="16"/>
    </row>
    <row r="1631" spans="1:1" x14ac:dyDescent="0.25">
      <c r="A1631" s="16"/>
    </row>
    <row r="1632" spans="1:1" x14ac:dyDescent="0.25">
      <c r="A1632" s="16"/>
    </row>
    <row r="1633" spans="1:1" x14ac:dyDescent="0.25">
      <c r="A1633" s="16"/>
    </row>
    <row r="1634" spans="1:1" x14ac:dyDescent="0.25">
      <c r="A1634" s="16"/>
    </row>
    <row r="1635" spans="1:1" x14ac:dyDescent="0.25">
      <c r="A1635" s="16"/>
    </row>
    <row r="1636" spans="1:1" x14ac:dyDescent="0.25">
      <c r="A1636" s="16"/>
    </row>
    <row r="1637" spans="1:1" x14ac:dyDescent="0.25">
      <c r="A1637" s="16"/>
    </row>
    <row r="1638" spans="1:1" x14ac:dyDescent="0.25">
      <c r="A1638" s="16"/>
    </row>
    <row r="1639" spans="1:1" x14ac:dyDescent="0.25">
      <c r="A1639" s="16"/>
    </row>
    <row r="1640" spans="1:1" x14ac:dyDescent="0.25">
      <c r="A1640" s="16"/>
    </row>
    <row r="1641" spans="1:1" x14ac:dyDescent="0.25">
      <c r="A1641" s="16"/>
    </row>
    <row r="1642" spans="1:1" x14ac:dyDescent="0.25">
      <c r="A1642" s="16"/>
    </row>
    <row r="1643" spans="1:1" x14ac:dyDescent="0.25">
      <c r="A1643" s="16"/>
    </row>
    <row r="1644" spans="1:1" x14ac:dyDescent="0.25">
      <c r="A1644" s="16"/>
    </row>
    <row r="1645" spans="1:1" x14ac:dyDescent="0.25">
      <c r="A1645" s="16"/>
    </row>
    <row r="1646" spans="1:1" x14ac:dyDescent="0.25">
      <c r="A1646" s="16"/>
    </row>
    <row r="1647" spans="1:1" x14ac:dyDescent="0.25">
      <c r="A1647" s="16"/>
    </row>
    <row r="1648" spans="1:1" x14ac:dyDescent="0.25">
      <c r="A1648" s="16"/>
    </row>
    <row r="1649" spans="1:1" x14ac:dyDescent="0.25">
      <c r="A1649" s="16"/>
    </row>
    <row r="1650" spans="1:1" x14ac:dyDescent="0.25">
      <c r="A1650" s="16"/>
    </row>
    <row r="1651" spans="1:1" x14ac:dyDescent="0.25">
      <c r="A1651" s="16"/>
    </row>
    <row r="1652" spans="1:1" x14ac:dyDescent="0.25">
      <c r="A1652" s="16"/>
    </row>
    <row r="1653" spans="1:1" x14ac:dyDescent="0.25">
      <c r="A1653" s="16"/>
    </row>
    <row r="1654" spans="1:1" x14ac:dyDescent="0.25">
      <c r="A1654" s="16"/>
    </row>
    <row r="1655" spans="1:1" x14ac:dyDescent="0.25">
      <c r="A1655" s="16"/>
    </row>
    <row r="1656" spans="1:1" x14ac:dyDescent="0.25">
      <c r="A1656" s="16"/>
    </row>
    <row r="1657" spans="1:1" x14ac:dyDescent="0.25">
      <c r="A1657" s="16"/>
    </row>
    <row r="1658" spans="1:1" x14ac:dyDescent="0.25">
      <c r="A1658" s="16"/>
    </row>
    <row r="1659" spans="1:1" x14ac:dyDescent="0.25">
      <c r="A1659" s="16"/>
    </row>
    <row r="1660" spans="1:1" x14ac:dyDescent="0.25">
      <c r="A1660" s="16"/>
    </row>
    <row r="1661" spans="1:1" x14ac:dyDescent="0.25">
      <c r="A1661" s="16"/>
    </row>
    <row r="1662" spans="1:1" x14ac:dyDescent="0.25">
      <c r="A1662" s="16"/>
    </row>
    <row r="1663" spans="1:1" x14ac:dyDescent="0.25">
      <c r="A1663" s="16"/>
    </row>
    <row r="1664" spans="1:1" x14ac:dyDescent="0.25">
      <c r="A1664" s="16"/>
    </row>
    <row r="1665" spans="1:1" x14ac:dyDescent="0.25">
      <c r="A1665" s="16"/>
    </row>
    <row r="1666" spans="1:1" x14ac:dyDescent="0.25">
      <c r="A1666" s="16"/>
    </row>
    <row r="1667" spans="1:1" x14ac:dyDescent="0.25">
      <c r="A1667" s="16"/>
    </row>
    <row r="1668" spans="1:1" x14ac:dyDescent="0.25">
      <c r="A1668" s="16"/>
    </row>
    <row r="1669" spans="1:1" x14ac:dyDescent="0.25">
      <c r="A1669" s="16"/>
    </row>
    <row r="1670" spans="1:1" x14ac:dyDescent="0.25">
      <c r="A1670" s="16"/>
    </row>
    <row r="1671" spans="1:1" x14ac:dyDescent="0.25">
      <c r="A1671" s="16"/>
    </row>
    <row r="1672" spans="1:1" x14ac:dyDescent="0.25">
      <c r="A1672" s="16"/>
    </row>
    <row r="1673" spans="1:1" x14ac:dyDescent="0.25">
      <c r="A1673" s="16"/>
    </row>
    <row r="1674" spans="1:1" x14ac:dyDescent="0.25">
      <c r="A1674" s="16"/>
    </row>
    <row r="1675" spans="1:1" x14ac:dyDescent="0.25">
      <c r="A1675" s="16"/>
    </row>
    <row r="1676" spans="1:1" x14ac:dyDescent="0.25">
      <c r="A1676" s="16"/>
    </row>
    <row r="1677" spans="1:1" x14ac:dyDescent="0.25">
      <c r="A1677" s="16"/>
    </row>
    <row r="1678" spans="1:1" x14ac:dyDescent="0.25">
      <c r="A1678" s="16"/>
    </row>
    <row r="1679" spans="1:1" x14ac:dyDescent="0.25">
      <c r="A1679" s="16"/>
    </row>
    <row r="1680" spans="1:1" x14ac:dyDescent="0.25">
      <c r="A1680" s="16"/>
    </row>
    <row r="1681" spans="1:1" x14ac:dyDescent="0.25">
      <c r="A1681" s="16"/>
    </row>
    <row r="1682" spans="1:1" x14ac:dyDescent="0.25">
      <c r="A1682" s="16"/>
    </row>
    <row r="1683" spans="1:1" x14ac:dyDescent="0.25">
      <c r="A1683" s="16"/>
    </row>
    <row r="1684" spans="1:1" x14ac:dyDescent="0.25">
      <c r="A1684" s="16"/>
    </row>
    <row r="1685" spans="1:1" x14ac:dyDescent="0.25">
      <c r="A1685" s="16"/>
    </row>
    <row r="1686" spans="1:1" x14ac:dyDescent="0.25">
      <c r="A1686" s="16"/>
    </row>
    <row r="1687" spans="1:1" x14ac:dyDescent="0.25">
      <c r="A1687" s="16"/>
    </row>
    <row r="1688" spans="1:1" x14ac:dyDescent="0.25">
      <c r="A1688" s="16"/>
    </row>
    <row r="1689" spans="1:1" x14ac:dyDescent="0.25">
      <c r="A1689" s="16"/>
    </row>
    <row r="1690" spans="1:1" x14ac:dyDescent="0.25">
      <c r="A1690" s="16"/>
    </row>
    <row r="1691" spans="1:1" x14ac:dyDescent="0.25">
      <c r="A1691" s="16"/>
    </row>
    <row r="1692" spans="1:1" x14ac:dyDescent="0.25">
      <c r="A1692" s="16"/>
    </row>
    <row r="1693" spans="1:1" x14ac:dyDescent="0.25">
      <c r="A1693" s="16"/>
    </row>
    <row r="1694" spans="1:1" x14ac:dyDescent="0.25">
      <c r="A1694" s="16"/>
    </row>
    <row r="1695" spans="1:1" x14ac:dyDescent="0.25">
      <c r="A1695" s="16"/>
    </row>
    <row r="1696" spans="1:1" x14ac:dyDescent="0.25">
      <c r="A1696" s="16"/>
    </row>
    <row r="1697" spans="1:1" x14ac:dyDescent="0.25">
      <c r="A1697" s="16"/>
    </row>
    <row r="1698" spans="1:1" x14ac:dyDescent="0.25">
      <c r="A1698" s="16"/>
    </row>
    <row r="1699" spans="1:1" x14ac:dyDescent="0.25">
      <c r="A1699" s="16"/>
    </row>
    <row r="1700" spans="1:1" x14ac:dyDescent="0.25">
      <c r="A1700" s="16"/>
    </row>
    <row r="1701" spans="1:1" x14ac:dyDescent="0.25">
      <c r="A1701" s="16"/>
    </row>
    <row r="1702" spans="1:1" x14ac:dyDescent="0.25">
      <c r="A1702" s="16"/>
    </row>
    <row r="1703" spans="1:1" x14ac:dyDescent="0.25">
      <c r="A1703" s="16"/>
    </row>
    <row r="1704" spans="1:1" x14ac:dyDescent="0.25">
      <c r="A1704" s="16"/>
    </row>
    <row r="1705" spans="1:1" x14ac:dyDescent="0.25">
      <c r="A1705" s="16"/>
    </row>
    <row r="1706" spans="1:1" x14ac:dyDescent="0.25">
      <c r="A1706" s="16"/>
    </row>
    <row r="1707" spans="1:1" x14ac:dyDescent="0.25">
      <c r="A1707" s="16"/>
    </row>
    <row r="1708" spans="1:1" x14ac:dyDescent="0.25">
      <c r="A1708" s="16"/>
    </row>
    <row r="1709" spans="1:1" x14ac:dyDescent="0.25">
      <c r="A1709" s="16"/>
    </row>
    <row r="1710" spans="1:1" x14ac:dyDescent="0.25">
      <c r="A1710" s="16"/>
    </row>
    <row r="1711" spans="1:1" x14ac:dyDescent="0.25">
      <c r="A1711" s="16"/>
    </row>
    <row r="1712" spans="1:1" x14ac:dyDescent="0.25">
      <c r="A1712" s="16"/>
    </row>
    <row r="1713" spans="1:1" x14ac:dyDescent="0.25">
      <c r="A1713" s="16"/>
    </row>
    <row r="1714" spans="1:1" x14ac:dyDescent="0.25">
      <c r="A1714" s="16"/>
    </row>
    <row r="1715" spans="1:1" x14ac:dyDescent="0.25">
      <c r="A1715" s="16"/>
    </row>
    <row r="1716" spans="1:1" x14ac:dyDescent="0.25">
      <c r="A1716" s="16"/>
    </row>
    <row r="1717" spans="1:1" x14ac:dyDescent="0.25">
      <c r="A1717" s="16"/>
    </row>
    <row r="1718" spans="1:1" x14ac:dyDescent="0.25">
      <c r="A1718" s="16"/>
    </row>
    <row r="1719" spans="1:1" x14ac:dyDescent="0.25">
      <c r="A1719" s="16"/>
    </row>
    <row r="1720" spans="1:1" x14ac:dyDescent="0.25">
      <c r="A1720" s="16"/>
    </row>
    <row r="1721" spans="1:1" x14ac:dyDescent="0.25">
      <c r="A1721" s="16"/>
    </row>
    <row r="1722" spans="1:1" x14ac:dyDescent="0.25">
      <c r="A1722" s="16"/>
    </row>
    <row r="1723" spans="1:1" x14ac:dyDescent="0.25">
      <c r="A1723" s="16"/>
    </row>
    <row r="1724" spans="1:1" x14ac:dyDescent="0.25">
      <c r="A1724" s="16"/>
    </row>
    <row r="1725" spans="1:1" x14ac:dyDescent="0.25">
      <c r="A1725" s="16"/>
    </row>
    <row r="1726" spans="1:1" x14ac:dyDescent="0.25">
      <c r="A1726" s="16"/>
    </row>
    <row r="1727" spans="1:1" x14ac:dyDescent="0.25">
      <c r="A1727" s="16"/>
    </row>
    <row r="1728" spans="1:1" x14ac:dyDescent="0.25">
      <c r="A1728" s="16"/>
    </row>
    <row r="1729" spans="1:1" x14ac:dyDescent="0.25">
      <c r="A1729" s="16"/>
    </row>
    <row r="1730" spans="1:1" x14ac:dyDescent="0.25">
      <c r="A1730" s="16"/>
    </row>
    <row r="1731" spans="1:1" x14ac:dyDescent="0.25">
      <c r="A1731" s="16"/>
    </row>
    <row r="1732" spans="1:1" x14ac:dyDescent="0.25">
      <c r="A1732" s="16"/>
    </row>
    <row r="1733" spans="1:1" x14ac:dyDescent="0.25">
      <c r="A1733" s="16"/>
    </row>
    <row r="1734" spans="1:1" x14ac:dyDescent="0.25">
      <c r="A1734" s="16"/>
    </row>
    <row r="1735" spans="1:1" x14ac:dyDescent="0.25">
      <c r="A1735" s="16"/>
    </row>
    <row r="1736" spans="1:1" x14ac:dyDescent="0.25">
      <c r="A1736" s="16"/>
    </row>
    <row r="1737" spans="1:1" x14ac:dyDescent="0.25">
      <c r="A1737" s="16"/>
    </row>
    <row r="1738" spans="1:1" x14ac:dyDescent="0.25">
      <c r="A1738" s="16"/>
    </row>
    <row r="1739" spans="1:1" x14ac:dyDescent="0.25">
      <c r="A1739" s="16"/>
    </row>
    <row r="1740" spans="1:1" x14ac:dyDescent="0.25">
      <c r="A1740" s="16"/>
    </row>
    <row r="1741" spans="1:1" x14ac:dyDescent="0.25">
      <c r="A1741" s="16"/>
    </row>
    <row r="1742" spans="1:1" x14ac:dyDescent="0.25">
      <c r="A1742" s="16"/>
    </row>
    <row r="1743" spans="1:1" x14ac:dyDescent="0.25">
      <c r="A1743" s="16"/>
    </row>
    <row r="1744" spans="1:1" x14ac:dyDescent="0.25">
      <c r="A1744" s="16"/>
    </row>
    <row r="1745" spans="1:1" x14ac:dyDescent="0.25">
      <c r="A1745" s="16"/>
    </row>
    <row r="1746" spans="1:1" x14ac:dyDescent="0.25">
      <c r="A1746" s="16"/>
    </row>
    <row r="1747" spans="1:1" x14ac:dyDescent="0.25">
      <c r="A1747" s="16"/>
    </row>
    <row r="1748" spans="1:1" x14ac:dyDescent="0.25">
      <c r="A1748" s="16"/>
    </row>
    <row r="1749" spans="1:1" x14ac:dyDescent="0.25">
      <c r="A1749" s="16"/>
    </row>
    <row r="1750" spans="1:1" x14ac:dyDescent="0.25">
      <c r="A1750" s="16"/>
    </row>
    <row r="1751" spans="1:1" x14ac:dyDescent="0.25">
      <c r="A1751" s="16"/>
    </row>
    <row r="1752" spans="1:1" x14ac:dyDescent="0.25">
      <c r="A1752" s="16"/>
    </row>
    <row r="1753" spans="1:1" x14ac:dyDescent="0.25">
      <c r="A1753" s="16"/>
    </row>
    <row r="1754" spans="1:1" x14ac:dyDescent="0.25">
      <c r="A1754" s="16"/>
    </row>
    <row r="1755" spans="1:1" x14ac:dyDescent="0.25">
      <c r="A1755" s="16"/>
    </row>
    <row r="1756" spans="1:1" x14ac:dyDescent="0.25">
      <c r="A1756" s="16"/>
    </row>
    <row r="1757" spans="1:1" x14ac:dyDescent="0.25">
      <c r="A1757" s="16"/>
    </row>
    <row r="1758" spans="1:1" x14ac:dyDescent="0.25">
      <c r="A1758" s="16"/>
    </row>
    <row r="1759" spans="1:1" x14ac:dyDescent="0.25">
      <c r="A1759" s="16"/>
    </row>
    <row r="1760" spans="1:1" x14ac:dyDescent="0.25">
      <c r="A1760" s="16"/>
    </row>
    <row r="1761" spans="1:1" x14ac:dyDescent="0.25">
      <c r="A1761" s="16"/>
    </row>
    <row r="1762" spans="1:1" x14ac:dyDescent="0.25">
      <c r="A1762" s="16"/>
    </row>
    <row r="1763" spans="1:1" x14ac:dyDescent="0.25">
      <c r="A1763" s="16"/>
    </row>
    <row r="1764" spans="1:1" x14ac:dyDescent="0.25">
      <c r="A1764" s="16"/>
    </row>
    <row r="1765" spans="1:1" x14ac:dyDescent="0.25">
      <c r="A1765" s="16"/>
    </row>
    <row r="1766" spans="1:1" x14ac:dyDescent="0.25">
      <c r="A1766" s="16"/>
    </row>
    <row r="1767" spans="1:1" x14ac:dyDescent="0.25">
      <c r="A1767" s="16"/>
    </row>
    <row r="1768" spans="1:1" x14ac:dyDescent="0.25">
      <c r="A1768" s="16"/>
    </row>
    <row r="1769" spans="1:1" x14ac:dyDescent="0.25">
      <c r="A1769" s="16"/>
    </row>
    <row r="1770" spans="1:1" x14ac:dyDescent="0.25">
      <c r="A1770" s="16"/>
    </row>
    <row r="1771" spans="1:1" x14ac:dyDescent="0.25">
      <c r="A1771" s="16"/>
    </row>
    <row r="1772" spans="1:1" x14ac:dyDescent="0.25">
      <c r="A1772" s="16"/>
    </row>
    <row r="1773" spans="1:1" x14ac:dyDescent="0.25">
      <c r="A1773" s="16"/>
    </row>
    <row r="1774" spans="1:1" x14ac:dyDescent="0.25">
      <c r="A1774" s="16"/>
    </row>
    <row r="1775" spans="1:1" x14ac:dyDescent="0.25">
      <c r="A1775" s="16"/>
    </row>
    <row r="1776" spans="1:1" x14ac:dyDescent="0.25">
      <c r="A1776" s="16"/>
    </row>
    <row r="1777" spans="1:1" x14ac:dyDescent="0.25">
      <c r="A1777" s="16"/>
    </row>
    <row r="1778" spans="1:1" x14ac:dyDescent="0.25">
      <c r="A1778" s="16"/>
    </row>
    <row r="1779" spans="1:1" x14ac:dyDescent="0.25">
      <c r="A1779" s="16"/>
    </row>
    <row r="1780" spans="1:1" x14ac:dyDescent="0.25">
      <c r="A1780" s="16"/>
    </row>
    <row r="1781" spans="1:1" x14ac:dyDescent="0.25">
      <c r="A1781" s="16"/>
    </row>
    <row r="1782" spans="1:1" x14ac:dyDescent="0.25">
      <c r="A1782" s="16"/>
    </row>
    <row r="1783" spans="1:1" x14ac:dyDescent="0.25">
      <c r="A1783" s="16"/>
    </row>
    <row r="1784" spans="1:1" x14ac:dyDescent="0.25">
      <c r="A1784" s="16"/>
    </row>
    <row r="1785" spans="1:1" x14ac:dyDescent="0.25">
      <c r="A1785" s="16"/>
    </row>
    <row r="1786" spans="1:1" x14ac:dyDescent="0.25">
      <c r="A1786" s="16"/>
    </row>
    <row r="1787" spans="1:1" x14ac:dyDescent="0.25">
      <c r="A1787" s="16"/>
    </row>
    <row r="1788" spans="1:1" x14ac:dyDescent="0.25">
      <c r="A1788" s="16"/>
    </row>
    <row r="1789" spans="1:1" x14ac:dyDescent="0.25">
      <c r="A1789" s="16"/>
    </row>
    <row r="1790" spans="1:1" x14ac:dyDescent="0.25">
      <c r="A1790" s="16"/>
    </row>
    <row r="1791" spans="1:1" x14ac:dyDescent="0.25">
      <c r="A1791" s="16"/>
    </row>
    <row r="1792" spans="1:1" x14ac:dyDescent="0.25">
      <c r="A1792" s="16"/>
    </row>
    <row r="1793" spans="1:1" x14ac:dyDescent="0.25">
      <c r="A1793" s="16"/>
    </row>
    <row r="1794" spans="1:1" x14ac:dyDescent="0.25">
      <c r="A1794" s="16"/>
    </row>
    <row r="1795" spans="1:1" x14ac:dyDescent="0.25">
      <c r="A1795" s="16"/>
    </row>
    <row r="1796" spans="1:1" x14ac:dyDescent="0.25">
      <c r="A1796" s="16"/>
    </row>
    <row r="1797" spans="1:1" x14ac:dyDescent="0.25">
      <c r="A1797" s="16"/>
    </row>
    <row r="1798" spans="1:1" x14ac:dyDescent="0.25">
      <c r="A1798" s="16"/>
    </row>
    <row r="1799" spans="1:1" x14ac:dyDescent="0.25">
      <c r="A1799" s="16"/>
    </row>
    <row r="1800" spans="1:1" x14ac:dyDescent="0.25">
      <c r="A1800" s="16"/>
    </row>
    <row r="1801" spans="1:1" x14ac:dyDescent="0.25">
      <c r="A1801" s="16"/>
    </row>
    <row r="1802" spans="1:1" x14ac:dyDescent="0.25">
      <c r="A1802" s="16"/>
    </row>
    <row r="1803" spans="1:1" x14ac:dyDescent="0.25">
      <c r="A1803" s="16"/>
    </row>
    <row r="1804" spans="1:1" x14ac:dyDescent="0.25">
      <c r="A1804" s="16"/>
    </row>
    <row r="1805" spans="1:1" x14ac:dyDescent="0.25">
      <c r="A1805" s="16"/>
    </row>
    <row r="1806" spans="1:1" x14ac:dyDescent="0.25">
      <c r="A1806" s="16"/>
    </row>
    <row r="1807" spans="1:1" x14ac:dyDescent="0.25">
      <c r="A1807" s="16"/>
    </row>
    <row r="1808" spans="1:1" x14ac:dyDescent="0.25">
      <c r="A1808" s="16"/>
    </row>
    <row r="1809" spans="1:1" x14ac:dyDescent="0.25">
      <c r="A1809" s="16"/>
    </row>
    <row r="1810" spans="1:1" x14ac:dyDescent="0.25">
      <c r="A1810" s="16"/>
    </row>
    <row r="1811" spans="1:1" x14ac:dyDescent="0.25">
      <c r="A1811" s="16"/>
    </row>
    <row r="1812" spans="1:1" x14ac:dyDescent="0.25">
      <c r="A1812" s="16"/>
    </row>
    <row r="1813" spans="1:1" x14ac:dyDescent="0.25">
      <c r="A1813" s="16"/>
    </row>
    <row r="1814" spans="1:1" x14ac:dyDescent="0.25">
      <c r="A1814" s="16"/>
    </row>
    <row r="1815" spans="1:1" x14ac:dyDescent="0.25">
      <c r="A1815" s="16"/>
    </row>
    <row r="1816" spans="1:1" x14ac:dyDescent="0.25">
      <c r="A1816" s="16"/>
    </row>
    <row r="1817" spans="1:1" x14ac:dyDescent="0.25">
      <c r="A1817" s="16"/>
    </row>
    <row r="1818" spans="1:1" x14ac:dyDescent="0.25">
      <c r="A1818" s="16"/>
    </row>
    <row r="1819" spans="1:1" x14ac:dyDescent="0.25">
      <c r="A1819" s="16"/>
    </row>
    <row r="1820" spans="1:1" x14ac:dyDescent="0.25">
      <c r="A1820" s="16"/>
    </row>
    <row r="1821" spans="1:1" x14ac:dyDescent="0.25">
      <c r="A1821" s="16"/>
    </row>
    <row r="1822" spans="1:1" x14ac:dyDescent="0.25">
      <c r="A1822" s="16"/>
    </row>
    <row r="1823" spans="1:1" x14ac:dyDescent="0.25">
      <c r="A1823" s="16"/>
    </row>
    <row r="1824" spans="1:1" x14ac:dyDescent="0.25">
      <c r="A1824" s="16"/>
    </row>
    <row r="1825" spans="1:1" x14ac:dyDescent="0.25">
      <c r="A1825" s="16"/>
    </row>
    <row r="1826" spans="1:1" x14ac:dyDescent="0.25">
      <c r="A1826" s="16"/>
    </row>
    <row r="1827" spans="1:1" x14ac:dyDescent="0.25">
      <c r="A1827" s="16"/>
    </row>
    <row r="1828" spans="1:1" x14ac:dyDescent="0.25">
      <c r="A1828" s="16"/>
    </row>
    <row r="1829" spans="1:1" x14ac:dyDescent="0.25">
      <c r="A1829" s="16"/>
    </row>
    <row r="1830" spans="1:1" x14ac:dyDescent="0.25">
      <c r="A1830" s="16"/>
    </row>
    <row r="1831" spans="1:1" x14ac:dyDescent="0.25">
      <c r="A1831" s="16"/>
    </row>
    <row r="1832" spans="1:1" x14ac:dyDescent="0.25">
      <c r="A1832" s="16"/>
    </row>
    <row r="1833" spans="1:1" x14ac:dyDescent="0.25">
      <c r="A1833" s="16"/>
    </row>
    <row r="1834" spans="1:1" x14ac:dyDescent="0.25">
      <c r="A1834" s="16"/>
    </row>
    <row r="1835" spans="1:1" x14ac:dyDescent="0.25">
      <c r="A1835" s="16"/>
    </row>
    <row r="1836" spans="1:1" x14ac:dyDescent="0.25">
      <c r="A1836" s="16"/>
    </row>
    <row r="1837" spans="1:1" x14ac:dyDescent="0.25">
      <c r="A1837" s="16"/>
    </row>
    <row r="1838" spans="1:1" x14ac:dyDescent="0.25">
      <c r="A1838" s="16"/>
    </row>
    <row r="1839" spans="1:1" x14ac:dyDescent="0.25">
      <c r="A1839" s="16"/>
    </row>
    <row r="1840" spans="1:1" x14ac:dyDescent="0.25">
      <c r="A1840" s="16"/>
    </row>
    <row r="1841" spans="1:1" x14ac:dyDescent="0.25">
      <c r="A1841" s="16"/>
    </row>
    <row r="1842" spans="1:1" x14ac:dyDescent="0.25">
      <c r="A1842" s="16"/>
    </row>
    <row r="1843" spans="1:1" x14ac:dyDescent="0.25">
      <c r="A1843" s="16"/>
    </row>
    <row r="1844" spans="1:1" x14ac:dyDescent="0.25">
      <c r="A1844" s="16"/>
    </row>
    <row r="1845" spans="1:1" x14ac:dyDescent="0.25">
      <c r="A1845" s="16"/>
    </row>
    <row r="1846" spans="1:1" x14ac:dyDescent="0.25">
      <c r="A1846" s="16"/>
    </row>
    <row r="1847" spans="1:1" x14ac:dyDescent="0.25">
      <c r="A1847" s="16"/>
    </row>
    <row r="1848" spans="1:1" x14ac:dyDescent="0.25">
      <c r="A1848" s="16"/>
    </row>
    <row r="1849" spans="1:1" x14ac:dyDescent="0.25">
      <c r="A1849" s="16"/>
    </row>
    <row r="1850" spans="1:1" x14ac:dyDescent="0.25">
      <c r="A1850" s="16"/>
    </row>
    <row r="1851" spans="1:1" x14ac:dyDescent="0.25">
      <c r="A1851" s="16"/>
    </row>
    <row r="1852" spans="1:1" x14ac:dyDescent="0.25">
      <c r="A1852" s="16"/>
    </row>
    <row r="1853" spans="1:1" x14ac:dyDescent="0.25">
      <c r="A1853" s="16"/>
    </row>
    <row r="1854" spans="1:1" x14ac:dyDescent="0.25">
      <c r="A1854" s="16"/>
    </row>
    <row r="1855" spans="1:1" x14ac:dyDescent="0.25">
      <c r="A1855" s="16"/>
    </row>
    <row r="1856" spans="1:1" x14ac:dyDescent="0.25">
      <c r="A1856" s="16"/>
    </row>
    <row r="1857" spans="1:1" x14ac:dyDescent="0.25">
      <c r="A1857" s="16"/>
    </row>
    <row r="1858" spans="1:1" x14ac:dyDescent="0.25">
      <c r="A1858" s="16"/>
    </row>
    <row r="1859" spans="1:1" x14ac:dyDescent="0.25">
      <c r="A1859" s="16"/>
    </row>
    <row r="1860" spans="1:1" x14ac:dyDescent="0.25">
      <c r="A1860" s="16"/>
    </row>
    <row r="1861" spans="1:1" x14ac:dyDescent="0.25">
      <c r="A1861" s="16"/>
    </row>
    <row r="1862" spans="1:1" x14ac:dyDescent="0.25">
      <c r="A1862" s="16"/>
    </row>
    <row r="1863" spans="1:1" x14ac:dyDescent="0.25">
      <c r="A1863" s="16"/>
    </row>
    <row r="1864" spans="1:1" x14ac:dyDescent="0.25">
      <c r="A1864" s="16"/>
    </row>
    <row r="1865" spans="1:1" x14ac:dyDescent="0.25">
      <c r="A1865" s="16"/>
    </row>
    <row r="1866" spans="1:1" x14ac:dyDescent="0.25">
      <c r="A1866" s="16"/>
    </row>
    <row r="1867" spans="1:1" x14ac:dyDescent="0.25">
      <c r="A1867" s="16"/>
    </row>
    <row r="1868" spans="1:1" x14ac:dyDescent="0.25">
      <c r="A1868" s="16"/>
    </row>
    <row r="1869" spans="1:1" x14ac:dyDescent="0.25">
      <c r="A1869" s="16"/>
    </row>
    <row r="1870" spans="1:1" x14ac:dyDescent="0.25">
      <c r="A1870" s="16"/>
    </row>
    <row r="1871" spans="1:1" x14ac:dyDescent="0.25">
      <c r="A1871" s="16"/>
    </row>
    <row r="1872" spans="1:1" x14ac:dyDescent="0.25">
      <c r="A1872" s="16"/>
    </row>
    <row r="1873" spans="1:1" x14ac:dyDescent="0.25">
      <c r="A1873" s="16"/>
    </row>
    <row r="1874" spans="1:1" x14ac:dyDescent="0.25">
      <c r="A1874" s="16"/>
    </row>
    <row r="1875" spans="1:1" x14ac:dyDescent="0.25">
      <c r="A1875" s="16"/>
    </row>
    <row r="1876" spans="1:1" x14ac:dyDescent="0.25">
      <c r="A1876" s="16"/>
    </row>
    <row r="1877" spans="1:1" x14ac:dyDescent="0.25">
      <c r="A1877" s="16"/>
    </row>
    <row r="1878" spans="1:1" x14ac:dyDescent="0.25">
      <c r="A1878" s="16"/>
    </row>
    <row r="1879" spans="1:1" x14ac:dyDescent="0.25">
      <c r="A1879" s="16"/>
    </row>
    <row r="1880" spans="1:1" x14ac:dyDescent="0.25">
      <c r="A1880" s="16"/>
    </row>
    <row r="1881" spans="1:1" x14ac:dyDescent="0.25">
      <c r="A1881" s="16"/>
    </row>
    <row r="1882" spans="1:1" x14ac:dyDescent="0.25">
      <c r="A1882" s="16"/>
    </row>
    <row r="1883" spans="1:1" x14ac:dyDescent="0.25">
      <c r="A1883" s="16"/>
    </row>
    <row r="1884" spans="1:1" x14ac:dyDescent="0.25">
      <c r="A1884" s="16"/>
    </row>
    <row r="1885" spans="1:1" x14ac:dyDescent="0.25">
      <c r="A1885" s="16"/>
    </row>
    <row r="1886" spans="1:1" x14ac:dyDescent="0.25">
      <c r="A1886" s="16"/>
    </row>
    <row r="1887" spans="1:1" x14ac:dyDescent="0.25">
      <c r="A1887" s="16"/>
    </row>
    <row r="1888" spans="1:1" x14ac:dyDescent="0.25">
      <c r="A1888" s="16"/>
    </row>
    <row r="1889" spans="1:1" x14ac:dyDescent="0.25">
      <c r="A1889" s="16"/>
    </row>
    <row r="1890" spans="1:1" x14ac:dyDescent="0.25">
      <c r="A1890" s="16"/>
    </row>
    <row r="1891" spans="1:1" x14ac:dyDescent="0.25">
      <c r="A1891" s="16"/>
    </row>
    <row r="1892" spans="1:1" x14ac:dyDescent="0.25">
      <c r="A1892" s="16"/>
    </row>
    <row r="1893" spans="1:1" x14ac:dyDescent="0.25">
      <c r="A1893" s="16"/>
    </row>
    <row r="1894" spans="1:1" x14ac:dyDescent="0.25">
      <c r="A1894" s="16"/>
    </row>
    <row r="1895" spans="1:1" x14ac:dyDescent="0.25">
      <c r="A1895" s="16"/>
    </row>
    <row r="1896" spans="1:1" x14ac:dyDescent="0.25">
      <c r="A1896" s="16"/>
    </row>
    <row r="1897" spans="1:1" x14ac:dyDescent="0.25">
      <c r="A1897" s="16"/>
    </row>
    <row r="1898" spans="1:1" x14ac:dyDescent="0.25">
      <c r="A1898" s="16"/>
    </row>
    <row r="1899" spans="1:1" x14ac:dyDescent="0.25">
      <c r="A1899" s="16"/>
    </row>
    <row r="1900" spans="1:1" x14ac:dyDescent="0.25">
      <c r="A1900" s="16"/>
    </row>
    <row r="1901" spans="1:1" x14ac:dyDescent="0.25">
      <c r="A1901" s="16"/>
    </row>
    <row r="1902" spans="1:1" x14ac:dyDescent="0.25">
      <c r="A1902" s="16"/>
    </row>
    <row r="1903" spans="1:1" x14ac:dyDescent="0.25">
      <c r="A1903" s="16"/>
    </row>
    <row r="1904" spans="1:1" x14ac:dyDescent="0.25">
      <c r="A1904" s="16"/>
    </row>
    <row r="1905" spans="1:1" x14ac:dyDescent="0.25">
      <c r="A1905" s="16"/>
    </row>
    <row r="1906" spans="1:1" x14ac:dyDescent="0.25">
      <c r="A1906" s="16"/>
    </row>
    <row r="1907" spans="1:1" x14ac:dyDescent="0.25">
      <c r="A1907" s="16"/>
    </row>
    <row r="1908" spans="1:1" x14ac:dyDescent="0.25">
      <c r="A1908" s="16"/>
    </row>
    <row r="1909" spans="1:1" x14ac:dyDescent="0.25">
      <c r="A1909" s="16"/>
    </row>
    <row r="1910" spans="1:1" x14ac:dyDescent="0.25">
      <c r="A1910" s="16"/>
    </row>
    <row r="1911" spans="1:1" x14ac:dyDescent="0.25">
      <c r="A1911" s="16"/>
    </row>
    <row r="1912" spans="1:1" x14ac:dyDescent="0.25">
      <c r="A1912" s="16"/>
    </row>
    <row r="1913" spans="1:1" x14ac:dyDescent="0.25">
      <c r="A1913" s="16"/>
    </row>
    <row r="1914" spans="1:1" x14ac:dyDescent="0.25">
      <c r="A1914" s="16"/>
    </row>
    <row r="1915" spans="1:1" x14ac:dyDescent="0.25">
      <c r="A1915" s="16"/>
    </row>
    <row r="1916" spans="1:1" x14ac:dyDescent="0.25">
      <c r="A1916" s="16"/>
    </row>
    <row r="1917" spans="1:1" x14ac:dyDescent="0.25">
      <c r="A1917" s="16"/>
    </row>
    <row r="1918" spans="1:1" x14ac:dyDescent="0.25">
      <c r="A1918" s="16"/>
    </row>
    <row r="1919" spans="1:1" x14ac:dyDescent="0.25">
      <c r="A1919" s="16"/>
    </row>
    <row r="1920" spans="1:1" x14ac:dyDescent="0.25">
      <c r="A1920" s="16"/>
    </row>
    <row r="1921" spans="1:1" x14ac:dyDescent="0.25">
      <c r="A1921" s="16"/>
    </row>
    <row r="1922" spans="1:1" x14ac:dyDescent="0.25">
      <c r="A1922" s="16"/>
    </row>
    <row r="1923" spans="1:1" x14ac:dyDescent="0.25">
      <c r="A1923" s="16"/>
    </row>
    <row r="1924" spans="1:1" x14ac:dyDescent="0.25">
      <c r="A1924" s="16"/>
    </row>
    <row r="1925" spans="1:1" x14ac:dyDescent="0.25">
      <c r="A1925" s="16"/>
    </row>
    <row r="1926" spans="1:1" x14ac:dyDescent="0.25">
      <c r="A1926" s="16"/>
    </row>
    <row r="1927" spans="1:1" x14ac:dyDescent="0.25">
      <c r="A1927" s="16"/>
    </row>
    <row r="1928" spans="1:1" x14ac:dyDescent="0.25">
      <c r="A1928" s="16"/>
    </row>
    <row r="1929" spans="1:1" x14ac:dyDescent="0.25">
      <c r="A1929" s="16"/>
    </row>
    <row r="1930" spans="1:1" x14ac:dyDescent="0.25">
      <c r="A1930" s="16"/>
    </row>
    <row r="1931" spans="1:1" x14ac:dyDescent="0.25">
      <c r="A1931" s="16"/>
    </row>
    <row r="1932" spans="1:1" x14ac:dyDescent="0.25">
      <c r="A1932" s="16"/>
    </row>
    <row r="1933" spans="1:1" x14ac:dyDescent="0.25">
      <c r="A1933" s="16"/>
    </row>
    <row r="1934" spans="1:1" x14ac:dyDescent="0.25">
      <c r="A1934" s="16"/>
    </row>
    <row r="1935" spans="1:1" x14ac:dyDescent="0.25">
      <c r="A1935" s="16"/>
    </row>
    <row r="1936" spans="1:1" x14ac:dyDescent="0.25">
      <c r="A1936" s="16"/>
    </row>
    <row r="1937" spans="1:1" x14ac:dyDescent="0.25">
      <c r="A1937" s="16"/>
    </row>
    <row r="1938" spans="1:1" x14ac:dyDescent="0.25">
      <c r="A1938" s="16"/>
    </row>
    <row r="1939" spans="1:1" x14ac:dyDescent="0.25">
      <c r="A1939" s="16"/>
    </row>
    <row r="1940" spans="1:1" x14ac:dyDescent="0.25">
      <c r="A1940" s="16"/>
    </row>
    <row r="1941" spans="1:1" x14ac:dyDescent="0.25">
      <c r="A1941" s="16"/>
    </row>
    <row r="1942" spans="1:1" x14ac:dyDescent="0.25">
      <c r="A1942" s="16"/>
    </row>
    <row r="1943" spans="1:1" x14ac:dyDescent="0.25">
      <c r="A1943" s="16"/>
    </row>
    <row r="1944" spans="1:1" x14ac:dyDescent="0.25">
      <c r="A1944" s="16"/>
    </row>
    <row r="1945" spans="1:1" x14ac:dyDescent="0.25">
      <c r="A1945" s="16"/>
    </row>
    <row r="1946" spans="1:1" x14ac:dyDescent="0.25">
      <c r="A1946" s="16"/>
    </row>
    <row r="1947" spans="1:1" x14ac:dyDescent="0.25">
      <c r="A1947" s="16"/>
    </row>
    <row r="1948" spans="1:1" x14ac:dyDescent="0.25">
      <c r="A1948" s="16"/>
    </row>
    <row r="1949" spans="1:1" x14ac:dyDescent="0.25">
      <c r="A1949" s="16"/>
    </row>
    <row r="1950" spans="1:1" x14ac:dyDescent="0.25">
      <c r="A1950" s="16"/>
    </row>
    <row r="1951" spans="1:1" x14ac:dyDescent="0.25">
      <c r="A1951" s="16"/>
    </row>
    <row r="1952" spans="1:1" x14ac:dyDescent="0.25">
      <c r="A1952" s="16"/>
    </row>
    <row r="1953" spans="1:1" x14ac:dyDescent="0.25">
      <c r="A1953" s="16"/>
    </row>
    <row r="1954" spans="1:1" x14ac:dyDescent="0.25">
      <c r="A1954" s="16"/>
    </row>
    <row r="1955" spans="1:1" x14ac:dyDescent="0.25">
      <c r="A1955" s="16"/>
    </row>
    <row r="1956" spans="1:1" x14ac:dyDescent="0.25">
      <c r="A1956" s="16"/>
    </row>
    <row r="1957" spans="1:1" x14ac:dyDescent="0.25">
      <c r="A1957" s="16"/>
    </row>
    <row r="1958" spans="1:1" x14ac:dyDescent="0.25">
      <c r="A1958" s="16"/>
    </row>
    <row r="1959" spans="1:1" x14ac:dyDescent="0.25">
      <c r="A1959" s="16"/>
    </row>
    <row r="1960" spans="1:1" x14ac:dyDescent="0.25">
      <c r="A1960" s="16"/>
    </row>
    <row r="1961" spans="1:1" x14ac:dyDescent="0.25">
      <c r="A1961" s="16"/>
    </row>
    <row r="1962" spans="1:1" x14ac:dyDescent="0.25">
      <c r="A1962" s="16"/>
    </row>
    <row r="1963" spans="1:1" x14ac:dyDescent="0.25">
      <c r="A1963" s="16"/>
    </row>
    <row r="1964" spans="1:1" x14ac:dyDescent="0.25">
      <c r="A1964" s="16"/>
    </row>
    <row r="1965" spans="1:1" x14ac:dyDescent="0.25">
      <c r="A1965" s="16"/>
    </row>
    <row r="1966" spans="1:1" x14ac:dyDescent="0.25">
      <c r="A1966" s="16"/>
    </row>
    <row r="1967" spans="1:1" x14ac:dyDescent="0.25">
      <c r="A1967" s="16"/>
    </row>
    <row r="1968" spans="1:1" x14ac:dyDescent="0.25">
      <c r="A1968" s="16"/>
    </row>
    <row r="1969" spans="1:1" x14ac:dyDescent="0.25">
      <c r="A1969" s="16"/>
    </row>
    <row r="1970" spans="1:1" x14ac:dyDescent="0.25">
      <c r="A1970" s="16"/>
    </row>
    <row r="1971" spans="1:1" x14ac:dyDescent="0.25">
      <c r="A1971" s="16"/>
    </row>
    <row r="1972" spans="1:1" x14ac:dyDescent="0.25">
      <c r="A1972" s="16"/>
    </row>
    <row r="1973" spans="1:1" x14ac:dyDescent="0.25">
      <c r="A1973" s="16"/>
    </row>
    <row r="1974" spans="1:1" x14ac:dyDescent="0.25">
      <c r="A1974" s="16"/>
    </row>
    <row r="1975" spans="1:1" x14ac:dyDescent="0.25">
      <c r="A1975" s="16"/>
    </row>
    <row r="1976" spans="1:1" x14ac:dyDescent="0.25">
      <c r="A1976" s="16"/>
    </row>
    <row r="1977" spans="1:1" x14ac:dyDescent="0.25">
      <c r="A1977" s="16"/>
    </row>
    <row r="1978" spans="1:1" x14ac:dyDescent="0.25">
      <c r="A1978" s="16"/>
    </row>
    <row r="1979" spans="1:1" x14ac:dyDescent="0.25">
      <c r="A1979" s="16"/>
    </row>
    <row r="1980" spans="1:1" x14ac:dyDescent="0.25">
      <c r="A1980" s="16"/>
    </row>
    <row r="1981" spans="1:1" x14ac:dyDescent="0.25">
      <c r="A1981" s="16"/>
    </row>
    <row r="1982" spans="1:1" x14ac:dyDescent="0.25">
      <c r="A1982" s="16"/>
    </row>
    <row r="1983" spans="1:1" x14ac:dyDescent="0.25">
      <c r="A1983" s="16"/>
    </row>
    <row r="1984" spans="1:1" x14ac:dyDescent="0.25">
      <c r="A1984" s="16"/>
    </row>
    <row r="1985" spans="1:1" x14ac:dyDescent="0.25">
      <c r="A1985" s="16"/>
    </row>
    <row r="1986" spans="1:1" x14ac:dyDescent="0.25">
      <c r="A1986" s="16"/>
    </row>
    <row r="1987" spans="1:1" x14ac:dyDescent="0.25">
      <c r="A1987" s="16"/>
    </row>
    <row r="1988" spans="1:1" x14ac:dyDescent="0.25">
      <c r="A1988" s="16"/>
    </row>
    <row r="1989" spans="1:1" x14ac:dyDescent="0.25">
      <c r="A1989" s="16"/>
    </row>
    <row r="1990" spans="1:1" x14ac:dyDescent="0.25">
      <c r="A1990" s="16"/>
    </row>
    <row r="1991" spans="1:1" x14ac:dyDescent="0.25">
      <c r="A1991" s="16"/>
    </row>
    <row r="1992" spans="1:1" x14ac:dyDescent="0.25">
      <c r="A1992" s="16"/>
    </row>
    <row r="1993" spans="1:1" x14ac:dyDescent="0.25">
      <c r="A1993" s="16"/>
    </row>
    <row r="1994" spans="1:1" x14ac:dyDescent="0.25">
      <c r="A1994" s="16"/>
    </row>
    <row r="1995" spans="1:1" x14ac:dyDescent="0.25">
      <c r="A1995" s="16"/>
    </row>
    <row r="1996" spans="1:1" x14ac:dyDescent="0.25">
      <c r="A1996" s="16"/>
    </row>
    <row r="1997" spans="1:1" x14ac:dyDescent="0.25">
      <c r="A1997" s="16"/>
    </row>
    <row r="1998" spans="1:1" x14ac:dyDescent="0.25">
      <c r="A1998" s="16"/>
    </row>
    <row r="1999" spans="1:1" x14ac:dyDescent="0.25">
      <c r="A1999" s="16"/>
    </row>
    <row r="2000" spans="1:1" x14ac:dyDescent="0.25">
      <c r="A2000" s="16"/>
    </row>
    <row r="2001" spans="1:1" x14ac:dyDescent="0.25">
      <c r="A2001" s="16"/>
    </row>
    <row r="2002" spans="1:1" x14ac:dyDescent="0.25">
      <c r="A2002" s="16"/>
    </row>
    <row r="2003" spans="1:1" x14ac:dyDescent="0.25">
      <c r="A2003" s="16"/>
    </row>
    <row r="2004" spans="1:1" x14ac:dyDescent="0.25">
      <c r="A2004" s="16"/>
    </row>
    <row r="2005" spans="1:1" x14ac:dyDescent="0.25">
      <c r="A2005" s="16"/>
    </row>
    <row r="2006" spans="1:1" x14ac:dyDescent="0.25">
      <c r="A2006" s="16"/>
    </row>
    <row r="2007" spans="1:1" x14ac:dyDescent="0.25">
      <c r="A2007" s="16"/>
    </row>
    <row r="2008" spans="1:1" x14ac:dyDescent="0.25">
      <c r="A2008" s="16"/>
    </row>
    <row r="2009" spans="1:1" x14ac:dyDescent="0.25">
      <c r="A2009" s="16"/>
    </row>
    <row r="2010" spans="1:1" x14ac:dyDescent="0.25">
      <c r="A2010" s="16"/>
    </row>
    <row r="2011" spans="1:1" x14ac:dyDescent="0.25">
      <c r="A2011" s="16"/>
    </row>
    <row r="2012" spans="1:1" x14ac:dyDescent="0.25">
      <c r="A2012" s="16"/>
    </row>
    <row r="2013" spans="1:1" x14ac:dyDescent="0.25">
      <c r="A2013" s="16"/>
    </row>
    <row r="2014" spans="1:1" x14ac:dyDescent="0.25">
      <c r="A2014" s="16"/>
    </row>
    <row r="2015" spans="1:1" x14ac:dyDescent="0.25">
      <c r="A2015" s="16"/>
    </row>
    <row r="2016" spans="1:1" x14ac:dyDescent="0.25">
      <c r="A2016" s="16"/>
    </row>
    <row r="2017" spans="1:1" x14ac:dyDescent="0.25">
      <c r="A2017" s="16"/>
    </row>
    <row r="2018" spans="1:1" x14ac:dyDescent="0.25">
      <c r="A2018" s="16"/>
    </row>
    <row r="2019" spans="1:1" x14ac:dyDescent="0.25">
      <c r="A2019" s="16"/>
    </row>
    <row r="2020" spans="1:1" x14ac:dyDescent="0.25">
      <c r="A2020" s="16"/>
    </row>
    <row r="2021" spans="1:1" x14ac:dyDescent="0.25">
      <c r="A2021" s="16"/>
    </row>
    <row r="2022" spans="1:1" x14ac:dyDescent="0.25">
      <c r="A2022" s="16"/>
    </row>
    <row r="2023" spans="1:1" x14ac:dyDescent="0.25">
      <c r="A2023" s="16"/>
    </row>
    <row r="2024" spans="1:1" x14ac:dyDescent="0.25">
      <c r="A2024" s="16"/>
    </row>
    <row r="2025" spans="1:1" x14ac:dyDescent="0.25">
      <c r="A2025" s="16"/>
    </row>
    <row r="2026" spans="1:1" x14ac:dyDescent="0.25">
      <c r="A2026" s="16"/>
    </row>
    <row r="2027" spans="1:1" x14ac:dyDescent="0.25">
      <c r="A2027" s="16"/>
    </row>
    <row r="2028" spans="1:1" x14ac:dyDescent="0.25">
      <c r="A2028" s="16"/>
    </row>
    <row r="2029" spans="1:1" x14ac:dyDescent="0.25">
      <c r="A2029" s="16"/>
    </row>
    <row r="2030" spans="1:1" x14ac:dyDescent="0.25">
      <c r="A2030" s="16"/>
    </row>
    <row r="2031" spans="1:1" x14ac:dyDescent="0.25">
      <c r="A2031" s="16"/>
    </row>
    <row r="2032" spans="1:1" x14ac:dyDescent="0.25">
      <c r="A2032" s="16"/>
    </row>
    <row r="2033" spans="1:1" x14ac:dyDescent="0.25">
      <c r="A2033" s="16"/>
    </row>
    <row r="2034" spans="1:1" x14ac:dyDescent="0.25">
      <c r="A2034" s="16"/>
    </row>
    <row r="2035" spans="1:1" x14ac:dyDescent="0.25">
      <c r="A2035" s="16"/>
    </row>
    <row r="2036" spans="1:1" x14ac:dyDescent="0.25">
      <c r="A2036" s="16"/>
    </row>
    <row r="2037" spans="1:1" x14ac:dyDescent="0.25">
      <c r="A2037" s="16"/>
    </row>
    <row r="2038" spans="1:1" x14ac:dyDescent="0.25">
      <c r="A2038" s="16"/>
    </row>
    <row r="2039" spans="1:1" x14ac:dyDescent="0.25">
      <c r="A2039" s="16"/>
    </row>
    <row r="2040" spans="1:1" x14ac:dyDescent="0.25">
      <c r="A2040" s="16"/>
    </row>
    <row r="2041" spans="1:1" x14ac:dyDescent="0.25">
      <c r="A2041" s="16"/>
    </row>
    <row r="2042" spans="1:1" x14ac:dyDescent="0.25">
      <c r="A2042" s="16"/>
    </row>
    <row r="2043" spans="1:1" x14ac:dyDescent="0.25">
      <c r="A2043" s="16"/>
    </row>
    <row r="2044" spans="1:1" x14ac:dyDescent="0.25">
      <c r="A2044" s="16"/>
    </row>
    <row r="2045" spans="1:1" x14ac:dyDescent="0.25">
      <c r="A2045" s="16"/>
    </row>
    <row r="2046" spans="1:1" x14ac:dyDescent="0.25">
      <c r="A2046" s="16"/>
    </row>
    <row r="2047" spans="1:1" x14ac:dyDescent="0.25">
      <c r="A2047" s="16"/>
    </row>
    <row r="2048" spans="1:1" x14ac:dyDescent="0.25">
      <c r="A2048" s="16"/>
    </row>
    <row r="2049" spans="1:1" x14ac:dyDescent="0.25">
      <c r="A2049" s="16"/>
    </row>
    <row r="2050" spans="1:1" x14ac:dyDescent="0.25">
      <c r="A2050" s="16"/>
    </row>
    <row r="2051" spans="1:1" x14ac:dyDescent="0.25">
      <c r="A2051" s="16"/>
    </row>
    <row r="2052" spans="1:1" x14ac:dyDescent="0.25">
      <c r="A2052" s="16"/>
    </row>
    <row r="2053" spans="1:1" x14ac:dyDescent="0.25">
      <c r="A2053" s="16"/>
    </row>
    <row r="2054" spans="1:1" x14ac:dyDescent="0.25">
      <c r="A2054" s="16"/>
    </row>
    <row r="2055" spans="1:1" x14ac:dyDescent="0.25">
      <c r="A2055" s="16"/>
    </row>
    <row r="2056" spans="1:1" x14ac:dyDescent="0.25">
      <c r="A2056" s="16"/>
    </row>
    <row r="2057" spans="1:1" x14ac:dyDescent="0.25">
      <c r="A2057" s="16"/>
    </row>
    <row r="2058" spans="1:1" x14ac:dyDescent="0.25">
      <c r="A2058" s="16"/>
    </row>
    <row r="2059" spans="1:1" x14ac:dyDescent="0.25">
      <c r="A2059" s="16"/>
    </row>
    <row r="2060" spans="1:1" x14ac:dyDescent="0.25">
      <c r="A2060" s="16"/>
    </row>
    <row r="2061" spans="1:1" x14ac:dyDescent="0.25">
      <c r="A2061" s="16"/>
    </row>
    <row r="2062" spans="1:1" x14ac:dyDescent="0.25">
      <c r="A2062" s="16"/>
    </row>
    <row r="2063" spans="1:1" x14ac:dyDescent="0.25">
      <c r="A2063" s="16"/>
    </row>
    <row r="2064" spans="1:1" x14ac:dyDescent="0.25">
      <c r="A2064" s="16"/>
    </row>
    <row r="2065" spans="1:1" x14ac:dyDescent="0.25">
      <c r="A2065" s="16"/>
    </row>
    <row r="2066" spans="1:1" x14ac:dyDescent="0.25">
      <c r="A2066" s="16"/>
    </row>
    <row r="2067" spans="1:1" x14ac:dyDescent="0.25">
      <c r="A2067" s="16"/>
    </row>
    <row r="2068" spans="1:1" x14ac:dyDescent="0.25">
      <c r="A2068" s="16"/>
    </row>
    <row r="2069" spans="1:1" x14ac:dyDescent="0.25">
      <c r="A2069" s="16"/>
    </row>
    <row r="2070" spans="1:1" x14ac:dyDescent="0.25">
      <c r="A2070" s="16"/>
    </row>
    <row r="2071" spans="1:1" x14ac:dyDescent="0.25">
      <c r="A2071" s="16"/>
    </row>
    <row r="2072" spans="1:1" x14ac:dyDescent="0.25">
      <c r="A2072" s="16"/>
    </row>
    <row r="2073" spans="1:1" x14ac:dyDescent="0.25">
      <c r="A2073" s="16"/>
    </row>
    <row r="2074" spans="1:1" x14ac:dyDescent="0.25">
      <c r="A2074" s="16"/>
    </row>
    <row r="2075" spans="1:1" x14ac:dyDescent="0.25">
      <c r="A2075" s="16"/>
    </row>
    <row r="2076" spans="1:1" x14ac:dyDescent="0.25">
      <c r="A2076" s="16"/>
    </row>
    <row r="2077" spans="1:1" x14ac:dyDescent="0.25">
      <c r="A2077" s="16"/>
    </row>
    <row r="2078" spans="1:1" x14ac:dyDescent="0.25">
      <c r="A2078" s="16"/>
    </row>
    <row r="2079" spans="1:1" x14ac:dyDescent="0.25">
      <c r="A2079" s="16"/>
    </row>
    <row r="2080" spans="1:1" x14ac:dyDescent="0.25">
      <c r="A2080" s="16"/>
    </row>
    <row r="2081" spans="1:1" x14ac:dyDescent="0.25">
      <c r="A2081" s="16"/>
    </row>
    <row r="2082" spans="1:1" x14ac:dyDescent="0.25">
      <c r="A2082" s="16"/>
    </row>
    <row r="2083" spans="1:1" x14ac:dyDescent="0.25">
      <c r="A2083" s="16"/>
    </row>
    <row r="2084" spans="1:1" x14ac:dyDescent="0.25">
      <c r="A2084" s="16"/>
    </row>
    <row r="2085" spans="1:1" x14ac:dyDescent="0.25">
      <c r="A2085" s="16"/>
    </row>
    <row r="2086" spans="1:1" x14ac:dyDescent="0.25">
      <c r="A2086" s="16"/>
    </row>
    <row r="2087" spans="1:1" x14ac:dyDescent="0.25">
      <c r="A2087" s="16"/>
    </row>
    <row r="2088" spans="1:1" x14ac:dyDescent="0.25">
      <c r="A2088" s="16"/>
    </row>
    <row r="2089" spans="1:1" x14ac:dyDescent="0.25">
      <c r="A2089" s="16"/>
    </row>
    <row r="2090" spans="1:1" x14ac:dyDescent="0.25">
      <c r="A2090" s="16"/>
    </row>
    <row r="2091" spans="1:1" x14ac:dyDescent="0.25">
      <c r="A2091" s="16"/>
    </row>
    <row r="2092" spans="1:1" x14ac:dyDescent="0.25">
      <c r="A2092" s="16"/>
    </row>
    <row r="2093" spans="1:1" x14ac:dyDescent="0.25">
      <c r="A2093" s="16"/>
    </row>
    <row r="2094" spans="1:1" x14ac:dyDescent="0.25">
      <c r="A2094" s="16"/>
    </row>
    <row r="2095" spans="1:1" x14ac:dyDescent="0.25">
      <c r="A2095" s="16"/>
    </row>
    <row r="2096" spans="1:1" x14ac:dyDescent="0.25">
      <c r="A2096" s="16"/>
    </row>
    <row r="2097" spans="1:1" x14ac:dyDescent="0.25">
      <c r="A2097" s="16"/>
    </row>
    <row r="2098" spans="1:1" x14ac:dyDescent="0.25">
      <c r="A2098" s="16"/>
    </row>
    <row r="2099" spans="1:1" x14ac:dyDescent="0.25">
      <c r="A2099" s="16"/>
    </row>
    <row r="2100" spans="1:1" x14ac:dyDescent="0.25">
      <c r="A2100" s="16"/>
    </row>
    <row r="2101" spans="1:1" x14ac:dyDescent="0.25">
      <c r="A2101" s="16"/>
    </row>
    <row r="2102" spans="1:1" x14ac:dyDescent="0.25">
      <c r="A2102" s="16"/>
    </row>
    <row r="2103" spans="1:1" x14ac:dyDescent="0.25">
      <c r="A2103" s="16"/>
    </row>
    <row r="2104" spans="1:1" x14ac:dyDescent="0.25">
      <c r="A2104" s="16"/>
    </row>
    <row r="2105" spans="1:1" x14ac:dyDescent="0.25">
      <c r="A2105" s="16"/>
    </row>
    <row r="2106" spans="1:1" x14ac:dyDescent="0.25">
      <c r="A2106" s="16"/>
    </row>
    <row r="2107" spans="1:1" x14ac:dyDescent="0.25">
      <c r="A2107" s="16"/>
    </row>
    <row r="2108" spans="1:1" x14ac:dyDescent="0.25">
      <c r="A2108" s="16"/>
    </row>
    <row r="2109" spans="1:1" x14ac:dyDescent="0.25">
      <c r="A2109" s="16"/>
    </row>
    <row r="2110" spans="1:1" x14ac:dyDescent="0.25">
      <c r="A2110" s="16"/>
    </row>
    <row r="2111" spans="1:1" x14ac:dyDescent="0.25">
      <c r="A2111" s="16"/>
    </row>
    <row r="2112" spans="1:1" x14ac:dyDescent="0.25">
      <c r="A2112" s="16"/>
    </row>
    <row r="2113" spans="1:1" x14ac:dyDescent="0.25">
      <c r="A2113" s="16"/>
    </row>
    <row r="2114" spans="1:1" x14ac:dyDescent="0.25">
      <c r="A2114" s="16"/>
    </row>
    <row r="2115" spans="1:1" x14ac:dyDescent="0.25">
      <c r="A2115" s="16"/>
    </row>
    <row r="2116" spans="1:1" x14ac:dyDescent="0.25">
      <c r="A2116" s="16"/>
    </row>
    <row r="2117" spans="1:1" x14ac:dyDescent="0.25">
      <c r="A2117" s="16"/>
    </row>
    <row r="2118" spans="1:1" x14ac:dyDescent="0.25">
      <c r="A2118" s="16"/>
    </row>
    <row r="2119" spans="1:1" x14ac:dyDescent="0.25">
      <c r="A2119" s="16"/>
    </row>
    <row r="2120" spans="1:1" x14ac:dyDescent="0.25">
      <c r="A2120" s="16"/>
    </row>
    <row r="2121" spans="1:1" x14ac:dyDescent="0.25">
      <c r="A2121" s="16"/>
    </row>
    <row r="2122" spans="1:1" x14ac:dyDescent="0.25">
      <c r="A2122" s="16"/>
    </row>
    <row r="2123" spans="1:1" x14ac:dyDescent="0.25">
      <c r="A2123" s="16"/>
    </row>
    <row r="2124" spans="1:1" x14ac:dyDescent="0.25">
      <c r="A2124" s="16"/>
    </row>
    <row r="2125" spans="1:1" x14ac:dyDescent="0.25">
      <c r="A2125" s="16"/>
    </row>
    <row r="2126" spans="1:1" x14ac:dyDescent="0.25">
      <c r="A2126" s="16"/>
    </row>
    <row r="2127" spans="1:1" x14ac:dyDescent="0.25">
      <c r="A2127" s="16"/>
    </row>
    <row r="2128" spans="1:1" x14ac:dyDescent="0.25">
      <c r="A2128" s="16"/>
    </row>
    <row r="2129" spans="1:1" x14ac:dyDescent="0.25">
      <c r="A2129" s="16"/>
    </row>
    <row r="2130" spans="1:1" x14ac:dyDescent="0.25">
      <c r="A2130" s="16"/>
    </row>
    <row r="2131" spans="1:1" x14ac:dyDescent="0.25">
      <c r="A2131" s="16"/>
    </row>
    <row r="2132" spans="1:1" x14ac:dyDescent="0.25">
      <c r="A2132" s="16"/>
    </row>
    <row r="2133" spans="1:1" x14ac:dyDescent="0.25">
      <c r="A2133" s="16"/>
    </row>
    <row r="2134" spans="1:1" x14ac:dyDescent="0.25">
      <c r="A2134" s="16"/>
    </row>
    <row r="2135" spans="1:1" x14ac:dyDescent="0.25">
      <c r="A2135" s="16"/>
    </row>
    <row r="2136" spans="1:1" x14ac:dyDescent="0.25">
      <c r="A2136" s="16"/>
    </row>
    <row r="2137" spans="1:1" x14ac:dyDescent="0.25">
      <c r="A2137" s="16"/>
    </row>
    <row r="2138" spans="1:1" x14ac:dyDescent="0.25">
      <c r="A2138" s="16"/>
    </row>
    <row r="2139" spans="1:1" x14ac:dyDescent="0.25">
      <c r="A2139" s="16"/>
    </row>
    <row r="2140" spans="1:1" x14ac:dyDescent="0.25">
      <c r="A2140" s="16"/>
    </row>
    <row r="2141" spans="1:1" x14ac:dyDescent="0.25">
      <c r="A2141" s="16"/>
    </row>
    <row r="2142" spans="1:1" x14ac:dyDescent="0.25">
      <c r="A2142" s="16"/>
    </row>
    <row r="2143" spans="1:1" x14ac:dyDescent="0.25">
      <c r="A2143" s="16"/>
    </row>
    <row r="2144" spans="1:1" x14ac:dyDescent="0.25">
      <c r="A2144" s="16"/>
    </row>
    <row r="2145" spans="1:1" x14ac:dyDescent="0.25">
      <c r="A2145" s="16"/>
    </row>
    <row r="2146" spans="1:1" x14ac:dyDescent="0.25">
      <c r="A2146" s="16"/>
    </row>
    <row r="2147" spans="1:1" x14ac:dyDescent="0.25">
      <c r="A2147" s="16"/>
    </row>
    <row r="2148" spans="1:1" x14ac:dyDescent="0.25">
      <c r="A2148" s="16"/>
    </row>
    <row r="2149" spans="1:1" x14ac:dyDescent="0.25">
      <c r="A2149" s="16"/>
    </row>
    <row r="2150" spans="1:1" x14ac:dyDescent="0.25">
      <c r="A2150" s="16"/>
    </row>
    <row r="2151" spans="1:1" x14ac:dyDescent="0.25">
      <c r="A2151" s="16"/>
    </row>
    <row r="2152" spans="1:1" x14ac:dyDescent="0.25">
      <c r="A2152" s="16"/>
    </row>
    <row r="2153" spans="1:1" x14ac:dyDescent="0.25">
      <c r="A2153" s="16"/>
    </row>
    <row r="2154" spans="1:1" x14ac:dyDescent="0.25">
      <c r="A2154" s="16"/>
    </row>
    <row r="2155" spans="1:1" x14ac:dyDescent="0.25">
      <c r="A2155" s="16"/>
    </row>
    <row r="2156" spans="1:1" x14ac:dyDescent="0.25">
      <c r="A2156" s="16"/>
    </row>
    <row r="2157" spans="1:1" x14ac:dyDescent="0.25">
      <c r="A2157" s="16"/>
    </row>
    <row r="2158" spans="1:1" x14ac:dyDescent="0.25">
      <c r="A2158" s="16"/>
    </row>
    <row r="2159" spans="1:1" x14ac:dyDescent="0.25">
      <c r="A2159" s="16"/>
    </row>
    <row r="2160" spans="1:1" x14ac:dyDescent="0.25">
      <c r="A2160" s="16"/>
    </row>
    <row r="2161" spans="1:1" x14ac:dyDescent="0.25">
      <c r="A2161" s="16"/>
    </row>
    <row r="2162" spans="1:1" x14ac:dyDescent="0.25">
      <c r="A2162" s="16"/>
    </row>
    <row r="2163" spans="1:1" x14ac:dyDescent="0.25">
      <c r="A2163" s="16"/>
    </row>
    <row r="2164" spans="1:1" x14ac:dyDescent="0.25">
      <c r="A2164" s="16"/>
    </row>
    <row r="2165" spans="1:1" x14ac:dyDescent="0.25">
      <c r="A2165" s="16"/>
    </row>
    <row r="2166" spans="1:1" x14ac:dyDescent="0.25">
      <c r="A2166" s="16"/>
    </row>
    <row r="2167" spans="1:1" x14ac:dyDescent="0.25">
      <c r="A2167" s="16"/>
    </row>
    <row r="2168" spans="1:1" x14ac:dyDescent="0.25">
      <c r="A2168" s="16"/>
    </row>
    <row r="2169" spans="1:1" x14ac:dyDescent="0.25">
      <c r="A2169" s="16"/>
    </row>
    <row r="2170" spans="1:1" x14ac:dyDescent="0.25">
      <c r="A2170" s="16"/>
    </row>
    <row r="2171" spans="1:1" x14ac:dyDescent="0.25">
      <c r="A2171" s="16"/>
    </row>
    <row r="2172" spans="1:1" x14ac:dyDescent="0.25">
      <c r="A2172" s="16"/>
    </row>
    <row r="2173" spans="1:1" x14ac:dyDescent="0.25">
      <c r="A2173" s="16"/>
    </row>
    <row r="2174" spans="1:1" x14ac:dyDescent="0.25">
      <c r="A2174" s="16"/>
    </row>
    <row r="2175" spans="1:1" x14ac:dyDescent="0.25">
      <c r="A2175" s="16"/>
    </row>
    <row r="2176" spans="1:1" x14ac:dyDescent="0.25">
      <c r="A2176" s="16"/>
    </row>
    <row r="2177" spans="1:1" x14ac:dyDescent="0.25">
      <c r="A2177" s="16"/>
    </row>
    <row r="2178" spans="1:1" x14ac:dyDescent="0.25">
      <c r="A2178" s="16"/>
    </row>
    <row r="2179" spans="1:1" x14ac:dyDescent="0.25">
      <c r="A2179" s="16"/>
    </row>
    <row r="2180" spans="1:1" x14ac:dyDescent="0.25">
      <c r="A2180" s="16"/>
    </row>
    <row r="2181" spans="1:1" x14ac:dyDescent="0.25">
      <c r="A2181" s="16"/>
    </row>
    <row r="2182" spans="1:1" x14ac:dyDescent="0.25">
      <c r="A2182" s="16"/>
    </row>
    <row r="2183" spans="1:1" x14ac:dyDescent="0.25">
      <c r="A2183" s="16"/>
    </row>
    <row r="2184" spans="1:1" x14ac:dyDescent="0.25">
      <c r="A2184" s="16"/>
    </row>
    <row r="2185" spans="1:1" x14ac:dyDescent="0.25">
      <c r="A2185" s="16"/>
    </row>
    <row r="2186" spans="1:1" x14ac:dyDescent="0.25">
      <c r="A2186" s="16"/>
    </row>
    <row r="2187" spans="1:1" x14ac:dyDescent="0.25">
      <c r="A2187" s="16"/>
    </row>
    <row r="2188" spans="1:1" x14ac:dyDescent="0.25">
      <c r="A2188" s="16"/>
    </row>
    <row r="2189" spans="1:1" x14ac:dyDescent="0.25">
      <c r="A2189" s="16"/>
    </row>
    <row r="2190" spans="1:1" x14ac:dyDescent="0.25">
      <c r="A2190" s="16"/>
    </row>
    <row r="2191" spans="1:1" x14ac:dyDescent="0.25">
      <c r="A2191" s="16"/>
    </row>
    <row r="2192" spans="1:1" x14ac:dyDescent="0.25">
      <c r="A2192" s="16"/>
    </row>
    <row r="2193" spans="1:1" x14ac:dyDescent="0.25">
      <c r="A2193" s="16"/>
    </row>
    <row r="2194" spans="1:1" x14ac:dyDescent="0.25">
      <c r="A2194" s="16"/>
    </row>
    <row r="2195" spans="1:1" x14ac:dyDescent="0.25">
      <c r="A2195" s="16"/>
    </row>
    <row r="2196" spans="1:1" x14ac:dyDescent="0.25">
      <c r="A2196" s="16"/>
    </row>
    <row r="2197" spans="1:1" x14ac:dyDescent="0.25">
      <c r="A2197" s="16"/>
    </row>
    <row r="2198" spans="1:1" x14ac:dyDescent="0.25">
      <c r="A2198" s="16"/>
    </row>
    <row r="2199" spans="1:1" x14ac:dyDescent="0.25">
      <c r="A2199" s="16"/>
    </row>
    <row r="2200" spans="1:1" x14ac:dyDescent="0.25">
      <c r="A2200" s="16"/>
    </row>
    <row r="2201" spans="1:1" x14ac:dyDescent="0.25">
      <c r="A2201" s="16"/>
    </row>
    <row r="2202" spans="1:1" x14ac:dyDescent="0.25">
      <c r="A2202" s="16"/>
    </row>
    <row r="2203" spans="1:1" x14ac:dyDescent="0.25">
      <c r="A2203" s="16"/>
    </row>
    <row r="2204" spans="1:1" x14ac:dyDescent="0.25">
      <c r="A2204" s="16"/>
    </row>
    <row r="2205" spans="1:1" x14ac:dyDescent="0.25">
      <c r="A2205" s="16"/>
    </row>
    <row r="2206" spans="1:1" x14ac:dyDescent="0.25">
      <c r="A2206" s="16"/>
    </row>
    <row r="2207" spans="1:1" x14ac:dyDescent="0.25">
      <c r="A2207" s="16"/>
    </row>
    <row r="2208" spans="1:1" x14ac:dyDescent="0.25">
      <c r="A2208" s="16"/>
    </row>
    <row r="2209" spans="1:1" x14ac:dyDescent="0.25">
      <c r="A2209" s="16"/>
    </row>
    <row r="2210" spans="1:1" x14ac:dyDescent="0.25">
      <c r="A2210" s="16"/>
    </row>
    <row r="2211" spans="1:1" x14ac:dyDescent="0.25">
      <c r="A2211" s="16"/>
    </row>
    <row r="2212" spans="1:1" x14ac:dyDescent="0.25">
      <c r="A2212" s="16"/>
    </row>
    <row r="2213" spans="1:1" x14ac:dyDescent="0.25">
      <c r="A2213" s="16"/>
    </row>
    <row r="2214" spans="1:1" x14ac:dyDescent="0.25">
      <c r="A2214" s="16"/>
    </row>
    <row r="2215" spans="1:1" x14ac:dyDescent="0.25">
      <c r="A2215" s="16"/>
    </row>
    <row r="2216" spans="1:1" x14ac:dyDescent="0.25">
      <c r="A2216" s="16"/>
    </row>
    <row r="2217" spans="1:1" x14ac:dyDescent="0.25">
      <c r="A2217" s="16"/>
    </row>
    <row r="2218" spans="1:1" x14ac:dyDescent="0.25">
      <c r="A2218" s="16"/>
    </row>
    <row r="2219" spans="1:1" x14ac:dyDescent="0.25">
      <c r="A2219" s="16"/>
    </row>
    <row r="2220" spans="1:1" x14ac:dyDescent="0.25">
      <c r="A2220" s="16"/>
    </row>
    <row r="2221" spans="1:1" x14ac:dyDescent="0.25">
      <c r="A2221" s="16"/>
    </row>
    <row r="2222" spans="1:1" x14ac:dyDescent="0.25">
      <c r="A2222" s="16"/>
    </row>
    <row r="2223" spans="1:1" x14ac:dyDescent="0.25">
      <c r="A2223" s="16"/>
    </row>
    <row r="2224" spans="1:1" x14ac:dyDescent="0.25">
      <c r="A2224" s="16"/>
    </row>
    <row r="2225" spans="1:1" x14ac:dyDescent="0.25">
      <c r="A2225" s="16"/>
    </row>
    <row r="2226" spans="1:1" x14ac:dyDescent="0.25">
      <c r="A2226" s="16"/>
    </row>
    <row r="2227" spans="1:1" x14ac:dyDescent="0.25">
      <c r="A2227" s="16"/>
    </row>
    <row r="2228" spans="1:1" x14ac:dyDescent="0.25">
      <c r="A2228" s="16"/>
    </row>
    <row r="2229" spans="1:1" x14ac:dyDescent="0.25">
      <c r="A2229" s="16"/>
    </row>
    <row r="2230" spans="1:1" x14ac:dyDescent="0.25">
      <c r="A2230" s="16"/>
    </row>
    <row r="2231" spans="1:1" x14ac:dyDescent="0.25">
      <c r="A2231" s="16"/>
    </row>
    <row r="2232" spans="1:1" x14ac:dyDescent="0.25">
      <c r="A2232" s="16"/>
    </row>
    <row r="2233" spans="1:1" x14ac:dyDescent="0.25">
      <c r="A2233" s="16"/>
    </row>
    <row r="2234" spans="1:1" x14ac:dyDescent="0.25">
      <c r="A2234" s="16"/>
    </row>
    <row r="2235" spans="1:1" x14ac:dyDescent="0.25">
      <c r="A2235" s="16"/>
    </row>
    <row r="2236" spans="1:1" x14ac:dyDescent="0.25">
      <c r="A2236" s="16"/>
    </row>
    <row r="2237" spans="1:1" x14ac:dyDescent="0.25">
      <c r="A2237" s="16"/>
    </row>
    <row r="2238" spans="1:1" x14ac:dyDescent="0.25">
      <c r="A2238" s="16"/>
    </row>
    <row r="2239" spans="1:1" x14ac:dyDescent="0.25">
      <c r="A2239" s="16"/>
    </row>
    <row r="2240" spans="1:1" x14ac:dyDescent="0.25">
      <c r="A2240" s="16"/>
    </row>
    <row r="2241" spans="1:1" x14ac:dyDescent="0.25">
      <c r="A2241" s="16"/>
    </row>
    <row r="2242" spans="1:1" x14ac:dyDescent="0.25">
      <c r="A2242" s="16"/>
    </row>
    <row r="2243" spans="1:1" x14ac:dyDescent="0.25">
      <c r="A2243" s="16"/>
    </row>
    <row r="2244" spans="1:1" x14ac:dyDescent="0.25">
      <c r="A2244" s="16"/>
    </row>
    <row r="2245" spans="1:1" x14ac:dyDescent="0.25">
      <c r="A2245" s="16"/>
    </row>
    <row r="2246" spans="1:1" x14ac:dyDescent="0.25">
      <c r="A2246" s="16"/>
    </row>
    <row r="2247" spans="1:1" x14ac:dyDescent="0.25">
      <c r="A2247" s="16"/>
    </row>
    <row r="2248" spans="1:1" x14ac:dyDescent="0.25">
      <c r="A2248" s="16"/>
    </row>
    <row r="2249" spans="1:1" x14ac:dyDescent="0.25">
      <c r="A2249" s="16"/>
    </row>
    <row r="2250" spans="1:1" x14ac:dyDescent="0.25">
      <c r="A2250" s="16"/>
    </row>
    <row r="2251" spans="1:1" x14ac:dyDescent="0.25">
      <c r="A2251" s="16"/>
    </row>
    <row r="2252" spans="1:1" x14ac:dyDescent="0.25">
      <c r="A2252" s="16"/>
    </row>
    <row r="2253" spans="1:1" x14ac:dyDescent="0.25">
      <c r="A2253" s="16"/>
    </row>
    <row r="2254" spans="1:1" x14ac:dyDescent="0.25">
      <c r="A2254" s="16"/>
    </row>
    <row r="2255" spans="1:1" x14ac:dyDescent="0.25">
      <c r="A2255" s="16"/>
    </row>
    <row r="2256" spans="1:1" x14ac:dyDescent="0.25">
      <c r="A2256" s="16"/>
    </row>
    <row r="2257" spans="1:1" x14ac:dyDescent="0.25">
      <c r="A2257" s="16"/>
    </row>
    <row r="2258" spans="1:1" x14ac:dyDescent="0.25">
      <c r="A2258" s="16"/>
    </row>
    <row r="2259" spans="1:1" x14ac:dyDescent="0.25">
      <c r="A2259" s="16"/>
    </row>
    <row r="2260" spans="1:1" x14ac:dyDescent="0.25">
      <c r="A2260" s="16"/>
    </row>
    <row r="2261" spans="1:1" x14ac:dyDescent="0.25">
      <c r="A2261" s="16"/>
    </row>
    <row r="2262" spans="1:1" x14ac:dyDescent="0.25">
      <c r="A2262" s="16"/>
    </row>
    <row r="2263" spans="1:1" x14ac:dyDescent="0.25">
      <c r="A2263" s="16"/>
    </row>
    <row r="2264" spans="1:1" x14ac:dyDescent="0.25">
      <c r="A2264" s="16"/>
    </row>
    <row r="2265" spans="1:1" x14ac:dyDescent="0.25">
      <c r="A2265" s="16"/>
    </row>
    <row r="2266" spans="1:1" x14ac:dyDescent="0.25">
      <c r="A2266" s="16"/>
    </row>
    <row r="2267" spans="1:1" x14ac:dyDescent="0.25">
      <c r="A2267" s="16"/>
    </row>
    <row r="2268" spans="1:1" x14ac:dyDescent="0.25">
      <c r="A2268" s="16"/>
    </row>
    <row r="2269" spans="1:1" x14ac:dyDescent="0.25">
      <c r="A2269" s="16"/>
    </row>
    <row r="2270" spans="1:1" x14ac:dyDescent="0.25">
      <c r="A2270" s="16"/>
    </row>
    <row r="2271" spans="1:1" x14ac:dyDescent="0.25">
      <c r="A2271" s="16"/>
    </row>
    <row r="2272" spans="1:1" x14ac:dyDescent="0.25">
      <c r="A2272" s="16"/>
    </row>
    <row r="2273" spans="1:1" x14ac:dyDescent="0.25">
      <c r="A2273" s="16"/>
    </row>
    <row r="2274" spans="1:1" x14ac:dyDescent="0.25">
      <c r="A2274" s="16"/>
    </row>
    <row r="2275" spans="1:1" x14ac:dyDescent="0.25">
      <c r="A2275" s="16"/>
    </row>
    <row r="2276" spans="1:1" x14ac:dyDescent="0.25">
      <c r="A2276" s="16"/>
    </row>
    <row r="2277" spans="1:1" x14ac:dyDescent="0.25">
      <c r="A2277" s="16"/>
    </row>
    <row r="2278" spans="1:1" x14ac:dyDescent="0.25">
      <c r="A2278" s="16"/>
    </row>
    <row r="2279" spans="1:1" x14ac:dyDescent="0.25">
      <c r="A2279" s="16"/>
    </row>
    <row r="2280" spans="1:1" x14ac:dyDescent="0.25">
      <c r="A2280" s="16"/>
    </row>
    <row r="2281" spans="1:1" x14ac:dyDescent="0.25">
      <c r="A2281" s="16"/>
    </row>
    <row r="2282" spans="1:1" x14ac:dyDescent="0.25">
      <c r="A2282" s="16"/>
    </row>
    <row r="2283" spans="1:1" x14ac:dyDescent="0.25">
      <c r="A2283" s="16"/>
    </row>
    <row r="2284" spans="1:1" x14ac:dyDescent="0.25">
      <c r="A2284" s="16"/>
    </row>
    <row r="2285" spans="1:1" x14ac:dyDescent="0.25">
      <c r="A2285" s="16"/>
    </row>
    <row r="2286" spans="1:1" x14ac:dyDescent="0.25">
      <c r="A2286" s="16"/>
    </row>
    <row r="2287" spans="1:1" x14ac:dyDescent="0.25">
      <c r="A2287" s="16"/>
    </row>
    <row r="2288" spans="1:1" x14ac:dyDescent="0.25">
      <c r="A2288" s="16"/>
    </row>
    <row r="2289" spans="1:1" x14ac:dyDescent="0.25">
      <c r="A2289" s="16"/>
    </row>
    <row r="2290" spans="1:1" x14ac:dyDescent="0.25">
      <c r="A2290" s="16"/>
    </row>
    <row r="2291" spans="1:1" x14ac:dyDescent="0.25">
      <c r="A2291" s="16"/>
    </row>
    <row r="2292" spans="1:1" x14ac:dyDescent="0.25">
      <c r="A2292" s="16"/>
    </row>
    <row r="2293" spans="1:1" x14ac:dyDescent="0.25">
      <c r="A2293" s="16"/>
    </row>
    <row r="2294" spans="1:1" x14ac:dyDescent="0.25">
      <c r="A2294" s="16"/>
    </row>
    <row r="2295" spans="1:1" x14ac:dyDescent="0.25">
      <c r="A2295" s="16"/>
    </row>
    <row r="2296" spans="1:1" x14ac:dyDescent="0.25">
      <c r="A2296" s="16"/>
    </row>
    <row r="2297" spans="1:1" x14ac:dyDescent="0.25">
      <c r="A2297" s="16"/>
    </row>
    <row r="2298" spans="1:1" x14ac:dyDescent="0.25">
      <c r="A2298" s="16"/>
    </row>
    <row r="2299" spans="1:1" x14ac:dyDescent="0.25">
      <c r="A2299" s="16"/>
    </row>
    <row r="2300" spans="1:1" x14ac:dyDescent="0.25">
      <c r="A2300" s="16"/>
    </row>
    <row r="2301" spans="1:1" x14ac:dyDescent="0.25">
      <c r="A2301" s="16"/>
    </row>
    <row r="2302" spans="1:1" x14ac:dyDescent="0.25">
      <c r="A2302" s="16"/>
    </row>
    <row r="2303" spans="1:1" x14ac:dyDescent="0.25">
      <c r="A2303" s="16"/>
    </row>
    <row r="2304" spans="1:1" x14ac:dyDescent="0.25">
      <c r="A2304" s="16"/>
    </row>
    <row r="2305" spans="1:1" x14ac:dyDescent="0.25">
      <c r="A2305" s="16"/>
    </row>
    <row r="2306" spans="1:1" x14ac:dyDescent="0.25">
      <c r="A2306" s="16"/>
    </row>
    <row r="2307" spans="1:1" x14ac:dyDescent="0.25">
      <c r="A2307" s="16"/>
    </row>
    <row r="2308" spans="1:1" x14ac:dyDescent="0.25">
      <c r="A2308" s="16"/>
    </row>
    <row r="2309" spans="1:1" x14ac:dyDescent="0.25">
      <c r="A2309" s="16"/>
    </row>
    <row r="2310" spans="1:1" x14ac:dyDescent="0.25">
      <c r="A2310" s="16"/>
    </row>
    <row r="2311" spans="1:1" x14ac:dyDescent="0.25">
      <c r="A2311" s="16"/>
    </row>
    <row r="2312" spans="1:1" x14ac:dyDescent="0.25">
      <c r="A2312" s="16"/>
    </row>
    <row r="2313" spans="1:1" x14ac:dyDescent="0.25">
      <c r="A2313" s="16"/>
    </row>
    <row r="2314" spans="1:1" x14ac:dyDescent="0.25">
      <c r="A2314" s="16"/>
    </row>
    <row r="2315" spans="1:1" x14ac:dyDescent="0.25">
      <c r="A2315" s="16"/>
    </row>
    <row r="2316" spans="1:1" x14ac:dyDescent="0.25">
      <c r="A2316" s="16"/>
    </row>
    <row r="2317" spans="1:1" x14ac:dyDescent="0.25">
      <c r="A2317" s="16"/>
    </row>
    <row r="2318" spans="1:1" x14ac:dyDescent="0.25">
      <c r="A2318" s="16"/>
    </row>
    <row r="2319" spans="1:1" x14ac:dyDescent="0.25">
      <c r="A2319" s="16"/>
    </row>
    <row r="2320" spans="1:1" x14ac:dyDescent="0.25">
      <c r="A2320" s="16"/>
    </row>
    <row r="2321" spans="1:1" x14ac:dyDescent="0.25">
      <c r="A2321" s="16"/>
    </row>
    <row r="2322" spans="1:1" x14ac:dyDescent="0.25">
      <c r="A2322" s="16"/>
    </row>
    <row r="2323" spans="1:1" x14ac:dyDescent="0.25">
      <c r="A2323" s="16"/>
    </row>
    <row r="2324" spans="1:1" x14ac:dyDescent="0.25">
      <c r="A2324" s="16"/>
    </row>
    <row r="2325" spans="1:1" x14ac:dyDescent="0.25">
      <c r="A2325" s="16"/>
    </row>
    <row r="2326" spans="1:1" x14ac:dyDescent="0.25">
      <c r="A2326" s="16"/>
    </row>
    <row r="2327" spans="1:1" x14ac:dyDescent="0.25">
      <c r="A2327" s="16"/>
    </row>
    <row r="2328" spans="1:1" x14ac:dyDescent="0.25">
      <c r="A2328" s="16"/>
    </row>
    <row r="2329" spans="1:1" x14ac:dyDescent="0.25">
      <c r="A2329" s="16"/>
    </row>
    <row r="2330" spans="1:1" x14ac:dyDescent="0.25">
      <c r="A2330" s="16"/>
    </row>
    <row r="2331" spans="1:1" x14ac:dyDescent="0.25">
      <c r="A2331" s="16"/>
    </row>
    <row r="2332" spans="1:1" x14ac:dyDescent="0.25">
      <c r="A2332" s="16"/>
    </row>
    <row r="2333" spans="1:1" x14ac:dyDescent="0.25">
      <c r="A2333" s="16"/>
    </row>
    <row r="2334" spans="1:1" x14ac:dyDescent="0.25">
      <c r="A2334" s="16"/>
    </row>
    <row r="2335" spans="1:1" x14ac:dyDescent="0.25">
      <c r="A2335" s="16"/>
    </row>
    <row r="2336" spans="1:1" x14ac:dyDescent="0.25">
      <c r="A2336" s="16"/>
    </row>
    <row r="2337" spans="1:1" x14ac:dyDescent="0.25">
      <c r="A2337" s="16"/>
    </row>
    <row r="2338" spans="1:1" x14ac:dyDescent="0.25">
      <c r="A2338" s="16"/>
    </row>
    <row r="2339" spans="1:1" x14ac:dyDescent="0.25">
      <c r="A2339" s="16"/>
    </row>
    <row r="2340" spans="1:1" x14ac:dyDescent="0.25">
      <c r="A2340" s="16"/>
    </row>
    <row r="2341" spans="1:1" x14ac:dyDescent="0.25">
      <c r="A2341" s="16"/>
    </row>
    <row r="2342" spans="1:1" x14ac:dyDescent="0.25">
      <c r="A2342" s="16"/>
    </row>
    <row r="2343" spans="1:1" x14ac:dyDescent="0.25">
      <c r="A2343" s="16"/>
    </row>
    <row r="2344" spans="1:1" x14ac:dyDescent="0.25">
      <c r="A2344" s="16"/>
    </row>
    <row r="2345" spans="1:1" x14ac:dyDescent="0.25">
      <c r="A2345" s="16"/>
    </row>
    <row r="2346" spans="1:1" x14ac:dyDescent="0.25">
      <c r="A2346" s="16"/>
    </row>
    <row r="2347" spans="1:1" x14ac:dyDescent="0.25">
      <c r="A2347" s="16"/>
    </row>
    <row r="2348" spans="1:1" x14ac:dyDescent="0.25">
      <c r="A2348" s="16"/>
    </row>
    <row r="2349" spans="1:1" x14ac:dyDescent="0.25">
      <c r="A2349" s="16"/>
    </row>
    <row r="2350" spans="1:1" x14ac:dyDescent="0.25">
      <c r="A2350" s="16"/>
    </row>
    <row r="2351" spans="1:1" x14ac:dyDescent="0.25">
      <c r="A2351" s="16"/>
    </row>
    <row r="2352" spans="1:1" x14ac:dyDescent="0.25">
      <c r="A2352" s="16"/>
    </row>
    <row r="2353" spans="1:1" x14ac:dyDescent="0.25">
      <c r="A2353" s="16"/>
    </row>
    <row r="2354" spans="1:1" x14ac:dyDescent="0.25">
      <c r="A2354" s="16"/>
    </row>
    <row r="2355" spans="1:1" x14ac:dyDescent="0.25">
      <c r="A2355" s="16"/>
    </row>
    <row r="2356" spans="1:1" x14ac:dyDescent="0.25">
      <c r="A2356" s="16"/>
    </row>
    <row r="2357" spans="1:1" x14ac:dyDescent="0.25">
      <c r="A2357" s="16"/>
    </row>
    <row r="2358" spans="1:1" x14ac:dyDescent="0.25">
      <c r="A2358" s="16"/>
    </row>
    <row r="2359" spans="1:1" x14ac:dyDescent="0.25">
      <c r="A2359" s="16"/>
    </row>
    <row r="2360" spans="1:1" x14ac:dyDescent="0.25">
      <c r="A2360" s="16"/>
    </row>
    <row r="2361" spans="1:1" x14ac:dyDescent="0.25">
      <c r="A2361" s="16"/>
    </row>
    <row r="2362" spans="1:1" x14ac:dyDescent="0.25">
      <c r="A2362" s="16"/>
    </row>
    <row r="2363" spans="1:1" x14ac:dyDescent="0.25">
      <c r="A2363" s="16"/>
    </row>
    <row r="2364" spans="1:1" x14ac:dyDescent="0.25">
      <c r="A2364" s="16"/>
    </row>
    <row r="2365" spans="1:1" x14ac:dyDescent="0.25">
      <c r="A2365" s="16"/>
    </row>
    <row r="2366" spans="1:1" x14ac:dyDescent="0.25">
      <c r="A2366" s="16"/>
    </row>
    <row r="2367" spans="1:1" x14ac:dyDescent="0.25">
      <c r="A2367" s="16"/>
    </row>
    <row r="2368" spans="1:1" x14ac:dyDescent="0.25">
      <c r="A2368" s="16"/>
    </row>
    <row r="2369" spans="1:1" x14ac:dyDescent="0.25">
      <c r="A2369" s="16"/>
    </row>
    <row r="2370" spans="1:1" x14ac:dyDescent="0.25">
      <c r="A2370" s="16"/>
    </row>
    <row r="2371" spans="1:1" x14ac:dyDescent="0.25">
      <c r="A2371" s="16"/>
    </row>
    <row r="2372" spans="1:1" x14ac:dyDescent="0.25">
      <c r="A2372" s="16"/>
    </row>
    <row r="2373" spans="1:1" x14ac:dyDescent="0.25">
      <c r="A2373" s="16"/>
    </row>
    <row r="2374" spans="1:1" x14ac:dyDescent="0.25">
      <c r="A2374" s="16"/>
    </row>
    <row r="2375" spans="1:1" x14ac:dyDescent="0.25">
      <c r="A2375" s="16"/>
    </row>
    <row r="2376" spans="1:1" x14ac:dyDescent="0.25">
      <c r="A2376" s="16"/>
    </row>
    <row r="2377" spans="1:1" x14ac:dyDescent="0.25">
      <c r="A2377" s="16"/>
    </row>
    <row r="2378" spans="1:1" x14ac:dyDescent="0.25">
      <c r="A2378" s="16"/>
    </row>
    <row r="2379" spans="1:1" x14ac:dyDescent="0.25">
      <c r="A2379" s="16"/>
    </row>
    <row r="2380" spans="1:1" x14ac:dyDescent="0.25">
      <c r="A2380" s="16"/>
    </row>
    <row r="2381" spans="1:1" x14ac:dyDescent="0.25">
      <c r="A2381" s="16"/>
    </row>
    <row r="2382" spans="1:1" x14ac:dyDescent="0.25">
      <c r="A2382" s="16"/>
    </row>
    <row r="2383" spans="1:1" x14ac:dyDescent="0.25">
      <c r="A2383" s="16"/>
    </row>
    <row r="2384" spans="1:1" x14ac:dyDescent="0.25">
      <c r="A2384" s="16"/>
    </row>
    <row r="2385" spans="1:1" x14ac:dyDescent="0.25">
      <c r="A2385" s="16"/>
    </row>
    <row r="2386" spans="1:1" x14ac:dyDescent="0.25">
      <c r="A2386" s="16"/>
    </row>
    <row r="2387" spans="1:1" x14ac:dyDescent="0.25">
      <c r="A2387" s="16"/>
    </row>
    <row r="2388" spans="1:1" x14ac:dyDescent="0.25">
      <c r="A2388" s="16"/>
    </row>
    <row r="2389" spans="1:1" x14ac:dyDescent="0.25">
      <c r="A2389" s="16"/>
    </row>
    <row r="2390" spans="1:1" x14ac:dyDescent="0.25">
      <c r="A2390" s="16"/>
    </row>
    <row r="2391" spans="1:1" x14ac:dyDescent="0.25">
      <c r="A2391" s="16"/>
    </row>
    <row r="2392" spans="1:1" x14ac:dyDescent="0.25">
      <c r="A2392" s="16"/>
    </row>
    <row r="2393" spans="1:1" x14ac:dyDescent="0.25">
      <c r="A2393" s="16"/>
    </row>
    <row r="2394" spans="1:1" x14ac:dyDescent="0.25">
      <c r="A2394" s="16"/>
    </row>
    <row r="2395" spans="1:1" x14ac:dyDescent="0.25">
      <c r="A2395" s="16"/>
    </row>
    <row r="2396" spans="1:1" x14ac:dyDescent="0.25">
      <c r="A2396" s="16"/>
    </row>
    <row r="2397" spans="1:1" x14ac:dyDescent="0.25">
      <c r="A2397" s="16"/>
    </row>
    <row r="2398" spans="1:1" x14ac:dyDescent="0.25">
      <c r="A2398" s="16"/>
    </row>
    <row r="2399" spans="1:1" x14ac:dyDescent="0.25">
      <c r="A2399" s="16"/>
    </row>
    <row r="2400" spans="1:1" x14ac:dyDescent="0.25">
      <c r="A2400" s="16"/>
    </row>
    <row r="2401" spans="1:1" x14ac:dyDescent="0.25">
      <c r="A2401" s="16"/>
    </row>
    <row r="2402" spans="1:1" x14ac:dyDescent="0.25">
      <c r="A2402" s="16"/>
    </row>
    <row r="2403" spans="1:1" x14ac:dyDescent="0.25">
      <c r="A2403" s="16"/>
    </row>
    <row r="2404" spans="1:1" x14ac:dyDescent="0.25">
      <c r="A2404" s="16"/>
    </row>
    <row r="2405" spans="1:1" x14ac:dyDescent="0.25">
      <c r="A2405" s="16"/>
    </row>
    <row r="2406" spans="1:1" x14ac:dyDescent="0.25">
      <c r="A2406" s="16"/>
    </row>
    <row r="2407" spans="1:1" x14ac:dyDescent="0.25">
      <c r="A2407" s="16"/>
    </row>
    <row r="2408" spans="1:1" x14ac:dyDescent="0.25">
      <c r="A2408" s="16"/>
    </row>
    <row r="2409" spans="1:1" x14ac:dyDescent="0.25">
      <c r="A2409" s="16"/>
    </row>
    <row r="2410" spans="1:1" x14ac:dyDescent="0.25">
      <c r="A2410" s="16"/>
    </row>
    <row r="2411" spans="1:1" x14ac:dyDescent="0.25">
      <c r="A2411" s="16"/>
    </row>
    <row r="2412" spans="1:1" x14ac:dyDescent="0.25">
      <c r="A2412" s="16"/>
    </row>
    <row r="2413" spans="1:1" x14ac:dyDescent="0.25">
      <c r="A2413" s="16"/>
    </row>
    <row r="2414" spans="1:1" x14ac:dyDescent="0.25">
      <c r="A2414" s="16"/>
    </row>
    <row r="2415" spans="1:1" x14ac:dyDescent="0.25">
      <c r="A2415" s="16"/>
    </row>
    <row r="2416" spans="1:1" x14ac:dyDescent="0.25">
      <c r="A2416" s="16"/>
    </row>
    <row r="2417" spans="1:1" x14ac:dyDescent="0.25">
      <c r="A2417" s="16"/>
    </row>
    <row r="2418" spans="1:1" x14ac:dyDescent="0.25">
      <c r="A2418" s="16"/>
    </row>
    <row r="2419" spans="1:1" x14ac:dyDescent="0.25">
      <c r="A2419" s="16"/>
    </row>
    <row r="2420" spans="1:1" x14ac:dyDescent="0.25">
      <c r="A2420" s="16"/>
    </row>
    <row r="2421" spans="1:1" x14ac:dyDescent="0.25">
      <c r="A2421" s="16"/>
    </row>
    <row r="2422" spans="1:1" x14ac:dyDescent="0.25">
      <c r="A2422" s="16"/>
    </row>
    <row r="2423" spans="1:1" x14ac:dyDescent="0.25">
      <c r="A2423" s="16"/>
    </row>
    <row r="2424" spans="1:1" x14ac:dyDescent="0.25">
      <c r="A2424" s="16"/>
    </row>
    <row r="2425" spans="1:1" x14ac:dyDescent="0.25">
      <c r="A2425" s="16"/>
    </row>
    <row r="2426" spans="1:1" x14ac:dyDescent="0.25">
      <c r="A2426" s="16"/>
    </row>
    <row r="2427" spans="1:1" x14ac:dyDescent="0.25">
      <c r="A2427" s="16"/>
    </row>
    <row r="2428" spans="1:1" x14ac:dyDescent="0.25">
      <c r="A2428" s="16"/>
    </row>
    <row r="2429" spans="1:1" x14ac:dyDescent="0.25">
      <c r="A2429" s="16"/>
    </row>
    <row r="2430" spans="1:1" x14ac:dyDescent="0.25">
      <c r="A2430" s="16"/>
    </row>
    <row r="2431" spans="1:1" x14ac:dyDescent="0.25">
      <c r="A2431" s="16"/>
    </row>
    <row r="2432" spans="1:1" x14ac:dyDescent="0.25">
      <c r="A2432" s="16"/>
    </row>
    <row r="2433" spans="1:1" x14ac:dyDescent="0.25">
      <c r="A2433" s="16"/>
    </row>
    <row r="2434" spans="1:1" x14ac:dyDescent="0.25">
      <c r="A2434" s="16"/>
    </row>
    <row r="2435" spans="1:1" x14ac:dyDescent="0.25">
      <c r="A2435" s="16"/>
    </row>
    <row r="2436" spans="1:1" x14ac:dyDescent="0.25">
      <c r="A2436" s="16"/>
    </row>
    <row r="2437" spans="1:1" x14ac:dyDescent="0.25">
      <c r="A2437" s="16"/>
    </row>
    <row r="2438" spans="1:1" x14ac:dyDescent="0.25">
      <c r="A2438" s="16"/>
    </row>
    <row r="2439" spans="1:1" x14ac:dyDescent="0.25">
      <c r="A2439" s="16"/>
    </row>
    <row r="2440" spans="1:1" x14ac:dyDescent="0.25">
      <c r="A2440" s="16"/>
    </row>
    <row r="2441" spans="1:1" x14ac:dyDescent="0.25">
      <c r="A2441" s="16"/>
    </row>
    <row r="2442" spans="1:1" x14ac:dyDescent="0.25">
      <c r="A2442" s="16"/>
    </row>
    <row r="2443" spans="1:1" x14ac:dyDescent="0.25">
      <c r="A2443" s="16"/>
    </row>
    <row r="2444" spans="1:1" x14ac:dyDescent="0.25">
      <c r="A2444" s="16"/>
    </row>
    <row r="2445" spans="1:1" x14ac:dyDescent="0.25">
      <c r="A2445" s="16"/>
    </row>
    <row r="2446" spans="1:1" x14ac:dyDescent="0.25">
      <c r="A2446" s="16"/>
    </row>
    <row r="2447" spans="1:1" x14ac:dyDescent="0.25">
      <c r="A2447" s="16"/>
    </row>
    <row r="2448" spans="1:1" x14ac:dyDescent="0.25">
      <c r="A2448" s="16"/>
    </row>
    <row r="2449" spans="1:1" x14ac:dyDescent="0.25">
      <c r="A2449" s="16"/>
    </row>
    <row r="2450" spans="1:1" x14ac:dyDescent="0.25">
      <c r="A2450" s="16"/>
    </row>
    <row r="2451" spans="1:1" x14ac:dyDescent="0.25">
      <c r="A2451" s="16"/>
    </row>
    <row r="2452" spans="1:1" x14ac:dyDescent="0.25">
      <c r="A2452" s="16"/>
    </row>
    <row r="2453" spans="1:1" x14ac:dyDescent="0.25">
      <c r="A2453" s="16"/>
    </row>
    <row r="2454" spans="1:1" x14ac:dyDescent="0.25">
      <c r="A2454" s="16"/>
    </row>
    <row r="2455" spans="1:1" x14ac:dyDescent="0.25">
      <c r="A2455" s="16"/>
    </row>
    <row r="2456" spans="1:1" x14ac:dyDescent="0.25">
      <c r="A2456" s="16"/>
    </row>
    <row r="2457" spans="1:1" x14ac:dyDescent="0.25">
      <c r="A2457" s="16"/>
    </row>
    <row r="2458" spans="1:1" x14ac:dyDescent="0.25">
      <c r="A2458" s="16"/>
    </row>
    <row r="2459" spans="1:1" x14ac:dyDescent="0.25">
      <c r="A2459" s="16"/>
    </row>
    <row r="2460" spans="1:1" x14ac:dyDescent="0.25">
      <c r="A2460" s="16"/>
    </row>
    <row r="2461" spans="1:1" x14ac:dyDescent="0.25">
      <c r="A2461" s="16"/>
    </row>
    <row r="2462" spans="1:1" x14ac:dyDescent="0.25">
      <c r="A2462" s="16"/>
    </row>
    <row r="2463" spans="1:1" x14ac:dyDescent="0.25">
      <c r="A2463" s="16"/>
    </row>
    <row r="2464" spans="1:1" x14ac:dyDescent="0.25">
      <c r="A2464" s="16"/>
    </row>
    <row r="2465" spans="1:1" x14ac:dyDescent="0.25">
      <c r="A2465" s="16"/>
    </row>
    <row r="2466" spans="1:1" x14ac:dyDescent="0.25">
      <c r="A2466" s="16"/>
    </row>
    <row r="2467" spans="1:1" x14ac:dyDescent="0.25">
      <c r="A2467" s="16"/>
    </row>
    <row r="2468" spans="1:1" x14ac:dyDescent="0.25">
      <c r="A2468" s="16"/>
    </row>
    <row r="2469" spans="1:1" x14ac:dyDescent="0.25">
      <c r="A2469" s="16"/>
    </row>
    <row r="2470" spans="1:1" x14ac:dyDescent="0.25">
      <c r="A2470" s="16"/>
    </row>
    <row r="2471" spans="1:1" x14ac:dyDescent="0.25">
      <c r="A2471" s="16"/>
    </row>
    <row r="2472" spans="1:1" x14ac:dyDescent="0.25">
      <c r="A2472" s="16"/>
    </row>
    <row r="2473" spans="1:1" x14ac:dyDescent="0.25">
      <c r="A2473" s="16"/>
    </row>
    <row r="2474" spans="1:1" x14ac:dyDescent="0.25">
      <c r="A2474" s="16"/>
    </row>
    <row r="2475" spans="1:1" x14ac:dyDescent="0.25">
      <c r="A2475" s="16"/>
    </row>
    <row r="2476" spans="1:1" x14ac:dyDescent="0.25">
      <c r="A2476" s="16"/>
    </row>
    <row r="2477" spans="1:1" x14ac:dyDescent="0.25">
      <c r="A2477" s="16"/>
    </row>
    <row r="2478" spans="1:1" x14ac:dyDescent="0.25">
      <c r="A2478" s="16"/>
    </row>
    <row r="2479" spans="1:1" x14ac:dyDescent="0.25">
      <c r="A2479" s="16"/>
    </row>
    <row r="2480" spans="1:1" x14ac:dyDescent="0.25">
      <c r="A2480" s="16"/>
    </row>
    <row r="2481" spans="1:1" x14ac:dyDescent="0.25">
      <c r="A2481" s="16"/>
    </row>
    <row r="2482" spans="1:1" x14ac:dyDescent="0.25">
      <c r="A2482" s="16"/>
    </row>
    <row r="2483" spans="1:1" x14ac:dyDescent="0.25">
      <c r="A2483" s="16"/>
    </row>
    <row r="2484" spans="1:1" x14ac:dyDescent="0.25">
      <c r="A2484" s="16"/>
    </row>
    <row r="2485" spans="1:1" x14ac:dyDescent="0.25">
      <c r="A2485" s="16"/>
    </row>
    <row r="2486" spans="1:1" x14ac:dyDescent="0.25">
      <c r="A2486" s="16"/>
    </row>
    <row r="2487" spans="1:1" x14ac:dyDescent="0.25">
      <c r="A2487" s="16"/>
    </row>
    <row r="2488" spans="1:1" x14ac:dyDescent="0.25">
      <c r="A2488" s="16"/>
    </row>
    <row r="2489" spans="1:1" x14ac:dyDescent="0.25">
      <c r="A2489" s="16"/>
    </row>
    <row r="2490" spans="1:1" x14ac:dyDescent="0.25">
      <c r="A2490" s="16"/>
    </row>
    <row r="2491" spans="1:1" x14ac:dyDescent="0.25">
      <c r="A2491" s="16"/>
    </row>
    <row r="2492" spans="1:1" x14ac:dyDescent="0.25">
      <c r="A2492" s="16"/>
    </row>
    <row r="2493" spans="1:1" x14ac:dyDescent="0.25">
      <c r="A2493" s="16"/>
    </row>
    <row r="2494" spans="1:1" x14ac:dyDescent="0.25">
      <c r="A2494" s="16"/>
    </row>
    <row r="2495" spans="1:1" x14ac:dyDescent="0.25">
      <c r="A2495" s="16"/>
    </row>
    <row r="2496" spans="1:1" x14ac:dyDescent="0.25">
      <c r="A2496" s="16"/>
    </row>
    <row r="2497" spans="1:1" x14ac:dyDescent="0.25">
      <c r="A2497" s="16"/>
    </row>
    <row r="2498" spans="1:1" x14ac:dyDescent="0.25">
      <c r="A2498" s="16"/>
    </row>
    <row r="2499" spans="1:1" x14ac:dyDescent="0.25">
      <c r="A2499" s="16"/>
    </row>
    <row r="2500" spans="1:1" x14ac:dyDescent="0.25">
      <c r="A2500" s="16"/>
    </row>
    <row r="2501" spans="1:1" x14ac:dyDescent="0.25">
      <c r="A2501" s="16"/>
    </row>
    <row r="2502" spans="1:1" x14ac:dyDescent="0.25">
      <c r="A2502" s="16"/>
    </row>
    <row r="2503" spans="1:1" x14ac:dyDescent="0.25">
      <c r="A2503" s="16"/>
    </row>
    <row r="2504" spans="1:1" x14ac:dyDescent="0.25">
      <c r="A2504" s="16"/>
    </row>
    <row r="2505" spans="1:1" x14ac:dyDescent="0.25">
      <c r="A2505" s="16"/>
    </row>
    <row r="2506" spans="1:1" x14ac:dyDescent="0.25">
      <c r="A2506" s="16"/>
    </row>
    <row r="2507" spans="1:1" x14ac:dyDescent="0.25">
      <c r="A2507" s="16"/>
    </row>
    <row r="2508" spans="1:1" x14ac:dyDescent="0.25">
      <c r="A2508" s="16"/>
    </row>
    <row r="2509" spans="1:1" x14ac:dyDescent="0.25">
      <c r="A2509" s="16"/>
    </row>
    <row r="2510" spans="1:1" x14ac:dyDescent="0.25">
      <c r="A2510" s="16"/>
    </row>
    <row r="2511" spans="1:1" x14ac:dyDescent="0.25">
      <c r="A2511" s="16"/>
    </row>
    <row r="2512" spans="1:1" x14ac:dyDescent="0.25">
      <c r="A2512" s="16"/>
    </row>
    <row r="2513" spans="1:1" x14ac:dyDescent="0.25">
      <c r="A2513" s="16"/>
    </row>
    <row r="2514" spans="1:1" x14ac:dyDescent="0.25">
      <c r="A2514" s="16"/>
    </row>
    <row r="2515" spans="1:1" x14ac:dyDescent="0.25">
      <c r="A2515" s="16"/>
    </row>
    <row r="2516" spans="1:1" x14ac:dyDescent="0.25">
      <c r="A2516" s="16"/>
    </row>
    <row r="2517" spans="1:1" x14ac:dyDescent="0.25">
      <c r="A2517" s="16"/>
    </row>
    <row r="2518" spans="1:1" x14ac:dyDescent="0.25">
      <c r="A2518" s="16"/>
    </row>
    <row r="2519" spans="1:1" x14ac:dyDescent="0.25">
      <c r="A2519" s="16"/>
    </row>
    <row r="2520" spans="1:1" x14ac:dyDescent="0.25">
      <c r="A2520" s="16"/>
    </row>
    <row r="2521" spans="1:1" x14ac:dyDescent="0.25">
      <c r="A2521" s="16"/>
    </row>
    <row r="2522" spans="1:1" x14ac:dyDescent="0.25">
      <c r="A2522" s="16"/>
    </row>
    <row r="2523" spans="1:1" x14ac:dyDescent="0.25">
      <c r="A2523" s="16"/>
    </row>
    <row r="2524" spans="1:1" x14ac:dyDescent="0.25">
      <c r="A2524" s="16"/>
    </row>
    <row r="2525" spans="1:1" x14ac:dyDescent="0.25">
      <c r="A2525" s="16"/>
    </row>
    <row r="2526" spans="1:1" x14ac:dyDescent="0.25">
      <c r="A2526" s="16"/>
    </row>
    <row r="2527" spans="1:1" x14ac:dyDescent="0.25">
      <c r="A2527" s="16"/>
    </row>
    <row r="2528" spans="1:1" x14ac:dyDescent="0.25">
      <c r="A2528" s="16"/>
    </row>
    <row r="2529" spans="1:1" x14ac:dyDescent="0.25">
      <c r="A2529" s="16"/>
    </row>
    <row r="2530" spans="1:1" x14ac:dyDescent="0.25">
      <c r="A2530" s="16"/>
    </row>
    <row r="2531" spans="1:1" x14ac:dyDescent="0.25">
      <c r="A2531" s="16"/>
    </row>
    <row r="2532" spans="1:1" x14ac:dyDescent="0.25">
      <c r="A2532" s="16"/>
    </row>
    <row r="2533" spans="1:1" x14ac:dyDescent="0.25">
      <c r="A2533" s="16"/>
    </row>
    <row r="2534" spans="1:1" x14ac:dyDescent="0.25">
      <c r="A2534" s="16"/>
    </row>
    <row r="2535" spans="1:1" x14ac:dyDescent="0.25">
      <c r="A2535" s="16"/>
    </row>
    <row r="2536" spans="1:1" x14ac:dyDescent="0.25">
      <c r="A2536" s="16"/>
    </row>
    <row r="2537" spans="1:1" x14ac:dyDescent="0.25">
      <c r="A2537" s="16"/>
    </row>
    <row r="2538" spans="1:1" x14ac:dyDescent="0.25">
      <c r="A2538" s="16"/>
    </row>
    <row r="2539" spans="1:1" x14ac:dyDescent="0.25">
      <c r="A2539" s="16"/>
    </row>
    <row r="2540" spans="1:1" x14ac:dyDescent="0.25">
      <c r="A2540" s="16"/>
    </row>
    <row r="2541" spans="1:1" x14ac:dyDescent="0.25">
      <c r="A2541" s="16"/>
    </row>
    <row r="2542" spans="1:1" x14ac:dyDescent="0.25">
      <c r="A2542" s="16"/>
    </row>
    <row r="2543" spans="1:1" x14ac:dyDescent="0.25">
      <c r="A2543" s="16"/>
    </row>
    <row r="2544" spans="1:1" x14ac:dyDescent="0.25">
      <c r="A2544" s="16"/>
    </row>
    <row r="2545" spans="1:1" x14ac:dyDescent="0.25">
      <c r="A2545" s="16"/>
    </row>
    <row r="2546" spans="1:1" x14ac:dyDescent="0.25">
      <c r="A2546" s="16"/>
    </row>
    <row r="2547" spans="1:1" x14ac:dyDescent="0.25">
      <c r="A2547" s="16"/>
    </row>
    <row r="2548" spans="1:1" x14ac:dyDescent="0.25">
      <c r="A2548" s="16"/>
    </row>
    <row r="2549" spans="1:1" x14ac:dyDescent="0.25">
      <c r="A2549" s="16"/>
    </row>
    <row r="2550" spans="1:1" x14ac:dyDescent="0.25">
      <c r="A2550" s="16"/>
    </row>
    <row r="2551" spans="1:1" x14ac:dyDescent="0.25">
      <c r="A2551" s="16"/>
    </row>
    <row r="2552" spans="1:1" x14ac:dyDescent="0.25">
      <c r="A2552" s="16"/>
    </row>
    <row r="2553" spans="1:1" x14ac:dyDescent="0.25">
      <c r="A2553" s="16"/>
    </row>
    <row r="2554" spans="1:1" x14ac:dyDescent="0.25">
      <c r="A2554" s="16"/>
    </row>
    <row r="2555" spans="1:1" x14ac:dyDescent="0.25">
      <c r="A2555" s="16"/>
    </row>
    <row r="2556" spans="1:1" x14ac:dyDescent="0.25">
      <c r="A2556" s="16"/>
    </row>
    <row r="2557" spans="1:1" x14ac:dyDescent="0.25">
      <c r="A2557" s="16"/>
    </row>
    <row r="2558" spans="1:1" x14ac:dyDescent="0.25">
      <c r="A2558" s="16"/>
    </row>
    <row r="2559" spans="1:1" x14ac:dyDescent="0.25">
      <c r="A2559" s="16"/>
    </row>
    <row r="2560" spans="1:1" x14ac:dyDescent="0.25">
      <c r="A2560" s="16"/>
    </row>
    <row r="2561" spans="1:1" x14ac:dyDescent="0.25">
      <c r="A2561" s="16"/>
    </row>
    <row r="2562" spans="1:1" x14ac:dyDescent="0.25">
      <c r="A2562" s="16"/>
    </row>
    <row r="2563" spans="1:1" x14ac:dyDescent="0.25">
      <c r="A2563" s="16"/>
    </row>
    <row r="2564" spans="1:1" x14ac:dyDescent="0.25">
      <c r="A2564" s="16"/>
    </row>
    <row r="2565" spans="1:1" x14ac:dyDescent="0.25">
      <c r="A2565" s="16"/>
    </row>
    <row r="2566" spans="1:1" x14ac:dyDescent="0.25">
      <c r="A2566" s="16"/>
    </row>
    <row r="2567" spans="1:1" x14ac:dyDescent="0.25">
      <c r="A2567" s="16"/>
    </row>
    <row r="2568" spans="1:1" x14ac:dyDescent="0.25">
      <c r="A2568" s="16"/>
    </row>
    <row r="2569" spans="1:1" x14ac:dyDescent="0.25">
      <c r="A2569" s="16"/>
    </row>
    <row r="2570" spans="1:1" x14ac:dyDescent="0.25">
      <c r="A2570" s="16"/>
    </row>
    <row r="2571" spans="1:1" x14ac:dyDescent="0.25">
      <c r="A2571" s="16"/>
    </row>
    <row r="2572" spans="1:1" x14ac:dyDescent="0.25">
      <c r="A2572" s="16"/>
    </row>
    <row r="2573" spans="1:1" x14ac:dyDescent="0.25">
      <c r="A2573" s="16"/>
    </row>
    <row r="2574" spans="1:1" x14ac:dyDescent="0.25">
      <c r="A2574" s="16"/>
    </row>
    <row r="2575" spans="1:1" x14ac:dyDescent="0.25">
      <c r="A2575" s="16"/>
    </row>
    <row r="2576" spans="1:1" x14ac:dyDescent="0.25">
      <c r="A2576" s="16"/>
    </row>
    <row r="2577" spans="1:1" x14ac:dyDescent="0.25">
      <c r="A2577" s="16"/>
    </row>
    <row r="2578" spans="1:1" x14ac:dyDescent="0.25">
      <c r="A2578" s="16"/>
    </row>
    <row r="2579" spans="1:1" x14ac:dyDescent="0.25">
      <c r="A2579" s="16"/>
    </row>
    <row r="2580" spans="1:1" x14ac:dyDescent="0.25">
      <c r="A2580" s="16"/>
    </row>
    <row r="2581" spans="1:1" x14ac:dyDescent="0.25">
      <c r="A2581" s="16"/>
    </row>
    <row r="2582" spans="1:1" x14ac:dyDescent="0.25">
      <c r="A2582" s="16"/>
    </row>
    <row r="2583" spans="1:1" x14ac:dyDescent="0.25">
      <c r="A2583" s="16"/>
    </row>
    <row r="2584" spans="1:1" x14ac:dyDescent="0.25">
      <c r="A2584" s="16"/>
    </row>
    <row r="2585" spans="1:1" x14ac:dyDescent="0.25">
      <c r="A2585" s="16"/>
    </row>
    <row r="2586" spans="1:1" x14ac:dyDescent="0.25">
      <c r="A2586" s="16"/>
    </row>
    <row r="2587" spans="1:1" x14ac:dyDescent="0.25">
      <c r="A2587" s="16"/>
    </row>
    <row r="2588" spans="1:1" x14ac:dyDescent="0.25">
      <c r="A2588" s="16"/>
    </row>
    <row r="2589" spans="1:1" x14ac:dyDescent="0.25">
      <c r="A2589" s="16"/>
    </row>
    <row r="2590" spans="1:1" x14ac:dyDescent="0.25">
      <c r="A2590" s="16"/>
    </row>
    <row r="2591" spans="1:1" x14ac:dyDescent="0.25">
      <c r="A2591" s="16"/>
    </row>
    <row r="2592" spans="1:1" x14ac:dyDescent="0.25">
      <c r="A2592" s="16"/>
    </row>
    <row r="2593" spans="1:1" x14ac:dyDescent="0.25">
      <c r="A2593" s="16"/>
    </row>
    <row r="2594" spans="1:1" x14ac:dyDescent="0.25">
      <c r="A2594" s="16"/>
    </row>
    <row r="2595" spans="1:1" x14ac:dyDescent="0.25">
      <c r="A2595" s="16"/>
    </row>
    <row r="2596" spans="1:1" x14ac:dyDescent="0.25">
      <c r="A2596" s="16"/>
    </row>
    <row r="2597" spans="1:1" x14ac:dyDescent="0.25">
      <c r="A2597" s="16"/>
    </row>
    <row r="2598" spans="1:1" x14ac:dyDescent="0.25">
      <c r="A2598" s="16"/>
    </row>
    <row r="2599" spans="1:1" x14ac:dyDescent="0.25">
      <c r="A2599" s="16"/>
    </row>
    <row r="2600" spans="1:1" x14ac:dyDescent="0.25">
      <c r="A2600" s="16"/>
    </row>
    <row r="2601" spans="1:1" x14ac:dyDescent="0.25">
      <c r="A2601" s="16"/>
    </row>
    <row r="2602" spans="1:1" x14ac:dyDescent="0.25">
      <c r="A2602" s="16"/>
    </row>
    <row r="2603" spans="1:1" x14ac:dyDescent="0.25">
      <c r="A2603" s="16"/>
    </row>
    <row r="2604" spans="1:1" x14ac:dyDescent="0.25">
      <c r="A2604" s="16"/>
    </row>
    <row r="2605" spans="1:1" x14ac:dyDescent="0.25">
      <c r="A2605" s="16"/>
    </row>
    <row r="2606" spans="1:1" x14ac:dyDescent="0.25">
      <c r="A2606" s="16"/>
    </row>
    <row r="2607" spans="1:1" x14ac:dyDescent="0.25">
      <c r="A2607" s="16"/>
    </row>
    <row r="2608" spans="1:1" x14ac:dyDescent="0.25">
      <c r="A2608" s="16"/>
    </row>
    <row r="2609" spans="1:1" x14ac:dyDescent="0.25">
      <c r="A2609" s="16"/>
    </row>
    <row r="2610" spans="1:1" x14ac:dyDescent="0.25">
      <c r="A2610" s="16"/>
    </row>
    <row r="2611" spans="1:1" x14ac:dyDescent="0.25">
      <c r="A2611" s="16"/>
    </row>
    <row r="2612" spans="1:1" x14ac:dyDescent="0.25">
      <c r="A2612" s="16"/>
    </row>
    <row r="2613" spans="1:1" x14ac:dyDescent="0.25">
      <c r="A2613" s="16"/>
    </row>
    <row r="2614" spans="1:1" x14ac:dyDescent="0.25">
      <c r="A2614" s="16"/>
    </row>
    <row r="2615" spans="1:1" x14ac:dyDescent="0.25">
      <c r="A2615" s="16"/>
    </row>
    <row r="2616" spans="1:1" x14ac:dyDescent="0.25">
      <c r="A2616" s="16"/>
    </row>
    <row r="2617" spans="1:1" x14ac:dyDescent="0.25">
      <c r="A2617" s="16"/>
    </row>
    <row r="2618" spans="1:1" x14ac:dyDescent="0.25">
      <c r="A2618" s="16"/>
    </row>
    <row r="2619" spans="1:1" x14ac:dyDescent="0.25">
      <c r="A2619" s="16"/>
    </row>
    <row r="2620" spans="1:1" x14ac:dyDescent="0.25">
      <c r="A2620" s="16"/>
    </row>
    <row r="2621" spans="1:1" x14ac:dyDescent="0.25">
      <c r="A2621" s="16"/>
    </row>
    <row r="2622" spans="1:1" x14ac:dyDescent="0.25">
      <c r="A2622" s="16"/>
    </row>
    <row r="2623" spans="1:1" x14ac:dyDescent="0.25">
      <c r="A2623" s="16"/>
    </row>
    <row r="2624" spans="1:1" x14ac:dyDescent="0.25">
      <c r="A2624" s="16"/>
    </row>
    <row r="2625" spans="1:1" x14ac:dyDescent="0.25">
      <c r="A2625" s="16"/>
    </row>
    <row r="2626" spans="1:1" x14ac:dyDescent="0.25">
      <c r="A2626" s="16"/>
    </row>
    <row r="2627" spans="1:1" x14ac:dyDescent="0.25">
      <c r="A2627" s="16"/>
    </row>
    <row r="2628" spans="1:1" x14ac:dyDescent="0.25">
      <c r="A2628" s="16"/>
    </row>
    <row r="2629" spans="1:1" x14ac:dyDescent="0.25">
      <c r="A2629" s="16"/>
    </row>
    <row r="2630" spans="1:1" x14ac:dyDescent="0.25">
      <c r="A2630" s="16"/>
    </row>
    <row r="2631" spans="1:1" x14ac:dyDescent="0.25">
      <c r="A2631" s="16"/>
    </row>
    <row r="2632" spans="1:1" x14ac:dyDescent="0.25">
      <c r="A2632" s="16"/>
    </row>
    <row r="2633" spans="1:1" x14ac:dyDescent="0.25">
      <c r="A2633" s="16"/>
    </row>
    <row r="2634" spans="1:1" x14ac:dyDescent="0.25">
      <c r="A2634" s="16"/>
    </row>
    <row r="2635" spans="1:1" x14ac:dyDescent="0.25">
      <c r="A2635" s="16"/>
    </row>
    <row r="2636" spans="1:1" x14ac:dyDescent="0.25">
      <c r="A2636" s="16"/>
    </row>
    <row r="2637" spans="1:1" x14ac:dyDescent="0.25">
      <c r="A2637" s="16"/>
    </row>
    <row r="2638" spans="1:1" x14ac:dyDescent="0.25">
      <c r="A2638" s="16"/>
    </row>
    <row r="2639" spans="1:1" x14ac:dyDescent="0.25">
      <c r="A2639" s="16"/>
    </row>
    <row r="2640" spans="1:1" x14ac:dyDescent="0.25">
      <c r="A2640" s="16"/>
    </row>
    <row r="2641" spans="1:1" x14ac:dyDescent="0.25">
      <c r="A2641" s="16"/>
    </row>
    <row r="2642" spans="1:1" x14ac:dyDescent="0.25">
      <c r="A2642" s="16"/>
    </row>
    <row r="2643" spans="1:1" x14ac:dyDescent="0.25">
      <c r="A2643" s="16"/>
    </row>
    <row r="2644" spans="1:1" x14ac:dyDescent="0.25">
      <c r="A2644" s="16"/>
    </row>
    <row r="2645" spans="1:1" x14ac:dyDescent="0.25">
      <c r="A2645" s="16"/>
    </row>
    <row r="2646" spans="1:1" x14ac:dyDescent="0.25">
      <c r="A2646" s="16"/>
    </row>
    <row r="2647" spans="1:1" x14ac:dyDescent="0.25">
      <c r="A2647" s="16"/>
    </row>
    <row r="2648" spans="1:1" x14ac:dyDescent="0.25">
      <c r="A2648" s="16"/>
    </row>
    <row r="2649" spans="1:1" x14ac:dyDescent="0.25">
      <c r="A2649" s="16"/>
    </row>
    <row r="2650" spans="1:1" x14ac:dyDescent="0.25">
      <c r="A2650" s="16"/>
    </row>
    <row r="2651" spans="1:1" x14ac:dyDescent="0.25">
      <c r="A2651" s="16"/>
    </row>
    <row r="2652" spans="1:1" x14ac:dyDescent="0.25">
      <c r="A2652" s="16"/>
    </row>
    <row r="2653" spans="1:1" x14ac:dyDescent="0.25">
      <c r="A2653" s="16"/>
    </row>
    <row r="2654" spans="1:1" x14ac:dyDescent="0.25">
      <c r="A2654" s="16"/>
    </row>
    <row r="2655" spans="1:1" x14ac:dyDescent="0.25">
      <c r="A2655" s="16"/>
    </row>
    <row r="2656" spans="1:1" x14ac:dyDescent="0.25">
      <c r="A2656" s="16"/>
    </row>
    <row r="2657" spans="1:1" x14ac:dyDescent="0.25">
      <c r="A2657" s="16"/>
    </row>
    <row r="2658" spans="1:1" x14ac:dyDescent="0.25">
      <c r="A2658" s="16"/>
    </row>
    <row r="2659" spans="1:1" x14ac:dyDescent="0.25">
      <c r="A2659" s="16"/>
    </row>
    <row r="2660" spans="1:1" x14ac:dyDescent="0.25">
      <c r="A2660" s="16"/>
    </row>
    <row r="2661" spans="1:1" x14ac:dyDescent="0.25">
      <c r="A2661" s="16"/>
    </row>
    <row r="2662" spans="1:1" x14ac:dyDescent="0.25">
      <c r="A2662" s="16"/>
    </row>
    <row r="2663" spans="1:1" x14ac:dyDescent="0.25">
      <c r="A2663" s="16"/>
    </row>
    <row r="2664" spans="1:1" x14ac:dyDescent="0.25">
      <c r="A2664" s="16"/>
    </row>
    <row r="2665" spans="1:1" x14ac:dyDescent="0.25">
      <c r="A2665" s="16"/>
    </row>
    <row r="2666" spans="1:1" x14ac:dyDescent="0.25">
      <c r="A2666" s="16"/>
    </row>
    <row r="2667" spans="1:1" x14ac:dyDescent="0.25">
      <c r="A2667" s="16"/>
    </row>
    <row r="2668" spans="1:1" x14ac:dyDescent="0.25">
      <c r="A2668" s="16"/>
    </row>
    <row r="2669" spans="1:1" x14ac:dyDescent="0.25">
      <c r="A2669" s="16"/>
    </row>
    <row r="2670" spans="1:1" x14ac:dyDescent="0.25">
      <c r="A2670" s="16"/>
    </row>
    <row r="2671" spans="1:1" x14ac:dyDescent="0.25">
      <c r="A2671" s="16"/>
    </row>
    <row r="2672" spans="1:1" x14ac:dyDescent="0.25">
      <c r="A2672" s="16"/>
    </row>
    <row r="2673" spans="1:1" x14ac:dyDescent="0.25">
      <c r="A2673" s="16"/>
    </row>
    <row r="2674" spans="1:1" x14ac:dyDescent="0.25">
      <c r="A2674" s="16"/>
    </row>
    <row r="2675" spans="1:1" x14ac:dyDescent="0.25">
      <c r="A2675" s="16"/>
    </row>
    <row r="2676" spans="1:1" x14ac:dyDescent="0.25">
      <c r="A2676" s="16"/>
    </row>
    <row r="2677" spans="1:1" x14ac:dyDescent="0.25">
      <c r="A2677" s="16"/>
    </row>
    <row r="2678" spans="1:1" x14ac:dyDescent="0.25">
      <c r="A2678" s="16"/>
    </row>
    <row r="2679" spans="1:1" x14ac:dyDescent="0.25">
      <c r="A2679" s="16"/>
    </row>
    <row r="2680" spans="1:1" x14ac:dyDescent="0.25">
      <c r="A2680" s="16"/>
    </row>
    <row r="2681" spans="1:1" x14ac:dyDescent="0.25">
      <c r="A2681" s="16"/>
    </row>
    <row r="2682" spans="1:1" x14ac:dyDescent="0.25">
      <c r="A2682" s="16"/>
    </row>
    <row r="2683" spans="1:1" x14ac:dyDescent="0.25">
      <c r="A2683" s="16"/>
    </row>
    <row r="2684" spans="1:1" x14ac:dyDescent="0.25">
      <c r="A2684" s="16"/>
    </row>
    <row r="2685" spans="1:1" x14ac:dyDescent="0.25">
      <c r="A2685" s="16"/>
    </row>
    <row r="2686" spans="1:1" x14ac:dyDescent="0.25">
      <c r="A2686" s="16"/>
    </row>
    <row r="2687" spans="1:1" x14ac:dyDescent="0.25">
      <c r="A2687" s="16"/>
    </row>
    <row r="2688" spans="1:1" x14ac:dyDescent="0.25">
      <c r="A2688" s="16"/>
    </row>
    <row r="2689" spans="1:1" x14ac:dyDescent="0.25">
      <c r="A2689" s="16"/>
    </row>
    <row r="2690" spans="1:1" x14ac:dyDescent="0.25">
      <c r="A2690" s="16"/>
    </row>
    <row r="2691" spans="1:1" x14ac:dyDescent="0.25">
      <c r="A2691" s="16"/>
    </row>
    <row r="2692" spans="1:1" x14ac:dyDescent="0.25">
      <c r="A2692" s="16"/>
    </row>
    <row r="2693" spans="1:1" x14ac:dyDescent="0.25">
      <c r="A2693" s="16"/>
    </row>
    <row r="2694" spans="1:1" x14ac:dyDescent="0.25">
      <c r="A2694" s="16"/>
    </row>
    <row r="2695" spans="1:1" x14ac:dyDescent="0.25">
      <c r="A2695" s="16"/>
    </row>
    <row r="2696" spans="1:1" x14ac:dyDescent="0.25">
      <c r="A2696" s="16"/>
    </row>
    <row r="2697" spans="1:1" x14ac:dyDescent="0.25">
      <c r="A2697" s="16"/>
    </row>
    <row r="2698" spans="1:1" x14ac:dyDescent="0.25">
      <c r="A2698" s="16"/>
    </row>
    <row r="2699" spans="1:1" x14ac:dyDescent="0.25">
      <c r="A2699" s="16"/>
    </row>
    <row r="2700" spans="1:1" x14ac:dyDescent="0.25">
      <c r="A2700" s="16"/>
    </row>
    <row r="2701" spans="1:1" x14ac:dyDescent="0.25">
      <c r="A2701" s="16"/>
    </row>
    <row r="2702" spans="1:1" x14ac:dyDescent="0.25">
      <c r="A2702" s="16"/>
    </row>
    <row r="2703" spans="1:1" x14ac:dyDescent="0.25">
      <c r="A2703" s="16"/>
    </row>
    <row r="2704" spans="1:1" x14ac:dyDescent="0.25">
      <c r="A2704" s="16"/>
    </row>
    <row r="2705" spans="1:1" x14ac:dyDescent="0.25">
      <c r="A2705" s="16"/>
    </row>
    <row r="2706" spans="1:1" x14ac:dyDescent="0.25">
      <c r="A2706" s="16"/>
    </row>
    <row r="2707" spans="1:1" x14ac:dyDescent="0.25">
      <c r="A2707" s="16"/>
    </row>
    <row r="2708" spans="1:1" x14ac:dyDescent="0.25">
      <c r="A2708" s="16"/>
    </row>
    <row r="2709" spans="1:1" x14ac:dyDescent="0.25">
      <c r="A2709" s="16"/>
    </row>
    <row r="2710" spans="1:1" x14ac:dyDescent="0.25">
      <c r="A2710" s="16"/>
    </row>
    <row r="2711" spans="1:1" x14ac:dyDescent="0.25">
      <c r="A2711" s="16"/>
    </row>
    <row r="2712" spans="1:1" x14ac:dyDescent="0.25">
      <c r="A2712" s="16"/>
    </row>
    <row r="2713" spans="1:1" x14ac:dyDescent="0.25">
      <c r="A2713" s="16"/>
    </row>
    <row r="2714" spans="1:1" x14ac:dyDescent="0.25">
      <c r="A2714" s="16"/>
    </row>
    <row r="2715" spans="1:1" x14ac:dyDescent="0.25">
      <c r="A2715" s="16"/>
    </row>
    <row r="2716" spans="1:1" x14ac:dyDescent="0.25">
      <c r="A2716" s="16"/>
    </row>
    <row r="2717" spans="1:1" x14ac:dyDescent="0.25">
      <c r="A2717" s="16"/>
    </row>
    <row r="2718" spans="1:1" x14ac:dyDescent="0.25">
      <c r="A2718" s="16"/>
    </row>
    <row r="2719" spans="1:1" x14ac:dyDescent="0.25">
      <c r="A2719" s="16"/>
    </row>
    <row r="2720" spans="1:1" x14ac:dyDescent="0.25">
      <c r="A2720" s="16"/>
    </row>
    <row r="2721" spans="1:1" x14ac:dyDescent="0.25">
      <c r="A2721" s="16"/>
    </row>
    <row r="2722" spans="1:1" x14ac:dyDescent="0.25">
      <c r="A2722" s="16"/>
    </row>
    <row r="2723" spans="1:1" x14ac:dyDescent="0.25">
      <c r="A2723" s="16"/>
    </row>
    <row r="2724" spans="1:1" x14ac:dyDescent="0.25">
      <c r="A2724" s="16"/>
    </row>
    <row r="2725" spans="1:1" x14ac:dyDescent="0.25">
      <c r="A2725" s="16"/>
    </row>
    <row r="2726" spans="1:1" x14ac:dyDescent="0.25">
      <c r="A2726" s="16"/>
    </row>
    <row r="2727" spans="1:1" x14ac:dyDescent="0.25">
      <c r="A2727" s="16"/>
    </row>
    <row r="2728" spans="1:1" x14ac:dyDescent="0.25">
      <c r="A2728" s="16"/>
    </row>
    <row r="2729" spans="1:1" x14ac:dyDescent="0.25">
      <c r="A2729" s="16"/>
    </row>
    <row r="2730" spans="1:1" x14ac:dyDescent="0.25">
      <c r="A2730" s="16"/>
    </row>
    <row r="2731" spans="1:1" x14ac:dyDescent="0.25">
      <c r="A2731" s="16"/>
    </row>
    <row r="2732" spans="1:1" x14ac:dyDescent="0.25">
      <c r="A2732" s="16"/>
    </row>
    <row r="2733" spans="1:1" x14ac:dyDescent="0.25">
      <c r="A2733" s="16"/>
    </row>
    <row r="2734" spans="1:1" x14ac:dyDescent="0.25">
      <c r="A2734" s="16"/>
    </row>
    <row r="2735" spans="1:1" x14ac:dyDescent="0.25">
      <c r="A2735" s="16"/>
    </row>
    <row r="2736" spans="1:1" x14ac:dyDescent="0.25">
      <c r="A2736" s="16"/>
    </row>
    <row r="2737" spans="1:1" x14ac:dyDescent="0.25">
      <c r="A2737" s="16"/>
    </row>
    <row r="2738" spans="1:1" x14ac:dyDescent="0.25">
      <c r="A2738" s="16"/>
    </row>
    <row r="2739" spans="1:1" x14ac:dyDescent="0.25">
      <c r="A2739" s="16"/>
    </row>
    <row r="2740" spans="1:1" x14ac:dyDescent="0.25">
      <c r="A2740" s="16"/>
    </row>
    <row r="2741" spans="1:1" x14ac:dyDescent="0.25">
      <c r="A2741" s="16"/>
    </row>
    <row r="2742" spans="1:1" x14ac:dyDescent="0.25">
      <c r="A2742" s="16"/>
    </row>
    <row r="2743" spans="1:1" x14ac:dyDescent="0.25">
      <c r="A2743" s="16"/>
    </row>
    <row r="2744" spans="1:1" x14ac:dyDescent="0.25">
      <c r="A2744" s="16"/>
    </row>
    <row r="2745" spans="1:1" x14ac:dyDescent="0.25">
      <c r="A2745" s="16"/>
    </row>
    <row r="2746" spans="1:1" x14ac:dyDescent="0.25">
      <c r="A2746" s="16"/>
    </row>
    <row r="2747" spans="1:1" x14ac:dyDescent="0.25">
      <c r="A2747" s="16"/>
    </row>
    <row r="2748" spans="1:1" x14ac:dyDescent="0.25">
      <c r="A2748" s="16"/>
    </row>
    <row r="2749" spans="1:1" x14ac:dyDescent="0.25">
      <c r="A2749" s="16"/>
    </row>
    <row r="2750" spans="1:1" x14ac:dyDescent="0.25">
      <c r="A2750" s="16"/>
    </row>
    <row r="2751" spans="1:1" x14ac:dyDescent="0.25">
      <c r="A2751" s="16"/>
    </row>
    <row r="2752" spans="1:1" x14ac:dyDescent="0.25">
      <c r="A2752" s="16"/>
    </row>
    <row r="2753" spans="1:1" x14ac:dyDescent="0.25">
      <c r="A2753" s="16"/>
    </row>
    <row r="2754" spans="1:1" x14ac:dyDescent="0.25">
      <c r="A2754" s="16"/>
    </row>
    <row r="2755" spans="1:1" x14ac:dyDescent="0.25">
      <c r="A2755" s="16"/>
    </row>
    <row r="2756" spans="1:1" x14ac:dyDescent="0.25">
      <c r="A2756" s="16"/>
    </row>
    <row r="2757" spans="1:1" x14ac:dyDescent="0.25">
      <c r="A2757" s="16"/>
    </row>
    <row r="2758" spans="1:1" x14ac:dyDescent="0.25">
      <c r="A2758" s="16"/>
    </row>
    <row r="2759" spans="1:1" x14ac:dyDescent="0.25">
      <c r="A2759" s="16"/>
    </row>
    <row r="2760" spans="1:1" x14ac:dyDescent="0.25">
      <c r="A2760" s="16"/>
    </row>
    <row r="2761" spans="1:1" x14ac:dyDescent="0.25">
      <c r="A2761" s="16"/>
    </row>
    <row r="2762" spans="1:1" x14ac:dyDescent="0.25">
      <c r="A2762" s="16"/>
    </row>
    <row r="2763" spans="1:1" x14ac:dyDescent="0.25">
      <c r="A2763" s="16"/>
    </row>
    <row r="2764" spans="1:1" x14ac:dyDescent="0.25">
      <c r="A2764" s="16"/>
    </row>
    <row r="2765" spans="1:1" x14ac:dyDescent="0.25">
      <c r="A2765" s="16"/>
    </row>
    <row r="2766" spans="1:1" x14ac:dyDescent="0.25">
      <c r="A2766" s="16"/>
    </row>
    <row r="2767" spans="1:1" x14ac:dyDescent="0.25">
      <c r="A2767" s="16"/>
    </row>
    <row r="2768" spans="1:1" x14ac:dyDescent="0.25">
      <c r="A2768" s="16"/>
    </row>
    <row r="2769" spans="1:1" x14ac:dyDescent="0.25">
      <c r="A2769" s="16"/>
    </row>
    <row r="2770" spans="1:1" x14ac:dyDescent="0.25">
      <c r="A2770" s="16"/>
    </row>
    <row r="2771" spans="1:1" x14ac:dyDescent="0.25">
      <c r="A2771" s="16"/>
    </row>
    <row r="2772" spans="1:1" x14ac:dyDescent="0.25">
      <c r="A2772" s="16"/>
    </row>
    <row r="2773" spans="1:1" x14ac:dyDescent="0.25">
      <c r="A2773" s="16"/>
    </row>
    <row r="2774" spans="1:1" x14ac:dyDescent="0.25">
      <c r="A2774" s="16"/>
    </row>
    <row r="2775" spans="1:1" x14ac:dyDescent="0.25">
      <c r="A2775" s="16"/>
    </row>
    <row r="2776" spans="1:1" x14ac:dyDescent="0.25">
      <c r="A2776" s="16"/>
    </row>
    <row r="2777" spans="1:1" x14ac:dyDescent="0.25">
      <c r="A2777" s="16"/>
    </row>
    <row r="2778" spans="1:1" x14ac:dyDescent="0.25">
      <c r="A2778" s="16"/>
    </row>
    <row r="2779" spans="1:1" x14ac:dyDescent="0.25">
      <c r="A2779" s="16"/>
    </row>
    <row r="2780" spans="1:1" x14ac:dyDescent="0.25">
      <c r="A2780" s="16"/>
    </row>
    <row r="2781" spans="1:1" x14ac:dyDescent="0.25">
      <c r="A2781" s="16"/>
    </row>
    <row r="2782" spans="1:1" x14ac:dyDescent="0.25">
      <c r="A2782" s="16"/>
    </row>
    <row r="2783" spans="1:1" x14ac:dyDescent="0.25">
      <c r="A2783" s="16"/>
    </row>
    <row r="2784" spans="1:1" x14ac:dyDescent="0.25">
      <c r="A2784" s="16"/>
    </row>
    <row r="2785" spans="1:1" x14ac:dyDescent="0.25">
      <c r="A2785" s="16"/>
    </row>
    <row r="2786" spans="1:1" x14ac:dyDescent="0.25">
      <c r="A2786" s="16"/>
    </row>
    <row r="2787" spans="1:1" x14ac:dyDescent="0.25">
      <c r="A2787" s="16"/>
    </row>
    <row r="2788" spans="1:1" x14ac:dyDescent="0.25">
      <c r="A2788" s="16"/>
    </row>
    <row r="2789" spans="1:1" x14ac:dyDescent="0.25">
      <c r="A2789" s="16"/>
    </row>
    <row r="2790" spans="1:1" x14ac:dyDescent="0.25">
      <c r="A2790" s="16"/>
    </row>
    <row r="2791" spans="1:1" x14ac:dyDescent="0.25">
      <c r="A2791" s="16"/>
    </row>
    <row r="2792" spans="1:1" x14ac:dyDescent="0.25">
      <c r="A2792" s="16"/>
    </row>
    <row r="2793" spans="1:1" x14ac:dyDescent="0.25">
      <c r="A2793" s="16"/>
    </row>
    <row r="2794" spans="1:1" x14ac:dyDescent="0.25">
      <c r="A2794" s="16"/>
    </row>
    <row r="2795" spans="1:1" x14ac:dyDescent="0.25">
      <c r="A2795" s="16"/>
    </row>
    <row r="2796" spans="1:1" x14ac:dyDescent="0.25">
      <c r="A2796" s="16"/>
    </row>
    <row r="2797" spans="1:1" x14ac:dyDescent="0.25">
      <c r="A2797" s="16"/>
    </row>
    <row r="2798" spans="1:1" x14ac:dyDescent="0.25">
      <c r="A2798" s="16"/>
    </row>
    <row r="2799" spans="1:1" x14ac:dyDescent="0.25">
      <c r="A2799" s="16"/>
    </row>
    <row r="2800" spans="1:1" x14ac:dyDescent="0.25">
      <c r="A2800" s="16"/>
    </row>
    <row r="2801" spans="1:1" x14ac:dyDescent="0.25">
      <c r="A2801" s="16"/>
    </row>
    <row r="2802" spans="1:1" x14ac:dyDescent="0.25">
      <c r="A2802" s="16"/>
    </row>
    <row r="2803" spans="1:1" x14ac:dyDescent="0.25">
      <c r="A2803" s="16"/>
    </row>
    <row r="2804" spans="1:1" x14ac:dyDescent="0.25">
      <c r="A2804" s="16"/>
    </row>
    <row r="2805" spans="1:1" x14ac:dyDescent="0.25">
      <c r="A2805" s="16"/>
    </row>
    <row r="2806" spans="1:1" x14ac:dyDescent="0.25">
      <c r="A2806" s="16"/>
    </row>
    <row r="2807" spans="1:1" x14ac:dyDescent="0.25">
      <c r="A2807" s="16"/>
    </row>
    <row r="2808" spans="1:1" x14ac:dyDescent="0.25">
      <c r="A2808" s="16"/>
    </row>
    <row r="2809" spans="1:1" x14ac:dyDescent="0.25">
      <c r="A2809" s="16"/>
    </row>
    <row r="2810" spans="1:1" x14ac:dyDescent="0.25">
      <c r="A2810" s="16"/>
    </row>
    <row r="2811" spans="1:1" x14ac:dyDescent="0.25">
      <c r="A2811" s="16"/>
    </row>
    <row r="2812" spans="1:1" x14ac:dyDescent="0.25">
      <c r="A2812" s="16"/>
    </row>
    <row r="2813" spans="1:1" x14ac:dyDescent="0.25">
      <c r="A2813" s="16"/>
    </row>
    <row r="2814" spans="1:1" x14ac:dyDescent="0.25">
      <c r="A2814" s="16"/>
    </row>
    <row r="2815" spans="1:1" x14ac:dyDescent="0.25">
      <c r="A2815" s="16"/>
    </row>
    <row r="2816" spans="1:1" x14ac:dyDescent="0.25">
      <c r="A2816" s="16"/>
    </row>
    <row r="2817" spans="1:1" x14ac:dyDescent="0.25">
      <c r="A2817" s="16"/>
    </row>
    <row r="2818" spans="1:1" x14ac:dyDescent="0.25">
      <c r="A2818" s="16"/>
    </row>
    <row r="2819" spans="1:1" x14ac:dyDescent="0.25">
      <c r="A2819" s="16"/>
    </row>
    <row r="2820" spans="1:1" x14ac:dyDescent="0.25">
      <c r="A2820" s="16"/>
    </row>
    <row r="2821" spans="1:1" x14ac:dyDescent="0.25">
      <c r="A2821" s="16"/>
    </row>
    <row r="2822" spans="1:1" x14ac:dyDescent="0.25">
      <c r="A2822" s="16"/>
    </row>
    <row r="2823" spans="1:1" x14ac:dyDescent="0.25">
      <c r="A2823" s="16"/>
    </row>
    <row r="2824" spans="1:1" x14ac:dyDescent="0.25">
      <c r="A2824" s="16"/>
    </row>
    <row r="2825" spans="1:1" x14ac:dyDescent="0.25">
      <c r="A2825" s="16"/>
    </row>
    <row r="2826" spans="1:1" x14ac:dyDescent="0.25">
      <c r="A2826" s="16"/>
    </row>
    <row r="2827" spans="1:1" x14ac:dyDescent="0.25">
      <c r="A2827" s="16"/>
    </row>
    <row r="2828" spans="1:1" x14ac:dyDescent="0.25">
      <c r="A2828" s="16"/>
    </row>
    <row r="2829" spans="1:1" x14ac:dyDescent="0.25">
      <c r="A2829" s="16"/>
    </row>
    <row r="2830" spans="1:1" x14ac:dyDescent="0.25">
      <c r="A2830" s="16"/>
    </row>
    <row r="2831" spans="1:1" x14ac:dyDescent="0.25">
      <c r="A2831" s="16"/>
    </row>
    <row r="2832" spans="1:1" x14ac:dyDescent="0.25">
      <c r="A2832" s="16"/>
    </row>
    <row r="2833" spans="1:1" x14ac:dyDescent="0.25">
      <c r="A2833" s="16"/>
    </row>
    <row r="2834" spans="1:1" x14ac:dyDescent="0.25">
      <c r="A2834" s="16"/>
    </row>
    <row r="2835" spans="1:1" x14ac:dyDescent="0.25">
      <c r="A2835" s="16"/>
    </row>
    <row r="2836" spans="1:1" x14ac:dyDescent="0.25">
      <c r="A2836" s="16"/>
    </row>
    <row r="2837" spans="1:1" x14ac:dyDescent="0.25">
      <c r="A2837" s="16"/>
    </row>
    <row r="2838" spans="1:1" x14ac:dyDescent="0.25">
      <c r="A2838" s="16"/>
    </row>
    <row r="2839" spans="1:1" x14ac:dyDescent="0.25">
      <c r="A2839" s="16"/>
    </row>
    <row r="2840" spans="1:1" x14ac:dyDescent="0.25">
      <c r="A2840" s="16"/>
    </row>
    <row r="2841" spans="1:1" x14ac:dyDescent="0.25">
      <c r="A2841" s="16"/>
    </row>
    <row r="2842" spans="1:1" x14ac:dyDescent="0.25">
      <c r="A2842" s="16"/>
    </row>
    <row r="2843" spans="1:1" x14ac:dyDescent="0.25">
      <c r="A2843" s="16"/>
    </row>
    <row r="2844" spans="1:1" x14ac:dyDescent="0.25">
      <c r="A2844" s="16"/>
    </row>
    <row r="2845" spans="1:1" x14ac:dyDescent="0.25">
      <c r="A2845" s="16"/>
    </row>
    <row r="2846" spans="1:1" x14ac:dyDescent="0.25">
      <c r="A2846" s="16"/>
    </row>
    <row r="2847" spans="1:1" x14ac:dyDescent="0.25">
      <c r="A2847" s="16"/>
    </row>
    <row r="2848" spans="1:1" x14ac:dyDescent="0.25">
      <c r="A2848" s="16"/>
    </row>
    <row r="2849" spans="1:1" x14ac:dyDescent="0.25">
      <c r="A2849" s="16"/>
    </row>
    <row r="2850" spans="1:1" x14ac:dyDescent="0.25">
      <c r="A2850" s="16"/>
    </row>
    <row r="2851" spans="1:1" x14ac:dyDescent="0.25">
      <c r="A2851" s="16"/>
    </row>
    <row r="2852" spans="1:1" x14ac:dyDescent="0.25">
      <c r="A2852" s="16"/>
    </row>
    <row r="2853" spans="1:1" x14ac:dyDescent="0.25">
      <c r="A2853" s="16"/>
    </row>
    <row r="2854" spans="1:1" x14ac:dyDescent="0.25">
      <c r="A2854" s="16"/>
    </row>
    <row r="2855" spans="1:1" x14ac:dyDescent="0.25">
      <c r="A2855" s="16"/>
    </row>
    <row r="2856" spans="1:1" x14ac:dyDescent="0.25">
      <c r="A2856" s="16"/>
    </row>
    <row r="2857" spans="1:1" x14ac:dyDescent="0.25">
      <c r="A2857" s="16"/>
    </row>
    <row r="2858" spans="1:1" x14ac:dyDescent="0.25">
      <c r="A2858" s="16"/>
    </row>
    <row r="2859" spans="1:1" x14ac:dyDescent="0.25">
      <c r="A2859" s="16"/>
    </row>
    <row r="2860" spans="1:1" x14ac:dyDescent="0.25">
      <c r="A2860" s="16"/>
    </row>
    <row r="2861" spans="1:1" x14ac:dyDescent="0.25">
      <c r="A2861" s="16"/>
    </row>
    <row r="2862" spans="1:1" x14ac:dyDescent="0.25">
      <c r="A2862" s="16"/>
    </row>
    <row r="2863" spans="1:1" x14ac:dyDescent="0.25">
      <c r="A2863" s="16"/>
    </row>
    <row r="2864" spans="1:1" x14ac:dyDescent="0.25">
      <c r="A2864" s="16"/>
    </row>
    <row r="2865" spans="1:1" x14ac:dyDescent="0.25">
      <c r="A2865" s="16"/>
    </row>
    <row r="2866" spans="1:1" x14ac:dyDescent="0.25">
      <c r="A2866" s="16"/>
    </row>
    <row r="2867" spans="1:1" x14ac:dyDescent="0.25">
      <c r="A2867" s="16"/>
    </row>
    <row r="2868" spans="1:1" x14ac:dyDescent="0.25">
      <c r="A2868" s="16"/>
    </row>
    <row r="2869" spans="1:1" x14ac:dyDescent="0.25">
      <c r="A2869" s="16"/>
    </row>
    <row r="2870" spans="1:1" x14ac:dyDescent="0.25">
      <c r="A2870" s="16"/>
    </row>
    <row r="2871" spans="1:1" x14ac:dyDescent="0.25">
      <c r="A2871" s="16"/>
    </row>
    <row r="2872" spans="1:1" x14ac:dyDescent="0.25">
      <c r="A2872" s="16"/>
    </row>
    <row r="2873" spans="1:1" x14ac:dyDescent="0.25">
      <c r="A2873" s="16"/>
    </row>
    <row r="2874" spans="1:1" x14ac:dyDescent="0.25">
      <c r="A2874" s="16"/>
    </row>
    <row r="2875" spans="1:1" x14ac:dyDescent="0.25">
      <c r="A2875" s="16"/>
    </row>
    <row r="2876" spans="1:1" x14ac:dyDescent="0.25">
      <c r="A2876" s="16"/>
    </row>
    <row r="2877" spans="1:1" x14ac:dyDescent="0.25">
      <c r="A2877" s="16"/>
    </row>
    <row r="2878" spans="1:1" x14ac:dyDescent="0.25">
      <c r="A2878" s="16"/>
    </row>
    <row r="2879" spans="1:1" x14ac:dyDescent="0.25">
      <c r="A2879" s="16"/>
    </row>
    <row r="2880" spans="1:1" x14ac:dyDescent="0.25">
      <c r="A2880" s="16"/>
    </row>
    <row r="2881" spans="1:1" x14ac:dyDescent="0.25">
      <c r="A2881" s="16"/>
    </row>
    <row r="2882" spans="1:1" x14ac:dyDescent="0.25">
      <c r="A2882" s="16"/>
    </row>
    <row r="2883" spans="1:1" x14ac:dyDescent="0.25">
      <c r="A2883" s="16"/>
    </row>
    <row r="2884" spans="1:1" x14ac:dyDescent="0.25">
      <c r="A2884" s="16"/>
    </row>
    <row r="2885" spans="1:1" x14ac:dyDescent="0.25">
      <c r="A2885" s="16"/>
    </row>
    <row r="2886" spans="1:1" x14ac:dyDescent="0.25">
      <c r="A2886" s="16"/>
    </row>
    <row r="2887" spans="1:1" x14ac:dyDescent="0.25">
      <c r="A2887" s="16"/>
    </row>
    <row r="2888" spans="1:1" x14ac:dyDescent="0.25">
      <c r="A2888" s="16"/>
    </row>
    <row r="2889" spans="1:1" x14ac:dyDescent="0.25">
      <c r="A2889" s="16"/>
    </row>
    <row r="2890" spans="1:1" x14ac:dyDescent="0.25">
      <c r="A2890" s="16"/>
    </row>
    <row r="2891" spans="1:1" x14ac:dyDescent="0.25">
      <c r="A2891" s="16"/>
    </row>
    <row r="2892" spans="1:1" x14ac:dyDescent="0.25">
      <c r="A2892" s="16"/>
    </row>
    <row r="2893" spans="1:1" x14ac:dyDescent="0.25">
      <c r="A2893" s="16"/>
    </row>
    <row r="2894" spans="1:1" x14ac:dyDescent="0.25">
      <c r="A2894" s="16"/>
    </row>
    <row r="2895" spans="1:1" x14ac:dyDescent="0.25">
      <c r="A2895" s="16"/>
    </row>
    <row r="2896" spans="1:1" x14ac:dyDescent="0.25">
      <c r="A2896" s="16"/>
    </row>
    <row r="2897" spans="1:1" x14ac:dyDescent="0.25">
      <c r="A2897" s="16"/>
    </row>
    <row r="2898" spans="1:1" x14ac:dyDescent="0.25">
      <c r="A2898" s="16"/>
    </row>
    <row r="2899" spans="1:1" x14ac:dyDescent="0.25">
      <c r="A2899" s="16"/>
    </row>
    <row r="2900" spans="1:1" x14ac:dyDescent="0.25">
      <c r="A2900" s="16"/>
    </row>
    <row r="2901" spans="1:1" x14ac:dyDescent="0.25">
      <c r="A2901" s="16"/>
    </row>
    <row r="2902" spans="1:1" x14ac:dyDescent="0.25">
      <c r="A2902" s="16"/>
    </row>
    <row r="2903" spans="1:1" x14ac:dyDescent="0.25">
      <c r="A2903" s="16"/>
    </row>
    <row r="2904" spans="1:1" x14ac:dyDescent="0.25">
      <c r="A2904" s="16"/>
    </row>
    <row r="2905" spans="1:1" x14ac:dyDescent="0.25">
      <c r="A2905" s="16"/>
    </row>
    <row r="2906" spans="1:1" x14ac:dyDescent="0.25">
      <c r="A2906" s="16"/>
    </row>
    <row r="2907" spans="1:1" x14ac:dyDescent="0.25">
      <c r="A2907" s="16"/>
    </row>
    <row r="2908" spans="1:1" x14ac:dyDescent="0.25">
      <c r="A2908" s="16"/>
    </row>
    <row r="2909" spans="1:1" x14ac:dyDescent="0.25">
      <c r="A2909" s="16"/>
    </row>
    <row r="2910" spans="1:1" x14ac:dyDescent="0.25">
      <c r="A2910" s="16"/>
    </row>
    <row r="2911" spans="1:1" x14ac:dyDescent="0.25">
      <c r="A2911" s="16"/>
    </row>
    <row r="2912" spans="1:1" x14ac:dyDescent="0.25">
      <c r="A2912" s="16"/>
    </row>
    <row r="2913" spans="1:1" x14ac:dyDescent="0.25">
      <c r="A2913" s="16"/>
    </row>
    <row r="2914" spans="1:1" x14ac:dyDescent="0.25">
      <c r="A2914" s="16"/>
    </row>
    <row r="2915" spans="1:1" x14ac:dyDescent="0.25">
      <c r="A2915" s="16"/>
    </row>
    <row r="2916" spans="1:1" x14ac:dyDescent="0.25">
      <c r="A2916" s="16"/>
    </row>
    <row r="2917" spans="1:1" x14ac:dyDescent="0.25">
      <c r="A2917" s="16"/>
    </row>
    <row r="2918" spans="1:1" x14ac:dyDescent="0.25">
      <c r="A2918" s="16"/>
    </row>
    <row r="2919" spans="1:1" x14ac:dyDescent="0.25">
      <c r="A2919" s="16"/>
    </row>
    <row r="2920" spans="1:1" x14ac:dyDescent="0.25">
      <c r="A2920" s="16"/>
    </row>
    <row r="2921" spans="1:1" x14ac:dyDescent="0.25">
      <c r="A2921" s="16"/>
    </row>
    <row r="2922" spans="1:1" x14ac:dyDescent="0.25">
      <c r="A2922" s="16"/>
    </row>
    <row r="2923" spans="1:1" x14ac:dyDescent="0.25">
      <c r="A2923" s="16"/>
    </row>
    <row r="2924" spans="1:1" x14ac:dyDescent="0.25">
      <c r="A2924" s="16"/>
    </row>
    <row r="2925" spans="1:1" x14ac:dyDescent="0.25">
      <c r="A2925" s="16"/>
    </row>
    <row r="2926" spans="1:1" x14ac:dyDescent="0.25">
      <c r="A2926" s="16"/>
    </row>
    <row r="2927" spans="1:1" x14ac:dyDescent="0.25">
      <c r="A2927" s="16"/>
    </row>
    <row r="2928" spans="1:1" x14ac:dyDescent="0.25">
      <c r="A2928" s="16"/>
    </row>
    <row r="2929" spans="1:1" x14ac:dyDescent="0.25">
      <c r="A2929" s="16"/>
    </row>
    <row r="2930" spans="1:1" x14ac:dyDescent="0.25">
      <c r="A2930" s="16"/>
    </row>
    <row r="2931" spans="1:1" x14ac:dyDescent="0.25">
      <c r="A2931" s="16"/>
    </row>
    <row r="2932" spans="1:1" x14ac:dyDescent="0.25">
      <c r="A2932" s="16"/>
    </row>
    <row r="2933" spans="1:1" x14ac:dyDescent="0.25">
      <c r="A2933" s="16"/>
    </row>
    <row r="2934" spans="1:1" x14ac:dyDescent="0.25">
      <c r="A2934" s="16"/>
    </row>
    <row r="2935" spans="1:1" x14ac:dyDescent="0.25">
      <c r="A2935" s="16"/>
    </row>
    <row r="2936" spans="1:1" x14ac:dyDescent="0.25">
      <c r="A2936" s="16"/>
    </row>
    <row r="2937" spans="1:1" x14ac:dyDescent="0.25">
      <c r="A2937" s="16"/>
    </row>
    <row r="2938" spans="1:1" x14ac:dyDescent="0.25">
      <c r="A2938" s="16"/>
    </row>
    <row r="2939" spans="1:1" x14ac:dyDescent="0.25">
      <c r="A2939" s="16"/>
    </row>
    <row r="2940" spans="1:1" x14ac:dyDescent="0.25">
      <c r="A2940" s="16"/>
    </row>
    <row r="2941" spans="1:1" x14ac:dyDescent="0.25">
      <c r="A2941" s="16"/>
    </row>
    <row r="2942" spans="1:1" x14ac:dyDescent="0.25">
      <c r="A2942" s="16"/>
    </row>
    <row r="2943" spans="1:1" x14ac:dyDescent="0.25">
      <c r="A2943" s="16"/>
    </row>
    <row r="2944" spans="1:1" x14ac:dyDescent="0.25">
      <c r="A2944" s="16"/>
    </row>
    <row r="2945" spans="1:1" x14ac:dyDescent="0.25">
      <c r="A2945" s="16"/>
    </row>
    <row r="2946" spans="1:1" x14ac:dyDescent="0.25">
      <c r="A2946" s="16"/>
    </row>
    <row r="2947" spans="1:1" x14ac:dyDescent="0.25">
      <c r="A2947" s="16"/>
    </row>
    <row r="2948" spans="1:1" x14ac:dyDescent="0.25">
      <c r="A2948" s="16"/>
    </row>
    <row r="2949" spans="1:1" x14ac:dyDescent="0.25">
      <c r="A2949" s="16"/>
    </row>
    <row r="2950" spans="1:1" x14ac:dyDescent="0.25">
      <c r="A2950" s="16"/>
    </row>
    <row r="2951" spans="1:1" x14ac:dyDescent="0.25">
      <c r="A2951" s="16"/>
    </row>
    <row r="2952" spans="1:1" x14ac:dyDescent="0.25">
      <c r="A2952" s="16"/>
    </row>
    <row r="2953" spans="1:1" x14ac:dyDescent="0.25">
      <c r="A2953" s="16"/>
    </row>
    <row r="2954" spans="1:1" x14ac:dyDescent="0.25">
      <c r="A2954" s="16"/>
    </row>
    <row r="2955" spans="1:1" x14ac:dyDescent="0.25">
      <c r="A2955" s="16"/>
    </row>
    <row r="2956" spans="1:1" x14ac:dyDescent="0.25">
      <c r="A2956" s="16"/>
    </row>
    <row r="2957" spans="1:1" x14ac:dyDescent="0.25">
      <c r="A2957" s="16"/>
    </row>
    <row r="2958" spans="1:1" x14ac:dyDescent="0.25">
      <c r="A2958" s="16"/>
    </row>
    <row r="2959" spans="1:1" x14ac:dyDescent="0.25">
      <c r="A2959" s="16"/>
    </row>
    <row r="2960" spans="1:1" x14ac:dyDescent="0.25">
      <c r="A2960" s="16"/>
    </row>
    <row r="2961" spans="1:1" x14ac:dyDescent="0.25">
      <c r="A2961" s="16"/>
    </row>
    <row r="2962" spans="1:1" x14ac:dyDescent="0.25">
      <c r="A2962" s="16"/>
    </row>
    <row r="2963" spans="1:1" x14ac:dyDescent="0.25">
      <c r="A2963" s="16"/>
    </row>
    <row r="2964" spans="1:1" x14ac:dyDescent="0.25">
      <c r="A2964" s="16"/>
    </row>
    <row r="2965" spans="1:1" x14ac:dyDescent="0.25">
      <c r="A2965" s="16"/>
    </row>
    <row r="2966" spans="1:1" x14ac:dyDescent="0.25">
      <c r="A2966" s="16"/>
    </row>
    <row r="2967" spans="1:1" x14ac:dyDescent="0.25">
      <c r="A2967" s="16"/>
    </row>
    <row r="2968" spans="1:1" x14ac:dyDescent="0.25">
      <c r="A2968" s="16"/>
    </row>
    <row r="2969" spans="1:1" x14ac:dyDescent="0.25">
      <c r="A2969" s="16"/>
    </row>
    <row r="2970" spans="1:1" x14ac:dyDescent="0.25">
      <c r="A2970" s="16"/>
    </row>
    <row r="2971" spans="1:1" x14ac:dyDescent="0.25">
      <c r="A2971" s="16"/>
    </row>
    <row r="2972" spans="1:1" x14ac:dyDescent="0.25">
      <c r="A2972" s="16"/>
    </row>
    <row r="2973" spans="1:1" x14ac:dyDescent="0.25">
      <c r="A2973" s="16"/>
    </row>
    <row r="2974" spans="1:1" x14ac:dyDescent="0.25">
      <c r="A2974" s="16"/>
    </row>
    <row r="2975" spans="1:1" x14ac:dyDescent="0.25">
      <c r="A2975" s="16"/>
    </row>
    <row r="2976" spans="1:1" x14ac:dyDescent="0.25">
      <c r="A2976" s="16"/>
    </row>
    <row r="2977" spans="1:1" x14ac:dyDescent="0.25">
      <c r="A2977" s="16"/>
    </row>
    <row r="2978" spans="1:1" x14ac:dyDescent="0.25">
      <c r="A2978" s="16"/>
    </row>
    <row r="2979" spans="1:1" x14ac:dyDescent="0.25">
      <c r="A2979" s="16"/>
    </row>
    <row r="2980" spans="1:1" x14ac:dyDescent="0.25">
      <c r="A2980" s="16"/>
    </row>
    <row r="2981" spans="1:1" x14ac:dyDescent="0.25">
      <c r="A2981" s="16"/>
    </row>
    <row r="2982" spans="1:1" x14ac:dyDescent="0.25">
      <c r="A2982" s="16"/>
    </row>
    <row r="2983" spans="1:1" x14ac:dyDescent="0.25">
      <c r="A2983" s="16"/>
    </row>
    <row r="2984" spans="1:1" x14ac:dyDescent="0.25">
      <c r="A2984" s="16"/>
    </row>
    <row r="2985" spans="1:1" x14ac:dyDescent="0.25">
      <c r="A2985" s="16"/>
    </row>
    <row r="2986" spans="1:1" x14ac:dyDescent="0.25">
      <c r="A2986" s="16"/>
    </row>
    <row r="2987" spans="1:1" x14ac:dyDescent="0.25">
      <c r="A2987" s="16"/>
    </row>
    <row r="2988" spans="1:1" x14ac:dyDescent="0.25">
      <c r="A2988" s="16"/>
    </row>
    <row r="2989" spans="1:1" x14ac:dyDescent="0.25">
      <c r="A2989" s="16"/>
    </row>
    <row r="2990" spans="1:1" x14ac:dyDescent="0.25">
      <c r="A2990" s="16"/>
    </row>
    <row r="2991" spans="1:1" x14ac:dyDescent="0.25">
      <c r="A2991" s="16"/>
    </row>
    <row r="2992" spans="1:1" x14ac:dyDescent="0.25">
      <c r="A2992" s="16"/>
    </row>
    <row r="2993" spans="1:1" x14ac:dyDescent="0.25">
      <c r="A2993" s="16"/>
    </row>
    <row r="2994" spans="1:1" x14ac:dyDescent="0.25">
      <c r="A2994" s="16"/>
    </row>
    <row r="2995" spans="1:1" x14ac:dyDescent="0.25">
      <c r="A2995" s="16"/>
    </row>
    <row r="2996" spans="1:1" x14ac:dyDescent="0.25">
      <c r="A2996" s="16"/>
    </row>
    <row r="2997" spans="1:1" x14ac:dyDescent="0.25">
      <c r="A2997" s="16"/>
    </row>
    <row r="2998" spans="1:1" x14ac:dyDescent="0.25">
      <c r="A2998" s="16"/>
    </row>
    <row r="2999" spans="1:1" x14ac:dyDescent="0.25">
      <c r="A2999" s="16"/>
    </row>
    <row r="3000" spans="1:1" x14ac:dyDescent="0.25">
      <c r="A3000" s="16"/>
    </row>
    <row r="3001" spans="1:1" x14ac:dyDescent="0.25">
      <c r="A3001" s="16"/>
    </row>
    <row r="3002" spans="1:1" x14ac:dyDescent="0.25">
      <c r="A3002" s="16"/>
    </row>
    <row r="3003" spans="1:1" x14ac:dyDescent="0.25">
      <c r="A3003" s="16"/>
    </row>
    <row r="3004" spans="1:1" x14ac:dyDescent="0.25">
      <c r="A3004" s="16"/>
    </row>
    <row r="3005" spans="1:1" x14ac:dyDescent="0.25">
      <c r="A3005" s="16"/>
    </row>
    <row r="3006" spans="1:1" x14ac:dyDescent="0.25">
      <c r="A3006" s="16"/>
    </row>
    <row r="3007" spans="1:1" x14ac:dyDescent="0.25">
      <c r="A3007" s="16"/>
    </row>
    <row r="3008" spans="1:1" x14ac:dyDescent="0.25">
      <c r="A3008" s="16"/>
    </row>
    <row r="3009" spans="1:1" x14ac:dyDescent="0.25">
      <c r="A3009" s="16"/>
    </row>
    <row r="3010" spans="1:1" x14ac:dyDescent="0.25">
      <c r="A3010" s="16"/>
    </row>
    <row r="3011" spans="1:1" x14ac:dyDescent="0.25">
      <c r="A3011" s="16"/>
    </row>
    <row r="3012" spans="1:1" x14ac:dyDescent="0.25">
      <c r="A3012" s="16"/>
    </row>
    <row r="3013" spans="1:1" x14ac:dyDescent="0.25">
      <c r="A3013" s="16"/>
    </row>
    <row r="3014" spans="1:1" x14ac:dyDescent="0.25">
      <c r="A3014" s="16"/>
    </row>
    <row r="3015" spans="1:1" x14ac:dyDescent="0.25">
      <c r="A3015" s="16"/>
    </row>
    <row r="3016" spans="1:1" x14ac:dyDescent="0.25">
      <c r="A3016" s="16"/>
    </row>
    <row r="3017" spans="1:1" x14ac:dyDescent="0.25">
      <c r="A3017" s="16"/>
    </row>
    <row r="3018" spans="1:1" x14ac:dyDescent="0.25">
      <c r="A3018" s="16"/>
    </row>
    <row r="3019" spans="1:1" x14ac:dyDescent="0.25">
      <c r="A3019" s="16"/>
    </row>
    <row r="3020" spans="1:1" x14ac:dyDescent="0.25">
      <c r="A3020" s="16"/>
    </row>
    <row r="3021" spans="1:1" x14ac:dyDescent="0.25">
      <c r="A3021" s="16"/>
    </row>
    <row r="3022" spans="1:1" x14ac:dyDescent="0.25">
      <c r="A3022" s="16"/>
    </row>
    <row r="3023" spans="1:1" x14ac:dyDescent="0.25">
      <c r="A3023" s="16"/>
    </row>
    <row r="3024" spans="1:1" x14ac:dyDescent="0.25">
      <c r="A3024" s="16"/>
    </row>
    <row r="3025" spans="1:1" x14ac:dyDescent="0.25">
      <c r="A3025" s="16"/>
    </row>
    <row r="3026" spans="1:1" x14ac:dyDescent="0.25">
      <c r="A3026" s="16"/>
    </row>
    <row r="3027" spans="1:1" x14ac:dyDescent="0.25">
      <c r="A3027" s="16"/>
    </row>
    <row r="3028" spans="1:1" x14ac:dyDescent="0.25">
      <c r="A3028" s="16"/>
    </row>
    <row r="3029" spans="1:1" x14ac:dyDescent="0.25">
      <c r="A3029" s="16"/>
    </row>
    <row r="3030" spans="1:1" x14ac:dyDescent="0.25">
      <c r="A3030" s="16"/>
    </row>
    <row r="3031" spans="1:1" x14ac:dyDescent="0.25">
      <c r="A3031" s="16"/>
    </row>
    <row r="3032" spans="1:1" x14ac:dyDescent="0.25">
      <c r="A3032" s="16"/>
    </row>
    <row r="3033" spans="1:1" x14ac:dyDescent="0.25">
      <c r="A3033" s="16"/>
    </row>
    <row r="3034" spans="1:1" x14ac:dyDescent="0.25">
      <c r="A3034" s="16"/>
    </row>
    <row r="3035" spans="1:1" x14ac:dyDescent="0.25">
      <c r="A3035" s="16"/>
    </row>
    <row r="3036" spans="1:1" x14ac:dyDescent="0.25">
      <c r="A3036" s="16"/>
    </row>
    <row r="3037" spans="1:1" x14ac:dyDescent="0.25">
      <c r="A3037" s="16"/>
    </row>
    <row r="3038" spans="1:1" x14ac:dyDescent="0.25">
      <c r="A3038" s="16"/>
    </row>
    <row r="3039" spans="1:1" x14ac:dyDescent="0.25">
      <c r="A3039" s="16"/>
    </row>
    <row r="3040" spans="1:1" x14ac:dyDescent="0.25">
      <c r="A3040" s="16"/>
    </row>
    <row r="3041" spans="1:1" x14ac:dyDescent="0.25">
      <c r="A3041" s="16"/>
    </row>
    <row r="3042" spans="1:1" x14ac:dyDescent="0.25">
      <c r="A3042" s="16"/>
    </row>
    <row r="3043" spans="1:1" x14ac:dyDescent="0.25">
      <c r="A3043" s="16"/>
    </row>
    <row r="3044" spans="1:1" x14ac:dyDescent="0.25">
      <c r="A3044" s="16"/>
    </row>
    <row r="3045" spans="1:1" x14ac:dyDescent="0.25">
      <c r="A3045" s="16"/>
    </row>
    <row r="3046" spans="1:1" x14ac:dyDescent="0.25">
      <c r="A3046" s="16"/>
    </row>
    <row r="3047" spans="1:1" x14ac:dyDescent="0.25">
      <c r="A3047" s="16"/>
    </row>
    <row r="3048" spans="1:1" x14ac:dyDescent="0.25">
      <c r="A3048" s="16"/>
    </row>
    <row r="3049" spans="1:1" x14ac:dyDescent="0.25">
      <c r="A3049" s="16"/>
    </row>
    <row r="3050" spans="1:1" x14ac:dyDescent="0.25">
      <c r="A3050" s="16"/>
    </row>
    <row r="3051" spans="1:1" x14ac:dyDescent="0.25">
      <c r="A3051" s="16"/>
    </row>
    <row r="3052" spans="1:1" x14ac:dyDescent="0.25">
      <c r="A3052" s="16"/>
    </row>
    <row r="3053" spans="1:1" x14ac:dyDescent="0.25">
      <c r="A3053" s="16"/>
    </row>
    <row r="3054" spans="1:1" x14ac:dyDescent="0.25">
      <c r="A3054" s="16"/>
    </row>
    <row r="3055" spans="1:1" x14ac:dyDescent="0.25">
      <c r="A3055" s="16"/>
    </row>
    <row r="3056" spans="1:1" x14ac:dyDescent="0.25">
      <c r="A3056" s="16"/>
    </row>
    <row r="3057" spans="1:1" x14ac:dyDescent="0.25">
      <c r="A3057" s="16"/>
    </row>
    <row r="3058" spans="1:1" x14ac:dyDescent="0.25">
      <c r="A3058" s="16"/>
    </row>
    <row r="3059" spans="1:1" x14ac:dyDescent="0.25">
      <c r="A3059" s="16"/>
    </row>
    <row r="3060" spans="1:1" x14ac:dyDescent="0.25">
      <c r="A3060" s="16"/>
    </row>
    <row r="3061" spans="1:1" x14ac:dyDescent="0.25">
      <c r="A3061" s="16"/>
    </row>
    <row r="3062" spans="1:1" x14ac:dyDescent="0.25">
      <c r="A3062" s="16"/>
    </row>
    <row r="3063" spans="1:1" x14ac:dyDescent="0.25">
      <c r="A3063" s="16"/>
    </row>
    <row r="3064" spans="1:1" x14ac:dyDescent="0.25">
      <c r="A3064" s="16"/>
    </row>
    <row r="3065" spans="1:1" x14ac:dyDescent="0.25">
      <c r="A3065" s="16"/>
    </row>
    <row r="3066" spans="1:1" x14ac:dyDescent="0.25">
      <c r="A3066" s="16"/>
    </row>
    <row r="3067" spans="1:1" x14ac:dyDescent="0.25">
      <c r="A3067" s="16"/>
    </row>
    <row r="3068" spans="1:1" x14ac:dyDescent="0.25">
      <c r="A3068" s="16"/>
    </row>
    <row r="3069" spans="1:1" x14ac:dyDescent="0.25">
      <c r="A3069" s="16"/>
    </row>
    <row r="3070" spans="1:1" x14ac:dyDescent="0.25">
      <c r="A3070" s="16"/>
    </row>
    <row r="3071" spans="1:1" x14ac:dyDescent="0.25">
      <c r="A3071" s="16"/>
    </row>
    <row r="3072" spans="1:1" x14ac:dyDescent="0.25">
      <c r="A3072" s="16"/>
    </row>
    <row r="3073" spans="1:1" x14ac:dyDescent="0.25">
      <c r="A3073" s="16"/>
    </row>
    <row r="3074" spans="1:1" x14ac:dyDescent="0.25">
      <c r="A3074" s="16"/>
    </row>
    <row r="3075" spans="1:1" x14ac:dyDescent="0.25">
      <c r="A3075" s="16"/>
    </row>
    <row r="3076" spans="1:1" x14ac:dyDescent="0.25">
      <c r="A3076" s="16"/>
    </row>
    <row r="3077" spans="1:1" x14ac:dyDescent="0.25">
      <c r="A3077" s="16"/>
    </row>
    <row r="3078" spans="1:1" x14ac:dyDescent="0.25">
      <c r="A3078" s="16"/>
    </row>
    <row r="3079" spans="1:1" x14ac:dyDescent="0.25">
      <c r="A3079" s="16"/>
    </row>
    <row r="3080" spans="1:1" x14ac:dyDescent="0.25">
      <c r="A3080" s="16"/>
    </row>
    <row r="3081" spans="1:1" x14ac:dyDescent="0.25">
      <c r="A3081" s="16"/>
    </row>
    <row r="3082" spans="1:1" x14ac:dyDescent="0.25">
      <c r="A3082" s="16"/>
    </row>
    <row r="3083" spans="1:1" x14ac:dyDescent="0.25">
      <c r="A3083" s="16"/>
    </row>
    <row r="3084" spans="1:1" x14ac:dyDescent="0.25">
      <c r="A3084" s="16"/>
    </row>
    <row r="3085" spans="1:1" x14ac:dyDescent="0.25">
      <c r="A3085" s="16"/>
    </row>
    <row r="3086" spans="1:1" x14ac:dyDescent="0.25">
      <c r="A3086" s="16"/>
    </row>
    <row r="3087" spans="1:1" x14ac:dyDescent="0.25">
      <c r="A3087" s="16"/>
    </row>
    <row r="3088" spans="1:1" x14ac:dyDescent="0.25">
      <c r="A3088" s="16"/>
    </row>
    <row r="3089" spans="1:1" x14ac:dyDescent="0.25">
      <c r="A3089" s="16"/>
    </row>
    <row r="3090" spans="1:1" x14ac:dyDescent="0.25">
      <c r="A3090" s="16"/>
    </row>
    <row r="3091" spans="1:1" x14ac:dyDescent="0.25">
      <c r="A3091" s="16"/>
    </row>
    <row r="3092" spans="1:1" x14ac:dyDescent="0.25">
      <c r="A3092" s="16"/>
    </row>
    <row r="3093" spans="1:1" x14ac:dyDescent="0.25">
      <c r="A3093" s="16"/>
    </row>
    <row r="3094" spans="1:1" x14ac:dyDescent="0.25">
      <c r="A3094" s="16"/>
    </row>
    <row r="3095" spans="1:1" x14ac:dyDescent="0.25">
      <c r="A3095" s="16"/>
    </row>
    <row r="3096" spans="1:1" x14ac:dyDescent="0.25">
      <c r="A3096" s="16"/>
    </row>
    <row r="3097" spans="1:1" x14ac:dyDescent="0.25">
      <c r="A3097" s="16"/>
    </row>
    <row r="3098" spans="1:1" x14ac:dyDescent="0.25">
      <c r="A3098" s="16"/>
    </row>
    <row r="3099" spans="1:1" x14ac:dyDescent="0.25">
      <c r="A3099" s="16"/>
    </row>
    <row r="3100" spans="1:1" x14ac:dyDescent="0.25">
      <c r="A3100" s="16"/>
    </row>
    <row r="3101" spans="1:1" x14ac:dyDescent="0.25">
      <c r="A3101" s="16"/>
    </row>
    <row r="3102" spans="1:1" x14ac:dyDescent="0.25">
      <c r="A3102" s="16"/>
    </row>
    <row r="3103" spans="1:1" x14ac:dyDescent="0.25">
      <c r="A3103" s="16"/>
    </row>
    <row r="3104" spans="1:1" x14ac:dyDescent="0.25">
      <c r="A3104" s="16"/>
    </row>
    <row r="3105" spans="1:1" x14ac:dyDescent="0.25">
      <c r="A3105" s="16"/>
    </row>
    <row r="3106" spans="1:1" x14ac:dyDescent="0.25">
      <c r="A3106" s="16"/>
    </row>
    <row r="3107" spans="1:1" x14ac:dyDescent="0.25">
      <c r="A3107" s="16"/>
    </row>
    <row r="3108" spans="1:1" x14ac:dyDescent="0.25">
      <c r="A3108" s="16"/>
    </row>
    <row r="3109" spans="1:1" x14ac:dyDescent="0.25">
      <c r="A3109" s="16"/>
    </row>
    <row r="3110" spans="1:1" x14ac:dyDescent="0.25">
      <c r="A3110" s="16"/>
    </row>
    <row r="3111" spans="1:1" x14ac:dyDescent="0.25">
      <c r="A3111" s="16"/>
    </row>
    <row r="3112" spans="1:1" x14ac:dyDescent="0.25">
      <c r="A3112" s="16"/>
    </row>
    <row r="3113" spans="1:1" x14ac:dyDescent="0.25">
      <c r="A3113" s="16"/>
    </row>
    <row r="3114" spans="1:1" x14ac:dyDescent="0.25">
      <c r="A3114" s="16"/>
    </row>
    <row r="3115" spans="1:1" x14ac:dyDescent="0.25">
      <c r="A3115" s="16"/>
    </row>
    <row r="3116" spans="1:1" x14ac:dyDescent="0.25">
      <c r="A3116" s="16"/>
    </row>
    <row r="3117" spans="1:1" x14ac:dyDescent="0.25">
      <c r="A3117" s="16"/>
    </row>
    <row r="3118" spans="1:1" x14ac:dyDescent="0.25">
      <c r="A3118" s="16"/>
    </row>
    <row r="3119" spans="1:1" x14ac:dyDescent="0.25">
      <c r="A3119" s="16"/>
    </row>
    <row r="3120" spans="1:1" x14ac:dyDescent="0.25">
      <c r="A3120" s="16"/>
    </row>
    <row r="3121" spans="1:1" x14ac:dyDescent="0.25">
      <c r="A3121" s="16"/>
    </row>
    <row r="3122" spans="1:1" x14ac:dyDescent="0.25">
      <c r="A3122" s="16"/>
    </row>
    <row r="3123" spans="1:1" x14ac:dyDescent="0.25">
      <c r="A3123" s="16"/>
    </row>
    <row r="3124" spans="1:1" x14ac:dyDescent="0.25">
      <c r="A3124" s="16"/>
    </row>
    <row r="3125" spans="1:1" x14ac:dyDescent="0.25">
      <c r="A3125" s="16"/>
    </row>
    <row r="3126" spans="1:1" x14ac:dyDescent="0.25">
      <c r="A3126" s="16"/>
    </row>
    <row r="3127" spans="1:1" x14ac:dyDescent="0.25">
      <c r="A3127" s="16"/>
    </row>
    <row r="3128" spans="1:1" x14ac:dyDescent="0.25">
      <c r="A3128" s="16"/>
    </row>
    <row r="3129" spans="1:1" x14ac:dyDescent="0.25">
      <c r="A3129" s="16"/>
    </row>
    <row r="3130" spans="1:1" x14ac:dyDescent="0.25">
      <c r="A3130" s="16"/>
    </row>
    <row r="3131" spans="1:1" x14ac:dyDescent="0.25">
      <c r="A3131" s="16"/>
    </row>
    <row r="3132" spans="1:1" x14ac:dyDescent="0.25">
      <c r="A3132" s="16"/>
    </row>
    <row r="3133" spans="1:1" x14ac:dyDescent="0.25">
      <c r="A3133" s="16"/>
    </row>
    <row r="3134" spans="1:1" x14ac:dyDescent="0.25">
      <c r="A3134" s="16"/>
    </row>
    <row r="3135" spans="1:1" x14ac:dyDescent="0.25">
      <c r="A3135" s="16"/>
    </row>
    <row r="3136" spans="1:1" x14ac:dyDescent="0.25">
      <c r="A3136" s="16"/>
    </row>
    <row r="3137" spans="1:1" x14ac:dyDescent="0.25">
      <c r="A3137" s="16"/>
    </row>
    <row r="3138" spans="1:1" x14ac:dyDescent="0.25">
      <c r="A3138" s="16"/>
    </row>
    <row r="3139" spans="1:1" x14ac:dyDescent="0.25">
      <c r="A3139" s="16"/>
    </row>
    <row r="3140" spans="1:1" x14ac:dyDescent="0.25">
      <c r="A3140" s="16"/>
    </row>
    <row r="3141" spans="1:1" x14ac:dyDescent="0.25">
      <c r="A3141" s="16"/>
    </row>
    <row r="3142" spans="1:1" x14ac:dyDescent="0.25">
      <c r="A3142" s="16"/>
    </row>
    <row r="3143" spans="1:1" x14ac:dyDescent="0.25">
      <c r="A3143" s="16"/>
    </row>
    <row r="3144" spans="1:1" x14ac:dyDescent="0.25">
      <c r="A3144" s="16"/>
    </row>
    <row r="3145" spans="1:1" x14ac:dyDescent="0.25">
      <c r="A3145" s="16"/>
    </row>
    <row r="3146" spans="1:1" x14ac:dyDescent="0.25">
      <c r="A3146" s="16"/>
    </row>
    <row r="3147" spans="1:1" x14ac:dyDescent="0.25">
      <c r="A3147" s="16"/>
    </row>
    <row r="3148" spans="1:1" x14ac:dyDescent="0.25">
      <c r="A3148" s="16"/>
    </row>
    <row r="3149" spans="1:1" x14ac:dyDescent="0.25">
      <c r="A3149" s="16"/>
    </row>
    <row r="3150" spans="1:1" x14ac:dyDescent="0.25">
      <c r="A3150" s="16"/>
    </row>
    <row r="3151" spans="1:1" x14ac:dyDescent="0.25">
      <c r="A3151" s="16"/>
    </row>
    <row r="3152" spans="1:1" x14ac:dyDescent="0.25">
      <c r="A3152" s="16"/>
    </row>
    <row r="3153" spans="1:1" x14ac:dyDescent="0.25">
      <c r="A3153" s="16"/>
    </row>
    <row r="3154" spans="1:1" x14ac:dyDescent="0.25">
      <c r="A3154" s="16"/>
    </row>
    <row r="3155" spans="1:1" x14ac:dyDescent="0.25">
      <c r="A3155" s="16"/>
    </row>
    <row r="3156" spans="1:1" x14ac:dyDescent="0.25">
      <c r="A3156" s="16"/>
    </row>
    <row r="3157" spans="1:1" x14ac:dyDescent="0.25">
      <c r="A3157" s="16"/>
    </row>
    <row r="3158" spans="1:1" x14ac:dyDescent="0.25">
      <c r="A3158" s="16"/>
    </row>
    <row r="3159" spans="1:1" x14ac:dyDescent="0.25">
      <c r="A3159" s="16"/>
    </row>
    <row r="3160" spans="1:1" x14ac:dyDescent="0.25">
      <c r="A3160" s="16"/>
    </row>
    <row r="3161" spans="1:1" x14ac:dyDescent="0.25">
      <c r="A3161" s="16"/>
    </row>
    <row r="3162" spans="1:1" x14ac:dyDescent="0.25">
      <c r="A3162" s="16"/>
    </row>
    <row r="3163" spans="1:1" x14ac:dyDescent="0.25">
      <c r="A3163" s="16"/>
    </row>
    <row r="3164" spans="1:1" x14ac:dyDescent="0.25">
      <c r="A3164" s="16"/>
    </row>
    <row r="3165" spans="1:1" x14ac:dyDescent="0.25">
      <c r="A3165" s="16"/>
    </row>
    <row r="3166" spans="1:1" x14ac:dyDescent="0.25">
      <c r="A3166" s="16"/>
    </row>
    <row r="3167" spans="1:1" x14ac:dyDescent="0.25">
      <c r="A3167" s="16"/>
    </row>
    <row r="3168" spans="1:1" x14ac:dyDescent="0.25">
      <c r="A3168" s="16"/>
    </row>
    <row r="3169" spans="1:1" x14ac:dyDescent="0.25">
      <c r="A3169" s="16"/>
    </row>
    <row r="3170" spans="1:1" x14ac:dyDescent="0.25">
      <c r="A3170" s="16"/>
    </row>
    <row r="3171" spans="1:1" x14ac:dyDescent="0.25">
      <c r="A3171" s="16"/>
    </row>
    <row r="3172" spans="1:1" x14ac:dyDescent="0.25">
      <c r="A3172" s="16"/>
    </row>
    <row r="3173" spans="1:1" x14ac:dyDescent="0.25">
      <c r="A3173" s="16"/>
    </row>
    <row r="3174" spans="1:1" x14ac:dyDescent="0.25">
      <c r="A3174" s="16"/>
    </row>
    <row r="3175" spans="1:1" x14ac:dyDescent="0.25">
      <c r="A3175" s="16"/>
    </row>
    <row r="3176" spans="1:1" x14ac:dyDescent="0.25">
      <c r="A3176" s="16"/>
    </row>
    <row r="3177" spans="1:1" x14ac:dyDescent="0.25">
      <c r="A3177" s="16"/>
    </row>
    <row r="3178" spans="1:1" x14ac:dyDescent="0.25">
      <c r="A3178" s="16"/>
    </row>
    <row r="3179" spans="1:1" x14ac:dyDescent="0.25">
      <c r="A3179" s="16"/>
    </row>
    <row r="3180" spans="1:1" x14ac:dyDescent="0.25">
      <c r="A3180" s="16"/>
    </row>
    <row r="3181" spans="1:1" x14ac:dyDescent="0.25">
      <c r="A3181" s="16"/>
    </row>
    <row r="3182" spans="1:1" x14ac:dyDescent="0.25">
      <c r="A3182" s="16"/>
    </row>
    <row r="3183" spans="1:1" x14ac:dyDescent="0.25">
      <c r="A3183" s="16"/>
    </row>
    <row r="3184" spans="1:1" x14ac:dyDescent="0.25">
      <c r="A3184" s="16"/>
    </row>
    <row r="3185" spans="1:1" x14ac:dyDescent="0.25">
      <c r="A3185" s="16"/>
    </row>
    <row r="3186" spans="1:1" x14ac:dyDescent="0.25">
      <c r="A3186" s="16"/>
    </row>
    <row r="3187" spans="1:1" x14ac:dyDescent="0.25">
      <c r="A3187" s="16"/>
    </row>
    <row r="3188" spans="1:1" x14ac:dyDescent="0.25">
      <c r="A3188" s="16"/>
    </row>
    <row r="3189" spans="1:1" x14ac:dyDescent="0.25">
      <c r="A3189" s="16"/>
    </row>
    <row r="3190" spans="1:1" x14ac:dyDescent="0.25">
      <c r="A3190" s="16"/>
    </row>
    <row r="3191" spans="1:1" x14ac:dyDescent="0.25">
      <c r="A3191" s="16"/>
    </row>
    <row r="3192" spans="1:1" x14ac:dyDescent="0.25">
      <c r="A3192" s="16"/>
    </row>
    <row r="3193" spans="1:1" x14ac:dyDescent="0.25">
      <c r="A3193" s="16"/>
    </row>
    <row r="3194" spans="1:1" x14ac:dyDescent="0.25">
      <c r="A3194" s="16"/>
    </row>
    <row r="3195" spans="1:1" x14ac:dyDescent="0.25">
      <c r="A3195" s="16"/>
    </row>
    <row r="3196" spans="1:1" x14ac:dyDescent="0.25">
      <c r="A3196" s="16"/>
    </row>
    <row r="3197" spans="1:1" x14ac:dyDescent="0.25">
      <c r="A3197" s="16"/>
    </row>
    <row r="3198" spans="1:1" x14ac:dyDescent="0.25">
      <c r="A3198" s="16"/>
    </row>
    <row r="3199" spans="1:1" x14ac:dyDescent="0.25">
      <c r="A3199" s="16"/>
    </row>
    <row r="3200" spans="1:1" x14ac:dyDescent="0.25">
      <c r="A3200" s="16"/>
    </row>
    <row r="3201" spans="1:1" x14ac:dyDescent="0.25">
      <c r="A3201" s="16"/>
    </row>
    <row r="3202" spans="1:1" x14ac:dyDescent="0.25">
      <c r="A3202" s="16"/>
    </row>
    <row r="3203" spans="1:1" x14ac:dyDescent="0.25">
      <c r="A3203" s="16"/>
    </row>
    <row r="3204" spans="1:1" x14ac:dyDescent="0.25">
      <c r="A3204" s="16"/>
    </row>
    <row r="3205" spans="1:1" x14ac:dyDescent="0.25">
      <c r="A3205" s="16"/>
    </row>
    <row r="3206" spans="1:1" x14ac:dyDescent="0.25">
      <c r="A3206" s="16"/>
    </row>
    <row r="3207" spans="1:1" x14ac:dyDescent="0.25">
      <c r="A3207" s="16"/>
    </row>
    <row r="3208" spans="1:1" x14ac:dyDescent="0.25">
      <c r="A3208" s="16"/>
    </row>
    <row r="3209" spans="1:1" x14ac:dyDescent="0.25">
      <c r="A3209" s="16"/>
    </row>
    <row r="3210" spans="1:1" x14ac:dyDescent="0.25">
      <c r="A3210" s="16"/>
    </row>
    <row r="3211" spans="1:1" x14ac:dyDescent="0.25">
      <c r="A3211" s="16"/>
    </row>
    <row r="3212" spans="1:1" x14ac:dyDescent="0.25">
      <c r="A3212" s="16"/>
    </row>
    <row r="3213" spans="1:1" x14ac:dyDescent="0.25">
      <c r="A3213" s="16"/>
    </row>
    <row r="3214" spans="1:1" x14ac:dyDescent="0.25">
      <c r="A3214" s="16"/>
    </row>
    <row r="3215" spans="1:1" x14ac:dyDescent="0.25">
      <c r="A3215" s="16"/>
    </row>
    <row r="3216" spans="1:1" x14ac:dyDescent="0.25">
      <c r="A3216" s="16"/>
    </row>
    <row r="3217" spans="1:1" x14ac:dyDescent="0.25">
      <c r="A3217" s="16"/>
    </row>
    <row r="3218" spans="1:1" x14ac:dyDescent="0.25">
      <c r="A3218" s="16"/>
    </row>
    <row r="3219" spans="1:1" x14ac:dyDescent="0.25">
      <c r="A3219" s="16"/>
    </row>
    <row r="3220" spans="1:1" x14ac:dyDescent="0.25">
      <c r="A3220" s="16"/>
    </row>
    <row r="3221" spans="1:1" x14ac:dyDescent="0.25">
      <c r="A3221" s="16"/>
    </row>
    <row r="3222" spans="1:1" x14ac:dyDescent="0.25">
      <c r="A3222" s="16"/>
    </row>
    <row r="3223" spans="1:1" x14ac:dyDescent="0.25">
      <c r="A3223" s="16"/>
    </row>
    <row r="3224" spans="1:1" x14ac:dyDescent="0.25">
      <c r="A3224" s="16"/>
    </row>
    <row r="3225" spans="1:1" x14ac:dyDescent="0.25">
      <c r="A3225" s="16"/>
    </row>
    <row r="3226" spans="1:1" x14ac:dyDescent="0.25">
      <c r="A3226" s="16"/>
    </row>
    <row r="3227" spans="1:1" x14ac:dyDescent="0.25">
      <c r="A3227" s="16"/>
    </row>
    <row r="3228" spans="1:1" x14ac:dyDescent="0.25">
      <c r="A3228" s="16"/>
    </row>
    <row r="3229" spans="1:1" x14ac:dyDescent="0.25">
      <c r="A3229" s="16"/>
    </row>
    <row r="3230" spans="1:1" x14ac:dyDescent="0.25">
      <c r="A3230" s="16"/>
    </row>
    <row r="3231" spans="1:1" x14ac:dyDescent="0.25">
      <c r="A3231" s="16"/>
    </row>
    <row r="3232" spans="1:1" x14ac:dyDescent="0.25">
      <c r="A3232" s="16"/>
    </row>
    <row r="3233" spans="1:1" x14ac:dyDescent="0.25">
      <c r="A3233" s="16"/>
    </row>
    <row r="3234" spans="1:1" x14ac:dyDescent="0.25">
      <c r="A3234" s="16"/>
    </row>
    <row r="3235" spans="1:1" x14ac:dyDescent="0.25">
      <c r="A3235" s="16"/>
    </row>
    <row r="3236" spans="1:1" x14ac:dyDescent="0.25">
      <c r="A3236" s="16"/>
    </row>
    <row r="3237" spans="1:1" x14ac:dyDescent="0.25">
      <c r="A3237" s="16"/>
    </row>
    <row r="3238" spans="1:1" x14ac:dyDescent="0.25">
      <c r="A3238" s="16"/>
    </row>
    <row r="3239" spans="1:1" x14ac:dyDescent="0.25">
      <c r="A3239" s="16"/>
    </row>
    <row r="3240" spans="1:1" x14ac:dyDescent="0.25">
      <c r="A3240" s="16"/>
    </row>
    <row r="3241" spans="1:1" x14ac:dyDescent="0.25">
      <c r="A3241" s="16"/>
    </row>
    <row r="3242" spans="1:1" x14ac:dyDescent="0.25">
      <c r="A3242" s="16"/>
    </row>
    <row r="3243" spans="1:1" x14ac:dyDescent="0.25">
      <c r="A3243" s="16"/>
    </row>
    <row r="3244" spans="1:1" x14ac:dyDescent="0.25">
      <c r="A3244" s="16"/>
    </row>
    <row r="3245" spans="1:1" x14ac:dyDescent="0.25">
      <c r="A3245" s="16"/>
    </row>
    <row r="3246" spans="1:1" x14ac:dyDescent="0.25">
      <c r="A3246" s="16"/>
    </row>
    <row r="3247" spans="1:1" x14ac:dyDescent="0.25">
      <c r="A3247" s="16"/>
    </row>
    <row r="3248" spans="1:1" x14ac:dyDescent="0.25">
      <c r="A3248" s="16"/>
    </row>
    <row r="3249" spans="1:1" x14ac:dyDescent="0.25">
      <c r="A3249" s="16"/>
    </row>
    <row r="3250" spans="1:1" x14ac:dyDescent="0.25">
      <c r="A3250" s="16"/>
    </row>
    <row r="3251" spans="1:1" x14ac:dyDescent="0.25">
      <c r="A3251" s="16"/>
    </row>
    <row r="3252" spans="1:1" x14ac:dyDescent="0.25">
      <c r="A3252" s="16"/>
    </row>
    <row r="3253" spans="1:1" x14ac:dyDescent="0.25">
      <c r="A3253" s="16"/>
    </row>
    <row r="3254" spans="1:1" x14ac:dyDescent="0.25">
      <c r="A3254" s="16"/>
    </row>
    <row r="3255" spans="1:1" x14ac:dyDescent="0.25">
      <c r="A3255" s="16"/>
    </row>
    <row r="3256" spans="1:1" x14ac:dyDescent="0.25">
      <c r="A3256" s="16"/>
    </row>
    <row r="3257" spans="1:1" x14ac:dyDescent="0.25">
      <c r="A3257" s="16"/>
    </row>
    <row r="3258" spans="1:1" x14ac:dyDescent="0.25">
      <c r="A3258" s="16"/>
    </row>
    <row r="3259" spans="1:1" x14ac:dyDescent="0.25">
      <c r="A3259" s="16"/>
    </row>
    <row r="3260" spans="1:1" x14ac:dyDescent="0.25">
      <c r="A3260" s="16"/>
    </row>
    <row r="3261" spans="1:1" x14ac:dyDescent="0.25">
      <c r="A3261" s="16"/>
    </row>
    <row r="3262" spans="1:1" x14ac:dyDescent="0.25">
      <c r="A3262" s="16"/>
    </row>
    <row r="3263" spans="1:1" x14ac:dyDescent="0.25">
      <c r="A3263" s="16"/>
    </row>
    <row r="3264" spans="1:1" x14ac:dyDescent="0.25">
      <c r="A3264" s="16"/>
    </row>
    <row r="3265" spans="1:1" x14ac:dyDescent="0.25">
      <c r="A3265" s="16"/>
    </row>
    <row r="3266" spans="1:1" x14ac:dyDescent="0.25">
      <c r="A3266" s="16"/>
    </row>
    <row r="3267" spans="1:1" x14ac:dyDescent="0.25">
      <c r="A3267" s="16"/>
    </row>
    <row r="3268" spans="1:1" x14ac:dyDescent="0.25">
      <c r="A3268" s="16"/>
    </row>
    <row r="3269" spans="1:1" x14ac:dyDescent="0.25">
      <c r="A3269" s="16"/>
    </row>
    <row r="3270" spans="1:1" x14ac:dyDescent="0.25">
      <c r="A3270" s="16"/>
    </row>
    <row r="3271" spans="1:1" x14ac:dyDescent="0.25">
      <c r="A3271" s="16"/>
    </row>
    <row r="3272" spans="1:1" x14ac:dyDescent="0.25">
      <c r="A3272" s="16"/>
    </row>
    <row r="3273" spans="1:1" x14ac:dyDescent="0.25">
      <c r="A3273" s="16"/>
    </row>
    <row r="3274" spans="1:1" x14ac:dyDescent="0.25">
      <c r="A3274" s="16"/>
    </row>
    <row r="3275" spans="1:1" x14ac:dyDescent="0.25">
      <c r="A3275" s="16"/>
    </row>
    <row r="3276" spans="1:1" x14ac:dyDescent="0.25">
      <c r="A3276" s="16"/>
    </row>
    <row r="3277" spans="1:1" x14ac:dyDescent="0.25">
      <c r="A3277" s="16"/>
    </row>
    <row r="3278" spans="1:1" x14ac:dyDescent="0.25">
      <c r="A3278" s="16"/>
    </row>
    <row r="3279" spans="1:1" x14ac:dyDescent="0.25">
      <c r="A3279" s="16"/>
    </row>
    <row r="3280" spans="1:1" x14ac:dyDescent="0.25">
      <c r="A3280" s="16"/>
    </row>
    <row r="3281" spans="1:1" x14ac:dyDescent="0.25">
      <c r="A3281" s="16"/>
    </row>
    <row r="3282" spans="1:1" x14ac:dyDescent="0.25">
      <c r="A3282" s="16"/>
    </row>
    <row r="3283" spans="1:1" x14ac:dyDescent="0.25">
      <c r="A3283" s="16"/>
    </row>
    <row r="3284" spans="1:1" x14ac:dyDescent="0.25">
      <c r="A3284" s="16"/>
    </row>
    <row r="3285" spans="1:1" x14ac:dyDescent="0.25">
      <c r="A3285" s="16"/>
    </row>
    <row r="3286" spans="1:1" x14ac:dyDescent="0.25">
      <c r="A3286" s="16"/>
    </row>
    <row r="3287" spans="1:1" x14ac:dyDescent="0.25">
      <c r="A3287" s="16"/>
    </row>
    <row r="3288" spans="1:1" x14ac:dyDescent="0.25">
      <c r="A3288" s="16"/>
    </row>
    <row r="3289" spans="1:1" x14ac:dyDescent="0.25">
      <c r="A3289" s="16"/>
    </row>
    <row r="3290" spans="1:1" x14ac:dyDescent="0.25">
      <c r="A3290" s="16"/>
    </row>
    <row r="3291" spans="1:1" x14ac:dyDescent="0.25">
      <c r="A3291" s="16"/>
    </row>
    <row r="3292" spans="1:1" x14ac:dyDescent="0.25">
      <c r="A3292" s="16"/>
    </row>
    <row r="3293" spans="1:1" x14ac:dyDescent="0.25">
      <c r="A3293" s="16"/>
    </row>
    <row r="3294" spans="1:1" x14ac:dyDescent="0.25">
      <c r="A3294" s="16"/>
    </row>
    <row r="3295" spans="1:1" x14ac:dyDescent="0.25">
      <c r="A3295" s="16"/>
    </row>
    <row r="3296" spans="1:1" x14ac:dyDescent="0.25">
      <c r="A3296" s="16"/>
    </row>
    <row r="3297" spans="1:1" x14ac:dyDescent="0.25">
      <c r="A3297" s="16"/>
    </row>
    <row r="3298" spans="1:1" x14ac:dyDescent="0.25">
      <c r="A3298" s="16"/>
    </row>
    <row r="3299" spans="1:1" x14ac:dyDescent="0.25">
      <c r="A3299" s="16"/>
    </row>
    <row r="3300" spans="1:1" x14ac:dyDescent="0.25">
      <c r="A3300" s="16"/>
    </row>
    <row r="3301" spans="1:1" x14ac:dyDescent="0.25">
      <c r="A3301" s="16"/>
    </row>
    <row r="3302" spans="1:1" x14ac:dyDescent="0.25">
      <c r="A3302" s="16"/>
    </row>
    <row r="3303" spans="1:1" x14ac:dyDescent="0.25">
      <c r="A3303" s="16"/>
    </row>
    <row r="3304" spans="1:1" x14ac:dyDescent="0.25">
      <c r="A3304" s="16"/>
    </row>
    <row r="3305" spans="1:1" x14ac:dyDescent="0.25">
      <c r="A3305" s="16"/>
    </row>
    <row r="3306" spans="1:1" x14ac:dyDescent="0.25">
      <c r="A3306" s="16"/>
    </row>
    <row r="3307" spans="1:1" x14ac:dyDescent="0.25">
      <c r="A3307" s="16"/>
    </row>
    <row r="3308" spans="1:1" x14ac:dyDescent="0.25">
      <c r="A3308" s="16"/>
    </row>
    <row r="3309" spans="1:1" x14ac:dyDescent="0.25">
      <c r="A3309" s="16"/>
    </row>
    <row r="3310" spans="1:1" x14ac:dyDescent="0.25">
      <c r="A3310" s="16"/>
    </row>
    <row r="3311" spans="1:1" x14ac:dyDescent="0.25">
      <c r="A3311" s="16"/>
    </row>
    <row r="3312" spans="1:1" x14ac:dyDescent="0.25">
      <c r="A3312" s="16"/>
    </row>
    <row r="3313" spans="1:1" x14ac:dyDescent="0.25">
      <c r="A3313" s="16"/>
    </row>
    <row r="3314" spans="1:1" x14ac:dyDescent="0.25">
      <c r="A3314" s="16"/>
    </row>
    <row r="3315" spans="1:1" x14ac:dyDescent="0.25">
      <c r="A3315" s="16"/>
    </row>
    <row r="3316" spans="1:1" x14ac:dyDescent="0.25">
      <c r="A3316" s="16"/>
    </row>
    <row r="3317" spans="1:1" x14ac:dyDescent="0.25">
      <c r="A3317" s="16"/>
    </row>
    <row r="3318" spans="1:1" x14ac:dyDescent="0.25">
      <c r="A3318" s="16"/>
    </row>
    <row r="3319" spans="1:1" x14ac:dyDescent="0.25">
      <c r="A3319" s="16"/>
    </row>
    <row r="3320" spans="1:1" x14ac:dyDescent="0.25">
      <c r="A3320" s="16"/>
    </row>
    <row r="3321" spans="1:1" x14ac:dyDescent="0.25">
      <c r="A3321" s="16"/>
    </row>
    <row r="3322" spans="1:1" x14ac:dyDescent="0.25">
      <c r="A3322" s="16"/>
    </row>
    <row r="3323" spans="1:1" x14ac:dyDescent="0.25">
      <c r="A3323" s="16"/>
    </row>
    <row r="3324" spans="1:1" x14ac:dyDescent="0.25">
      <c r="A3324" s="16"/>
    </row>
    <row r="3325" spans="1:1" x14ac:dyDescent="0.25">
      <c r="A3325" s="16"/>
    </row>
    <row r="3326" spans="1:1" x14ac:dyDescent="0.25">
      <c r="A3326" s="16"/>
    </row>
    <row r="3327" spans="1:1" x14ac:dyDescent="0.25">
      <c r="A3327" s="16"/>
    </row>
    <row r="3328" spans="1:1" x14ac:dyDescent="0.25">
      <c r="A3328" s="16"/>
    </row>
    <row r="3329" spans="1:1" x14ac:dyDescent="0.25">
      <c r="A3329" s="16"/>
    </row>
    <row r="3330" spans="1:1" x14ac:dyDescent="0.25">
      <c r="A3330" s="16"/>
    </row>
    <row r="3331" spans="1:1" x14ac:dyDescent="0.25">
      <c r="A3331" s="16"/>
    </row>
    <row r="3332" spans="1:1" x14ac:dyDescent="0.25">
      <c r="A3332" s="16"/>
    </row>
    <row r="3333" spans="1:1" x14ac:dyDescent="0.25">
      <c r="A3333" s="16"/>
    </row>
    <row r="3334" spans="1:1" x14ac:dyDescent="0.25">
      <c r="A3334" s="16"/>
    </row>
    <row r="3335" spans="1:1" x14ac:dyDescent="0.25">
      <c r="A3335" s="16"/>
    </row>
    <row r="3336" spans="1:1" x14ac:dyDescent="0.25">
      <c r="A3336" s="16"/>
    </row>
    <row r="3337" spans="1:1" x14ac:dyDescent="0.25">
      <c r="A3337" s="16"/>
    </row>
    <row r="3338" spans="1:1" x14ac:dyDescent="0.25">
      <c r="A3338" s="16"/>
    </row>
    <row r="3339" spans="1:1" x14ac:dyDescent="0.25">
      <c r="A3339" s="16"/>
    </row>
    <row r="3340" spans="1:1" x14ac:dyDescent="0.25">
      <c r="A3340" s="16"/>
    </row>
    <row r="3341" spans="1:1" x14ac:dyDescent="0.25">
      <c r="A3341" s="16"/>
    </row>
    <row r="3342" spans="1:1" x14ac:dyDescent="0.25">
      <c r="A3342" s="16"/>
    </row>
    <row r="3343" spans="1:1" x14ac:dyDescent="0.25">
      <c r="A3343" s="16"/>
    </row>
    <row r="3344" spans="1:1" x14ac:dyDescent="0.25">
      <c r="A3344" s="16"/>
    </row>
    <row r="3345" spans="1:1" x14ac:dyDescent="0.25">
      <c r="A3345" s="16"/>
    </row>
    <row r="3346" spans="1:1" x14ac:dyDescent="0.25">
      <c r="A3346" s="16"/>
    </row>
    <row r="3347" spans="1:1" x14ac:dyDescent="0.25">
      <c r="A3347" s="16"/>
    </row>
    <row r="3348" spans="1:1" x14ac:dyDescent="0.25">
      <c r="A3348" s="16"/>
    </row>
    <row r="3349" spans="1:1" x14ac:dyDescent="0.25">
      <c r="A3349" s="16"/>
    </row>
    <row r="3350" spans="1:1" x14ac:dyDescent="0.25">
      <c r="A3350" s="16"/>
    </row>
    <row r="3351" spans="1:1" x14ac:dyDescent="0.25">
      <c r="A3351" s="16"/>
    </row>
    <row r="3352" spans="1:1" x14ac:dyDescent="0.25">
      <c r="A3352" s="16"/>
    </row>
    <row r="3353" spans="1:1" x14ac:dyDescent="0.25">
      <c r="A3353" s="16"/>
    </row>
    <row r="3354" spans="1:1" x14ac:dyDescent="0.25">
      <c r="A3354" s="16"/>
    </row>
    <row r="3355" spans="1:1" x14ac:dyDescent="0.25">
      <c r="A3355" s="16"/>
    </row>
    <row r="3356" spans="1:1" x14ac:dyDescent="0.25">
      <c r="A3356" s="16"/>
    </row>
    <row r="3357" spans="1:1" x14ac:dyDescent="0.25">
      <c r="A3357" s="16"/>
    </row>
    <row r="3358" spans="1:1" x14ac:dyDescent="0.25">
      <c r="A3358" s="16"/>
    </row>
    <row r="3359" spans="1:1" x14ac:dyDescent="0.25">
      <c r="A3359" s="16"/>
    </row>
    <row r="3360" spans="1:1" x14ac:dyDescent="0.25">
      <c r="A3360" s="16"/>
    </row>
    <row r="3361" spans="1:1" x14ac:dyDescent="0.25">
      <c r="A3361" s="16"/>
    </row>
    <row r="3362" spans="1:1" x14ac:dyDescent="0.25">
      <c r="A3362" s="16"/>
    </row>
    <row r="3363" spans="1:1" x14ac:dyDescent="0.25">
      <c r="A3363" s="16"/>
    </row>
    <row r="3364" spans="1:1" x14ac:dyDescent="0.25">
      <c r="A3364" s="16"/>
    </row>
    <row r="3365" spans="1:1" x14ac:dyDescent="0.25">
      <c r="A3365" s="16"/>
    </row>
    <row r="3366" spans="1:1" x14ac:dyDescent="0.25">
      <c r="A3366" s="16"/>
    </row>
    <row r="3367" spans="1:1" x14ac:dyDescent="0.25">
      <c r="A3367" s="16"/>
    </row>
    <row r="3368" spans="1:1" x14ac:dyDescent="0.25">
      <c r="A3368" s="16"/>
    </row>
    <row r="3369" spans="1:1" x14ac:dyDescent="0.25">
      <c r="A3369" s="16"/>
    </row>
    <row r="3370" spans="1:1" x14ac:dyDescent="0.25">
      <c r="A3370" s="16"/>
    </row>
    <row r="3371" spans="1:1" x14ac:dyDescent="0.25">
      <c r="A3371" s="16"/>
    </row>
    <row r="3372" spans="1:1" x14ac:dyDescent="0.25">
      <c r="A3372" s="16"/>
    </row>
    <row r="3373" spans="1:1" x14ac:dyDescent="0.25">
      <c r="A3373" s="16"/>
    </row>
    <row r="3374" spans="1:1" x14ac:dyDescent="0.25">
      <c r="A3374" s="16"/>
    </row>
    <row r="3375" spans="1:1" x14ac:dyDescent="0.25">
      <c r="A3375" s="16"/>
    </row>
    <row r="3376" spans="1:1" x14ac:dyDescent="0.25">
      <c r="A3376" s="16"/>
    </row>
    <row r="3377" spans="1:1" x14ac:dyDescent="0.25">
      <c r="A3377" s="16"/>
    </row>
    <row r="3378" spans="1:1" x14ac:dyDescent="0.25">
      <c r="A3378" s="16"/>
    </row>
    <row r="3379" spans="1:1" x14ac:dyDescent="0.25">
      <c r="A3379" s="16"/>
    </row>
    <row r="3380" spans="1:1" x14ac:dyDescent="0.25">
      <c r="A3380" s="16"/>
    </row>
    <row r="3381" spans="1:1" x14ac:dyDescent="0.25">
      <c r="A3381" s="16"/>
    </row>
    <row r="3382" spans="1:1" x14ac:dyDescent="0.25">
      <c r="A3382" s="16"/>
    </row>
    <row r="3383" spans="1:1" x14ac:dyDescent="0.25">
      <c r="A3383" s="16"/>
    </row>
    <row r="3384" spans="1:1" x14ac:dyDescent="0.25">
      <c r="A3384" s="16"/>
    </row>
    <row r="3385" spans="1:1" x14ac:dyDescent="0.25">
      <c r="A3385" s="16"/>
    </row>
    <row r="3386" spans="1:1" x14ac:dyDescent="0.25">
      <c r="A3386" s="16"/>
    </row>
    <row r="3387" spans="1:1" x14ac:dyDescent="0.25">
      <c r="A3387" s="16"/>
    </row>
    <row r="3388" spans="1:1" x14ac:dyDescent="0.25">
      <c r="A3388" s="16"/>
    </row>
    <row r="3389" spans="1:1" x14ac:dyDescent="0.25">
      <c r="A3389" s="16"/>
    </row>
    <row r="3390" spans="1:1" x14ac:dyDescent="0.25">
      <c r="A3390" s="16"/>
    </row>
    <row r="3391" spans="1:1" x14ac:dyDescent="0.25">
      <c r="A3391" s="16"/>
    </row>
    <row r="3392" spans="1:1" x14ac:dyDescent="0.25">
      <c r="A3392" s="16"/>
    </row>
    <row r="3393" spans="1:1" x14ac:dyDescent="0.25">
      <c r="A3393" s="16"/>
    </row>
    <row r="3394" spans="1:1" x14ac:dyDescent="0.25">
      <c r="A3394" s="16"/>
    </row>
    <row r="3395" spans="1:1" x14ac:dyDescent="0.25">
      <c r="A3395" s="16"/>
    </row>
    <row r="3396" spans="1:1" x14ac:dyDescent="0.25">
      <c r="A3396" s="16"/>
    </row>
    <row r="3397" spans="1:1" x14ac:dyDescent="0.25">
      <c r="A3397" s="16"/>
    </row>
    <row r="3398" spans="1:1" x14ac:dyDescent="0.25">
      <c r="A3398" s="16"/>
    </row>
    <row r="3399" spans="1:1" x14ac:dyDescent="0.25">
      <c r="A3399" s="16"/>
    </row>
    <row r="3400" spans="1:1" x14ac:dyDescent="0.25">
      <c r="A3400" s="16"/>
    </row>
    <row r="3401" spans="1:1" x14ac:dyDescent="0.25">
      <c r="A3401" s="16"/>
    </row>
    <row r="3402" spans="1:1" x14ac:dyDescent="0.25">
      <c r="A3402" s="16"/>
    </row>
    <row r="3403" spans="1:1" x14ac:dyDescent="0.25">
      <c r="A3403" s="16"/>
    </row>
    <row r="3404" spans="1:1" x14ac:dyDescent="0.25">
      <c r="A3404" s="16"/>
    </row>
    <row r="3405" spans="1:1" x14ac:dyDescent="0.25">
      <c r="A3405" s="16"/>
    </row>
    <row r="3406" spans="1:1" x14ac:dyDescent="0.25">
      <c r="A3406" s="16"/>
    </row>
    <row r="3407" spans="1:1" x14ac:dyDescent="0.25">
      <c r="A3407" s="16"/>
    </row>
    <row r="3408" spans="1:1" x14ac:dyDescent="0.25">
      <c r="A3408" s="16"/>
    </row>
    <row r="3409" spans="1:1" x14ac:dyDescent="0.25">
      <c r="A3409" s="16"/>
    </row>
    <row r="3410" spans="1:1" x14ac:dyDescent="0.25">
      <c r="A3410" s="16"/>
    </row>
    <row r="3411" spans="1:1" x14ac:dyDescent="0.25">
      <c r="A3411" s="16"/>
    </row>
    <row r="3412" spans="1:1" x14ac:dyDescent="0.25">
      <c r="A3412" s="16"/>
    </row>
    <row r="3413" spans="1:1" x14ac:dyDescent="0.25">
      <c r="A3413" s="16"/>
    </row>
    <row r="3414" spans="1:1" x14ac:dyDescent="0.25">
      <c r="A3414" s="16"/>
    </row>
    <row r="3415" spans="1:1" x14ac:dyDescent="0.25">
      <c r="A3415" s="16"/>
    </row>
    <row r="3416" spans="1:1" x14ac:dyDescent="0.25">
      <c r="A3416" s="16"/>
    </row>
    <row r="3417" spans="1:1" x14ac:dyDescent="0.25">
      <c r="A3417" s="16"/>
    </row>
    <row r="3418" spans="1:1" x14ac:dyDescent="0.25">
      <c r="A3418" s="16"/>
    </row>
    <row r="3419" spans="1:1" x14ac:dyDescent="0.25">
      <c r="A3419" s="16"/>
    </row>
    <row r="3420" spans="1:1" x14ac:dyDescent="0.25">
      <c r="A3420" s="16"/>
    </row>
    <row r="3421" spans="1:1" x14ac:dyDescent="0.25">
      <c r="A3421" s="16"/>
    </row>
    <row r="3422" spans="1:1" x14ac:dyDescent="0.25">
      <c r="A3422" s="16"/>
    </row>
    <row r="3423" spans="1:1" x14ac:dyDescent="0.25">
      <c r="A3423" s="16"/>
    </row>
    <row r="3424" spans="1:1" x14ac:dyDescent="0.25">
      <c r="A3424" s="16"/>
    </row>
    <row r="3425" spans="1:1" x14ac:dyDescent="0.25">
      <c r="A3425" s="16"/>
    </row>
    <row r="3426" spans="1:1" x14ac:dyDescent="0.25">
      <c r="A3426" s="16"/>
    </row>
    <row r="3427" spans="1:1" x14ac:dyDescent="0.25">
      <c r="A3427" s="16"/>
    </row>
    <row r="3428" spans="1:1" x14ac:dyDescent="0.25">
      <c r="A3428" s="16"/>
    </row>
    <row r="3429" spans="1:1" x14ac:dyDescent="0.25">
      <c r="A3429" s="16"/>
    </row>
    <row r="3430" spans="1:1" x14ac:dyDescent="0.25">
      <c r="A3430" s="16"/>
    </row>
    <row r="3431" spans="1:1" x14ac:dyDescent="0.25">
      <c r="A3431" s="16"/>
    </row>
    <row r="3432" spans="1:1" x14ac:dyDescent="0.25">
      <c r="A3432" s="16"/>
    </row>
    <row r="3433" spans="1:1" x14ac:dyDescent="0.25">
      <c r="A3433" s="16"/>
    </row>
    <row r="3434" spans="1:1" x14ac:dyDescent="0.25">
      <c r="A3434" s="16"/>
    </row>
    <row r="3435" spans="1:1" x14ac:dyDescent="0.25">
      <c r="A3435" s="16"/>
    </row>
    <row r="3436" spans="1:1" x14ac:dyDescent="0.25">
      <c r="A3436" s="16"/>
    </row>
    <row r="3437" spans="1:1" x14ac:dyDescent="0.25">
      <c r="A3437" s="16"/>
    </row>
    <row r="3438" spans="1:1" x14ac:dyDescent="0.25">
      <c r="A3438" s="16"/>
    </row>
    <row r="3439" spans="1:1" x14ac:dyDescent="0.25">
      <c r="A3439" s="16"/>
    </row>
    <row r="3440" spans="1:1" x14ac:dyDescent="0.25">
      <c r="A3440" s="16"/>
    </row>
    <row r="3441" spans="1:1" x14ac:dyDescent="0.25">
      <c r="A3441" s="16"/>
    </row>
    <row r="3442" spans="1:1" x14ac:dyDescent="0.25">
      <c r="A3442" s="16"/>
    </row>
    <row r="3443" spans="1:1" x14ac:dyDescent="0.25">
      <c r="A3443" s="16"/>
    </row>
    <row r="3444" spans="1:1" x14ac:dyDescent="0.25">
      <c r="A3444" s="16"/>
    </row>
    <row r="3445" spans="1:1" x14ac:dyDescent="0.25">
      <c r="A3445" s="16"/>
    </row>
    <row r="3446" spans="1:1" x14ac:dyDescent="0.25">
      <c r="A3446" s="16"/>
    </row>
    <row r="3447" spans="1:1" x14ac:dyDescent="0.25">
      <c r="A3447" s="16"/>
    </row>
    <row r="3448" spans="1:1" x14ac:dyDescent="0.25">
      <c r="A3448" s="16"/>
    </row>
    <row r="3449" spans="1:1" x14ac:dyDescent="0.25">
      <c r="A3449" s="16"/>
    </row>
    <row r="3450" spans="1:1" x14ac:dyDescent="0.25">
      <c r="A3450" s="16"/>
    </row>
    <row r="3451" spans="1:1" x14ac:dyDescent="0.25">
      <c r="A3451" s="16"/>
    </row>
    <row r="3452" spans="1:1" x14ac:dyDescent="0.25">
      <c r="A3452" s="16"/>
    </row>
    <row r="3453" spans="1:1" x14ac:dyDescent="0.25">
      <c r="A3453" s="16"/>
    </row>
    <row r="3454" spans="1:1" x14ac:dyDescent="0.25">
      <c r="A3454" s="16"/>
    </row>
    <row r="3455" spans="1:1" x14ac:dyDescent="0.25">
      <c r="A3455" s="16"/>
    </row>
    <row r="3456" spans="1:1" x14ac:dyDescent="0.25">
      <c r="A3456" s="16"/>
    </row>
    <row r="3457" spans="1:1" x14ac:dyDescent="0.25">
      <c r="A3457" s="16"/>
    </row>
    <row r="3458" spans="1:1" x14ac:dyDescent="0.25">
      <c r="A3458" s="16"/>
    </row>
    <row r="3459" spans="1:1" x14ac:dyDescent="0.25">
      <c r="A3459" s="16"/>
    </row>
    <row r="3460" spans="1:1" x14ac:dyDescent="0.25">
      <c r="A3460" s="16"/>
    </row>
    <row r="3461" spans="1:1" x14ac:dyDescent="0.25">
      <c r="A3461" s="16"/>
    </row>
    <row r="3462" spans="1:1" x14ac:dyDescent="0.25">
      <c r="A3462" s="16"/>
    </row>
    <row r="3463" spans="1:1" x14ac:dyDescent="0.25">
      <c r="A3463" s="16"/>
    </row>
    <row r="3464" spans="1:1" x14ac:dyDescent="0.25">
      <c r="A3464" s="16"/>
    </row>
    <row r="3465" spans="1:1" x14ac:dyDescent="0.25">
      <c r="A3465" s="16"/>
    </row>
    <row r="3466" spans="1:1" x14ac:dyDescent="0.25">
      <c r="A3466" s="16"/>
    </row>
    <row r="3467" spans="1:1" x14ac:dyDescent="0.25">
      <c r="A3467" s="16"/>
    </row>
    <row r="3468" spans="1:1" x14ac:dyDescent="0.25">
      <c r="A3468" s="16"/>
    </row>
    <row r="3469" spans="1:1" x14ac:dyDescent="0.25">
      <c r="A3469" s="16"/>
    </row>
    <row r="3470" spans="1:1" x14ac:dyDescent="0.25">
      <c r="A3470" s="16"/>
    </row>
    <row r="3471" spans="1:1" x14ac:dyDescent="0.25">
      <c r="A3471" s="16"/>
    </row>
    <row r="3472" spans="1:1" x14ac:dyDescent="0.25">
      <c r="A3472" s="16"/>
    </row>
    <row r="3473" spans="1:1" x14ac:dyDescent="0.25">
      <c r="A3473" s="16"/>
    </row>
    <row r="3474" spans="1:1" x14ac:dyDescent="0.25">
      <c r="A3474" s="16"/>
    </row>
    <row r="3475" spans="1:1" x14ac:dyDescent="0.25">
      <c r="A3475" s="16"/>
    </row>
    <row r="3476" spans="1:1" x14ac:dyDescent="0.25">
      <c r="A3476" s="16"/>
    </row>
    <row r="3477" spans="1:1" x14ac:dyDescent="0.25">
      <c r="A3477" s="16"/>
    </row>
    <row r="3478" spans="1:1" x14ac:dyDescent="0.25">
      <c r="A3478" s="16"/>
    </row>
    <row r="3479" spans="1:1" x14ac:dyDescent="0.25">
      <c r="A3479" s="16"/>
    </row>
    <row r="3480" spans="1:1" x14ac:dyDescent="0.25">
      <c r="A3480" s="16"/>
    </row>
    <row r="3481" spans="1:1" x14ac:dyDescent="0.25">
      <c r="A3481" s="16"/>
    </row>
    <row r="3482" spans="1:1" x14ac:dyDescent="0.25">
      <c r="A3482" s="16"/>
    </row>
    <row r="3483" spans="1:1" x14ac:dyDescent="0.25">
      <c r="A3483" s="16"/>
    </row>
    <row r="3484" spans="1:1" x14ac:dyDescent="0.25">
      <c r="A3484" s="16"/>
    </row>
    <row r="3485" spans="1:1" x14ac:dyDescent="0.25">
      <c r="A3485" s="16"/>
    </row>
    <row r="3486" spans="1:1" x14ac:dyDescent="0.25">
      <c r="A3486" s="16"/>
    </row>
    <row r="3487" spans="1:1" x14ac:dyDescent="0.25">
      <c r="A3487" s="16"/>
    </row>
    <row r="3488" spans="1:1" x14ac:dyDescent="0.25">
      <c r="A3488" s="16"/>
    </row>
    <row r="3489" spans="1:1" x14ac:dyDescent="0.25">
      <c r="A3489" s="16"/>
    </row>
    <row r="3490" spans="1:1" x14ac:dyDescent="0.25">
      <c r="A3490" s="16"/>
    </row>
    <row r="3491" spans="1:1" x14ac:dyDescent="0.25">
      <c r="A3491" s="16"/>
    </row>
    <row r="3492" spans="1:1" x14ac:dyDescent="0.25">
      <c r="A3492" s="16"/>
    </row>
    <row r="3493" spans="1:1" x14ac:dyDescent="0.25">
      <c r="A3493" s="16"/>
    </row>
    <row r="3494" spans="1:1" x14ac:dyDescent="0.25">
      <c r="A3494" s="16"/>
    </row>
    <row r="3495" spans="1:1" x14ac:dyDescent="0.25">
      <c r="A3495" s="16"/>
    </row>
    <row r="3496" spans="1:1" x14ac:dyDescent="0.25">
      <c r="A3496" s="16"/>
    </row>
    <row r="3497" spans="1:1" x14ac:dyDescent="0.25">
      <c r="A3497" s="16"/>
    </row>
    <row r="3498" spans="1:1" x14ac:dyDescent="0.25">
      <c r="A3498" s="16"/>
    </row>
    <row r="3499" spans="1:1" x14ac:dyDescent="0.25">
      <c r="A3499" s="16"/>
    </row>
    <row r="3500" spans="1:1" x14ac:dyDescent="0.25">
      <c r="A3500" s="16"/>
    </row>
    <row r="3501" spans="1:1" x14ac:dyDescent="0.25">
      <c r="A3501" s="16"/>
    </row>
    <row r="3502" spans="1:1" x14ac:dyDescent="0.25">
      <c r="A3502" s="16"/>
    </row>
    <row r="3503" spans="1:1" x14ac:dyDescent="0.25">
      <c r="A3503" s="16"/>
    </row>
    <row r="3504" spans="1:1" x14ac:dyDescent="0.25">
      <c r="A3504" s="16"/>
    </row>
    <row r="3505" spans="1:1" x14ac:dyDescent="0.25">
      <c r="A3505" s="16"/>
    </row>
    <row r="3506" spans="1:1" x14ac:dyDescent="0.25">
      <c r="A3506" s="16"/>
    </row>
    <row r="3507" spans="1:1" x14ac:dyDescent="0.25">
      <c r="A3507" s="16"/>
    </row>
    <row r="3508" spans="1:1" x14ac:dyDescent="0.25">
      <c r="A3508" s="16"/>
    </row>
    <row r="3509" spans="1:1" x14ac:dyDescent="0.25">
      <c r="A3509" s="16"/>
    </row>
    <row r="3510" spans="1:1" x14ac:dyDescent="0.25">
      <c r="A3510" s="16"/>
    </row>
    <row r="3511" spans="1:1" x14ac:dyDescent="0.25">
      <c r="A3511" s="16"/>
    </row>
    <row r="3512" spans="1:1" x14ac:dyDescent="0.25">
      <c r="A3512" s="16"/>
    </row>
    <row r="3513" spans="1:1" x14ac:dyDescent="0.25">
      <c r="A3513" s="16"/>
    </row>
    <row r="3514" spans="1:1" x14ac:dyDescent="0.25">
      <c r="A3514" s="16"/>
    </row>
    <row r="3515" spans="1:1" x14ac:dyDescent="0.25">
      <c r="A3515" s="16"/>
    </row>
    <row r="3516" spans="1:1" x14ac:dyDescent="0.25">
      <c r="A3516" s="16"/>
    </row>
    <row r="3517" spans="1:1" x14ac:dyDescent="0.25">
      <c r="A3517" s="16"/>
    </row>
    <row r="3518" spans="1:1" x14ac:dyDescent="0.25">
      <c r="A3518" s="16"/>
    </row>
    <row r="3519" spans="1:1" x14ac:dyDescent="0.25">
      <c r="A3519" s="16"/>
    </row>
    <row r="3520" spans="1:1" x14ac:dyDescent="0.25">
      <c r="A3520" s="16"/>
    </row>
    <row r="3521" spans="1:1" x14ac:dyDescent="0.25">
      <c r="A3521" s="16"/>
    </row>
    <row r="3522" spans="1:1" x14ac:dyDescent="0.25">
      <c r="A3522" s="16"/>
    </row>
    <row r="3523" spans="1:1" x14ac:dyDescent="0.25">
      <c r="A3523" s="16"/>
    </row>
    <row r="3524" spans="1:1" x14ac:dyDescent="0.25">
      <c r="A3524" s="16"/>
    </row>
    <row r="3525" spans="1:1" x14ac:dyDescent="0.25">
      <c r="A3525" s="16"/>
    </row>
    <row r="3526" spans="1:1" x14ac:dyDescent="0.25">
      <c r="A3526" s="16"/>
    </row>
    <row r="3527" spans="1:1" x14ac:dyDescent="0.25">
      <c r="A3527" s="16"/>
    </row>
    <row r="3528" spans="1:1" x14ac:dyDescent="0.25">
      <c r="A3528" s="16"/>
    </row>
    <row r="3529" spans="1:1" x14ac:dyDescent="0.25">
      <c r="A3529" s="16"/>
    </row>
    <row r="3530" spans="1:1" x14ac:dyDescent="0.25">
      <c r="A3530" s="16"/>
    </row>
    <row r="3531" spans="1:1" x14ac:dyDescent="0.25">
      <c r="A3531" s="16"/>
    </row>
    <row r="3532" spans="1:1" x14ac:dyDescent="0.25">
      <c r="A3532" s="16"/>
    </row>
    <row r="3533" spans="1:1" x14ac:dyDescent="0.25">
      <c r="A3533" s="16"/>
    </row>
    <row r="3534" spans="1:1" x14ac:dyDescent="0.25">
      <c r="A3534" s="16"/>
    </row>
    <row r="3535" spans="1:1" x14ac:dyDescent="0.25">
      <c r="A3535" s="16"/>
    </row>
    <row r="3536" spans="1:1" x14ac:dyDescent="0.25">
      <c r="A3536" s="16"/>
    </row>
    <row r="3537" spans="1:1" x14ac:dyDescent="0.25">
      <c r="A3537" s="16"/>
    </row>
    <row r="3538" spans="1:1" x14ac:dyDescent="0.25">
      <c r="A3538" s="16"/>
    </row>
    <row r="3539" spans="1:1" x14ac:dyDescent="0.25">
      <c r="A3539" s="16"/>
    </row>
    <row r="3540" spans="1:1" x14ac:dyDescent="0.25">
      <c r="A3540" s="16"/>
    </row>
    <row r="3541" spans="1:1" x14ac:dyDescent="0.25">
      <c r="A3541" s="16"/>
    </row>
    <row r="3542" spans="1:1" x14ac:dyDescent="0.25">
      <c r="A3542" s="16"/>
    </row>
    <row r="3543" spans="1:1" x14ac:dyDescent="0.25">
      <c r="A3543" s="16"/>
    </row>
    <row r="3544" spans="1:1" x14ac:dyDescent="0.25">
      <c r="A3544" s="16"/>
    </row>
    <row r="3545" spans="1:1" x14ac:dyDescent="0.25">
      <c r="A3545" s="16"/>
    </row>
    <row r="3546" spans="1:1" x14ac:dyDescent="0.25">
      <c r="A3546" s="16"/>
    </row>
    <row r="3547" spans="1:1" x14ac:dyDescent="0.25">
      <c r="A3547" s="16"/>
    </row>
    <row r="3548" spans="1:1" x14ac:dyDescent="0.25">
      <c r="A3548" s="16"/>
    </row>
    <row r="3549" spans="1:1" x14ac:dyDescent="0.25">
      <c r="A3549" s="16"/>
    </row>
    <row r="3550" spans="1:1" x14ac:dyDescent="0.25">
      <c r="A3550" s="16"/>
    </row>
    <row r="3551" spans="1:1" x14ac:dyDescent="0.25">
      <c r="A3551" s="16"/>
    </row>
    <row r="3552" spans="1:1" x14ac:dyDescent="0.25">
      <c r="A3552" s="16"/>
    </row>
    <row r="3553" spans="1:1" x14ac:dyDescent="0.25">
      <c r="A3553" s="16"/>
    </row>
    <row r="3554" spans="1:1" x14ac:dyDescent="0.25">
      <c r="A3554" s="16"/>
    </row>
    <row r="3555" spans="1:1" x14ac:dyDescent="0.25">
      <c r="A3555" s="16"/>
    </row>
    <row r="3556" spans="1:1" x14ac:dyDescent="0.25">
      <c r="A3556" s="16"/>
    </row>
    <row r="3557" spans="1:1" x14ac:dyDescent="0.25">
      <c r="A3557" s="16"/>
    </row>
    <row r="3558" spans="1:1" x14ac:dyDescent="0.25">
      <c r="A3558" s="16"/>
    </row>
    <row r="3559" spans="1:1" x14ac:dyDescent="0.25">
      <c r="A3559" s="16"/>
    </row>
    <row r="3560" spans="1:1" x14ac:dyDescent="0.25">
      <c r="A3560" s="16"/>
    </row>
    <row r="3561" spans="1:1" x14ac:dyDescent="0.25">
      <c r="A3561" s="16"/>
    </row>
    <row r="3562" spans="1:1" x14ac:dyDescent="0.25">
      <c r="A3562" s="16"/>
    </row>
    <row r="3563" spans="1:1" x14ac:dyDescent="0.25">
      <c r="A3563" s="16"/>
    </row>
    <row r="3564" spans="1:1" x14ac:dyDescent="0.25">
      <c r="A3564" s="16"/>
    </row>
    <row r="3565" spans="1:1" x14ac:dyDescent="0.25">
      <c r="A3565" s="16"/>
    </row>
    <row r="3566" spans="1:1" x14ac:dyDescent="0.25">
      <c r="A3566" s="16"/>
    </row>
    <row r="3567" spans="1:1" x14ac:dyDescent="0.25">
      <c r="A3567" s="16"/>
    </row>
    <row r="3568" spans="1:1" x14ac:dyDescent="0.25">
      <c r="A3568" s="16"/>
    </row>
    <row r="3569" spans="1:1" x14ac:dyDescent="0.25">
      <c r="A3569" s="16"/>
    </row>
    <row r="3570" spans="1:1" x14ac:dyDescent="0.25">
      <c r="A3570" s="16"/>
    </row>
    <row r="3571" spans="1:1" x14ac:dyDescent="0.25">
      <c r="A3571" s="16"/>
    </row>
    <row r="3572" spans="1:1" x14ac:dyDescent="0.25">
      <c r="A3572" s="16"/>
    </row>
    <row r="3573" spans="1:1" x14ac:dyDescent="0.25">
      <c r="A3573" s="16"/>
    </row>
    <row r="3574" spans="1:1" x14ac:dyDescent="0.25">
      <c r="A3574" s="16"/>
    </row>
    <row r="3575" spans="1:1" x14ac:dyDescent="0.25">
      <c r="A3575" s="16"/>
    </row>
    <row r="3576" spans="1:1" x14ac:dyDescent="0.25">
      <c r="A3576" s="16"/>
    </row>
    <row r="3577" spans="1:1" x14ac:dyDescent="0.25">
      <c r="A3577" s="16"/>
    </row>
    <row r="3578" spans="1:1" x14ac:dyDescent="0.25">
      <c r="A3578" s="16"/>
    </row>
    <row r="3579" spans="1:1" x14ac:dyDescent="0.25">
      <c r="A3579" s="16"/>
    </row>
    <row r="3580" spans="1:1" x14ac:dyDescent="0.25">
      <c r="A3580" s="16"/>
    </row>
    <row r="3581" spans="1:1" x14ac:dyDescent="0.25">
      <c r="A3581" s="16"/>
    </row>
    <row r="3582" spans="1:1" x14ac:dyDescent="0.25">
      <c r="A3582" s="16"/>
    </row>
    <row r="3583" spans="1:1" x14ac:dyDescent="0.25">
      <c r="A3583" s="16"/>
    </row>
    <row r="3584" spans="1:1" x14ac:dyDescent="0.25">
      <c r="A3584" s="16"/>
    </row>
    <row r="3585" spans="1:1" x14ac:dyDescent="0.25">
      <c r="A3585" s="16"/>
    </row>
    <row r="3586" spans="1:1" x14ac:dyDescent="0.25">
      <c r="A3586" s="16"/>
    </row>
    <row r="3587" spans="1:1" x14ac:dyDescent="0.25">
      <c r="A3587" s="16"/>
    </row>
    <row r="3588" spans="1:1" x14ac:dyDescent="0.25">
      <c r="A3588" s="16"/>
    </row>
    <row r="3589" spans="1:1" x14ac:dyDescent="0.25">
      <c r="A3589" s="16"/>
    </row>
    <row r="3590" spans="1:1" x14ac:dyDescent="0.25">
      <c r="A3590" s="16"/>
    </row>
    <row r="3591" spans="1:1" x14ac:dyDescent="0.25">
      <c r="A3591" s="16"/>
    </row>
    <row r="3592" spans="1:1" x14ac:dyDescent="0.25">
      <c r="A3592" s="16"/>
    </row>
    <row r="3593" spans="1:1" x14ac:dyDescent="0.25">
      <c r="A3593" s="16"/>
    </row>
    <row r="3594" spans="1:1" x14ac:dyDescent="0.25">
      <c r="A3594" s="16"/>
    </row>
    <row r="3595" spans="1:1" x14ac:dyDescent="0.25">
      <c r="A3595" s="16"/>
    </row>
    <row r="3596" spans="1:1" x14ac:dyDescent="0.25">
      <c r="A3596" s="16"/>
    </row>
    <row r="3597" spans="1:1" x14ac:dyDescent="0.25">
      <c r="A3597" s="16"/>
    </row>
    <row r="3598" spans="1:1" x14ac:dyDescent="0.25">
      <c r="A3598" s="16"/>
    </row>
    <row r="3599" spans="1:1" x14ac:dyDescent="0.25">
      <c r="A3599" s="16"/>
    </row>
    <row r="3600" spans="1:1" x14ac:dyDescent="0.25">
      <c r="A3600" s="16"/>
    </row>
    <row r="3601" spans="1:1" x14ac:dyDescent="0.25">
      <c r="A3601" s="16"/>
    </row>
    <row r="3602" spans="1:1" x14ac:dyDescent="0.25">
      <c r="A3602" s="16"/>
    </row>
    <row r="3603" spans="1:1" x14ac:dyDescent="0.25">
      <c r="A3603" s="16"/>
    </row>
    <row r="3604" spans="1:1" x14ac:dyDescent="0.25">
      <c r="A3604" s="16"/>
    </row>
    <row r="3605" spans="1:1" x14ac:dyDescent="0.25">
      <c r="A3605" s="16"/>
    </row>
    <row r="3606" spans="1:1" x14ac:dyDescent="0.25">
      <c r="A3606" s="16"/>
    </row>
    <row r="3607" spans="1:1" x14ac:dyDescent="0.25">
      <c r="A3607" s="16"/>
    </row>
    <row r="3608" spans="1:1" x14ac:dyDescent="0.25">
      <c r="A3608" s="16"/>
    </row>
    <row r="3609" spans="1:1" x14ac:dyDescent="0.25">
      <c r="A3609" s="16"/>
    </row>
    <row r="3610" spans="1:1" x14ac:dyDescent="0.25">
      <c r="A3610" s="16"/>
    </row>
    <row r="3611" spans="1:1" x14ac:dyDescent="0.25">
      <c r="A3611" s="16"/>
    </row>
    <row r="3612" spans="1:1" x14ac:dyDescent="0.25">
      <c r="A3612" s="16"/>
    </row>
    <row r="3613" spans="1:1" x14ac:dyDescent="0.25">
      <c r="A3613" s="16"/>
    </row>
    <row r="3614" spans="1:1" x14ac:dyDescent="0.25">
      <c r="A3614" s="16"/>
    </row>
    <row r="3615" spans="1:1" x14ac:dyDescent="0.25">
      <c r="A3615" s="16"/>
    </row>
    <row r="3616" spans="1:1" x14ac:dyDescent="0.25">
      <c r="A3616" s="16"/>
    </row>
    <row r="3617" spans="1:1" x14ac:dyDescent="0.25">
      <c r="A3617" s="16"/>
    </row>
    <row r="3618" spans="1:1" x14ac:dyDescent="0.25">
      <c r="A3618" s="16"/>
    </row>
    <row r="3619" spans="1:1" x14ac:dyDescent="0.25">
      <c r="A3619" s="16"/>
    </row>
    <row r="3620" spans="1:1" x14ac:dyDescent="0.25">
      <c r="A3620" s="16"/>
    </row>
    <row r="3621" spans="1:1" x14ac:dyDescent="0.25">
      <c r="A3621" s="16"/>
    </row>
    <row r="3622" spans="1:1" x14ac:dyDescent="0.25">
      <c r="A3622" s="16"/>
    </row>
    <row r="3623" spans="1:1" x14ac:dyDescent="0.25">
      <c r="A3623" s="16"/>
    </row>
    <row r="3624" spans="1:1" x14ac:dyDescent="0.25">
      <c r="A3624" s="16"/>
    </row>
    <row r="3625" spans="1:1" x14ac:dyDescent="0.25">
      <c r="A3625" s="16"/>
    </row>
    <row r="3626" spans="1:1" x14ac:dyDescent="0.25">
      <c r="A3626" s="16"/>
    </row>
    <row r="3627" spans="1:1" x14ac:dyDescent="0.25">
      <c r="A3627" s="16"/>
    </row>
    <row r="3628" spans="1:1" x14ac:dyDescent="0.25">
      <c r="A3628" s="16"/>
    </row>
    <row r="3629" spans="1:1" x14ac:dyDescent="0.25">
      <c r="A3629" s="16"/>
    </row>
    <row r="3630" spans="1:1" x14ac:dyDescent="0.25">
      <c r="A3630" s="16"/>
    </row>
    <row r="3631" spans="1:1" x14ac:dyDescent="0.25">
      <c r="A3631" s="16"/>
    </row>
    <row r="3632" spans="1:1" x14ac:dyDescent="0.25">
      <c r="A3632" s="16"/>
    </row>
    <row r="3633" spans="1:1" x14ac:dyDescent="0.25">
      <c r="A3633" s="16"/>
    </row>
    <row r="3634" spans="1:1" x14ac:dyDescent="0.25">
      <c r="A3634" s="16"/>
    </row>
    <row r="3635" spans="1:1" x14ac:dyDescent="0.25">
      <c r="A3635" s="16"/>
    </row>
    <row r="3636" spans="1:1" x14ac:dyDescent="0.25">
      <c r="A3636" s="16"/>
    </row>
    <row r="3637" spans="1:1" x14ac:dyDescent="0.25">
      <c r="A3637" s="16"/>
    </row>
    <row r="3638" spans="1:1" x14ac:dyDescent="0.25">
      <c r="A3638" s="16"/>
    </row>
    <row r="3639" spans="1:1" x14ac:dyDescent="0.25">
      <c r="A3639" s="16"/>
    </row>
    <row r="3640" spans="1:1" x14ac:dyDescent="0.25">
      <c r="A3640" s="16"/>
    </row>
    <row r="3641" spans="1:1" x14ac:dyDescent="0.25">
      <c r="A3641" s="16"/>
    </row>
    <row r="3642" spans="1:1" x14ac:dyDescent="0.25">
      <c r="A3642" s="16"/>
    </row>
    <row r="3643" spans="1:1" x14ac:dyDescent="0.25">
      <c r="A3643" s="16"/>
    </row>
    <row r="3644" spans="1:1" x14ac:dyDescent="0.25">
      <c r="A3644" s="16"/>
    </row>
    <row r="3645" spans="1:1" x14ac:dyDescent="0.25">
      <c r="A3645" s="16"/>
    </row>
    <row r="3646" spans="1:1" x14ac:dyDescent="0.25">
      <c r="A3646" s="16"/>
    </row>
    <row r="3647" spans="1:1" x14ac:dyDescent="0.25">
      <c r="A3647" s="16"/>
    </row>
    <row r="3648" spans="1:1" x14ac:dyDescent="0.25">
      <c r="A3648" s="16"/>
    </row>
    <row r="3649" spans="1:1" x14ac:dyDescent="0.25">
      <c r="A3649" s="16"/>
    </row>
    <row r="3650" spans="1:1" x14ac:dyDescent="0.25">
      <c r="A3650" s="16"/>
    </row>
    <row r="3651" spans="1:1" x14ac:dyDescent="0.25">
      <c r="A3651" s="16"/>
    </row>
    <row r="3652" spans="1:1" x14ac:dyDescent="0.25">
      <c r="A3652" s="16"/>
    </row>
    <row r="3653" spans="1:1" x14ac:dyDescent="0.25">
      <c r="A3653" s="16"/>
    </row>
    <row r="3654" spans="1:1" x14ac:dyDescent="0.25">
      <c r="A3654" s="16"/>
    </row>
    <row r="3655" spans="1:1" x14ac:dyDescent="0.25">
      <c r="A3655" s="16"/>
    </row>
    <row r="3656" spans="1:1" x14ac:dyDescent="0.25">
      <c r="A3656" s="16"/>
    </row>
    <row r="3657" spans="1:1" x14ac:dyDescent="0.25">
      <c r="A3657" s="16"/>
    </row>
    <row r="3658" spans="1:1" x14ac:dyDescent="0.25">
      <c r="A3658" s="16"/>
    </row>
    <row r="3659" spans="1:1" x14ac:dyDescent="0.25">
      <c r="A3659" s="16"/>
    </row>
    <row r="3660" spans="1:1" x14ac:dyDescent="0.25">
      <c r="A3660" s="16"/>
    </row>
    <row r="3661" spans="1:1" x14ac:dyDescent="0.25">
      <c r="A3661" s="16"/>
    </row>
    <row r="3662" spans="1:1" x14ac:dyDescent="0.25">
      <c r="A3662" s="16"/>
    </row>
    <row r="3663" spans="1:1" x14ac:dyDescent="0.25">
      <c r="A3663" s="16"/>
    </row>
    <row r="3664" spans="1:1" x14ac:dyDescent="0.25">
      <c r="A3664" s="16"/>
    </row>
    <row r="3665" spans="1:1" x14ac:dyDescent="0.25">
      <c r="A3665" s="16"/>
    </row>
    <row r="3666" spans="1:1" x14ac:dyDescent="0.25">
      <c r="A3666" s="16"/>
    </row>
    <row r="3667" spans="1:1" x14ac:dyDescent="0.25">
      <c r="A3667" s="16"/>
    </row>
    <row r="3668" spans="1:1" x14ac:dyDescent="0.25">
      <c r="A3668" s="16"/>
    </row>
    <row r="3669" spans="1:1" x14ac:dyDescent="0.25">
      <c r="A3669" s="16"/>
    </row>
    <row r="3670" spans="1:1" x14ac:dyDescent="0.25">
      <c r="A3670" s="16"/>
    </row>
    <row r="3671" spans="1:1" x14ac:dyDescent="0.25">
      <c r="A3671" s="16"/>
    </row>
    <row r="3672" spans="1:1" x14ac:dyDescent="0.25">
      <c r="A3672" s="16"/>
    </row>
    <row r="3673" spans="1:1" x14ac:dyDescent="0.25">
      <c r="A3673" s="16"/>
    </row>
    <row r="3674" spans="1:1" x14ac:dyDescent="0.25">
      <c r="A3674" s="16"/>
    </row>
    <row r="3675" spans="1:1" x14ac:dyDescent="0.25">
      <c r="A3675" s="16"/>
    </row>
    <row r="3676" spans="1:1" x14ac:dyDescent="0.25">
      <c r="A3676" s="16"/>
    </row>
    <row r="3677" spans="1:1" x14ac:dyDescent="0.25">
      <c r="A3677" s="16"/>
    </row>
    <row r="3678" spans="1:1" x14ac:dyDescent="0.25">
      <c r="A3678" s="16"/>
    </row>
    <row r="3679" spans="1:1" x14ac:dyDescent="0.25">
      <c r="A3679" s="16"/>
    </row>
    <row r="3680" spans="1:1" x14ac:dyDescent="0.25">
      <c r="A3680" s="16"/>
    </row>
    <row r="3681" spans="1:1" x14ac:dyDescent="0.25">
      <c r="A3681" s="16"/>
    </row>
    <row r="3682" spans="1:1" x14ac:dyDescent="0.25">
      <c r="A3682" s="16"/>
    </row>
    <row r="3683" spans="1:1" x14ac:dyDescent="0.25">
      <c r="A3683" s="16"/>
    </row>
    <row r="3684" spans="1:1" x14ac:dyDescent="0.25">
      <c r="A3684" s="16"/>
    </row>
    <row r="3685" spans="1:1" x14ac:dyDescent="0.25">
      <c r="A3685" s="16"/>
    </row>
    <row r="3686" spans="1:1" x14ac:dyDescent="0.25">
      <c r="A3686" s="16"/>
    </row>
    <row r="3687" spans="1:1" x14ac:dyDescent="0.25">
      <c r="A3687" s="16"/>
    </row>
    <row r="3688" spans="1:1" x14ac:dyDescent="0.25">
      <c r="A3688" s="16"/>
    </row>
    <row r="3689" spans="1:1" x14ac:dyDescent="0.25">
      <c r="A3689" s="16"/>
    </row>
    <row r="3690" spans="1:1" x14ac:dyDescent="0.25">
      <c r="A3690" s="16"/>
    </row>
    <row r="3691" spans="1:1" x14ac:dyDescent="0.25">
      <c r="A3691" s="16"/>
    </row>
    <row r="3692" spans="1:1" x14ac:dyDescent="0.25">
      <c r="A3692" s="16"/>
    </row>
    <row r="3693" spans="1:1" x14ac:dyDescent="0.25">
      <c r="A3693" s="16"/>
    </row>
    <row r="3694" spans="1:1" x14ac:dyDescent="0.25">
      <c r="A3694" s="16"/>
    </row>
    <row r="3695" spans="1:1" x14ac:dyDescent="0.25">
      <c r="A3695" s="16"/>
    </row>
    <row r="3696" spans="1:1" x14ac:dyDescent="0.25">
      <c r="A3696" s="16"/>
    </row>
    <row r="3697" spans="1:1" x14ac:dyDescent="0.25">
      <c r="A3697" s="16"/>
    </row>
    <row r="3698" spans="1:1" x14ac:dyDescent="0.25">
      <c r="A3698" s="16"/>
    </row>
    <row r="3699" spans="1:1" x14ac:dyDescent="0.25">
      <c r="A3699" s="16"/>
    </row>
    <row r="3700" spans="1:1" x14ac:dyDescent="0.25">
      <c r="A3700" s="16"/>
    </row>
    <row r="3701" spans="1:1" x14ac:dyDescent="0.25">
      <c r="A3701" s="16"/>
    </row>
    <row r="3702" spans="1:1" x14ac:dyDescent="0.25">
      <c r="A3702" s="16"/>
    </row>
    <row r="3703" spans="1:1" x14ac:dyDescent="0.25">
      <c r="A3703" s="16"/>
    </row>
    <row r="3704" spans="1:1" x14ac:dyDescent="0.25">
      <c r="A3704" s="16"/>
    </row>
    <row r="3705" spans="1:1" x14ac:dyDescent="0.25">
      <c r="A3705" s="16"/>
    </row>
    <row r="3706" spans="1:1" x14ac:dyDescent="0.25">
      <c r="A3706" s="16"/>
    </row>
    <row r="3707" spans="1:1" x14ac:dyDescent="0.25">
      <c r="A3707" s="16"/>
    </row>
    <row r="3708" spans="1:1" x14ac:dyDescent="0.25">
      <c r="A3708" s="16"/>
    </row>
    <row r="3709" spans="1:1" x14ac:dyDescent="0.25">
      <c r="A3709" s="16"/>
    </row>
    <row r="3710" spans="1:1" x14ac:dyDescent="0.25">
      <c r="A3710" s="16"/>
    </row>
    <row r="3711" spans="1:1" x14ac:dyDescent="0.25">
      <c r="A3711" s="16"/>
    </row>
    <row r="3712" spans="1:1" x14ac:dyDescent="0.25">
      <c r="A3712" s="16"/>
    </row>
    <row r="3713" spans="1:1" x14ac:dyDescent="0.25">
      <c r="A3713" s="16"/>
    </row>
    <row r="3714" spans="1:1" x14ac:dyDescent="0.25">
      <c r="A3714" s="16"/>
    </row>
    <row r="3715" spans="1:1" x14ac:dyDescent="0.25">
      <c r="A3715" s="16"/>
    </row>
    <row r="3716" spans="1:1" x14ac:dyDescent="0.25">
      <c r="A3716" s="16"/>
    </row>
    <row r="3717" spans="1:1" x14ac:dyDescent="0.25">
      <c r="A3717" s="16"/>
    </row>
    <row r="3718" spans="1:1" x14ac:dyDescent="0.25">
      <c r="A3718" s="16"/>
    </row>
    <row r="3719" spans="1:1" x14ac:dyDescent="0.25">
      <c r="A3719" s="16"/>
    </row>
    <row r="3720" spans="1:1" x14ac:dyDescent="0.25">
      <c r="A3720" s="16"/>
    </row>
    <row r="3721" spans="1:1" x14ac:dyDescent="0.25">
      <c r="A3721" s="16"/>
    </row>
    <row r="3722" spans="1:1" x14ac:dyDescent="0.25">
      <c r="A3722" s="16"/>
    </row>
    <row r="3723" spans="1:1" x14ac:dyDescent="0.25">
      <c r="A3723" s="16"/>
    </row>
    <row r="3724" spans="1:1" x14ac:dyDescent="0.25">
      <c r="A3724" s="16"/>
    </row>
    <row r="3725" spans="1:1" x14ac:dyDescent="0.25">
      <c r="A3725" s="16"/>
    </row>
    <row r="3726" spans="1:1" x14ac:dyDescent="0.25">
      <c r="A3726" s="16"/>
    </row>
    <row r="3727" spans="1:1" x14ac:dyDescent="0.25">
      <c r="A3727" s="16"/>
    </row>
    <row r="3728" spans="1:1" x14ac:dyDescent="0.25">
      <c r="A3728" s="16"/>
    </row>
    <row r="3729" spans="1:1" x14ac:dyDescent="0.25">
      <c r="A3729" s="16"/>
    </row>
    <row r="3730" spans="1:1" x14ac:dyDescent="0.25">
      <c r="A3730" s="16"/>
    </row>
    <row r="3731" spans="1:1" x14ac:dyDescent="0.25">
      <c r="A3731" s="16"/>
    </row>
    <row r="3732" spans="1:1" x14ac:dyDescent="0.25">
      <c r="A3732" s="16"/>
    </row>
    <row r="3733" spans="1:1" x14ac:dyDescent="0.25">
      <c r="A3733" s="16"/>
    </row>
    <row r="3734" spans="1:1" x14ac:dyDescent="0.25">
      <c r="A3734" s="16"/>
    </row>
    <row r="3735" spans="1:1" x14ac:dyDescent="0.25">
      <c r="A3735" s="16"/>
    </row>
    <row r="3736" spans="1:1" x14ac:dyDescent="0.25">
      <c r="A3736" s="16"/>
    </row>
    <row r="3737" spans="1:1" x14ac:dyDescent="0.25">
      <c r="A3737" s="16"/>
    </row>
    <row r="3738" spans="1:1" x14ac:dyDescent="0.25">
      <c r="A3738" s="16"/>
    </row>
    <row r="3739" spans="1:1" x14ac:dyDescent="0.25">
      <c r="A3739" s="16"/>
    </row>
    <row r="3740" spans="1:1" x14ac:dyDescent="0.25">
      <c r="A3740" s="16"/>
    </row>
    <row r="3741" spans="1:1" x14ac:dyDescent="0.25">
      <c r="A3741" s="16"/>
    </row>
    <row r="3742" spans="1:1" x14ac:dyDescent="0.25">
      <c r="A3742" s="16"/>
    </row>
    <row r="3743" spans="1:1" x14ac:dyDescent="0.25">
      <c r="A3743" s="16"/>
    </row>
    <row r="3744" spans="1:1" x14ac:dyDescent="0.25">
      <c r="A3744" s="16"/>
    </row>
    <row r="3745" spans="1:1" x14ac:dyDescent="0.25">
      <c r="A3745" s="16"/>
    </row>
    <row r="3746" spans="1:1" x14ac:dyDescent="0.25">
      <c r="A3746" s="16"/>
    </row>
    <row r="3747" spans="1:1" x14ac:dyDescent="0.25">
      <c r="A3747" s="16"/>
    </row>
    <row r="3748" spans="1:1" x14ac:dyDescent="0.25">
      <c r="A3748" s="16"/>
    </row>
    <row r="3749" spans="1:1" x14ac:dyDescent="0.25">
      <c r="A3749" s="16"/>
    </row>
    <row r="3750" spans="1:1" x14ac:dyDescent="0.25">
      <c r="A3750" s="16"/>
    </row>
    <row r="3751" spans="1:1" x14ac:dyDescent="0.25">
      <c r="A3751" s="16"/>
    </row>
    <row r="3752" spans="1:1" x14ac:dyDescent="0.25">
      <c r="A3752" s="16"/>
    </row>
    <row r="3753" spans="1:1" x14ac:dyDescent="0.25">
      <c r="A3753" s="16"/>
    </row>
    <row r="3754" spans="1:1" x14ac:dyDescent="0.25">
      <c r="A3754" s="16"/>
    </row>
    <row r="3755" spans="1:1" x14ac:dyDescent="0.25">
      <c r="A3755" s="16"/>
    </row>
    <row r="3756" spans="1:1" x14ac:dyDescent="0.25">
      <c r="A3756" s="16"/>
    </row>
    <row r="3757" spans="1:1" x14ac:dyDescent="0.25">
      <c r="A3757" s="16"/>
    </row>
    <row r="3758" spans="1:1" x14ac:dyDescent="0.25">
      <c r="A3758" s="16"/>
    </row>
    <row r="3759" spans="1:1" x14ac:dyDescent="0.25">
      <c r="A3759" s="16"/>
    </row>
    <row r="3760" spans="1:1" x14ac:dyDescent="0.25">
      <c r="A3760" s="16"/>
    </row>
    <row r="3761" spans="1:1" x14ac:dyDescent="0.25">
      <c r="A3761" s="16"/>
    </row>
    <row r="3762" spans="1:1" x14ac:dyDescent="0.25">
      <c r="A3762" s="16"/>
    </row>
    <row r="3763" spans="1:1" x14ac:dyDescent="0.25">
      <c r="A3763" s="16"/>
    </row>
    <row r="3764" spans="1:1" x14ac:dyDescent="0.25">
      <c r="A3764" s="16"/>
    </row>
    <row r="3765" spans="1:1" x14ac:dyDescent="0.25">
      <c r="A3765" s="16"/>
    </row>
    <row r="3766" spans="1:1" x14ac:dyDescent="0.25">
      <c r="A3766" s="16"/>
    </row>
    <row r="3767" spans="1:1" x14ac:dyDescent="0.25">
      <c r="A3767" s="16"/>
    </row>
    <row r="3768" spans="1:1" x14ac:dyDescent="0.25">
      <c r="A3768" s="16"/>
    </row>
    <row r="3769" spans="1:1" x14ac:dyDescent="0.25">
      <c r="A3769" s="16"/>
    </row>
    <row r="3770" spans="1:1" x14ac:dyDescent="0.25">
      <c r="A3770" s="16"/>
    </row>
    <row r="3771" spans="1:1" x14ac:dyDescent="0.25">
      <c r="A3771" s="16"/>
    </row>
    <row r="3772" spans="1:1" x14ac:dyDescent="0.25">
      <c r="A3772" s="16"/>
    </row>
    <row r="3773" spans="1:1" x14ac:dyDescent="0.25">
      <c r="A3773" s="16"/>
    </row>
    <row r="3774" spans="1:1" x14ac:dyDescent="0.25">
      <c r="A3774" s="16"/>
    </row>
    <row r="3775" spans="1:1" x14ac:dyDescent="0.25">
      <c r="A3775" s="16"/>
    </row>
    <row r="3776" spans="1:1" x14ac:dyDescent="0.25">
      <c r="A3776" s="16"/>
    </row>
    <row r="3777" spans="1:1" x14ac:dyDescent="0.25">
      <c r="A3777" s="16"/>
    </row>
    <row r="3778" spans="1:1" x14ac:dyDescent="0.25">
      <c r="A3778" s="16"/>
    </row>
    <row r="3779" spans="1:1" x14ac:dyDescent="0.25">
      <c r="A3779" s="16"/>
    </row>
    <row r="3780" spans="1:1" x14ac:dyDescent="0.25">
      <c r="A3780" s="16"/>
    </row>
    <row r="3781" spans="1:1" x14ac:dyDescent="0.25">
      <c r="A3781" s="16"/>
    </row>
    <row r="3782" spans="1:1" x14ac:dyDescent="0.25">
      <c r="A3782" s="16"/>
    </row>
    <row r="3783" spans="1:1" x14ac:dyDescent="0.25">
      <c r="A3783" s="16"/>
    </row>
    <row r="3784" spans="1:1" x14ac:dyDescent="0.25">
      <c r="A3784" s="16"/>
    </row>
    <row r="3785" spans="1:1" x14ac:dyDescent="0.25">
      <c r="A3785" s="16"/>
    </row>
    <row r="3786" spans="1:1" x14ac:dyDescent="0.25">
      <c r="A3786" s="16"/>
    </row>
    <row r="3787" spans="1:1" x14ac:dyDescent="0.25">
      <c r="A3787" s="16"/>
    </row>
    <row r="3788" spans="1:1" x14ac:dyDescent="0.25">
      <c r="A3788" s="16"/>
    </row>
    <row r="3789" spans="1:1" x14ac:dyDescent="0.25">
      <c r="A3789" s="16"/>
    </row>
    <row r="3790" spans="1:1" x14ac:dyDescent="0.25">
      <c r="A3790" s="16"/>
    </row>
    <row r="3791" spans="1:1" x14ac:dyDescent="0.25">
      <c r="A3791" s="16"/>
    </row>
    <row r="3792" spans="1:1" x14ac:dyDescent="0.25">
      <c r="A3792" s="16"/>
    </row>
    <row r="3793" spans="1:1" x14ac:dyDescent="0.25">
      <c r="A3793" s="16"/>
    </row>
    <row r="3794" spans="1:1" x14ac:dyDescent="0.25">
      <c r="A3794" s="16"/>
    </row>
    <row r="3795" spans="1:1" x14ac:dyDescent="0.25">
      <c r="A3795" s="16"/>
    </row>
    <row r="3796" spans="1:1" x14ac:dyDescent="0.25">
      <c r="A3796" s="16"/>
    </row>
    <row r="3797" spans="1:1" x14ac:dyDescent="0.25">
      <c r="A3797" s="16"/>
    </row>
    <row r="3798" spans="1:1" x14ac:dyDescent="0.25">
      <c r="A3798" s="16"/>
    </row>
    <row r="3799" spans="1:1" x14ac:dyDescent="0.25">
      <c r="A3799" s="16"/>
    </row>
    <row r="3800" spans="1:1" x14ac:dyDescent="0.25">
      <c r="A3800" s="16"/>
    </row>
    <row r="3801" spans="1:1" x14ac:dyDescent="0.25">
      <c r="A3801" s="16"/>
    </row>
    <row r="3802" spans="1:1" x14ac:dyDescent="0.25">
      <c r="A3802" s="16"/>
    </row>
    <row r="3803" spans="1:1" x14ac:dyDescent="0.25">
      <c r="A3803" s="16"/>
    </row>
    <row r="3804" spans="1:1" x14ac:dyDescent="0.25">
      <c r="A3804" s="16"/>
    </row>
    <row r="3805" spans="1:1" x14ac:dyDescent="0.25">
      <c r="A3805" s="16"/>
    </row>
    <row r="3806" spans="1:1" x14ac:dyDescent="0.25">
      <c r="A3806" s="16"/>
    </row>
    <row r="3807" spans="1:1" x14ac:dyDescent="0.25">
      <c r="A3807" s="16"/>
    </row>
    <row r="3808" spans="1:1" x14ac:dyDescent="0.25">
      <c r="A3808" s="16"/>
    </row>
    <row r="3809" spans="1:1" x14ac:dyDescent="0.25">
      <c r="A3809" s="16"/>
    </row>
    <row r="3810" spans="1:1" x14ac:dyDescent="0.25">
      <c r="A3810" s="16"/>
    </row>
    <row r="3811" spans="1:1" x14ac:dyDescent="0.25">
      <c r="A3811" s="16"/>
    </row>
    <row r="3812" spans="1:1" x14ac:dyDescent="0.25">
      <c r="A3812" s="16"/>
    </row>
    <row r="3813" spans="1:1" x14ac:dyDescent="0.25">
      <c r="A3813" s="16"/>
    </row>
    <row r="3814" spans="1:1" x14ac:dyDescent="0.25">
      <c r="A3814" s="16"/>
    </row>
    <row r="3815" spans="1:1" x14ac:dyDescent="0.25">
      <c r="A3815" s="16"/>
    </row>
    <row r="3816" spans="1:1" x14ac:dyDescent="0.25">
      <c r="A3816" s="16"/>
    </row>
    <row r="3817" spans="1:1" x14ac:dyDescent="0.25">
      <c r="A3817" s="16"/>
    </row>
    <row r="3818" spans="1:1" x14ac:dyDescent="0.25">
      <c r="A3818" s="16"/>
    </row>
    <row r="3819" spans="1:1" x14ac:dyDescent="0.25">
      <c r="A3819" s="16"/>
    </row>
    <row r="3820" spans="1:1" x14ac:dyDescent="0.25">
      <c r="A3820" s="16"/>
    </row>
    <row r="3821" spans="1:1" x14ac:dyDescent="0.25">
      <c r="A3821" s="16"/>
    </row>
    <row r="3822" spans="1:1" x14ac:dyDescent="0.25">
      <c r="A3822" s="16"/>
    </row>
    <row r="3823" spans="1:1" x14ac:dyDescent="0.25">
      <c r="A3823" s="16"/>
    </row>
    <row r="3824" spans="1:1" x14ac:dyDescent="0.25">
      <c r="A3824" s="16"/>
    </row>
    <row r="3825" spans="1:1" x14ac:dyDescent="0.25">
      <c r="A3825" s="16"/>
    </row>
    <row r="3826" spans="1:1" x14ac:dyDescent="0.25">
      <c r="A3826" s="16"/>
    </row>
    <row r="3827" spans="1:1" x14ac:dyDescent="0.25">
      <c r="A3827" s="16"/>
    </row>
    <row r="3828" spans="1:1" x14ac:dyDescent="0.25">
      <c r="A3828" s="16"/>
    </row>
    <row r="3829" spans="1:1" x14ac:dyDescent="0.25">
      <c r="A3829" s="16"/>
    </row>
    <row r="3830" spans="1:1" x14ac:dyDescent="0.25">
      <c r="A3830" s="16"/>
    </row>
    <row r="3831" spans="1:1" x14ac:dyDescent="0.25">
      <c r="A3831" s="16"/>
    </row>
    <row r="3832" spans="1:1" x14ac:dyDescent="0.25">
      <c r="A3832" s="16"/>
    </row>
    <row r="3833" spans="1:1" x14ac:dyDescent="0.25">
      <c r="A3833" s="16"/>
    </row>
    <row r="3834" spans="1:1" x14ac:dyDescent="0.25">
      <c r="A3834" s="16"/>
    </row>
    <row r="3835" spans="1:1" x14ac:dyDescent="0.25">
      <c r="A3835" s="16"/>
    </row>
    <row r="3836" spans="1:1" x14ac:dyDescent="0.25">
      <c r="A3836" s="16"/>
    </row>
    <row r="3837" spans="1:1" x14ac:dyDescent="0.25">
      <c r="A3837" s="16"/>
    </row>
    <row r="3838" spans="1:1" x14ac:dyDescent="0.25">
      <c r="A3838" s="16"/>
    </row>
    <row r="3839" spans="1:1" x14ac:dyDescent="0.25">
      <c r="A3839" s="16"/>
    </row>
    <row r="3840" spans="1:1" x14ac:dyDescent="0.25">
      <c r="A3840" s="16"/>
    </row>
    <row r="3841" spans="1:1" x14ac:dyDescent="0.25">
      <c r="A3841" s="16"/>
    </row>
    <row r="3842" spans="1:1" x14ac:dyDescent="0.25">
      <c r="A3842" s="16"/>
    </row>
    <row r="3843" spans="1:1" x14ac:dyDescent="0.25">
      <c r="A3843" s="16"/>
    </row>
    <row r="3844" spans="1:1" x14ac:dyDescent="0.25">
      <c r="A3844" s="16"/>
    </row>
    <row r="3845" spans="1:1" x14ac:dyDescent="0.25">
      <c r="A3845" s="16"/>
    </row>
    <row r="3846" spans="1:1" x14ac:dyDescent="0.25">
      <c r="A3846" s="16"/>
    </row>
    <row r="3847" spans="1:1" x14ac:dyDescent="0.25">
      <c r="A3847" s="16"/>
    </row>
    <row r="3848" spans="1:1" x14ac:dyDescent="0.25">
      <c r="A3848" s="16"/>
    </row>
    <row r="3849" spans="1:1" x14ac:dyDescent="0.25">
      <c r="A3849" s="16"/>
    </row>
    <row r="3850" spans="1:1" x14ac:dyDescent="0.25">
      <c r="A3850" s="16"/>
    </row>
    <row r="3851" spans="1:1" x14ac:dyDescent="0.25">
      <c r="A3851" s="16"/>
    </row>
    <row r="3852" spans="1:1" x14ac:dyDescent="0.25">
      <c r="A3852" s="16"/>
    </row>
    <row r="3853" spans="1:1" x14ac:dyDescent="0.25">
      <c r="A3853" s="16"/>
    </row>
    <row r="3854" spans="1:1" x14ac:dyDescent="0.25">
      <c r="A3854" s="16"/>
    </row>
    <row r="3855" spans="1:1" x14ac:dyDescent="0.25">
      <c r="A3855" s="16"/>
    </row>
    <row r="3856" spans="1:1" x14ac:dyDescent="0.25">
      <c r="A3856" s="16"/>
    </row>
    <row r="3857" spans="1:1" x14ac:dyDescent="0.25">
      <c r="A3857" s="16"/>
    </row>
    <row r="3858" spans="1:1" x14ac:dyDescent="0.25">
      <c r="A3858" s="16"/>
    </row>
    <row r="3859" spans="1:1" x14ac:dyDescent="0.25">
      <c r="A3859" s="16"/>
    </row>
    <row r="3860" spans="1:1" x14ac:dyDescent="0.25">
      <c r="A3860" s="16"/>
    </row>
    <row r="3861" spans="1:1" x14ac:dyDescent="0.25">
      <c r="A3861" s="16"/>
    </row>
    <row r="3862" spans="1:1" x14ac:dyDescent="0.25">
      <c r="A3862" s="16"/>
    </row>
    <row r="3863" spans="1:1" x14ac:dyDescent="0.25">
      <c r="A3863" s="16"/>
    </row>
    <row r="3864" spans="1:1" x14ac:dyDescent="0.25">
      <c r="A3864" s="16"/>
    </row>
    <row r="3865" spans="1:1" x14ac:dyDescent="0.25">
      <c r="A3865" s="16"/>
    </row>
    <row r="3866" spans="1:1" x14ac:dyDescent="0.25">
      <c r="A3866" s="16"/>
    </row>
    <row r="3867" spans="1:1" x14ac:dyDescent="0.25">
      <c r="A3867" s="16"/>
    </row>
    <row r="3868" spans="1:1" x14ac:dyDescent="0.25">
      <c r="A3868" s="16"/>
    </row>
    <row r="3869" spans="1:1" x14ac:dyDescent="0.25">
      <c r="A3869" s="16"/>
    </row>
    <row r="3870" spans="1:1" x14ac:dyDescent="0.25">
      <c r="A3870" s="16"/>
    </row>
    <row r="3871" spans="1:1" x14ac:dyDescent="0.25">
      <c r="A3871" s="16"/>
    </row>
    <row r="3872" spans="1:1" x14ac:dyDescent="0.25">
      <c r="A3872" s="16"/>
    </row>
    <row r="3873" spans="1:1" x14ac:dyDescent="0.25">
      <c r="A3873" s="16"/>
    </row>
    <row r="3874" spans="1:1" x14ac:dyDescent="0.25">
      <c r="A3874" s="16"/>
    </row>
    <row r="3875" spans="1:1" x14ac:dyDescent="0.25">
      <c r="A3875" s="16"/>
    </row>
    <row r="3876" spans="1:1" x14ac:dyDescent="0.25">
      <c r="A3876" s="16"/>
    </row>
    <row r="3877" spans="1:1" x14ac:dyDescent="0.25">
      <c r="A3877" s="16"/>
    </row>
    <row r="3878" spans="1:1" x14ac:dyDescent="0.25">
      <c r="A3878" s="16"/>
    </row>
    <row r="3879" spans="1:1" x14ac:dyDescent="0.25">
      <c r="A3879" s="16"/>
    </row>
    <row r="3880" spans="1:1" x14ac:dyDescent="0.25">
      <c r="A3880" s="16"/>
    </row>
    <row r="3881" spans="1:1" x14ac:dyDescent="0.25">
      <c r="A3881" s="16"/>
    </row>
    <row r="3882" spans="1:1" x14ac:dyDescent="0.25">
      <c r="A3882" s="16"/>
    </row>
    <row r="3883" spans="1:1" x14ac:dyDescent="0.25">
      <c r="A3883" s="16"/>
    </row>
    <row r="3884" spans="1:1" x14ac:dyDescent="0.25">
      <c r="A3884" s="16"/>
    </row>
    <row r="3885" spans="1:1" x14ac:dyDescent="0.25">
      <c r="A3885" s="16"/>
    </row>
    <row r="3886" spans="1:1" x14ac:dyDescent="0.25">
      <c r="A3886" s="16"/>
    </row>
    <row r="3887" spans="1:1" x14ac:dyDescent="0.25">
      <c r="A3887" s="16"/>
    </row>
    <row r="3888" spans="1:1" x14ac:dyDescent="0.25">
      <c r="A3888" s="16"/>
    </row>
    <row r="3889" spans="1:1" x14ac:dyDescent="0.25">
      <c r="A3889" s="16"/>
    </row>
    <row r="3890" spans="1:1" x14ac:dyDescent="0.25">
      <c r="A3890" s="16"/>
    </row>
    <row r="3891" spans="1:1" x14ac:dyDescent="0.25">
      <c r="A3891" s="16"/>
    </row>
    <row r="3892" spans="1:1" x14ac:dyDescent="0.25">
      <c r="A3892" s="16"/>
    </row>
    <row r="3893" spans="1:1" x14ac:dyDescent="0.25">
      <c r="A3893" s="16"/>
    </row>
    <row r="3894" spans="1:1" x14ac:dyDescent="0.25">
      <c r="A3894" s="16"/>
    </row>
    <row r="3895" spans="1:1" x14ac:dyDescent="0.25">
      <c r="A3895" s="16"/>
    </row>
    <row r="3896" spans="1:1" x14ac:dyDescent="0.25">
      <c r="A3896" s="16"/>
    </row>
    <row r="3897" spans="1:1" x14ac:dyDescent="0.25">
      <c r="A3897" s="16"/>
    </row>
    <row r="3898" spans="1:1" x14ac:dyDescent="0.25">
      <c r="A3898" s="16"/>
    </row>
    <row r="3899" spans="1:1" x14ac:dyDescent="0.25">
      <c r="A3899" s="16"/>
    </row>
    <row r="3900" spans="1:1" x14ac:dyDescent="0.25">
      <c r="A3900" s="16"/>
    </row>
    <row r="3901" spans="1:1" x14ac:dyDescent="0.25">
      <c r="A3901" s="16"/>
    </row>
    <row r="3902" spans="1:1" x14ac:dyDescent="0.25">
      <c r="A3902" s="16"/>
    </row>
    <row r="3903" spans="1:1" x14ac:dyDescent="0.25">
      <c r="A3903" s="16"/>
    </row>
    <row r="3904" spans="1:1" x14ac:dyDescent="0.25">
      <c r="A3904" s="16"/>
    </row>
    <row r="3905" spans="1:1" x14ac:dyDescent="0.25">
      <c r="A3905" s="16"/>
    </row>
    <row r="3906" spans="1:1" x14ac:dyDescent="0.25">
      <c r="A3906" s="16"/>
    </row>
    <row r="3907" spans="1:1" x14ac:dyDescent="0.25">
      <c r="A3907" s="16"/>
    </row>
    <row r="3908" spans="1:1" x14ac:dyDescent="0.25">
      <c r="A3908" s="16"/>
    </row>
    <row r="3909" spans="1:1" x14ac:dyDescent="0.25">
      <c r="A3909" s="16"/>
    </row>
    <row r="3910" spans="1:1" x14ac:dyDescent="0.25">
      <c r="A3910" s="16"/>
    </row>
    <row r="3911" spans="1:1" x14ac:dyDescent="0.25">
      <c r="A3911" s="16"/>
    </row>
    <row r="3912" spans="1:1" x14ac:dyDescent="0.25">
      <c r="A3912" s="16"/>
    </row>
    <row r="3913" spans="1:1" x14ac:dyDescent="0.25">
      <c r="A3913" s="16"/>
    </row>
    <row r="3914" spans="1:1" x14ac:dyDescent="0.25">
      <c r="A3914" s="16"/>
    </row>
    <row r="3915" spans="1:1" x14ac:dyDescent="0.25">
      <c r="A3915" s="16"/>
    </row>
    <row r="3916" spans="1:1" x14ac:dyDescent="0.25">
      <c r="A3916" s="16"/>
    </row>
    <row r="3917" spans="1:1" x14ac:dyDescent="0.25">
      <c r="A3917" s="16"/>
    </row>
    <row r="3918" spans="1:1" x14ac:dyDescent="0.25">
      <c r="A3918" s="16"/>
    </row>
    <row r="3919" spans="1:1" x14ac:dyDescent="0.25">
      <c r="A3919" s="16"/>
    </row>
    <row r="3920" spans="1:1" x14ac:dyDescent="0.25">
      <c r="A3920" s="16"/>
    </row>
    <row r="3921" spans="1:1" x14ac:dyDescent="0.25">
      <c r="A3921" s="16"/>
    </row>
    <row r="3922" spans="1:1" x14ac:dyDescent="0.25">
      <c r="A3922" s="16"/>
    </row>
    <row r="3923" spans="1:1" x14ac:dyDescent="0.25">
      <c r="A3923" s="16"/>
    </row>
    <row r="3924" spans="1:1" x14ac:dyDescent="0.25">
      <c r="A3924" s="16"/>
    </row>
    <row r="3925" spans="1:1" x14ac:dyDescent="0.25">
      <c r="A3925" s="16"/>
    </row>
    <row r="3926" spans="1:1" x14ac:dyDescent="0.25">
      <c r="A3926" s="16"/>
    </row>
    <row r="3927" spans="1:1" x14ac:dyDescent="0.25">
      <c r="A3927" s="16"/>
    </row>
    <row r="3928" spans="1:1" x14ac:dyDescent="0.25">
      <c r="A3928" s="16"/>
    </row>
    <row r="3929" spans="1:1" x14ac:dyDescent="0.25">
      <c r="A3929" s="16"/>
    </row>
    <row r="3930" spans="1:1" x14ac:dyDescent="0.25">
      <c r="A3930" s="16"/>
    </row>
    <row r="3931" spans="1:1" x14ac:dyDescent="0.25">
      <c r="A3931" s="16"/>
    </row>
    <row r="3932" spans="1:1" x14ac:dyDescent="0.25">
      <c r="A3932" s="16"/>
    </row>
    <row r="3933" spans="1:1" x14ac:dyDescent="0.25">
      <c r="A3933" s="16"/>
    </row>
    <row r="3934" spans="1:1" x14ac:dyDescent="0.25">
      <c r="A3934" s="16"/>
    </row>
    <row r="3935" spans="1:1" x14ac:dyDescent="0.25">
      <c r="A3935" s="16"/>
    </row>
    <row r="3936" spans="1:1" x14ac:dyDescent="0.25">
      <c r="A3936" s="16"/>
    </row>
    <row r="3937" spans="1:1" x14ac:dyDescent="0.25">
      <c r="A3937" s="16"/>
    </row>
    <row r="3938" spans="1:1" x14ac:dyDescent="0.25">
      <c r="A3938" s="16"/>
    </row>
    <row r="3939" spans="1:1" x14ac:dyDescent="0.25">
      <c r="A3939" s="16"/>
    </row>
    <row r="3940" spans="1:1" x14ac:dyDescent="0.25">
      <c r="A3940" s="16"/>
    </row>
    <row r="3941" spans="1:1" x14ac:dyDescent="0.25">
      <c r="A3941" s="16"/>
    </row>
    <row r="3942" spans="1:1" x14ac:dyDescent="0.25">
      <c r="A3942" s="16"/>
    </row>
    <row r="3943" spans="1:1" x14ac:dyDescent="0.25">
      <c r="A3943" s="16"/>
    </row>
    <row r="3944" spans="1:1" x14ac:dyDescent="0.25">
      <c r="A3944" s="16"/>
    </row>
    <row r="3945" spans="1:1" x14ac:dyDescent="0.25">
      <c r="A3945" s="16"/>
    </row>
    <row r="3946" spans="1:1" x14ac:dyDescent="0.25">
      <c r="A3946" s="16"/>
    </row>
    <row r="3947" spans="1:1" x14ac:dyDescent="0.25">
      <c r="A3947" s="16"/>
    </row>
    <row r="3948" spans="1:1" x14ac:dyDescent="0.25">
      <c r="A3948" s="16"/>
    </row>
    <row r="3949" spans="1:1" x14ac:dyDescent="0.25">
      <c r="A3949" s="16"/>
    </row>
    <row r="3950" spans="1:1" x14ac:dyDescent="0.25">
      <c r="A3950" s="16"/>
    </row>
    <row r="3951" spans="1:1" x14ac:dyDescent="0.25">
      <c r="A3951" s="16"/>
    </row>
    <row r="3952" spans="1:1" x14ac:dyDescent="0.25">
      <c r="A3952" s="16"/>
    </row>
    <row r="3953" spans="1:1" x14ac:dyDescent="0.25">
      <c r="A3953" s="16"/>
    </row>
    <row r="3954" spans="1:1" x14ac:dyDescent="0.25">
      <c r="A3954" s="16"/>
    </row>
    <row r="3955" spans="1:1" x14ac:dyDescent="0.25">
      <c r="A3955" s="16"/>
    </row>
    <row r="3956" spans="1:1" x14ac:dyDescent="0.25">
      <c r="A3956" s="16"/>
    </row>
    <row r="3957" spans="1:1" x14ac:dyDescent="0.25">
      <c r="A3957" s="16"/>
    </row>
    <row r="3958" spans="1:1" x14ac:dyDescent="0.25">
      <c r="A3958" s="16"/>
    </row>
    <row r="3959" spans="1:1" x14ac:dyDescent="0.25">
      <c r="A3959" s="16"/>
    </row>
    <row r="3960" spans="1:1" x14ac:dyDescent="0.25">
      <c r="A3960" s="16"/>
    </row>
    <row r="3961" spans="1:1" x14ac:dyDescent="0.25">
      <c r="A3961" s="16"/>
    </row>
    <row r="3962" spans="1:1" x14ac:dyDescent="0.25">
      <c r="A3962" s="16"/>
    </row>
    <row r="3963" spans="1:1" x14ac:dyDescent="0.25">
      <c r="A3963" s="16"/>
    </row>
    <row r="3964" spans="1:1" x14ac:dyDescent="0.25">
      <c r="A3964" s="16"/>
    </row>
    <row r="3965" spans="1:1" x14ac:dyDescent="0.25">
      <c r="A3965" s="16"/>
    </row>
    <row r="3966" spans="1:1" x14ac:dyDescent="0.25">
      <c r="A3966" s="16"/>
    </row>
    <row r="3967" spans="1:1" x14ac:dyDescent="0.25">
      <c r="A3967" s="16"/>
    </row>
    <row r="3968" spans="1:1" x14ac:dyDescent="0.25">
      <c r="A3968" s="16"/>
    </row>
    <row r="3969" spans="1:1" x14ac:dyDescent="0.25">
      <c r="A3969" s="16"/>
    </row>
    <row r="3970" spans="1:1" x14ac:dyDescent="0.25">
      <c r="A3970" s="16"/>
    </row>
    <row r="3971" spans="1:1" x14ac:dyDescent="0.25">
      <c r="A3971" s="16"/>
    </row>
    <row r="3972" spans="1:1" x14ac:dyDescent="0.25">
      <c r="A3972" s="16"/>
    </row>
    <row r="3973" spans="1:1" x14ac:dyDescent="0.25">
      <c r="A3973" s="16"/>
    </row>
    <row r="3974" spans="1:1" x14ac:dyDescent="0.25">
      <c r="A3974" s="16"/>
    </row>
    <row r="3975" spans="1:1" x14ac:dyDescent="0.25">
      <c r="A3975" s="16"/>
    </row>
    <row r="3976" spans="1:1" x14ac:dyDescent="0.25">
      <c r="A3976" s="16"/>
    </row>
    <row r="3977" spans="1:1" x14ac:dyDescent="0.25">
      <c r="A3977" s="16"/>
    </row>
    <row r="3978" spans="1:1" x14ac:dyDescent="0.25">
      <c r="A3978" s="16"/>
    </row>
    <row r="3979" spans="1:1" x14ac:dyDescent="0.25">
      <c r="A3979" s="16"/>
    </row>
    <row r="3980" spans="1:1" x14ac:dyDescent="0.25">
      <c r="A3980" s="16"/>
    </row>
    <row r="3981" spans="1:1" x14ac:dyDescent="0.25">
      <c r="A3981" s="16"/>
    </row>
    <row r="3982" spans="1:1" x14ac:dyDescent="0.25">
      <c r="A3982" s="16"/>
    </row>
    <row r="3983" spans="1:1" x14ac:dyDescent="0.25">
      <c r="A3983" s="16"/>
    </row>
    <row r="3984" spans="1:1" x14ac:dyDescent="0.25">
      <c r="A3984" s="16"/>
    </row>
    <row r="3985" spans="1:1" x14ac:dyDescent="0.25">
      <c r="A3985" s="16"/>
    </row>
    <row r="3986" spans="1:1" x14ac:dyDescent="0.25">
      <c r="A3986" s="16"/>
    </row>
    <row r="3987" spans="1:1" x14ac:dyDescent="0.25">
      <c r="A3987" s="16"/>
    </row>
    <row r="3988" spans="1:1" x14ac:dyDescent="0.25">
      <c r="A3988" s="16"/>
    </row>
    <row r="3989" spans="1:1" x14ac:dyDescent="0.25">
      <c r="A3989" s="16"/>
    </row>
    <row r="3990" spans="1:1" x14ac:dyDescent="0.25">
      <c r="A3990" s="16"/>
    </row>
    <row r="3991" spans="1:1" x14ac:dyDescent="0.25">
      <c r="A3991" s="16"/>
    </row>
    <row r="3992" spans="1:1" x14ac:dyDescent="0.25">
      <c r="A3992" s="16"/>
    </row>
    <row r="3993" spans="1:1" x14ac:dyDescent="0.25">
      <c r="A3993" s="16"/>
    </row>
    <row r="3994" spans="1:1" x14ac:dyDescent="0.25">
      <c r="A3994" s="16"/>
    </row>
    <row r="3995" spans="1:1" x14ac:dyDescent="0.25">
      <c r="A3995" s="16"/>
    </row>
    <row r="3996" spans="1:1" x14ac:dyDescent="0.25">
      <c r="A3996" s="16"/>
    </row>
    <row r="3997" spans="1:1" x14ac:dyDescent="0.25">
      <c r="A3997" s="16"/>
    </row>
    <row r="3998" spans="1:1" x14ac:dyDescent="0.25">
      <c r="A3998" s="16"/>
    </row>
    <row r="3999" spans="1:1" x14ac:dyDescent="0.25">
      <c r="A3999" s="16"/>
    </row>
    <row r="4000" spans="1:1" x14ac:dyDescent="0.25">
      <c r="A4000" s="16"/>
    </row>
    <row r="4001" spans="1:1" x14ac:dyDescent="0.25">
      <c r="A4001" s="16"/>
    </row>
    <row r="4002" spans="1:1" x14ac:dyDescent="0.25">
      <c r="A4002" s="16"/>
    </row>
    <row r="4003" spans="1:1" x14ac:dyDescent="0.25">
      <c r="A4003" s="16"/>
    </row>
    <row r="4004" spans="1:1" x14ac:dyDescent="0.25">
      <c r="A4004" s="16"/>
    </row>
    <row r="4005" spans="1:1" x14ac:dyDescent="0.25">
      <c r="A4005" s="16"/>
    </row>
    <row r="4006" spans="1:1" x14ac:dyDescent="0.25">
      <c r="A4006" s="16"/>
    </row>
    <row r="4007" spans="1:1" x14ac:dyDescent="0.25">
      <c r="A4007" s="16"/>
    </row>
    <row r="4008" spans="1:1" x14ac:dyDescent="0.25">
      <c r="A4008" s="16"/>
    </row>
    <row r="4009" spans="1:1" x14ac:dyDescent="0.25">
      <c r="A4009" s="16"/>
    </row>
    <row r="4010" spans="1:1" x14ac:dyDescent="0.25">
      <c r="A4010" s="16"/>
    </row>
    <row r="4011" spans="1:1" x14ac:dyDescent="0.25">
      <c r="A4011" s="16"/>
    </row>
    <row r="4012" spans="1:1" x14ac:dyDescent="0.25">
      <c r="A4012" s="16"/>
    </row>
    <row r="4013" spans="1:1" x14ac:dyDescent="0.25">
      <c r="A4013" s="16"/>
    </row>
    <row r="4014" spans="1:1" x14ac:dyDescent="0.25">
      <c r="A4014" s="16"/>
    </row>
    <row r="4015" spans="1:1" x14ac:dyDescent="0.25">
      <c r="A4015" s="16"/>
    </row>
    <row r="4016" spans="1:1" x14ac:dyDescent="0.25">
      <c r="A4016" s="16"/>
    </row>
    <row r="4017" spans="1:1" x14ac:dyDescent="0.25">
      <c r="A4017" s="16"/>
    </row>
    <row r="4018" spans="1:1" x14ac:dyDescent="0.25">
      <c r="A4018" s="16"/>
    </row>
    <row r="4019" spans="1:1" x14ac:dyDescent="0.25">
      <c r="A4019" s="16"/>
    </row>
    <row r="4020" spans="1:1" x14ac:dyDescent="0.25">
      <c r="A4020" s="16"/>
    </row>
    <row r="4021" spans="1:1" x14ac:dyDescent="0.25">
      <c r="A4021" s="16"/>
    </row>
    <row r="4022" spans="1:1" x14ac:dyDescent="0.25">
      <c r="A4022" s="16"/>
    </row>
    <row r="4023" spans="1:1" x14ac:dyDescent="0.25">
      <c r="A4023" s="16"/>
    </row>
    <row r="4024" spans="1:1" x14ac:dyDescent="0.25">
      <c r="A4024" s="16"/>
    </row>
    <row r="4025" spans="1:1" x14ac:dyDescent="0.25">
      <c r="A4025" s="16"/>
    </row>
    <row r="4026" spans="1:1" x14ac:dyDescent="0.25">
      <c r="A4026" s="16"/>
    </row>
    <row r="4027" spans="1:1" x14ac:dyDescent="0.25">
      <c r="A4027" s="16"/>
    </row>
    <row r="4028" spans="1:1" x14ac:dyDescent="0.25">
      <c r="A4028" s="16"/>
    </row>
    <row r="4029" spans="1:1" x14ac:dyDescent="0.25">
      <c r="A4029" s="16"/>
    </row>
    <row r="4030" spans="1:1" x14ac:dyDescent="0.25">
      <c r="A4030" s="16"/>
    </row>
    <row r="4031" spans="1:1" x14ac:dyDescent="0.25">
      <c r="A4031" s="16"/>
    </row>
    <row r="4032" spans="1:1" x14ac:dyDescent="0.25">
      <c r="A4032" s="16"/>
    </row>
    <row r="4033" spans="1:1" x14ac:dyDescent="0.25">
      <c r="A4033" s="16"/>
    </row>
    <row r="4034" spans="1:1" x14ac:dyDescent="0.25">
      <c r="A4034" s="16"/>
    </row>
    <row r="4035" spans="1:1" x14ac:dyDescent="0.25">
      <c r="A4035" s="16"/>
    </row>
    <row r="4036" spans="1:1" x14ac:dyDescent="0.25">
      <c r="A4036" s="16"/>
    </row>
    <row r="4037" spans="1:1" x14ac:dyDescent="0.25">
      <c r="A4037" s="16"/>
    </row>
    <row r="4038" spans="1:1" x14ac:dyDescent="0.25">
      <c r="A4038" s="16"/>
    </row>
    <row r="4039" spans="1:1" x14ac:dyDescent="0.25">
      <c r="A4039" s="16"/>
    </row>
    <row r="4040" spans="1:1" x14ac:dyDescent="0.25">
      <c r="A4040" s="16"/>
    </row>
    <row r="4041" spans="1:1" x14ac:dyDescent="0.25">
      <c r="A4041" s="16"/>
    </row>
    <row r="4042" spans="1:1" x14ac:dyDescent="0.25">
      <c r="A4042" s="16"/>
    </row>
    <row r="4043" spans="1:1" x14ac:dyDescent="0.25">
      <c r="A4043" s="16"/>
    </row>
    <row r="4044" spans="1:1" x14ac:dyDescent="0.25">
      <c r="A4044" s="16"/>
    </row>
    <row r="4045" spans="1:1" x14ac:dyDescent="0.25">
      <c r="A4045" s="16"/>
    </row>
    <row r="4046" spans="1:1" x14ac:dyDescent="0.25">
      <c r="A4046" s="16"/>
    </row>
    <row r="4047" spans="1:1" x14ac:dyDescent="0.25">
      <c r="A4047" s="16"/>
    </row>
    <row r="4048" spans="1:1" x14ac:dyDescent="0.25">
      <c r="A4048" s="16"/>
    </row>
    <row r="4049" spans="1:1" x14ac:dyDescent="0.25">
      <c r="A4049" s="16"/>
    </row>
    <row r="4050" spans="1:1" x14ac:dyDescent="0.25">
      <c r="A4050" s="16"/>
    </row>
    <row r="4051" spans="1:1" x14ac:dyDescent="0.25">
      <c r="A4051" s="16"/>
    </row>
    <row r="4052" spans="1:1" x14ac:dyDescent="0.25">
      <c r="A4052" s="16"/>
    </row>
    <row r="4053" spans="1:1" x14ac:dyDescent="0.25">
      <c r="A4053" s="16"/>
    </row>
    <row r="4054" spans="1:1" x14ac:dyDescent="0.25">
      <c r="A4054" s="16"/>
    </row>
    <row r="4055" spans="1:1" x14ac:dyDescent="0.25">
      <c r="A4055" s="16"/>
    </row>
    <row r="4056" spans="1:1" x14ac:dyDescent="0.25">
      <c r="A4056" s="16"/>
    </row>
    <row r="4057" spans="1:1" x14ac:dyDescent="0.25">
      <c r="A4057" s="16"/>
    </row>
    <row r="4058" spans="1:1" x14ac:dyDescent="0.25">
      <c r="A4058" s="16"/>
    </row>
    <row r="4059" spans="1:1" x14ac:dyDescent="0.25">
      <c r="A4059" s="16"/>
    </row>
    <row r="4060" spans="1:1" x14ac:dyDescent="0.25">
      <c r="A4060" s="16"/>
    </row>
    <row r="4061" spans="1:1" x14ac:dyDescent="0.25">
      <c r="A4061" s="16"/>
    </row>
    <row r="4062" spans="1:1" x14ac:dyDescent="0.25">
      <c r="A4062" s="16"/>
    </row>
    <row r="4063" spans="1:1" x14ac:dyDescent="0.25">
      <c r="A4063" s="16"/>
    </row>
    <row r="4064" spans="1:1" x14ac:dyDescent="0.25">
      <c r="A4064" s="16"/>
    </row>
    <row r="4065" spans="1:1" x14ac:dyDescent="0.25">
      <c r="A4065" s="16"/>
    </row>
    <row r="4066" spans="1:1" x14ac:dyDescent="0.25">
      <c r="A4066" s="16"/>
    </row>
    <row r="4067" spans="1:1" x14ac:dyDescent="0.25">
      <c r="A4067" s="16"/>
    </row>
    <row r="4068" spans="1:1" x14ac:dyDescent="0.25">
      <c r="A4068" s="16"/>
    </row>
    <row r="4069" spans="1:1" x14ac:dyDescent="0.25">
      <c r="A4069" s="16"/>
    </row>
    <row r="4070" spans="1:1" x14ac:dyDescent="0.25">
      <c r="A4070" s="16"/>
    </row>
    <row r="4071" spans="1:1" x14ac:dyDescent="0.25">
      <c r="A4071" s="16"/>
    </row>
    <row r="4072" spans="1:1" x14ac:dyDescent="0.25">
      <c r="A4072" s="16"/>
    </row>
    <row r="4073" spans="1:1" x14ac:dyDescent="0.25">
      <c r="A4073" s="16"/>
    </row>
    <row r="4074" spans="1:1" x14ac:dyDescent="0.25">
      <c r="A4074" s="16"/>
    </row>
    <row r="4075" spans="1:1" x14ac:dyDescent="0.25">
      <c r="A4075" s="16"/>
    </row>
    <row r="4076" spans="1:1" x14ac:dyDescent="0.25">
      <c r="A4076" s="16"/>
    </row>
    <row r="4077" spans="1:1" x14ac:dyDescent="0.25">
      <c r="A4077" s="16"/>
    </row>
    <row r="4078" spans="1:1" x14ac:dyDescent="0.25">
      <c r="A4078" s="16"/>
    </row>
    <row r="4079" spans="1:1" x14ac:dyDescent="0.25">
      <c r="A4079" s="16"/>
    </row>
    <row r="4080" spans="1:1" x14ac:dyDescent="0.25">
      <c r="A4080" s="16"/>
    </row>
    <row r="4081" spans="1:1" x14ac:dyDescent="0.25">
      <c r="A4081" s="16"/>
    </row>
    <row r="4082" spans="1:1" x14ac:dyDescent="0.25">
      <c r="A4082" s="16"/>
    </row>
    <row r="4083" spans="1:1" x14ac:dyDescent="0.25">
      <c r="A4083" s="16"/>
    </row>
    <row r="4084" spans="1:1" x14ac:dyDescent="0.25">
      <c r="A4084" s="16"/>
    </row>
    <row r="4085" spans="1:1" x14ac:dyDescent="0.25">
      <c r="A4085" s="16"/>
    </row>
    <row r="4086" spans="1:1" x14ac:dyDescent="0.25">
      <c r="A4086" s="16"/>
    </row>
    <row r="4087" spans="1:1" x14ac:dyDescent="0.25">
      <c r="A4087" s="16"/>
    </row>
    <row r="4088" spans="1:1" x14ac:dyDescent="0.25">
      <c r="A4088" s="16"/>
    </row>
    <row r="4089" spans="1:1" x14ac:dyDescent="0.25">
      <c r="A4089" s="16"/>
    </row>
    <row r="4090" spans="1:1" x14ac:dyDescent="0.25">
      <c r="A4090" s="16"/>
    </row>
    <row r="4091" spans="1:1" x14ac:dyDescent="0.25">
      <c r="A4091" s="16"/>
    </row>
    <row r="4092" spans="1:1" x14ac:dyDescent="0.25">
      <c r="A4092" s="16"/>
    </row>
    <row r="4093" spans="1:1" x14ac:dyDescent="0.25">
      <c r="A4093" s="16"/>
    </row>
    <row r="4094" spans="1:1" x14ac:dyDescent="0.25">
      <c r="A4094" s="16"/>
    </row>
    <row r="4095" spans="1:1" x14ac:dyDescent="0.25">
      <c r="A4095" s="16"/>
    </row>
    <row r="4096" spans="1:1" x14ac:dyDescent="0.25">
      <c r="A4096" s="16"/>
    </row>
    <row r="4097" spans="1:1" x14ac:dyDescent="0.25">
      <c r="A4097" s="16"/>
    </row>
    <row r="4098" spans="1:1" x14ac:dyDescent="0.25">
      <c r="A4098" s="16"/>
    </row>
    <row r="4099" spans="1:1" x14ac:dyDescent="0.25">
      <c r="A4099" s="16"/>
    </row>
    <row r="4100" spans="1:1" x14ac:dyDescent="0.25">
      <c r="A4100" s="16"/>
    </row>
    <row r="4101" spans="1:1" x14ac:dyDescent="0.25">
      <c r="A4101" s="16"/>
    </row>
    <row r="4102" spans="1:1" x14ac:dyDescent="0.25">
      <c r="A4102" s="16"/>
    </row>
    <row r="4103" spans="1:1" x14ac:dyDescent="0.25">
      <c r="A4103" s="16"/>
    </row>
    <row r="4104" spans="1:1" x14ac:dyDescent="0.25">
      <c r="A4104" s="16"/>
    </row>
    <row r="4105" spans="1:1" x14ac:dyDescent="0.25">
      <c r="A4105" s="16"/>
    </row>
    <row r="4106" spans="1:1" x14ac:dyDescent="0.25">
      <c r="A4106" s="16"/>
    </row>
    <row r="4107" spans="1:1" x14ac:dyDescent="0.25">
      <c r="A4107" s="16"/>
    </row>
    <row r="4108" spans="1:1" x14ac:dyDescent="0.25">
      <c r="A4108" s="16"/>
    </row>
    <row r="4109" spans="1:1" x14ac:dyDescent="0.25">
      <c r="A4109" s="16"/>
    </row>
    <row r="4110" spans="1:1" x14ac:dyDescent="0.25">
      <c r="A4110" s="16"/>
    </row>
    <row r="4111" spans="1:1" x14ac:dyDescent="0.25">
      <c r="A4111" s="16"/>
    </row>
    <row r="4112" spans="1:1" x14ac:dyDescent="0.25">
      <c r="A4112" s="16"/>
    </row>
    <row r="4113" spans="1:1" x14ac:dyDescent="0.25">
      <c r="A4113" s="16"/>
    </row>
    <row r="4114" spans="1:1" x14ac:dyDescent="0.25">
      <c r="A4114" s="16"/>
    </row>
    <row r="4115" spans="1:1" x14ac:dyDescent="0.25">
      <c r="A4115" s="16"/>
    </row>
    <row r="4116" spans="1:1" x14ac:dyDescent="0.25">
      <c r="A4116" s="16"/>
    </row>
    <row r="4117" spans="1:1" x14ac:dyDescent="0.25">
      <c r="A4117" s="16"/>
    </row>
    <row r="4118" spans="1:1" x14ac:dyDescent="0.25">
      <c r="A4118" s="16"/>
    </row>
    <row r="4119" spans="1:1" x14ac:dyDescent="0.25">
      <c r="A4119" s="16"/>
    </row>
    <row r="4120" spans="1:1" x14ac:dyDescent="0.25">
      <c r="A4120" s="16"/>
    </row>
    <row r="4121" spans="1:1" x14ac:dyDescent="0.25">
      <c r="A4121" s="16"/>
    </row>
    <row r="4122" spans="1:1" x14ac:dyDescent="0.25">
      <c r="A4122" s="16"/>
    </row>
    <row r="4123" spans="1:1" x14ac:dyDescent="0.25">
      <c r="A4123" s="16"/>
    </row>
    <row r="4124" spans="1:1" x14ac:dyDescent="0.25">
      <c r="A4124" s="16"/>
    </row>
    <row r="4125" spans="1:1" x14ac:dyDescent="0.25">
      <c r="A4125" s="16"/>
    </row>
    <row r="4126" spans="1:1" x14ac:dyDescent="0.25">
      <c r="A4126" s="16"/>
    </row>
    <row r="4127" spans="1:1" x14ac:dyDescent="0.25">
      <c r="A4127" s="16"/>
    </row>
    <row r="4128" spans="1:1" x14ac:dyDescent="0.25">
      <c r="A4128" s="16"/>
    </row>
    <row r="4129" spans="1:1" x14ac:dyDescent="0.25">
      <c r="A4129" s="16"/>
    </row>
    <row r="4130" spans="1:1" x14ac:dyDescent="0.25">
      <c r="A4130" s="16"/>
    </row>
    <row r="4131" spans="1:1" x14ac:dyDescent="0.25">
      <c r="A4131" s="16"/>
    </row>
    <row r="4132" spans="1:1" x14ac:dyDescent="0.25">
      <c r="A4132" s="16"/>
    </row>
    <row r="4133" spans="1:1" x14ac:dyDescent="0.25">
      <c r="A4133" s="16"/>
    </row>
    <row r="4134" spans="1:1" x14ac:dyDescent="0.25">
      <c r="A4134" s="16"/>
    </row>
    <row r="4135" spans="1:1" x14ac:dyDescent="0.25">
      <c r="A4135" s="16"/>
    </row>
    <row r="4136" spans="1:1" x14ac:dyDescent="0.25">
      <c r="A4136" s="16"/>
    </row>
    <row r="4137" spans="1:1" x14ac:dyDescent="0.25">
      <c r="A4137" s="16"/>
    </row>
    <row r="4138" spans="1:1" x14ac:dyDescent="0.25">
      <c r="A4138" s="16"/>
    </row>
    <row r="4139" spans="1:1" x14ac:dyDescent="0.25">
      <c r="A4139" s="16"/>
    </row>
    <row r="4140" spans="1:1" x14ac:dyDescent="0.25">
      <c r="A4140" s="16"/>
    </row>
    <row r="4141" spans="1:1" x14ac:dyDescent="0.25">
      <c r="A4141" s="16"/>
    </row>
    <row r="4142" spans="1:1" x14ac:dyDescent="0.25">
      <c r="A4142" s="16"/>
    </row>
    <row r="4143" spans="1:1" x14ac:dyDescent="0.25">
      <c r="A4143" s="16"/>
    </row>
    <row r="4144" spans="1:1" x14ac:dyDescent="0.25">
      <c r="A4144" s="16"/>
    </row>
    <row r="4145" spans="1:1" x14ac:dyDescent="0.25">
      <c r="A4145" s="16"/>
    </row>
    <row r="4146" spans="1:1" x14ac:dyDescent="0.25">
      <c r="A4146" s="16"/>
    </row>
    <row r="4147" spans="1:1" x14ac:dyDescent="0.25">
      <c r="A4147" s="16"/>
    </row>
    <row r="4148" spans="1:1" x14ac:dyDescent="0.25">
      <c r="A4148" s="16"/>
    </row>
    <row r="4149" spans="1:1" x14ac:dyDescent="0.25">
      <c r="A4149" s="16"/>
    </row>
    <row r="4150" spans="1:1" x14ac:dyDescent="0.25">
      <c r="A4150" s="16"/>
    </row>
    <row r="4151" spans="1:1" x14ac:dyDescent="0.25">
      <c r="A4151" s="16"/>
    </row>
    <row r="4152" spans="1:1" x14ac:dyDescent="0.25">
      <c r="A4152" s="16"/>
    </row>
    <row r="4153" spans="1:1" x14ac:dyDescent="0.25">
      <c r="A4153" s="16"/>
    </row>
    <row r="4154" spans="1:1" x14ac:dyDescent="0.25">
      <c r="A4154" s="16"/>
    </row>
    <row r="4155" spans="1:1" x14ac:dyDescent="0.25">
      <c r="A4155" s="16"/>
    </row>
    <row r="4156" spans="1:1" x14ac:dyDescent="0.25">
      <c r="A4156" s="16"/>
    </row>
    <row r="4157" spans="1:1" x14ac:dyDescent="0.25">
      <c r="A4157" s="16"/>
    </row>
    <row r="4158" spans="1:1" x14ac:dyDescent="0.25">
      <c r="A4158" s="16"/>
    </row>
    <row r="4159" spans="1:1" x14ac:dyDescent="0.25">
      <c r="A4159" s="16"/>
    </row>
    <row r="4160" spans="1:1" x14ac:dyDescent="0.25">
      <c r="A4160" s="16"/>
    </row>
    <row r="4161" spans="1:1" x14ac:dyDescent="0.25">
      <c r="A4161" s="16"/>
    </row>
    <row r="4162" spans="1:1" x14ac:dyDescent="0.25">
      <c r="A4162" s="16"/>
    </row>
    <row r="4163" spans="1:1" x14ac:dyDescent="0.25">
      <c r="A4163" s="16"/>
    </row>
    <row r="4164" spans="1:1" x14ac:dyDescent="0.25">
      <c r="A4164" s="16"/>
    </row>
    <row r="4165" spans="1:1" x14ac:dyDescent="0.25">
      <c r="A4165" s="16"/>
    </row>
    <row r="4166" spans="1:1" x14ac:dyDescent="0.25">
      <c r="A4166" s="16"/>
    </row>
    <row r="4167" spans="1:1" x14ac:dyDescent="0.25">
      <c r="A4167" s="16"/>
    </row>
    <row r="4168" spans="1:1" x14ac:dyDescent="0.25">
      <c r="A4168" s="16"/>
    </row>
    <row r="4169" spans="1:1" x14ac:dyDescent="0.25">
      <c r="A4169" s="16"/>
    </row>
    <row r="4170" spans="1:1" x14ac:dyDescent="0.25">
      <c r="A4170" s="16"/>
    </row>
    <row r="4171" spans="1:1" x14ac:dyDescent="0.25">
      <c r="A4171" s="16"/>
    </row>
    <row r="4172" spans="1:1" x14ac:dyDescent="0.25">
      <c r="A4172" s="16"/>
    </row>
    <row r="4173" spans="1:1" x14ac:dyDescent="0.25">
      <c r="A4173" s="16"/>
    </row>
    <row r="4174" spans="1:1" x14ac:dyDescent="0.25">
      <c r="A4174" s="16"/>
    </row>
    <row r="4175" spans="1:1" x14ac:dyDescent="0.25">
      <c r="A4175" s="16"/>
    </row>
    <row r="4176" spans="1:1" x14ac:dyDescent="0.25">
      <c r="A4176" s="16"/>
    </row>
    <row r="4177" spans="1:1" x14ac:dyDescent="0.25">
      <c r="A4177" s="16"/>
    </row>
    <row r="4178" spans="1:1" x14ac:dyDescent="0.25">
      <c r="A4178" s="16"/>
    </row>
    <row r="4179" spans="1:1" x14ac:dyDescent="0.25">
      <c r="A4179" s="16"/>
    </row>
    <row r="4180" spans="1:1" x14ac:dyDescent="0.25">
      <c r="A4180" s="16"/>
    </row>
    <row r="4181" spans="1:1" x14ac:dyDescent="0.25">
      <c r="A4181" s="16"/>
    </row>
    <row r="4182" spans="1:1" x14ac:dyDescent="0.25">
      <c r="A4182" s="16"/>
    </row>
    <row r="4183" spans="1:1" x14ac:dyDescent="0.25">
      <c r="A4183" s="16"/>
    </row>
    <row r="4184" spans="1:1" x14ac:dyDescent="0.25">
      <c r="A4184" s="16"/>
    </row>
    <row r="4185" spans="1:1" x14ac:dyDescent="0.25">
      <c r="A4185" s="16"/>
    </row>
    <row r="4186" spans="1:1" x14ac:dyDescent="0.25">
      <c r="A4186" s="16"/>
    </row>
    <row r="4187" spans="1:1" x14ac:dyDescent="0.25">
      <c r="A4187" s="16"/>
    </row>
    <row r="4188" spans="1:1" x14ac:dyDescent="0.25">
      <c r="A4188" s="16"/>
    </row>
    <row r="4189" spans="1:1" x14ac:dyDescent="0.25">
      <c r="A4189" s="16"/>
    </row>
    <row r="4190" spans="1:1" x14ac:dyDescent="0.25">
      <c r="A4190" s="16"/>
    </row>
    <row r="4191" spans="1:1" x14ac:dyDescent="0.25">
      <c r="A4191" s="16"/>
    </row>
    <row r="4192" spans="1:1" x14ac:dyDescent="0.25">
      <c r="A4192" s="16"/>
    </row>
    <row r="4193" spans="1:1" x14ac:dyDescent="0.25">
      <c r="A4193" s="16"/>
    </row>
    <row r="4194" spans="1:1" x14ac:dyDescent="0.25">
      <c r="A4194" s="16"/>
    </row>
    <row r="4195" spans="1:1" x14ac:dyDescent="0.25">
      <c r="A4195" s="16"/>
    </row>
    <row r="4196" spans="1:1" x14ac:dyDescent="0.25">
      <c r="A4196" s="16"/>
    </row>
    <row r="4197" spans="1:1" x14ac:dyDescent="0.25">
      <c r="A4197" s="16"/>
    </row>
    <row r="4198" spans="1:1" x14ac:dyDescent="0.25">
      <c r="A4198" s="16"/>
    </row>
    <row r="4199" spans="1:1" x14ac:dyDescent="0.25">
      <c r="A4199" s="16"/>
    </row>
    <row r="4200" spans="1:1" x14ac:dyDescent="0.25">
      <c r="A4200" s="16"/>
    </row>
    <row r="4201" spans="1:1" x14ac:dyDescent="0.25">
      <c r="A4201" s="16"/>
    </row>
    <row r="4202" spans="1:1" x14ac:dyDescent="0.25">
      <c r="A4202" s="16"/>
    </row>
    <row r="4203" spans="1:1" x14ac:dyDescent="0.25">
      <c r="A4203" s="16"/>
    </row>
    <row r="4204" spans="1:1" x14ac:dyDescent="0.25">
      <c r="A4204" s="16"/>
    </row>
    <row r="4205" spans="1:1" x14ac:dyDescent="0.25">
      <c r="A4205" s="16"/>
    </row>
    <row r="4206" spans="1:1" x14ac:dyDescent="0.25">
      <c r="A4206" s="16"/>
    </row>
    <row r="4207" spans="1:1" x14ac:dyDescent="0.25">
      <c r="A4207" s="16"/>
    </row>
    <row r="4208" spans="1:1" x14ac:dyDescent="0.25">
      <c r="A4208" s="16"/>
    </row>
    <row r="4209" spans="1:1" x14ac:dyDescent="0.25">
      <c r="A4209" s="16"/>
    </row>
    <row r="4210" spans="1:1" x14ac:dyDescent="0.25">
      <c r="A4210" s="16"/>
    </row>
    <row r="4211" spans="1:1" x14ac:dyDescent="0.25">
      <c r="A4211" s="16"/>
    </row>
    <row r="4212" spans="1:1" x14ac:dyDescent="0.25">
      <c r="A4212" s="16"/>
    </row>
    <row r="4213" spans="1:1" x14ac:dyDescent="0.25">
      <c r="A4213" s="16"/>
    </row>
    <row r="4214" spans="1:1" x14ac:dyDescent="0.25">
      <c r="A4214" s="16"/>
    </row>
    <row r="4215" spans="1:1" x14ac:dyDescent="0.25">
      <c r="A4215" s="16"/>
    </row>
    <row r="4216" spans="1:1" x14ac:dyDescent="0.25">
      <c r="A4216" s="16"/>
    </row>
    <row r="4217" spans="1:1" x14ac:dyDescent="0.25">
      <c r="A4217" s="16"/>
    </row>
    <row r="4218" spans="1:1" x14ac:dyDescent="0.25">
      <c r="A4218" s="16"/>
    </row>
    <row r="4219" spans="1:1" x14ac:dyDescent="0.25">
      <c r="A4219" s="16"/>
    </row>
    <row r="4220" spans="1:1" x14ac:dyDescent="0.25">
      <c r="A4220" s="16"/>
    </row>
    <row r="4221" spans="1:1" x14ac:dyDescent="0.25">
      <c r="A4221" s="16"/>
    </row>
    <row r="4222" spans="1:1" x14ac:dyDescent="0.25">
      <c r="A4222" s="16"/>
    </row>
    <row r="4223" spans="1:1" x14ac:dyDescent="0.25">
      <c r="A4223" s="16"/>
    </row>
    <row r="4224" spans="1:1" x14ac:dyDescent="0.25">
      <c r="A4224" s="16"/>
    </row>
    <row r="4225" spans="1:1" x14ac:dyDescent="0.25">
      <c r="A4225" s="16"/>
    </row>
    <row r="4226" spans="1:1" x14ac:dyDescent="0.25">
      <c r="A4226" s="16"/>
    </row>
    <row r="4227" spans="1:1" x14ac:dyDescent="0.25">
      <c r="A4227" s="16"/>
    </row>
    <row r="4228" spans="1:1" x14ac:dyDescent="0.25">
      <c r="A4228" s="16"/>
    </row>
    <row r="4229" spans="1:1" x14ac:dyDescent="0.25">
      <c r="A4229" s="16"/>
    </row>
    <row r="4230" spans="1:1" x14ac:dyDescent="0.25">
      <c r="A4230" s="16"/>
    </row>
    <row r="4231" spans="1:1" x14ac:dyDescent="0.25">
      <c r="A4231" s="16"/>
    </row>
    <row r="4232" spans="1:1" x14ac:dyDescent="0.25">
      <c r="A4232" s="16"/>
    </row>
    <row r="4233" spans="1:1" x14ac:dyDescent="0.25">
      <c r="A4233" s="16"/>
    </row>
    <row r="4234" spans="1:1" x14ac:dyDescent="0.25">
      <c r="A4234" s="16"/>
    </row>
    <row r="4235" spans="1:1" x14ac:dyDescent="0.25">
      <c r="A4235" s="16"/>
    </row>
    <row r="4236" spans="1:1" x14ac:dyDescent="0.25">
      <c r="A4236" s="16"/>
    </row>
    <row r="4237" spans="1:1" x14ac:dyDescent="0.25">
      <c r="A4237" s="16"/>
    </row>
    <row r="4238" spans="1:1" x14ac:dyDescent="0.25">
      <c r="A4238" s="16"/>
    </row>
    <row r="4239" spans="1:1" x14ac:dyDescent="0.25">
      <c r="A4239" s="16"/>
    </row>
    <row r="4240" spans="1:1" x14ac:dyDescent="0.25">
      <c r="A4240" s="16"/>
    </row>
    <row r="4241" spans="1:1" x14ac:dyDescent="0.25">
      <c r="A4241" s="16"/>
    </row>
    <row r="4242" spans="1:1" x14ac:dyDescent="0.25">
      <c r="A4242" s="16"/>
    </row>
    <row r="4243" spans="1:1" x14ac:dyDescent="0.25">
      <c r="A4243" s="16"/>
    </row>
    <row r="4244" spans="1:1" x14ac:dyDescent="0.25">
      <c r="A4244" s="16"/>
    </row>
    <row r="4245" spans="1:1" x14ac:dyDescent="0.25">
      <c r="A4245" s="16"/>
    </row>
    <row r="4246" spans="1:1" x14ac:dyDescent="0.25">
      <c r="A4246" s="16"/>
    </row>
    <row r="4247" spans="1:1" x14ac:dyDescent="0.25">
      <c r="A4247" s="16"/>
    </row>
    <row r="4248" spans="1:1" x14ac:dyDescent="0.25">
      <c r="A4248" s="16"/>
    </row>
    <row r="4249" spans="1:1" x14ac:dyDescent="0.25">
      <c r="A4249" s="16"/>
    </row>
    <row r="4250" spans="1:1" x14ac:dyDescent="0.25">
      <c r="A4250" s="16"/>
    </row>
    <row r="4251" spans="1:1" x14ac:dyDescent="0.25">
      <c r="A4251" s="16"/>
    </row>
    <row r="4252" spans="1:1" x14ac:dyDescent="0.25">
      <c r="A4252" s="16"/>
    </row>
    <row r="4253" spans="1:1" x14ac:dyDescent="0.25">
      <c r="A4253" s="16"/>
    </row>
    <row r="4254" spans="1:1" x14ac:dyDescent="0.25">
      <c r="A4254" s="16"/>
    </row>
    <row r="4255" spans="1:1" x14ac:dyDescent="0.25">
      <c r="A4255" s="16"/>
    </row>
    <row r="4256" spans="1:1" x14ac:dyDescent="0.25">
      <c r="A4256" s="16"/>
    </row>
    <row r="4257" spans="1:1" x14ac:dyDescent="0.25">
      <c r="A4257" s="16"/>
    </row>
    <row r="4258" spans="1:1" x14ac:dyDescent="0.25">
      <c r="A4258" s="16"/>
    </row>
    <row r="4259" spans="1:1" x14ac:dyDescent="0.25">
      <c r="A4259" s="16"/>
    </row>
    <row r="4260" spans="1:1" x14ac:dyDescent="0.25">
      <c r="A4260" s="16"/>
    </row>
    <row r="4261" spans="1:1" x14ac:dyDescent="0.25">
      <c r="A4261" s="16"/>
    </row>
    <row r="4262" spans="1:1" x14ac:dyDescent="0.25">
      <c r="A4262" s="16"/>
    </row>
    <row r="4263" spans="1:1" x14ac:dyDescent="0.25">
      <c r="A4263" s="16"/>
    </row>
    <row r="4264" spans="1:1" x14ac:dyDescent="0.25">
      <c r="A4264" s="16"/>
    </row>
    <row r="4265" spans="1:1" x14ac:dyDescent="0.25">
      <c r="A4265" s="16"/>
    </row>
    <row r="4266" spans="1:1" x14ac:dyDescent="0.25">
      <c r="A4266" s="16"/>
    </row>
    <row r="4267" spans="1:1" x14ac:dyDescent="0.25">
      <c r="A4267" s="16"/>
    </row>
    <row r="4268" spans="1:1" x14ac:dyDescent="0.25">
      <c r="A4268" s="16"/>
    </row>
    <row r="4269" spans="1:1" x14ac:dyDescent="0.25">
      <c r="A4269" s="16"/>
    </row>
    <row r="4270" spans="1:1" x14ac:dyDescent="0.25">
      <c r="A4270" s="16"/>
    </row>
    <row r="4271" spans="1:1" x14ac:dyDescent="0.25">
      <c r="A4271" s="16"/>
    </row>
    <row r="4272" spans="1:1" x14ac:dyDescent="0.25">
      <c r="A4272" s="16"/>
    </row>
    <row r="4273" spans="1:1" x14ac:dyDescent="0.25">
      <c r="A4273" s="16"/>
    </row>
    <row r="4274" spans="1:1" x14ac:dyDescent="0.25">
      <c r="A4274" s="16"/>
    </row>
    <row r="4275" spans="1:1" x14ac:dyDescent="0.25">
      <c r="A4275" s="16"/>
    </row>
    <row r="4276" spans="1:1" x14ac:dyDescent="0.25">
      <c r="A4276" s="16"/>
    </row>
    <row r="4277" spans="1:1" x14ac:dyDescent="0.25">
      <c r="A4277" s="16"/>
    </row>
    <row r="4278" spans="1:1" x14ac:dyDescent="0.25">
      <c r="A4278" s="16"/>
    </row>
    <row r="4279" spans="1:1" x14ac:dyDescent="0.25">
      <c r="A4279" s="16"/>
    </row>
    <row r="4280" spans="1:1" x14ac:dyDescent="0.25">
      <c r="A4280" s="16"/>
    </row>
    <row r="4281" spans="1:1" x14ac:dyDescent="0.25">
      <c r="A4281" s="16"/>
    </row>
    <row r="4282" spans="1:1" x14ac:dyDescent="0.25">
      <c r="A4282" s="16"/>
    </row>
    <row r="4283" spans="1:1" x14ac:dyDescent="0.25">
      <c r="A4283" s="16"/>
    </row>
    <row r="4284" spans="1:1" x14ac:dyDescent="0.25">
      <c r="A4284" s="16"/>
    </row>
    <row r="4285" spans="1:1" x14ac:dyDescent="0.25">
      <c r="A4285" s="16"/>
    </row>
    <row r="4286" spans="1:1" x14ac:dyDescent="0.25">
      <c r="A4286" s="16"/>
    </row>
    <row r="4287" spans="1:1" x14ac:dyDescent="0.25">
      <c r="A4287" s="16"/>
    </row>
    <row r="4288" spans="1:1" x14ac:dyDescent="0.25">
      <c r="A4288" s="16"/>
    </row>
    <row r="4289" spans="1:1" x14ac:dyDescent="0.25">
      <c r="A4289" s="16"/>
    </row>
    <row r="4290" spans="1:1" x14ac:dyDescent="0.25">
      <c r="A4290" s="16"/>
    </row>
    <row r="4291" spans="1:1" x14ac:dyDescent="0.25">
      <c r="A4291" s="16"/>
    </row>
    <row r="4292" spans="1:1" x14ac:dyDescent="0.25">
      <c r="A4292" s="16"/>
    </row>
    <row r="4293" spans="1:1" x14ac:dyDescent="0.25">
      <c r="A4293" s="16"/>
    </row>
    <row r="4294" spans="1:1" x14ac:dyDescent="0.25">
      <c r="A4294" s="16"/>
    </row>
    <row r="4295" spans="1:1" x14ac:dyDescent="0.25">
      <c r="A4295" s="16"/>
    </row>
    <row r="4296" spans="1:1" x14ac:dyDescent="0.25">
      <c r="A4296" s="16"/>
    </row>
    <row r="4297" spans="1:1" x14ac:dyDescent="0.25">
      <c r="A4297" s="16"/>
    </row>
    <row r="4298" spans="1:1" x14ac:dyDescent="0.25">
      <c r="A4298" s="16"/>
    </row>
    <row r="4299" spans="1:1" x14ac:dyDescent="0.25">
      <c r="A4299" s="16"/>
    </row>
    <row r="4300" spans="1:1" x14ac:dyDescent="0.25">
      <c r="A4300" s="16"/>
    </row>
    <row r="4301" spans="1:1" x14ac:dyDescent="0.25">
      <c r="A4301" s="16"/>
    </row>
    <row r="4302" spans="1:1" x14ac:dyDescent="0.25">
      <c r="A4302" s="16"/>
    </row>
    <row r="4303" spans="1:1" x14ac:dyDescent="0.25">
      <c r="A4303" s="16"/>
    </row>
    <row r="4304" spans="1:1" x14ac:dyDescent="0.25">
      <c r="A4304" s="16"/>
    </row>
    <row r="4305" spans="1:1" x14ac:dyDescent="0.25">
      <c r="A4305" s="16"/>
    </row>
    <row r="4306" spans="1:1" x14ac:dyDescent="0.25">
      <c r="A4306" s="16"/>
    </row>
    <row r="4307" spans="1:1" x14ac:dyDescent="0.25">
      <c r="A4307" s="16"/>
    </row>
    <row r="4308" spans="1:1" x14ac:dyDescent="0.25">
      <c r="A4308" s="16"/>
    </row>
    <row r="4309" spans="1:1" x14ac:dyDescent="0.25">
      <c r="A4309" s="16"/>
    </row>
    <row r="4310" spans="1:1" x14ac:dyDescent="0.25">
      <c r="A4310" s="16"/>
    </row>
    <row r="4311" spans="1:1" x14ac:dyDescent="0.25">
      <c r="A4311" s="16"/>
    </row>
    <row r="4312" spans="1:1" x14ac:dyDescent="0.25">
      <c r="A4312" s="16"/>
    </row>
    <row r="4313" spans="1:1" x14ac:dyDescent="0.25">
      <c r="A4313" s="16"/>
    </row>
    <row r="4314" spans="1:1" x14ac:dyDescent="0.25">
      <c r="A4314" s="16"/>
    </row>
    <row r="4315" spans="1:1" x14ac:dyDescent="0.25">
      <c r="A4315" s="16"/>
    </row>
    <row r="4316" spans="1:1" x14ac:dyDescent="0.25">
      <c r="A4316" s="16"/>
    </row>
    <row r="4317" spans="1:1" x14ac:dyDescent="0.25">
      <c r="A4317" s="16"/>
    </row>
    <row r="4318" spans="1:1" x14ac:dyDescent="0.25">
      <c r="A4318" s="16"/>
    </row>
    <row r="4319" spans="1:1" x14ac:dyDescent="0.25">
      <c r="A4319" s="16"/>
    </row>
    <row r="4320" spans="1:1" x14ac:dyDescent="0.25">
      <c r="A4320" s="16"/>
    </row>
    <row r="4321" spans="1:1" x14ac:dyDescent="0.25">
      <c r="A4321" s="16"/>
    </row>
    <row r="4322" spans="1:1" x14ac:dyDescent="0.25">
      <c r="A4322" s="16"/>
    </row>
    <row r="4323" spans="1:1" x14ac:dyDescent="0.25">
      <c r="A4323" s="16"/>
    </row>
    <row r="4324" spans="1:1" x14ac:dyDescent="0.25">
      <c r="A4324" s="16"/>
    </row>
    <row r="4325" spans="1:1" x14ac:dyDescent="0.25">
      <c r="A4325" s="16"/>
    </row>
    <row r="4326" spans="1:1" x14ac:dyDescent="0.25">
      <c r="A4326" s="16"/>
    </row>
    <row r="4327" spans="1:1" x14ac:dyDescent="0.25">
      <c r="A4327" s="16"/>
    </row>
    <row r="4328" spans="1:1" x14ac:dyDescent="0.25">
      <c r="A4328" s="16"/>
    </row>
    <row r="4329" spans="1:1" x14ac:dyDescent="0.25">
      <c r="A4329" s="16"/>
    </row>
    <row r="4330" spans="1:1" x14ac:dyDescent="0.25">
      <c r="A4330" s="16"/>
    </row>
    <row r="4331" spans="1:1" x14ac:dyDescent="0.25">
      <c r="A4331" s="16"/>
    </row>
    <row r="4332" spans="1:1" x14ac:dyDescent="0.25">
      <c r="A4332" s="16"/>
    </row>
    <row r="4333" spans="1:1" x14ac:dyDescent="0.25">
      <c r="A4333" s="16"/>
    </row>
    <row r="4334" spans="1:1" x14ac:dyDescent="0.25">
      <c r="A4334" s="16"/>
    </row>
    <row r="4335" spans="1:1" x14ac:dyDescent="0.25">
      <c r="A4335" s="16"/>
    </row>
    <row r="4336" spans="1:1" x14ac:dyDescent="0.25">
      <c r="A4336" s="16"/>
    </row>
    <row r="4337" spans="1:1" x14ac:dyDescent="0.25">
      <c r="A4337" s="16"/>
    </row>
    <row r="4338" spans="1:1" x14ac:dyDescent="0.25">
      <c r="A4338" s="16"/>
    </row>
    <row r="4339" spans="1:1" x14ac:dyDescent="0.25">
      <c r="A4339" s="16"/>
    </row>
    <row r="4340" spans="1:1" x14ac:dyDescent="0.25">
      <c r="A4340" s="16"/>
    </row>
    <row r="4341" spans="1:1" x14ac:dyDescent="0.25">
      <c r="A4341" s="16"/>
    </row>
    <row r="4342" spans="1:1" x14ac:dyDescent="0.25">
      <c r="A4342" s="16"/>
    </row>
    <row r="4343" spans="1:1" x14ac:dyDescent="0.25">
      <c r="A4343" s="16"/>
    </row>
    <row r="4344" spans="1:1" x14ac:dyDescent="0.25">
      <c r="A4344" s="16"/>
    </row>
    <row r="4345" spans="1:1" x14ac:dyDescent="0.25">
      <c r="A4345" s="16"/>
    </row>
    <row r="4346" spans="1:1" x14ac:dyDescent="0.25">
      <c r="A4346" s="16"/>
    </row>
    <row r="4347" spans="1:1" x14ac:dyDescent="0.25">
      <c r="A4347" s="16"/>
    </row>
    <row r="4348" spans="1:1" x14ac:dyDescent="0.25">
      <c r="A4348" s="16"/>
    </row>
    <row r="4349" spans="1:1" x14ac:dyDescent="0.25">
      <c r="A4349" s="16"/>
    </row>
    <row r="4350" spans="1:1" x14ac:dyDescent="0.25">
      <c r="A4350" s="16"/>
    </row>
    <row r="4351" spans="1:1" x14ac:dyDescent="0.25">
      <c r="A4351" s="16"/>
    </row>
    <row r="4352" spans="1:1" x14ac:dyDescent="0.25">
      <c r="A4352" s="16"/>
    </row>
    <row r="4353" spans="1:1" x14ac:dyDescent="0.25">
      <c r="A4353" s="16"/>
    </row>
    <row r="4354" spans="1:1" x14ac:dyDescent="0.25">
      <c r="A4354" s="16"/>
    </row>
    <row r="4355" spans="1:1" x14ac:dyDescent="0.25">
      <c r="A4355" s="16"/>
    </row>
    <row r="4356" spans="1:1" x14ac:dyDescent="0.25">
      <c r="A4356" s="16"/>
    </row>
    <row r="4357" spans="1:1" x14ac:dyDescent="0.25">
      <c r="A4357" s="16"/>
    </row>
    <row r="4358" spans="1:1" x14ac:dyDescent="0.25">
      <c r="A4358" s="16"/>
    </row>
    <row r="4359" spans="1:1" x14ac:dyDescent="0.25">
      <c r="A4359" s="16"/>
    </row>
    <row r="4360" spans="1:1" x14ac:dyDescent="0.25">
      <c r="A4360" s="16"/>
    </row>
    <row r="4361" spans="1:1" x14ac:dyDescent="0.25">
      <c r="A4361" s="16"/>
    </row>
    <row r="4362" spans="1:1" x14ac:dyDescent="0.25">
      <c r="A4362" s="16"/>
    </row>
    <row r="4363" spans="1:1" x14ac:dyDescent="0.25">
      <c r="A4363" s="16"/>
    </row>
    <row r="4364" spans="1:1" x14ac:dyDescent="0.25">
      <c r="A4364" s="16"/>
    </row>
    <row r="4365" spans="1:1" x14ac:dyDescent="0.25">
      <c r="A4365" s="16"/>
    </row>
    <row r="4366" spans="1:1" x14ac:dyDescent="0.25">
      <c r="A4366" s="16"/>
    </row>
    <row r="4367" spans="1:1" x14ac:dyDescent="0.25">
      <c r="A4367" s="16"/>
    </row>
    <row r="4368" spans="1:1" x14ac:dyDescent="0.25">
      <c r="A4368" s="16"/>
    </row>
    <row r="4369" spans="1:1" x14ac:dyDescent="0.25">
      <c r="A4369" s="16"/>
    </row>
    <row r="4370" spans="1:1" x14ac:dyDescent="0.25">
      <c r="A4370" s="16"/>
    </row>
    <row r="4371" spans="1:1" x14ac:dyDescent="0.25">
      <c r="A4371" s="16"/>
    </row>
    <row r="4372" spans="1:1" x14ac:dyDescent="0.25">
      <c r="A4372" s="16"/>
    </row>
    <row r="4373" spans="1:1" x14ac:dyDescent="0.25">
      <c r="A4373" s="16"/>
    </row>
    <row r="4374" spans="1:1" x14ac:dyDescent="0.25">
      <c r="A4374" s="16"/>
    </row>
    <row r="4375" spans="1:1" x14ac:dyDescent="0.25">
      <c r="A4375" s="16"/>
    </row>
    <row r="4376" spans="1:1" x14ac:dyDescent="0.25">
      <c r="A4376" s="16"/>
    </row>
    <row r="4377" spans="1:1" x14ac:dyDescent="0.25">
      <c r="A4377" s="16"/>
    </row>
    <row r="4378" spans="1:1" x14ac:dyDescent="0.25">
      <c r="A4378" s="16"/>
    </row>
    <row r="4379" spans="1:1" x14ac:dyDescent="0.25">
      <c r="A4379" s="16"/>
    </row>
    <row r="4380" spans="1:1" x14ac:dyDescent="0.25">
      <c r="A4380" s="16"/>
    </row>
    <row r="4381" spans="1:1" x14ac:dyDescent="0.25">
      <c r="A4381" s="16"/>
    </row>
    <row r="4382" spans="1:1" x14ac:dyDescent="0.25">
      <c r="A4382" s="16"/>
    </row>
    <row r="4383" spans="1:1" x14ac:dyDescent="0.25">
      <c r="A4383" s="16"/>
    </row>
    <row r="4384" spans="1:1" x14ac:dyDescent="0.25">
      <c r="A4384" s="16"/>
    </row>
    <row r="4385" spans="1:1" x14ac:dyDescent="0.25">
      <c r="A4385" s="16"/>
    </row>
    <row r="4386" spans="1:1" x14ac:dyDescent="0.25">
      <c r="A4386" s="16"/>
    </row>
    <row r="4387" spans="1:1" x14ac:dyDescent="0.25">
      <c r="A4387" s="16"/>
    </row>
    <row r="4388" spans="1:1" x14ac:dyDescent="0.25">
      <c r="A4388" s="16"/>
    </row>
    <row r="4389" spans="1:1" x14ac:dyDescent="0.25">
      <c r="A4389" s="16"/>
    </row>
    <row r="4390" spans="1:1" x14ac:dyDescent="0.25">
      <c r="A4390" s="16"/>
    </row>
    <row r="4391" spans="1:1" x14ac:dyDescent="0.25">
      <c r="A4391" s="16"/>
    </row>
    <row r="4392" spans="1:1" x14ac:dyDescent="0.25">
      <c r="A4392" s="16"/>
    </row>
    <row r="4393" spans="1:1" x14ac:dyDescent="0.25">
      <c r="A4393" s="16"/>
    </row>
    <row r="4394" spans="1:1" x14ac:dyDescent="0.25">
      <c r="A4394" s="16"/>
    </row>
    <row r="4395" spans="1:1" x14ac:dyDescent="0.25">
      <c r="A4395" s="16"/>
    </row>
    <row r="4396" spans="1:1" x14ac:dyDescent="0.25">
      <c r="A4396" s="16"/>
    </row>
    <row r="4397" spans="1:1" x14ac:dyDescent="0.25">
      <c r="A4397" s="16"/>
    </row>
    <row r="4398" spans="1:1" x14ac:dyDescent="0.25">
      <c r="A4398" s="16"/>
    </row>
    <row r="4399" spans="1:1" x14ac:dyDescent="0.25">
      <c r="A4399" s="16"/>
    </row>
    <row r="4400" spans="1:1" x14ac:dyDescent="0.25">
      <c r="A4400" s="16"/>
    </row>
    <row r="4401" spans="1:1" x14ac:dyDescent="0.25">
      <c r="A4401" s="16"/>
    </row>
    <row r="4402" spans="1:1" x14ac:dyDescent="0.25">
      <c r="A4402" s="16"/>
    </row>
    <row r="4403" spans="1:1" x14ac:dyDescent="0.25">
      <c r="A4403" s="16"/>
    </row>
    <row r="4404" spans="1:1" x14ac:dyDescent="0.25">
      <c r="A4404" s="16"/>
    </row>
    <row r="4405" spans="1:1" x14ac:dyDescent="0.25">
      <c r="A4405" s="16"/>
    </row>
    <row r="4406" spans="1:1" x14ac:dyDescent="0.25">
      <c r="A4406" s="16"/>
    </row>
    <row r="4407" spans="1:1" x14ac:dyDescent="0.25">
      <c r="A4407" s="16"/>
    </row>
    <row r="4408" spans="1:1" x14ac:dyDescent="0.25">
      <c r="A4408" s="16"/>
    </row>
    <row r="4409" spans="1:1" x14ac:dyDescent="0.25">
      <c r="A4409" s="16"/>
    </row>
    <row r="4410" spans="1:1" x14ac:dyDescent="0.25">
      <c r="A4410" s="16"/>
    </row>
    <row r="4411" spans="1:1" x14ac:dyDescent="0.25">
      <c r="A4411" s="16"/>
    </row>
    <row r="4412" spans="1:1" x14ac:dyDescent="0.25">
      <c r="A4412" s="16"/>
    </row>
    <row r="4413" spans="1:1" x14ac:dyDescent="0.25">
      <c r="A4413" s="16"/>
    </row>
    <row r="4414" spans="1:1" x14ac:dyDescent="0.25">
      <c r="A4414" s="16"/>
    </row>
    <row r="4415" spans="1:1" x14ac:dyDescent="0.25">
      <c r="A4415" s="16"/>
    </row>
    <row r="4416" spans="1:1" x14ac:dyDescent="0.25">
      <c r="A4416" s="16"/>
    </row>
    <row r="4417" spans="1:1" x14ac:dyDescent="0.25">
      <c r="A4417" s="16"/>
    </row>
    <row r="4418" spans="1:1" x14ac:dyDescent="0.25">
      <c r="A4418" s="16"/>
    </row>
    <row r="4419" spans="1:1" x14ac:dyDescent="0.25">
      <c r="A4419" s="16"/>
    </row>
    <row r="4420" spans="1:1" x14ac:dyDescent="0.25">
      <c r="A4420" s="16"/>
    </row>
    <row r="4421" spans="1:1" x14ac:dyDescent="0.25">
      <c r="A4421" s="16"/>
    </row>
    <row r="4422" spans="1:1" x14ac:dyDescent="0.25">
      <c r="A4422" s="16"/>
    </row>
    <row r="4423" spans="1:1" x14ac:dyDescent="0.25">
      <c r="A4423" s="16"/>
    </row>
    <row r="4424" spans="1:1" x14ac:dyDescent="0.25">
      <c r="A4424" s="16"/>
    </row>
    <row r="4425" spans="1:1" x14ac:dyDescent="0.25">
      <c r="A4425" s="16"/>
    </row>
    <row r="4426" spans="1:1" x14ac:dyDescent="0.25">
      <c r="A4426" s="16"/>
    </row>
    <row r="4427" spans="1:1" x14ac:dyDescent="0.25">
      <c r="A4427" s="16"/>
    </row>
    <row r="4428" spans="1:1" x14ac:dyDescent="0.25">
      <c r="A4428" s="16"/>
    </row>
    <row r="4429" spans="1:1" x14ac:dyDescent="0.25">
      <c r="A4429" s="16"/>
    </row>
    <row r="4430" spans="1:1" x14ac:dyDescent="0.25">
      <c r="A4430" s="16"/>
    </row>
    <row r="4431" spans="1:1" x14ac:dyDescent="0.25">
      <c r="A4431" s="16"/>
    </row>
    <row r="4432" spans="1:1" x14ac:dyDescent="0.25">
      <c r="A4432" s="16"/>
    </row>
    <row r="4433" spans="1:1" x14ac:dyDescent="0.25">
      <c r="A4433" s="16"/>
    </row>
    <row r="4434" spans="1:1" x14ac:dyDescent="0.25">
      <c r="A4434" s="16"/>
    </row>
    <row r="4435" spans="1:1" x14ac:dyDescent="0.25">
      <c r="A4435" s="16"/>
    </row>
    <row r="4436" spans="1:1" x14ac:dyDescent="0.25">
      <c r="A4436" s="16"/>
    </row>
    <row r="4437" spans="1:1" x14ac:dyDescent="0.25">
      <c r="A4437" s="16"/>
    </row>
    <row r="4438" spans="1:1" x14ac:dyDescent="0.25">
      <c r="A4438" s="16"/>
    </row>
    <row r="4439" spans="1:1" x14ac:dyDescent="0.25">
      <c r="A4439" s="16"/>
    </row>
    <row r="4440" spans="1:1" x14ac:dyDescent="0.25">
      <c r="A4440" s="16"/>
    </row>
    <row r="4441" spans="1:1" x14ac:dyDescent="0.25">
      <c r="A4441" s="16"/>
    </row>
    <row r="4442" spans="1:1" x14ac:dyDescent="0.25">
      <c r="A4442" s="16"/>
    </row>
    <row r="4443" spans="1:1" x14ac:dyDescent="0.25">
      <c r="A4443" s="16"/>
    </row>
    <row r="4444" spans="1:1" x14ac:dyDescent="0.25">
      <c r="A4444" s="16"/>
    </row>
    <row r="4445" spans="1:1" x14ac:dyDescent="0.25">
      <c r="A4445" s="16"/>
    </row>
    <row r="4446" spans="1:1" x14ac:dyDescent="0.25">
      <c r="A4446" s="16"/>
    </row>
    <row r="4447" spans="1:1" x14ac:dyDescent="0.25">
      <c r="A4447" s="16"/>
    </row>
    <row r="4448" spans="1:1" x14ac:dyDescent="0.25">
      <c r="A4448" s="16"/>
    </row>
    <row r="4449" spans="1:1" x14ac:dyDescent="0.25">
      <c r="A4449" s="16"/>
    </row>
    <row r="4450" spans="1:1" x14ac:dyDescent="0.25">
      <c r="A4450" s="16"/>
    </row>
    <row r="4451" spans="1:1" x14ac:dyDescent="0.25">
      <c r="A4451" s="16"/>
    </row>
    <row r="4452" spans="1:1" x14ac:dyDescent="0.25">
      <c r="A4452" s="16"/>
    </row>
    <row r="4453" spans="1:1" x14ac:dyDescent="0.25">
      <c r="A4453" s="16"/>
    </row>
    <row r="4454" spans="1:1" x14ac:dyDescent="0.25">
      <c r="A4454" s="16"/>
    </row>
    <row r="4455" spans="1:1" x14ac:dyDescent="0.25">
      <c r="A4455" s="16"/>
    </row>
    <row r="4456" spans="1:1" x14ac:dyDescent="0.25">
      <c r="A4456" s="16"/>
    </row>
    <row r="4457" spans="1:1" x14ac:dyDescent="0.25">
      <c r="A4457" s="16"/>
    </row>
    <row r="4458" spans="1:1" x14ac:dyDescent="0.25">
      <c r="A4458" s="16"/>
    </row>
    <row r="4459" spans="1:1" x14ac:dyDescent="0.25">
      <c r="A4459" s="16"/>
    </row>
    <row r="4460" spans="1:1" x14ac:dyDescent="0.25">
      <c r="A4460" s="16"/>
    </row>
    <row r="4461" spans="1:1" x14ac:dyDescent="0.25">
      <c r="A4461" s="16"/>
    </row>
    <row r="4462" spans="1:1" x14ac:dyDescent="0.25">
      <c r="A4462" s="16"/>
    </row>
    <row r="4463" spans="1:1" x14ac:dyDescent="0.25">
      <c r="A4463" s="16"/>
    </row>
    <row r="4464" spans="1:1" x14ac:dyDescent="0.25">
      <c r="A4464" s="16"/>
    </row>
    <row r="4465" spans="1:1" x14ac:dyDescent="0.25">
      <c r="A4465" s="16"/>
    </row>
    <row r="4466" spans="1:1" x14ac:dyDescent="0.25">
      <c r="A4466" s="16"/>
    </row>
    <row r="4467" spans="1:1" x14ac:dyDescent="0.25">
      <c r="A4467" s="16"/>
    </row>
    <row r="4468" spans="1:1" x14ac:dyDescent="0.25">
      <c r="A4468" s="16"/>
    </row>
    <row r="4469" spans="1:1" x14ac:dyDescent="0.25">
      <c r="A4469" s="16"/>
    </row>
    <row r="4470" spans="1:1" x14ac:dyDescent="0.25">
      <c r="A4470" s="16"/>
    </row>
    <row r="4471" spans="1:1" x14ac:dyDescent="0.25">
      <c r="A4471" s="16"/>
    </row>
    <row r="4472" spans="1:1" x14ac:dyDescent="0.25">
      <c r="A4472" s="16"/>
    </row>
    <row r="4473" spans="1:1" x14ac:dyDescent="0.25">
      <c r="A4473" s="16"/>
    </row>
    <row r="4474" spans="1:1" x14ac:dyDescent="0.25">
      <c r="A4474" s="16"/>
    </row>
    <row r="4475" spans="1:1" x14ac:dyDescent="0.25">
      <c r="A4475" s="16"/>
    </row>
    <row r="4476" spans="1:1" x14ac:dyDescent="0.25">
      <c r="A4476" s="16"/>
    </row>
    <row r="4477" spans="1:1" x14ac:dyDescent="0.25">
      <c r="A4477" s="16"/>
    </row>
    <row r="4478" spans="1:1" x14ac:dyDescent="0.25">
      <c r="A4478" s="16"/>
    </row>
    <row r="4479" spans="1:1" x14ac:dyDescent="0.25">
      <c r="A4479" s="16"/>
    </row>
    <row r="4480" spans="1:1" x14ac:dyDescent="0.25">
      <c r="A4480" s="16"/>
    </row>
    <row r="4481" spans="1:1" x14ac:dyDescent="0.25">
      <c r="A4481" s="16"/>
    </row>
    <row r="4482" spans="1:1" x14ac:dyDescent="0.25">
      <c r="A4482" s="16"/>
    </row>
    <row r="4483" spans="1:1" x14ac:dyDescent="0.25">
      <c r="A4483" s="16"/>
    </row>
    <row r="4484" spans="1:1" x14ac:dyDescent="0.25">
      <c r="A4484" s="16"/>
    </row>
    <row r="4485" spans="1:1" x14ac:dyDescent="0.25">
      <c r="A4485" s="16"/>
    </row>
    <row r="4486" spans="1:1" x14ac:dyDescent="0.25">
      <c r="A4486" s="16"/>
    </row>
    <row r="4487" spans="1:1" x14ac:dyDescent="0.25">
      <c r="A4487" s="16"/>
    </row>
    <row r="4488" spans="1:1" x14ac:dyDescent="0.25">
      <c r="A4488" s="16"/>
    </row>
    <row r="4489" spans="1:1" x14ac:dyDescent="0.25">
      <c r="A4489" s="16"/>
    </row>
    <row r="4490" spans="1:1" x14ac:dyDescent="0.25">
      <c r="A4490" s="16"/>
    </row>
    <row r="4491" spans="1:1" x14ac:dyDescent="0.25">
      <c r="A4491" s="16"/>
    </row>
    <row r="4492" spans="1:1" x14ac:dyDescent="0.25">
      <c r="A4492" s="16"/>
    </row>
    <row r="4493" spans="1:1" x14ac:dyDescent="0.25">
      <c r="A4493" s="16"/>
    </row>
    <row r="4494" spans="1:1" x14ac:dyDescent="0.25">
      <c r="A4494" s="16"/>
    </row>
    <row r="4495" spans="1:1" x14ac:dyDescent="0.25">
      <c r="A4495" s="16"/>
    </row>
    <row r="4496" spans="1:1" x14ac:dyDescent="0.25">
      <c r="A4496" s="16"/>
    </row>
    <row r="4497" spans="1:1" x14ac:dyDescent="0.25">
      <c r="A4497" s="16"/>
    </row>
    <row r="4498" spans="1:1" x14ac:dyDescent="0.25">
      <c r="A4498" s="16"/>
    </row>
    <row r="4499" spans="1:1" x14ac:dyDescent="0.25">
      <c r="A4499" s="16"/>
    </row>
    <row r="4500" spans="1:1" x14ac:dyDescent="0.25">
      <c r="A4500" s="16"/>
    </row>
    <row r="4501" spans="1:1" x14ac:dyDescent="0.25">
      <c r="A4501" s="16"/>
    </row>
    <row r="4502" spans="1:1" x14ac:dyDescent="0.25">
      <c r="A4502" s="16"/>
    </row>
    <row r="4503" spans="1:1" x14ac:dyDescent="0.25">
      <c r="A4503" s="16"/>
    </row>
    <row r="4504" spans="1:1" x14ac:dyDescent="0.25">
      <c r="A4504" s="16"/>
    </row>
    <row r="4505" spans="1:1" x14ac:dyDescent="0.25">
      <c r="A4505" s="16"/>
    </row>
    <row r="4506" spans="1:1" x14ac:dyDescent="0.25">
      <c r="A4506" s="16"/>
    </row>
    <row r="4507" spans="1:1" x14ac:dyDescent="0.25">
      <c r="A4507" s="16"/>
    </row>
    <row r="4508" spans="1:1" x14ac:dyDescent="0.25">
      <c r="A4508" s="16"/>
    </row>
    <row r="4509" spans="1:1" x14ac:dyDescent="0.25">
      <c r="A4509" s="16"/>
    </row>
    <row r="4510" spans="1:1" x14ac:dyDescent="0.25">
      <c r="A4510" s="16"/>
    </row>
    <row r="4511" spans="1:1" x14ac:dyDescent="0.25">
      <c r="A4511" s="16"/>
    </row>
    <row r="4512" spans="1:1" x14ac:dyDescent="0.25">
      <c r="A4512" s="16"/>
    </row>
    <row r="4513" spans="1:1" x14ac:dyDescent="0.25">
      <c r="A4513" s="16"/>
    </row>
    <row r="4514" spans="1:1" x14ac:dyDescent="0.25">
      <c r="A4514" s="16"/>
    </row>
    <row r="4515" spans="1:1" x14ac:dyDescent="0.25">
      <c r="A4515" s="16"/>
    </row>
    <row r="4516" spans="1:1" x14ac:dyDescent="0.25">
      <c r="A4516" s="16"/>
    </row>
    <row r="4517" spans="1:1" x14ac:dyDescent="0.25">
      <c r="A4517" s="16"/>
    </row>
    <row r="4518" spans="1:1" x14ac:dyDescent="0.25">
      <c r="A4518" s="16"/>
    </row>
    <row r="4519" spans="1:1" x14ac:dyDescent="0.25">
      <c r="A4519" s="16"/>
    </row>
    <row r="4520" spans="1:1" x14ac:dyDescent="0.25">
      <c r="A4520" s="16"/>
    </row>
    <row r="4521" spans="1:1" x14ac:dyDescent="0.25">
      <c r="A4521" s="16"/>
    </row>
    <row r="4522" spans="1:1" x14ac:dyDescent="0.25">
      <c r="A4522" s="16"/>
    </row>
    <row r="4523" spans="1:1" x14ac:dyDescent="0.25">
      <c r="A4523" s="16"/>
    </row>
    <row r="4524" spans="1:1" x14ac:dyDescent="0.25">
      <c r="A4524" s="16"/>
    </row>
    <row r="4525" spans="1:1" x14ac:dyDescent="0.25">
      <c r="A4525" s="16"/>
    </row>
    <row r="4526" spans="1:1" x14ac:dyDescent="0.25">
      <c r="A4526" s="16"/>
    </row>
    <row r="4527" spans="1:1" x14ac:dyDescent="0.25">
      <c r="A4527" s="16"/>
    </row>
    <row r="4528" spans="1:1" x14ac:dyDescent="0.25">
      <c r="A4528" s="16"/>
    </row>
    <row r="4529" spans="1:1" x14ac:dyDescent="0.25">
      <c r="A4529" s="16"/>
    </row>
    <row r="4530" spans="1:1" x14ac:dyDescent="0.25">
      <c r="A4530" s="16"/>
    </row>
    <row r="4531" spans="1:1" x14ac:dyDescent="0.25">
      <c r="A4531" s="16"/>
    </row>
    <row r="4532" spans="1:1" x14ac:dyDescent="0.25">
      <c r="A4532" s="16"/>
    </row>
    <row r="4533" spans="1:1" x14ac:dyDescent="0.25">
      <c r="A4533" s="16"/>
    </row>
    <row r="4534" spans="1:1" x14ac:dyDescent="0.25">
      <c r="A4534" s="16"/>
    </row>
    <row r="4535" spans="1:1" x14ac:dyDescent="0.25">
      <c r="A4535" s="16"/>
    </row>
    <row r="4536" spans="1:1" x14ac:dyDescent="0.25">
      <c r="A4536" s="16"/>
    </row>
    <row r="4537" spans="1:1" x14ac:dyDescent="0.25">
      <c r="A4537" s="16"/>
    </row>
    <row r="4538" spans="1:1" x14ac:dyDescent="0.25">
      <c r="A4538" s="16"/>
    </row>
    <row r="4539" spans="1:1" x14ac:dyDescent="0.25">
      <c r="A4539" s="16"/>
    </row>
    <row r="4540" spans="1:1" x14ac:dyDescent="0.25">
      <c r="A4540" s="16"/>
    </row>
    <row r="4541" spans="1:1" x14ac:dyDescent="0.25">
      <c r="A4541" s="16"/>
    </row>
    <row r="4542" spans="1:1" x14ac:dyDescent="0.25">
      <c r="A4542" s="16"/>
    </row>
    <row r="4543" spans="1:1" x14ac:dyDescent="0.25">
      <c r="A4543" s="16"/>
    </row>
    <row r="4544" spans="1:1" x14ac:dyDescent="0.25">
      <c r="A4544" s="16"/>
    </row>
    <row r="4545" spans="1:1" x14ac:dyDescent="0.25">
      <c r="A4545" s="16"/>
    </row>
    <row r="4546" spans="1:1" x14ac:dyDescent="0.25">
      <c r="A4546" s="16"/>
    </row>
    <row r="4547" spans="1:1" x14ac:dyDescent="0.25">
      <c r="A4547" s="16"/>
    </row>
    <row r="4548" spans="1:1" x14ac:dyDescent="0.25">
      <c r="A4548" s="16"/>
    </row>
    <row r="4549" spans="1:1" x14ac:dyDescent="0.25">
      <c r="A4549" s="16"/>
    </row>
    <row r="4550" spans="1:1" x14ac:dyDescent="0.25">
      <c r="A4550" s="16"/>
    </row>
    <row r="4551" spans="1:1" x14ac:dyDescent="0.25">
      <c r="A4551" s="16"/>
    </row>
    <row r="4552" spans="1:1" x14ac:dyDescent="0.25">
      <c r="A4552" s="16"/>
    </row>
    <row r="4553" spans="1:1" x14ac:dyDescent="0.25">
      <c r="A4553" s="16"/>
    </row>
    <row r="4554" spans="1:1" x14ac:dyDescent="0.25">
      <c r="A4554" s="16"/>
    </row>
    <row r="4555" spans="1:1" x14ac:dyDescent="0.25">
      <c r="A4555" s="16"/>
    </row>
    <row r="4556" spans="1:1" x14ac:dyDescent="0.25">
      <c r="A4556" s="16"/>
    </row>
    <row r="4557" spans="1:1" x14ac:dyDescent="0.25">
      <c r="A4557" s="16"/>
    </row>
    <row r="4558" spans="1:1" x14ac:dyDescent="0.25">
      <c r="A4558" s="16"/>
    </row>
    <row r="4559" spans="1:1" x14ac:dyDescent="0.25">
      <c r="A4559" s="16"/>
    </row>
    <row r="4560" spans="1:1" x14ac:dyDescent="0.25">
      <c r="A4560" s="16"/>
    </row>
    <row r="4561" spans="1:1" x14ac:dyDescent="0.25">
      <c r="A4561" s="16"/>
    </row>
    <row r="4562" spans="1:1" x14ac:dyDescent="0.25">
      <c r="A4562" s="16"/>
    </row>
    <row r="4563" spans="1:1" x14ac:dyDescent="0.25">
      <c r="A4563" s="16"/>
    </row>
    <row r="4564" spans="1:1" x14ac:dyDescent="0.25">
      <c r="A4564" s="16"/>
    </row>
    <row r="4565" spans="1:1" x14ac:dyDescent="0.25">
      <c r="A4565" s="16"/>
    </row>
    <row r="4566" spans="1:1" x14ac:dyDescent="0.25">
      <c r="A4566" s="16"/>
    </row>
    <row r="4567" spans="1:1" x14ac:dyDescent="0.25">
      <c r="A4567" s="16"/>
    </row>
    <row r="4568" spans="1:1" x14ac:dyDescent="0.25">
      <c r="A4568" s="16"/>
    </row>
    <row r="4569" spans="1:1" x14ac:dyDescent="0.25">
      <c r="A4569" s="16"/>
    </row>
    <row r="4570" spans="1:1" x14ac:dyDescent="0.25">
      <c r="A4570" s="16"/>
    </row>
    <row r="4571" spans="1:1" x14ac:dyDescent="0.25">
      <c r="A4571" s="16"/>
    </row>
    <row r="4572" spans="1:1" x14ac:dyDescent="0.25">
      <c r="A4572" s="16"/>
    </row>
    <row r="4573" spans="1:1" x14ac:dyDescent="0.25">
      <c r="A4573" s="16"/>
    </row>
    <row r="4574" spans="1:1" x14ac:dyDescent="0.25">
      <c r="A4574" s="16"/>
    </row>
    <row r="4575" spans="1:1" x14ac:dyDescent="0.25">
      <c r="A4575" s="16"/>
    </row>
    <row r="4576" spans="1:1" x14ac:dyDescent="0.25">
      <c r="A4576" s="16"/>
    </row>
    <row r="4577" spans="1:1" x14ac:dyDescent="0.25">
      <c r="A4577" s="16"/>
    </row>
    <row r="4578" spans="1:1" x14ac:dyDescent="0.25">
      <c r="A4578" s="16"/>
    </row>
    <row r="4579" spans="1:1" x14ac:dyDescent="0.25">
      <c r="A4579" s="16"/>
    </row>
    <row r="4580" spans="1:1" x14ac:dyDescent="0.25">
      <c r="A4580" s="16"/>
    </row>
    <row r="4581" spans="1:1" x14ac:dyDescent="0.25">
      <c r="A4581" s="16"/>
    </row>
    <row r="4582" spans="1:1" x14ac:dyDescent="0.25">
      <c r="A4582" s="16"/>
    </row>
    <row r="4583" spans="1:1" x14ac:dyDescent="0.25">
      <c r="A4583" s="16"/>
    </row>
    <row r="4584" spans="1:1" x14ac:dyDescent="0.25">
      <c r="A4584" s="16"/>
    </row>
    <row r="4585" spans="1:1" x14ac:dyDescent="0.25">
      <c r="A4585" s="16"/>
    </row>
    <row r="4586" spans="1:1" x14ac:dyDescent="0.25">
      <c r="A4586" s="16"/>
    </row>
    <row r="4587" spans="1:1" x14ac:dyDescent="0.25">
      <c r="A4587" s="16"/>
    </row>
    <row r="4588" spans="1:1" x14ac:dyDescent="0.25">
      <c r="A4588" s="16"/>
    </row>
    <row r="4589" spans="1:1" x14ac:dyDescent="0.25">
      <c r="A4589" s="16"/>
    </row>
    <row r="4590" spans="1:1" x14ac:dyDescent="0.25">
      <c r="A4590" s="16"/>
    </row>
    <row r="4591" spans="1:1" x14ac:dyDescent="0.25">
      <c r="A4591" s="16"/>
    </row>
    <row r="4592" spans="1:1" x14ac:dyDescent="0.25">
      <c r="A4592" s="16"/>
    </row>
    <row r="4593" spans="1:1" x14ac:dyDescent="0.25">
      <c r="A4593" s="16"/>
    </row>
    <row r="4594" spans="1:1" x14ac:dyDescent="0.25">
      <c r="A4594" s="16"/>
    </row>
    <row r="4595" spans="1:1" x14ac:dyDescent="0.25">
      <c r="A4595" s="16"/>
    </row>
    <row r="4596" spans="1:1" x14ac:dyDescent="0.25">
      <c r="A4596" s="16"/>
    </row>
    <row r="4597" spans="1:1" x14ac:dyDescent="0.25">
      <c r="A4597" s="16"/>
    </row>
    <row r="4598" spans="1:1" x14ac:dyDescent="0.25">
      <c r="A4598" s="16"/>
    </row>
    <row r="4599" spans="1:1" x14ac:dyDescent="0.25">
      <c r="A4599" s="16"/>
    </row>
    <row r="4600" spans="1:1" x14ac:dyDescent="0.25">
      <c r="A4600" s="16"/>
    </row>
    <row r="4601" spans="1:1" x14ac:dyDescent="0.25">
      <c r="A4601" s="16"/>
    </row>
    <row r="4602" spans="1:1" x14ac:dyDescent="0.25">
      <c r="A4602" s="16"/>
    </row>
    <row r="4603" spans="1:1" x14ac:dyDescent="0.25">
      <c r="A4603" s="16"/>
    </row>
    <row r="4604" spans="1:1" x14ac:dyDescent="0.25">
      <c r="A4604" s="16"/>
    </row>
    <row r="4605" spans="1:1" x14ac:dyDescent="0.25">
      <c r="A4605" s="16"/>
    </row>
    <row r="4606" spans="1:1" x14ac:dyDescent="0.25">
      <c r="A4606" s="16"/>
    </row>
    <row r="4607" spans="1:1" x14ac:dyDescent="0.25">
      <c r="A4607" s="16"/>
    </row>
    <row r="4608" spans="1:1" x14ac:dyDescent="0.25">
      <c r="A4608" s="16"/>
    </row>
    <row r="4609" spans="1:1" x14ac:dyDescent="0.25">
      <c r="A4609" s="16"/>
    </row>
    <row r="4610" spans="1:1" x14ac:dyDescent="0.25">
      <c r="A4610" s="16"/>
    </row>
    <row r="4611" spans="1:1" x14ac:dyDescent="0.25">
      <c r="A4611" s="16"/>
    </row>
    <row r="4612" spans="1:1" x14ac:dyDescent="0.25">
      <c r="A4612" s="16"/>
    </row>
    <row r="4613" spans="1:1" x14ac:dyDescent="0.25">
      <c r="A4613" s="16"/>
    </row>
    <row r="4614" spans="1:1" x14ac:dyDescent="0.25">
      <c r="A4614" s="16"/>
    </row>
    <row r="4615" spans="1:1" x14ac:dyDescent="0.25">
      <c r="A4615" s="16"/>
    </row>
    <row r="4616" spans="1:1" x14ac:dyDescent="0.25">
      <c r="A4616" s="16"/>
    </row>
    <row r="4617" spans="1:1" x14ac:dyDescent="0.25">
      <c r="A4617" s="16"/>
    </row>
    <row r="4618" spans="1:1" x14ac:dyDescent="0.25">
      <c r="A4618" s="16"/>
    </row>
    <row r="4619" spans="1:1" x14ac:dyDescent="0.25">
      <c r="A4619" s="16"/>
    </row>
    <row r="4620" spans="1:1" x14ac:dyDescent="0.25">
      <c r="A4620" s="16"/>
    </row>
    <row r="4621" spans="1:1" x14ac:dyDescent="0.25">
      <c r="A4621" s="16"/>
    </row>
    <row r="4622" spans="1:1" x14ac:dyDescent="0.25">
      <c r="A4622" s="16"/>
    </row>
    <row r="4623" spans="1:1" x14ac:dyDescent="0.25">
      <c r="A4623" s="16"/>
    </row>
    <row r="4624" spans="1:1" x14ac:dyDescent="0.25">
      <c r="A4624" s="16"/>
    </row>
    <row r="4625" spans="1:1" x14ac:dyDescent="0.25">
      <c r="A4625" s="16"/>
    </row>
    <row r="4626" spans="1:1" x14ac:dyDescent="0.25">
      <c r="A4626" s="16"/>
    </row>
    <row r="4627" spans="1:1" x14ac:dyDescent="0.25">
      <c r="A4627" s="16"/>
    </row>
    <row r="4628" spans="1:1" x14ac:dyDescent="0.25">
      <c r="A4628" s="16"/>
    </row>
    <row r="4629" spans="1:1" x14ac:dyDescent="0.25">
      <c r="A4629" s="16"/>
    </row>
    <row r="4630" spans="1:1" x14ac:dyDescent="0.25">
      <c r="A4630" s="16"/>
    </row>
    <row r="4631" spans="1:1" x14ac:dyDescent="0.25">
      <c r="A4631" s="16"/>
    </row>
    <row r="4632" spans="1:1" x14ac:dyDescent="0.25">
      <c r="A4632" s="16"/>
    </row>
    <row r="4633" spans="1:1" x14ac:dyDescent="0.25">
      <c r="A4633" s="16"/>
    </row>
    <row r="4634" spans="1:1" x14ac:dyDescent="0.25">
      <c r="A4634" s="16"/>
    </row>
    <row r="4635" spans="1:1" x14ac:dyDescent="0.25">
      <c r="A4635" s="16"/>
    </row>
    <row r="4636" spans="1:1" x14ac:dyDescent="0.25">
      <c r="A4636" s="16"/>
    </row>
    <row r="4637" spans="1:1" x14ac:dyDescent="0.25">
      <c r="A4637" s="16"/>
    </row>
    <row r="4638" spans="1:1" x14ac:dyDescent="0.25">
      <c r="A4638" s="16"/>
    </row>
    <row r="4639" spans="1:1" x14ac:dyDescent="0.25">
      <c r="A4639" s="16"/>
    </row>
    <row r="4640" spans="1:1" x14ac:dyDescent="0.25">
      <c r="A4640" s="16"/>
    </row>
    <row r="4641" spans="1:1" x14ac:dyDescent="0.25">
      <c r="A4641" s="16"/>
    </row>
    <row r="4642" spans="1:1" x14ac:dyDescent="0.25">
      <c r="A4642" s="16"/>
    </row>
    <row r="4643" spans="1:1" x14ac:dyDescent="0.25">
      <c r="A4643" s="16"/>
    </row>
    <row r="4644" spans="1:1" x14ac:dyDescent="0.25">
      <c r="A4644" s="16"/>
    </row>
    <row r="4645" spans="1:1" x14ac:dyDescent="0.25">
      <c r="A4645" s="16"/>
    </row>
    <row r="4646" spans="1:1" x14ac:dyDescent="0.25">
      <c r="A4646" s="16"/>
    </row>
    <row r="4647" spans="1:1" x14ac:dyDescent="0.25">
      <c r="A4647" s="16"/>
    </row>
    <row r="4648" spans="1:1" x14ac:dyDescent="0.25">
      <c r="A4648" s="16"/>
    </row>
    <row r="4649" spans="1:1" x14ac:dyDescent="0.25">
      <c r="A4649" s="16"/>
    </row>
    <row r="4650" spans="1:1" x14ac:dyDescent="0.25">
      <c r="A4650" s="16"/>
    </row>
    <row r="4651" spans="1:1" x14ac:dyDescent="0.25">
      <c r="A4651" s="16"/>
    </row>
    <row r="4652" spans="1:1" x14ac:dyDescent="0.25">
      <c r="A4652" s="16"/>
    </row>
    <row r="4653" spans="1:1" x14ac:dyDescent="0.25">
      <c r="A4653" s="16"/>
    </row>
    <row r="4654" spans="1:1" x14ac:dyDescent="0.25">
      <c r="A4654" s="16"/>
    </row>
    <row r="4655" spans="1:1" x14ac:dyDescent="0.25">
      <c r="A4655" s="16"/>
    </row>
    <row r="4656" spans="1:1" x14ac:dyDescent="0.25">
      <c r="A4656" s="16"/>
    </row>
    <row r="4657" spans="1:1" x14ac:dyDescent="0.25">
      <c r="A4657" s="16"/>
    </row>
    <row r="4658" spans="1:1" x14ac:dyDescent="0.25">
      <c r="A4658" s="16"/>
    </row>
    <row r="4659" spans="1:1" x14ac:dyDescent="0.25">
      <c r="A4659" s="16"/>
    </row>
    <row r="4660" spans="1:1" x14ac:dyDescent="0.25">
      <c r="A4660" s="16"/>
    </row>
    <row r="4661" spans="1:1" x14ac:dyDescent="0.25">
      <c r="A4661" s="16"/>
    </row>
    <row r="4662" spans="1:1" x14ac:dyDescent="0.25">
      <c r="A4662" s="16"/>
    </row>
    <row r="4663" spans="1:1" x14ac:dyDescent="0.25">
      <c r="A4663" s="16"/>
    </row>
    <row r="4664" spans="1:1" x14ac:dyDescent="0.25">
      <c r="A4664" s="16"/>
    </row>
    <row r="4665" spans="1:1" x14ac:dyDescent="0.25">
      <c r="A4665" s="16"/>
    </row>
    <row r="4666" spans="1:1" x14ac:dyDescent="0.25">
      <c r="A4666" s="16"/>
    </row>
    <row r="4667" spans="1:1" x14ac:dyDescent="0.25">
      <c r="A4667" s="16"/>
    </row>
    <row r="4668" spans="1:1" x14ac:dyDescent="0.25">
      <c r="A4668" s="16"/>
    </row>
    <row r="4669" spans="1:1" x14ac:dyDescent="0.25">
      <c r="A4669" s="16"/>
    </row>
    <row r="4670" spans="1:1" x14ac:dyDescent="0.25">
      <c r="A4670" s="16"/>
    </row>
    <row r="4671" spans="1:1" x14ac:dyDescent="0.25">
      <c r="A4671" s="16"/>
    </row>
    <row r="4672" spans="1:1" x14ac:dyDescent="0.25">
      <c r="A4672" s="16"/>
    </row>
    <row r="4673" spans="1:1" x14ac:dyDescent="0.25">
      <c r="A4673" s="16"/>
    </row>
    <row r="4674" spans="1:1" x14ac:dyDescent="0.25">
      <c r="A4674" s="16"/>
    </row>
    <row r="4675" spans="1:1" x14ac:dyDescent="0.25">
      <c r="A4675" s="16"/>
    </row>
    <row r="4676" spans="1:1" x14ac:dyDescent="0.25">
      <c r="A4676" s="16"/>
    </row>
    <row r="4677" spans="1:1" x14ac:dyDescent="0.25">
      <c r="A4677" s="16"/>
    </row>
    <row r="4678" spans="1:1" x14ac:dyDescent="0.25">
      <c r="A4678" s="16"/>
    </row>
    <row r="4679" spans="1:1" x14ac:dyDescent="0.25">
      <c r="A4679" s="16"/>
    </row>
    <row r="4680" spans="1:1" x14ac:dyDescent="0.25">
      <c r="A4680" s="16"/>
    </row>
    <row r="4681" spans="1:1" x14ac:dyDescent="0.25">
      <c r="A4681" s="16"/>
    </row>
    <row r="4682" spans="1:1" x14ac:dyDescent="0.25">
      <c r="A4682" s="16"/>
    </row>
    <row r="4683" spans="1:1" x14ac:dyDescent="0.25">
      <c r="A4683" s="16"/>
    </row>
    <row r="4684" spans="1:1" x14ac:dyDescent="0.25">
      <c r="A4684" s="16"/>
    </row>
    <row r="4685" spans="1:1" x14ac:dyDescent="0.25">
      <c r="A4685" s="16"/>
    </row>
    <row r="4686" spans="1:1" x14ac:dyDescent="0.25">
      <c r="A4686" s="16"/>
    </row>
    <row r="4687" spans="1:1" x14ac:dyDescent="0.25">
      <c r="A4687" s="16"/>
    </row>
    <row r="4688" spans="1:1" x14ac:dyDescent="0.25">
      <c r="A4688" s="16"/>
    </row>
    <row r="4689" spans="1:1" x14ac:dyDescent="0.25">
      <c r="A4689" s="16"/>
    </row>
    <row r="4690" spans="1:1" x14ac:dyDescent="0.25">
      <c r="A4690" s="16"/>
    </row>
    <row r="4691" spans="1:1" x14ac:dyDescent="0.25">
      <c r="A4691" s="16"/>
    </row>
    <row r="4692" spans="1:1" x14ac:dyDescent="0.25">
      <c r="A4692" s="16"/>
    </row>
    <row r="4693" spans="1:1" x14ac:dyDescent="0.25">
      <c r="A4693" s="16"/>
    </row>
    <row r="4694" spans="1:1" x14ac:dyDescent="0.25">
      <c r="A4694" s="16"/>
    </row>
    <row r="4695" spans="1:1" x14ac:dyDescent="0.25">
      <c r="A4695" s="16"/>
    </row>
    <row r="4696" spans="1:1" x14ac:dyDescent="0.25">
      <c r="A4696" s="16"/>
    </row>
    <row r="4697" spans="1:1" x14ac:dyDescent="0.25">
      <c r="A4697" s="16"/>
    </row>
    <row r="4698" spans="1:1" x14ac:dyDescent="0.25">
      <c r="A4698" s="16"/>
    </row>
    <row r="4699" spans="1:1" x14ac:dyDescent="0.25">
      <c r="A4699" s="16"/>
    </row>
    <row r="4700" spans="1:1" x14ac:dyDescent="0.25">
      <c r="A4700" s="16"/>
    </row>
    <row r="4701" spans="1:1" x14ac:dyDescent="0.25">
      <c r="A4701" s="16"/>
    </row>
    <row r="4702" spans="1:1" x14ac:dyDescent="0.25">
      <c r="A4702" s="16"/>
    </row>
    <row r="4703" spans="1:1" x14ac:dyDescent="0.25">
      <c r="A4703" s="16"/>
    </row>
    <row r="4704" spans="1:1" x14ac:dyDescent="0.25">
      <c r="A4704" s="16"/>
    </row>
    <row r="4705" spans="1:1" x14ac:dyDescent="0.25">
      <c r="A4705" s="16"/>
    </row>
    <row r="4706" spans="1:1" x14ac:dyDescent="0.25">
      <c r="A4706" s="16"/>
    </row>
    <row r="4707" spans="1:1" x14ac:dyDescent="0.25">
      <c r="A4707" s="16"/>
    </row>
    <row r="4708" spans="1:1" x14ac:dyDescent="0.25">
      <c r="A4708" s="16"/>
    </row>
    <row r="4709" spans="1:1" x14ac:dyDescent="0.25">
      <c r="A4709" s="16"/>
    </row>
    <row r="4710" spans="1:1" x14ac:dyDescent="0.25">
      <c r="A4710" s="16"/>
    </row>
    <row r="4711" spans="1:1" x14ac:dyDescent="0.25">
      <c r="A4711" s="16"/>
    </row>
    <row r="4712" spans="1:1" x14ac:dyDescent="0.25">
      <c r="A4712" s="16"/>
    </row>
    <row r="4713" spans="1:1" x14ac:dyDescent="0.25">
      <c r="A4713" s="16"/>
    </row>
    <row r="4714" spans="1:1" x14ac:dyDescent="0.25">
      <c r="A4714" s="16"/>
    </row>
    <row r="4715" spans="1:1" x14ac:dyDescent="0.25">
      <c r="A4715" s="16"/>
    </row>
    <row r="4716" spans="1:1" x14ac:dyDescent="0.25">
      <c r="A4716" s="16"/>
    </row>
    <row r="4717" spans="1:1" x14ac:dyDescent="0.25">
      <c r="A4717" s="16"/>
    </row>
    <row r="4718" spans="1:1" x14ac:dyDescent="0.25">
      <c r="A4718" s="16"/>
    </row>
    <row r="4719" spans="1:1" x14ac:dyDescent="0.25">
      <c r="A4719" s="16"/>
    </row>
    <row r="4720" spans="1:1" x14ac:dyDescent="0.25">
      <c r="A4720" s="16"/>
    </row>
    <row r="4721" spans="1:1" x14ac:dyDescent="0.25">
      <c r="A4721" s="16"/>
    </row>
    <row r="4722" spans="1:1" x14ac:dyDescent="0.25">
      <c r="A4722" s="16"/>
    </row>
    <row r="4723" spans="1:1" x14ac:dyDescent="0.25">
      <c r="A4723" s="16"/>
    </row>
    <row r="4724" spans="1:1" x14ac:dyDescent="0.25">
      <c r="A4724" s="16"/>
    </row>
    <row r="4725" spans="1:1" x14ac:dyDescent="0.25">
      <c r="A4725" s="16"/>
    </row>
    <row r="4726" spans="1:1" x14ac:dyDescent="0.25">
      <c r="A4726" s="16"/>
    </row>
    <row r="4727" spans="1:1" x14ac:dyDescent="0.25">
      <c r="A4727" s="16"/>
    </row>
    <row r="4728" spans="1:1" x14ac:dyDescent="0.25">
      <c r="A4728" s="16"/>
    </row>
    <row r="4729" spans="1:1" x14ac:dyDescent="0.25">
      <c r="A4729" s="16"/>
    </row>
    <row r="4730" spans="1:1" x14ac:dyDescent="0.25">
      <c r="A4730" s="16"/>
    </row>
    <row r="4731" spans="1:1" x14ac:dyDescent="0.25">
      <c r="A4731" s="16"/>
    </row>
    <row r="4732" spans="1:1" x14ac:dyDescent="0.25">
      <c r="A4732" s="16"/>
    </row>
    <row r="4733" spans="1:1" x14ac:dyDescent="0.25">
      <c r="A4733" s="16"/>
    </row>
    <row r="4734" spans="1:1" x14ac:dyDescent="0.25">
      <c r="A4734" s="16"/>
    </row>
    <row r="4735" spans="1:1" x14ac:dyDescent="0.25">
      <c r="A4735" s="16"/>
    </row>
    <row r="4736" spans="1:1" x14ac:dyDescent="0.25">
      <c r="A4736" s="16"/>
    </row>
    <row r="4737" spans="1:1" x14ac:dyDescent="0.25">
      <c r="A4737" s="16"/>
    </row>
    <row r="4738" spans="1:1" x14ac:dyDescent="0.25">
      <c r="A4738" s="16"/>
    </row>
    <row r="4739" spans="1:1" x14ac:dyDescent="0.25">
      <c r="A4739" s="16"/>
    </row>
    <row r="4740" spans="1:1" x14ac:dyDescent="0.25">
      <c r="A4740" s="16"/>
    </row>
    <row r="4741" spans="1:1" x14ac:dyDescent="0.25">
      <c r="A4741" s="16"/>
    </row>
    <row r="4742" spans="1:1" x14ac:dyDescent="0.25">
      <c r="A4742" s="16"/>
    </row>
    <row r="4743" spans="1:1" x14ac:dyDescent="0.25">
      <c r="A4743" s="16"/>
    </row>
    <row r="4744" spans="1:1" x14ac:dyDescent="0.25">
      <c r="A4744" s="16"/>
    </row>
    <row r="4745" spans="1:1" x14ac:dyDescent="0.25">
      <c r="A4745" s="16"/>
    </row>
    <row r="4746" spans="1:1" x14ac:dyDescent="0.25">
      <c r="A4746" s="16"/>
    </row>
    <row r="4747" spans="1:1" x14ac:dyDescent="0.25">
      <c r="A4747" s="16"/>
    </row>
    <row r="4748" spans="1:1" x14ac:dyDescent="0.25">
      <c r="A4748" s="16"/>
    </row>
    <row r="4749" spans="1:1" x14ac:dyDescent="0.25">
      <c r="A4749" s="16"/>
    </row>
    <row r="4750" spans="1:1" x14ac:dyDescent="0.25">
      <c r="A4750" s="16"/>
    </row>
    <row r="4751" spans="1:1" x14ac:dyDescent="0.25">
      <c r="A4751" s="16"/>
    </row>
    <row r="4752" spans="1:1" x14ac:dyDescent="0.25">
      <c r="A4752" s="16"/>
    </row>
    <row r="4753" spans="1:1" x14ac:dyDescent="0.25">
      <c r="A4753" s="16"/>
    </row>
    <row r="4754" spans="1:1" x14ac:dyDescent="0.25">
      <c r="A4754" s="16"/>
    </row>
    <row r="4755" spans="1:1" x14ac:dyDescent="0.25">
      <c r="A4755" s="16"/>
    </row>
    <row r="4756" spans="1:1" x14ac:dyDescent="0.25">
      <c r="A4756" s="16"/>
    </row>
    <row r="4757" spans="1:1" x14ac:dyDescent="0.25">
      <c r="A4757" s="16"/>
    </row>
    <row r="4758" spans="1:1" x14ac:dyDescent="0.25">
      <c r="A4758" s="16"/>
    </row>
    <row r="4759" spans="1:1" x14ac:dyDescent="0.25">
      <c r="A4759" s="16"/>
    </row>
    <row r="4760" spans="1:1" x14ac:dyDescent="0.25">
      <c r="A4760" s="16"/>
    </row>
    <row r="4761" spans="1:1" x14ac:dyDescent="0.25">
      <c r="A4761" s="16"/>
    </row>
    <row r="4762" spans="1:1" x14ac:dyDescent="0.25">
      <c r="A4762" s="16"/>
    </row>
    <row r="4763" spans="1:1" x14ac:dyDescent="0.25">
      <c r="A4763" s="16"/>
    </row>
    <row r="4764" spans="1:1" x14ac:dyDescent="0.25">
      <c r="A4764" s="16"/>
    </row>
    <row r="4765" spans="1:1" x14ac:dyDescent="0.25">
      <c r="A4765" s="16"/>
    </row>
    <row r="4766" spans="1:1" x14ac:dyDescent="0.25">
      <c r="A4766" s="16"/>
    </row>
    <row r="4767" spans="1:1" x14ac:dyDescent="0.25">
      <c r="A4767" s="16"/>
    </row>
    <row r="4768" spans="1:1" x14ac:dyDescent="0.25">
      <c r="A4768" s="16"/>
    </row>
    <row r="4769" spans="1:1" x14ac:dyDescent="0.25">
      <c r="A4769" s="16"/>
    </row>
    <row r="4770" spans="1:1" x14ac:dyDescent="0.25">
      <c r="A4770" s="16"/>
    </row>
    <row r="4771" spans="1:1" x14ac:dyDescent="0.25">
      <c r="A4771" s="16"/>
    </row>
    <row r="4772" spans="1:1" x14ac:dyDescent="0.25">
      <c r="A4772" s="16"/>
    </row>
    <row r="4773" spans="1:1" x14ac:dyDescent="0.25">
      <c r="A4773" s="16"/>
    </row>
    <row r="4774" spans="1:1" x14ac:dyDescent="0.25">
      <c r="A4774" s="16"/>
    </row>
    <row r="4775" spans="1:1" x14ac:dyDescent="0.25">
      <c r="A4775" s="16"/>
    </row>
    <row r="4776" spans="1:1" x14ac:dyDescent="0.25">
      <c r="A4776" s="16"/>
    </row>
    <row r="4777" spans="1:1" x14ac:dyDescent="0.25">
      <c r="A4777" s="16"/>
    </row>
    <row r="4778" spans="1:1" x14ac:dyDescent="0.25">
      <c r="A4778" s="16"/>
    </row>
    <row r="4779" spans="1:1" x14ac:dyDescent="0.25">
      <c r="A4779" s="16"/>
    </row>
    <row r="4780" spans="1:1" x14ac:dyDescent="0.25">
      <c r="A4780" s="16"/>
    </row>
    <row r="4781" spans="1:1" x14ac:dyDescent="0.25">
      <c r="A4781" s="16"/>
    </row>
    <row r="4782" spans="1:1" x14ac:dyDescent="0.25">
      <c r="A4782" s="16"/>
    </row>
    <row r="4783" spans="1:1" x14ac:dyDescent="0.25">
      <c r="A4783" s="16"/>
    </row>
    <row r="4784" spans="1:1" x14ac:dyDescent="0.25">
      <c r="A4784" s="16"/>
    </row>
    <row r="4785" spans="1:1" x14ac:dyDescent="0.25">
      <c r="A4785" s="16"/>
    </row>
    <row r="4786" spans="1:1" x14ac:dyDescent="0.25">
      <c r="A4786" s="16"/>
    </row>
    <row r="4787" spans="1:1" x14ac:dyDescent="0.25">
      <c r="A4787" s="16"/>
    </row>
    <row r="4788" spans="1:1" x14ac:dyDescent="0.25">
      <c r="A4788" s="16"/>
    </row>
    <row r="4789" spans="1:1" x14ac:dyDescent="0.25">
      <c r="A4789" s="16"/>
    </row>
    <row r="4790" spans="1:1" x14ac:dyDescent="0.25">
      <c r="A4790" s="16"/>
    </row>
    <row r="4791" spans="1:1" x14ac:dyDescent="0.25">
      <c r="A4791" s="16"/>
    </row>
    <row r="4792" spans="1:1" x14ac:dyDescent="0.25">
      <c r="A4792" s="16"/>
    </row>
    <row r="4793" spans="1:1" x14ac:dyDescent="0.25">
      <c r="A4793" s="16"/>
    </row>
    <row r="4794" spans="1:1" x14ac:dyDescent="0.25">
      <c r="A4794" s="16"/>
    </row>
    <row r="4795" spans="1:1" x14ac:dyDescent="0.25">
      <c r="A4795" s="16"/>
    </row>
    <row r="4796" spans="1:1" x14ac:dyDescent="0.25">
      <c r="A4796" s="16"/>
    </row>
    <row r="4797" spans="1:1" x14ac:dyDescent="0.25">
      <c r="A4797" s="16"/>
    </row>
    <row r="4798" spans="1:1" x14ac:dyDescent="0.25">
      <c r="A4798" s="16"/>
    </row>
    <row r="4799" spans="1:1" x14ac:dyDescent="0.25">
      <c r="A4799" s="16"/>
    </row>
    <row r="4800" spans="1:1" x14ac:dyDescent="0.25">
      <c r="A4800" s="16"/>
    </row>
    <row r="4801" spans="1:1" x14ac:dyDescent="0.25">
      <c r="A4801" s="16"/>
    </row>
    <row r="4802" spans="1:1" x14ac:dyDescent="0.25">
      <c r="A4802" s="16"/>
    </row>
    <row r="4803" spans="1:1" x14ac:dyDescent="0.25">
      <c r="A4803" s="16"/>
    </row>
    <row r="4804" spans="1:1" x14ac:dyDescent="0.25">
      <c r="A4804" s="16"/>
    </row>
    <row r="4805" spans="1:1" x14ac:dyDescent="0.25">
      <c r="A4805" s="16"/>
    </row>
    <row r="4806" spans="1:1" x14ac:dyDescent="0.25">
      <c r="A4806" s="16"/>
    </row>
    <row r="4807" spans="1:1" x14ac:dyDescent="0.25">
      <c r="A4807" s="16"/>
    </row>
    <row r="4808" spans="1:1" x14ac:dyDescent="0.25">
      <c r="A4808" s="16"/>
    </row>
    <row r="4809" spans="1:1" x14ac:dyDescent="0.25">
      <c r="A4809" s="16"/>
    </row>
    <row r="4810" spans="1:1" x14ac:dyDescent="0.25">
      <c r="A4810" s="16"/>
    </row>
    <row r="4811" spans="1:1" x14ac:dyDescent="0.25">
      <c r="A4811" s="16"/>
    </row>
    <row r="4812" spans="1:1" x14ac:dyDescent="0.25">
      <c r="A4812" s="16"/>
    </row>
    <row r="4813" spans="1:1" x14ac:dyDescent="0.25">
      <c r="A4813" s="16"/>
    </row>
    <row r="4814" spans="1:1" x14ac:dyDescent="0.25">
      <c r="A4814" s="16"/>
    </row>
    <row r="4815" spans="1:1" x14ac:dyDescent="0.25">
      <c r="A4815" s="16"/>
    </row>
    <row r="4816" spans="1:1" x14ac:dyDescent="0.25">
      <c r="A4816" s="16"/>
    </row>
    <row r="4817" spans="1:1" x14ac:dyDescent="0.25">
      <c r="A4817" s="16"/>
    </row>
    <row r="4818" spans="1:1" x14ac:dyDescent="0.25">
      <c r="A4818" s="16"/>
    </row>
    <row r="4819" spans="1:1" x14ac:dyDescent="0.25">
      <c r="A4819" s="16"/>
    </row>
    <row r="4820" spans="1:1" x14ac:dyDescent="0.25">
      <c r="A4820" s="16"/>
    </row>
    <row r="4821" spans="1:1" x14ac:dyDescent="0.25">
      <c r="A4821" s="16"/>
    </row>
    <row r="4822" spans="1:1" x14ac:dyDescent="0.25">
      <c r="A4822" s="16"/>
    </row>
    <row r="4823" spans="1:1" x14ac:dyDescent="0.25">
      <c r="A4823" s="16"/>
    </row>
    <row r="4824" spans="1:1" x14ac:dyDescent="0.25">
      <c r="A4824" s="16"/>
    </row>
    <row r="4825" spans="1:1" x14ac:dyDescent="0.25">
      <c r="A4825" s="16"/>
    </row>
    <row r="4826" spans="1:1" x14ac:dyDescent="0.25">
      <c r="A4826" s="16"/>
    </row>
    <row r="4827" spans="1:1" x14ac:dyDescent="0.25">
      <c r="A4827" s="16"/>
    </row>
    <row r="4828" spans="1:1" x14ac:dyDescent="0.25">
      <c r="A4828" s="16"/>
    </row>
    <row r="4829" spans="1:1" x14ac:dyDescent="0.25">
      <c r="A4829" s="16"/>
    </row>
    <row r="4830" spans="1:1" x14ac:dyDescent="0.25">
      <c r="A4830" s="16"/>
    </row>
    <row r="4831" spans="1:1" x14ac:dyDescent="0.25">
      <c r="A4831" s="16"/>
    </row>
    <row r="4832" spans="1:1" x14ac:dyDescent="0.25">
      <c r="A4832" s="16"/>
    </row>
    <row r="4833" spans="1:1" x14ac:dyDescent="0.25">
      <c r="A4833" s="16"/>
    </row>
    <row r="4834" spans="1:1" x14ac:dyDescent="0.25">
      <c r="A4834" s="16"/>
    </row>
    <row r="4835" spans="1:1" x14ac:dyDescent="0.25">
      <c r="A4835" s="16"/>
    </row>
    <row r="4836" spans="1:1" x14ac:dyDescent="0.25">
      <c r="A4836" s="16"/>
    </row>
    <row r="4837" spans="1:1" x14ac:dyDescent="0.25">
      <c r="A4837" s="16"/>
    </row>
    <row r="4838" spans="1:1" x14ac:dyDescent="0.25">
      <c r="A4838" s="16"/>
    </row>
    <row r="4839" spans="1:1" x14ac:dyDescent="0.25">
      <c r="A4839" s="16"/>
    </row>
    <row r="4840" spans="1:1" x14ac:dyDescent="0.25">
      <c r="A4840" s="16"/>
    </row>
    <row r="4841" spans="1:1" x14ac:dyDescent="0.25">
      <c r="A4841" s="16"/>
    </row>
    <row r="4842" spans="1:1" x14ac:dyDescent="0.25">
      <c r="A4842" s="16"/>
    </row>
    <row r="4843" spans="1:1" x14ac:dyDescent="0.25">
      <c r="A4843" s="16"/>
    </row>
    <row r="4844" spans="1:1" x14ac:dyDescent="0.25">
      <c r="A4844" s="16"/>
    </row>
    <row r="4845" spans="1:1" x14ac:dyDescent="0.25">
      <c r="A4845" s="16"/>
    </row>
    <row r="4846" spans="1:1" x14ac:dyDescent="0.25">
      <c r="A4846" s="16"/>
    </row>
    <row r="4847" spans="1:1" x14ac:dyDescent="0.25">
      <c r="A4847" s="16"/>
    </row>
    <row r="4848" spans="1:1" x14ac:dyDescent="0.25">
      <c r="A4848" s="16"/>
    </row>
    <row r="4849" spans="1:1" x14ac:dyDescent="0.25">
      <c r="A4849" s="16"/>
    </row>
    <row r="4850" spans="1:1" x14ac:dyDescent="0.25">
      <c r="A4850" s="16"/>
    </row>
    <row r="4851" spans="1:1" x14ac:dyDescent="0.25">
      <c r="A4851" s="16"/>
    </row>
    <row r="4852" spans="1:1" x14ac:dyDescent="0.25">
      <c r="A4852" s="16"/>
    </row>
    <row r="4853" spans="1:1" x14ac:dyDescent="0.25">
      <c r="A4853" s="16"/>
    </row>
    <row r="4854" spans="1:1" x14ac:dyDescent="0.25">
      <c r="A4854" s="16"/>
    </row>
    <row r="4855" spans="1:1" x14ac:dyDescent="0.25">
      <c r="A4855" s="16"/>
    </row>
    <row r="4856" spans="1:1" x14ac:dyDescent="0.25">
      <c r="A4856" s="16"/>
    </row>
    <row r="4857" spans="1:1" x14ac:dyDescent="0.25">
      <c r="A4857" s="16"/>
    </row>
    <row r="4858" spans="1:1" x14ac:dyDescent="0.25">
      <c r="A4858" s="16"/>
    </row>
    <row r="4859" spans="1:1" x14ac:dyDescent="0.25">
      <c r="A4859" s="16"/>
    </row>
    <row r="4860" spans="1:1" x14ac:dyDescent="0.25">
      <c r="A4860" s="16"/>
    </row>
    <row r="4861" spans="1:1" x14ac:dyDescent="0.25">
      <c r="A4861" s="16"/>
    </row>
    <row r="4862" spans="1:1" x14ac:dyDescent="0.25">
      <c r="A4862" s="16"/>
    </row>
    <row r="4863" spans="1:1" x14ac:dyDescent="0.25">
      <c r="A4863" s="16"/>
    </row>
    <row r="4864" spans="1:1" x14ac:dyDescent="0.25">
      <c r="A4864" s="16"/>
    </row>
    <row r="4865" spans="1:1" x14ac:dyDescent="0.25">
      <c r="A4865" s="16"/>
    </row>
    <row r="4866" spans="1:1" x14ac:dyDescent="0.25">
      <c r="A4866" s="16"/>
    </row>
    <row r="4867" spans="1:1" x14ac:dyDescent="0.25">
      <c r="A4867" s="16"/>
    </row>
    <row r="4868" spans="1:1" x14ac:dyDescent="0.25">
      <c r="A4868" s="16"/>
    </row>
    <row r="4869" spans="1:1" x14ac:dyDescent="0.25">
      <c r="A4869" s="16"/>
    </row>
    <row r="4870" spans="1:1" x14ac:dyDescent="0.25">
      <c r="A4870" s="16"/>
    </row>
    <row r="4871" spans="1:1" x14ac:dyDescent="0.25">
      <c r="A4871" s="16"/>
    </row>
    <row r="4872" spans="1:1" x14ac:dyDescent="0.25">
      <c r="A4872" s="16"/>
    </row>
    <row r="4873" spans="1:1" x14ac:dyDescent="0.25">
      <c r="A4873" s="16"/>
    </row>
    <row r="4874" spans="1:1" x14ac:dyDescent="0.25">
      <c r="A4874" s="16"/>
    </row>
    <row r="4875" spans="1:1" x14ac:dyDescent="0.25">
      <c r="A4875" s="16"/>
    </row>
    <row r="4876" spans="1:1" x14ac:dyDescent="0.25">
      <c r="A4876" s="16"/>
    </row>
    <row r="4877" spans="1:1" x14ac:dyDescent="0.25">
      <c r="A4877" s="16"/>
    </row>
    <row r="4878" spans="1:1" x14ac:dyDescent="0.25">
      <c r="A4878" s="16"/>
    </row>
    <row r="4879" spans="1:1" x14ac:dyDescent="0.25">
      <c r="A4879" s="16"/>
    </row>
    <row r="4880" spans="1:1" x14ac:dyDescent="0.25">
      <c r="A4880" s="16"/>
    </row>
    <row r="4881" spans="1:1" x14ac:dyDescent="0.25">
      <c r="A4881" s="16"/>
    </row>
    <row r="4882" spans="1:1" x14ac:dyDescent="0.25">
      <c r="A4882" s="16"/>
    </row>
    <row r="4883" spans="1:1" x14ac:dyDescent="0.25">
      <c r="A4883" s="16"/>
    </row>
    <row r="4884" spans="1:1" x14ac:dyDescent="0.25">
      <c r="A4884" s="16"/>
    </row>
    <row r="4885" spans="1:1" x14ac:dyDescent="0.25">
      <c r="A4885" s="16"/>
    </row>
    <row r="4886" spans="1:1" x14ac:dyDescent="0.25">
      <c r="A4886" s="16"/>
    </row>
    <row r="4887" spans="1:1" x14ac:dyDescent="0.25">
      <c r="A4887" s="16"/>
    </row>
    <row r="4888" spans="1:1" x14ac:dyDescent="0.25">
      <c r="A4888" s="16"/>
    </row>
    <row r="4889" spans="1:1" x14ac:dyDescent="0.25">
      <c r="A4889" s="16"/>
    </row>
    <row r="4890" spans="1:1" x14ac:dyDescent="0.25">
      <c r="A4890" s="16"/>
    </row>
    <row r="4891" spans="1:1" x14ac:dyDescent="0.25">
      <c r="A4891" s="16"/>
    </row>
    <row r="4892" spans="1:1" x14ac:dyDescent="0.25">
      <c r="A4892" s="16"/>
    </row>
    <row r="4893" spans="1:1" x14ac:dyDescent="0.25">
      <c r="A4893" s="16"/>
    </row>
    <row r="4894" spans="1:1" x14ac:dyDescent="0.25">
      <c r="A4894" s="16"/>
    </row>
    <row r="4895" spans="1:1" x14ac:dyDescent="0.25">
      <c r="A4895" s="16"/>
    </row>
    <row r="4896" spans="1:1" x14ac:dyDescent="0.25">
      <c r="A4896" s="16"/>
    </row>
    <row r="4897" spans="1:1" x14ac:dyDescent="0.25">
      <c r="A4897" s="16"/>
    </row>
    <row r="4898" spans="1:1" x14ac:dyDescent="0.25">
      <c r="A4898" s="16"/>
    </row>
    <row r="4899" spans="1:1" x14ac:dyDescent="0.25">
      <c r="A4899" s="16"/>
    </row>
    <row r="4900" spans="1:1" x14ac:dyDescent="0.25">
      <c r="A4900" s="16"/>
    </row>
    <row r="4901" spans="1:1" x14ac:dyDescent="0.25">
      <c r="A4901" s="16"/>
    </row>
    <row r="4902" spans="1:1" x14ac:dyDescent="0.25">
      <c r="A4902" s="16"/>
    </row>
    <row r="4903" spans="1:1" x14ac:dyDescent="0.25">
      <c r="A4903" s="16"/>
    </row>
    <row r="4904" spans="1:1" x14ac:dyDescent="0.25">
      <c r="A4904" s="16"/>
    </row>
    <row r="4905" spans="1:1" x14ac:dyDescent="0.25">
      <c r="A4905" s="16"/>
    </row>
    <row r="4906" spans="1:1" x14ac:dyDescent="0.25">
      <c r="A4906" s="16"/>
    </row>
    <row r="4907" spans="1:1" x14ac:dyDescent="0.25">
      <c r="A4907" s="16"/>
    </row>
    <row r="4908" spans="1:1" x14ac:dyDescent="0.25">
      <c r="A4908" s="16"/>
    </row>
    <row r="4909" spans="1:1" x14ac:dyDescent="0.25">
      <c r="A4909" s="16"/>
    </row>
    <row r="4910" spans="1:1" x14ac:dyDescent="0.25">
      <c r="A4910" s="16"/>
    </row>
    <row r="4911" spans="1:1" x14ac:dyDescent="0.25">
      <c r="A4911" s="16"/>
    </row>
    <row r="4912" spans="1:1" x14ac:dyDescent="0.25">
      <c r="A4912" s="16"/>
    </row>
    <row r="4913" spans="1:1" x14ac:dyDescent="0.25">
      <c r="A4913" s="16"/>
    </row>
    <row r="4914" spans="1:1" x14ac:dyDescent="0.25">
      <c r="A4914" s="16"/>
    </row>
    <row r="4915" spans="1:1" x14ac:dyDescent="0.25">
      <c r="A4915" s="16"/>
    </row>
    <row r="4916" spans="1:1" x14ac:dyDescent="0.25">
      <c r="A4916" s="16"/>
    </row>
    <row r="4917" spans="1:1" x14ac:dyDescent="0.25">
      <c r="A4917" s="16"/>
    </row>
    <row r="4918" spans="1:1" x14ac:dyDescent="0.25">
      <c r="A4918" s="16"/>
    </row>
    <row r="4919" spans="1:1" x14ac:dyDescent="0.25">
      <c r="A4919" s="16"/>
    </row>
    <row r="4920" spans="1:1" x14ac:dyDescent="0.25">
      <c r="A4920" s="16"/>
    </row>
    <row r="4921" spans="1:1" x14ac:dyDescent="0.25">
      <c r="A4921" s="16"/>
    </row>
    <row r="4922" spans="1:1" x14ac:dyDescent="0.25">
      <c r="A4922" s="16"/>
    </row>
    <row r="4923" spans="1:1" x14ac:dyDescent="0.25">
      <c r="A4923" s="16"/>
    </row>
    <row r="4924" spans="1:1" x14ac:dyDescent="0.25">
      <c r="A4924" s="16"/>
    </row>
    <row r="4925" spans="1:1" x14ac:dyDescent="0.25">
      <c r="A4925" s="16"/>
    </row>
    <row r="4926" spans="1:1" x14ac:dyDescent="0.25">
      <c r="A4926" s="16"/>
    </row>
    <row r="4927" spans="1:1" x14ac:dyDescent="0.25">
      <c r="A4927" s="16"/>
    </row>
    <row r="4928" spans="1:1" x14ac:dyDescent="0.25">
      <c r="A4928" s="16"/>
    </row>
    <row r="4929" spans="1:1" x14ac:dyDescent="0.25">
      <c r="A4929" s="16"/>
    </row>
    <row r="4930" spans="1:1" x14ac:dyDescent="0.25">
      <c r="A4930" s="16"/>
    </row>
    <row r="4931" spans="1:1" x14ac:dyDescent="0.25">
      <c r="A4931" s="16"/>
    </row>
    <row r="4932" spans="1:1" x14ac:dyDescent="0.25">
      <c r="A4932" s="16"/>
    </row>
    <row r="4933" spans="1:1" x14ac:dyDescent="0.25">
      <c r="A4933" s="16"/>
    </row>
    <row r="4934" spans="1:1" x14ac:dyDescent="0.25">
      <c r="A4934" s="16"/>
    </row>
    <row r="4935" spans="1:1" x14ac:dyDescent="0.25">
      <c r="A4935" s="16"/>
    </row>
    <row r="4936" spans="1:1" x14ac:dyDescent="0.25">
      <c r="A4936" s="16"/>
    </row>
    <row r="4937" spans="1:1" x14ac:dyDescent="0.25">
      <c r="A4937" s="16"/>
    </row>
    <row r="4938" spans="1:1" x14ac:dyDescent="0.25">
      <c r="A4938" s="16"/>
    </row>
    <row r="4939" spans="1:1" x14ac:dyDescent="0.25">
      <c r="A4939" s="16"/>
    </row>
    <row r="4940" spans="1:1" x14ac:dyDescent="0.25">
      <c r="A4940" s="16"/>
    </row>
    <row r="4941" spans="1:1" x14ac:dyDescent="0.25">
      <c r="A4941" s="16"/>
    </row>
    <row r="4942" spans="1:1" x14ac:dyDescent="0.25">
      <c r="A4942" s="16"/>
    </row>
    <row r="4943" spans="1:1" x14ac:dyDescent="0.25">
      <c r="A4943" s="16"/>
    </row>
    <row r="4944" spans="1:1" x14ac:dyDescent="0.25">
      <c r="A4944" s="16"/>
    </row>
    <row r="4945" spans="1:1" x14ac:dyDescent="0.25">
      <c r="A4945" s="16"/>
    </row>
    <row r="4946" spans="1:1" x14ac:dyDescent="0.25">
      <c r="A4946" s="16"/>
    </row>
    <row r="4947" spans="1:1" x14ac:dyDescent="0.25">
      <c r="A4947" s="16"/>
    </row>
    <row r="4948" spans="1:1" x14ac:dyDescent="0.25">
      <c r="A4948" s="16"/>
    </row>
    <row r="4949" spans="1:1" x14ac:dyDescent="0.25">
      <c r="A4949" s="16"/>
    </row>
    <row r="4950" spans="1:1" x14ac:dyDescent="0.25">
      <c r="A4950" s="16"/>
    </row>
    <row r="4951" spans="1:1" x14ac:dyDescent="0.25">
      <c r="A4951" s="16"/>
    </row>
    <row r="4952" spans="1:1" x14ac:dyDescent="0.25">
      <c r="A4952" s="16"/>
    </row>
    <row r="4953" spans="1:1" x14ac:dyDescent="0.25">
      <c r="A4953" s="16"/>
    </row>
    <row r="4954" spans="1:1" x14ac:dyDescent="0.25">
      <c r="A4954" s="16"/>
    </row>
    <row r="4955" spans="1:1" x14ac:dyDescent="0.25">
      <c r="A4955" s="16"/>
    </row>
    <row r="4956" spans="1:1" x14ac:dyDescent="0.25">
      <c r="A4956" s="16"/>
    </row>
    <row r="4957" spans="1:1" x14ac:dyDescent="0.25">
      <c r="A4957" s="16"/>
    </row>
    <row r="4958" spans="1:1" x14ac:dyDescent="0.25">
      <c r="A4958" s="16"/>
    </row>
    <row r="4959" spans="1:1" x14ac:dyDescent="0.25">
      <c r="A4959" s="16"/>
    </row>
    <row r="4960" spans="1:1" x14ac:dyDescent="0.25">
      <c r="A4960" s="16"/>
    </row>
    <row r="4961" spans="1:1" x14ac:dyDescent="0.25">
      <c r="A4961" s="16"/>
    </row>
    <row r="4962" spans="1:1" x14ac:dyDescent="0.25">
      <c r="A4962" s="16"/>
    </row>
    <row r="4963" spans="1:1" x14ac:dyDescent="0.25">
      <c r="A4963" s="16"/>
    </row>
    <row r="4964" spans="1:1" x14ac:dyDescent="0.25">
      <c r="A4964" s="16"/>
    </row>
    <row r="4965" spans="1:1" x14ac:dyDescent="0.25">
      <c r="A4965" s="16"/>
    </row>
    <row r="4966" spans="1:1" x14ac:dyDescent="0.25">
      <c r="A4966" s="16"/>
    </row>
    <row r="4967" spans="1:1" x14ac:dyDescent="0.25">
      <c r="A4967" s="16"/>
    </row>
    <row r="4968" spans="1:1" x14ac:dyDescent="0.25">
      <c r="A4968" s="16"/>
    </row>
    <row r="4969" spans="1:1" x14ac:dyDescent="0.25">
      <c r="A4969" s="16"/>
    </row>
    <row r="4970" spans="1:1" x14ac:dyDescent="0.25">
      <c r="A4970" s="16"/>
    </row>
    <row r="4971" spans="1:1" x14ac:dyDescent="0.25">
      <c r="A4971" s="16"/>
    </row>
    <row r="4972" spans="1:1" x14ac:dyDescent="0.25">
      <c r="A4972" s="16"/>
    </row>
    <row r="4973" spans="1:1" x14ac:dyDescent="0.25">
      <c r="A4973" s="16"/>
    </row>
    <row r="4974" spans="1:1" x14ac:dyDescent="0.25">
      <c r="A4974" s="16"/>
    </row>
    <row r="4975" spans="1:1" x14ac:dyDescent="0.25">
      <c r="A4975" s="16"/>
    </row>
    <row r="4976" spans="1:1" x14ac:dyDescent="0.25">
      <c r="A4976" s="16"/>
    </row>
    <row r="4977" spans="1:1" x14ac:dyDescent="0.25">
      <c r="A4977" s="16"/>
    </row>
    <row r="4978" spans="1:1" x14ac:dyDescent="0.25">
      <c r="A4978" s="16"/>
    </row>
    <row r="4979" spans="1:1" x14ac:dyDescent="0.25">
      <c r="A4979" s="16"/>
    </row>
    <row r="4980" spans="1:1" x14ac:dyDescent="0.25">
      <c r="A4980" s="16"/>
    </row>
    <row r="4981" spans="1:1" x14ac:dyDescent="0.25">
      <c r="A4981" s="16"/>
    </row>
    <row r="4982" spans="1:1" x14ac:dyDescent="0.25">
      <c r="A4982" s="16"/>
    </row>
    <row r="4983" spans="1:1" x14ac:dyDescent="0.25">
      <c r="A4983" s="16"/>
    </row>
    <row r="4984" spans="1:1" x14ac:dyDescent="0.25">
      <c r="A4984" s="16"/>
    </row>
    <row r="4985" spans="1:1" x14ac:dyDescent="0.25">
      <c r="A4985" s="16"/>
    </row>
    <row r="4986" spans="1:1" x14ac:dyDescent="0.25">
      <c r="A4986" s="16"/>
    </row>
    <row r="4987" spans="1:1" x14ac:dyDescent="0.25">
      <c r="A4987" s="16"/>
    </row>
    <row r="4988" spans="1:1" x14ac:dyDescent="0.25">
      <c r="A4988" s="16"/>
    </row>
    <row r="4989" spans="1:1" x14ac:dyDescent="0.25">
      <c r="A4989" s="16"/>
    </row>
    <row r="4990" spans="1:1" x14ac:dyDescent="0.25">
      <c r="A4990" s="16"/>
    </row>
    <row r="4991" spans="1:1" x14ac:dyDescent="0.25">
      <c r="A4991" s="16"/>
    </row>
    <row r="4992" spans="1:1" x14ac:dyDescent="0.25">
      <c r="A4992" s="16"/>
    </row>
    <row r="4993" spans="1:1" x14ac:dyDescent="0.25">
      <c r="A4993" s="16"/>
    </row>
    <row r="4994" spans="1:1" x14ac:dyDescent="0.25">
      <c r="A4994" s="16"/>
    </row>
    <row r="4995" spans="1:1" x14ac:dyDescent="0.25">
      <c r="A4995" s="16"/>
    </row>
    <row r="4996" spans="1:1" x14ac:dyDescent="0.25">
      <c r="A4996" s="16"/>
    </row>
    <row r="4997" spans="1:1" x14ac:dyDescent="0.25">
      <c r="A4997" s="16"/>
    </row>
    <row r="4998" spans="1:1" x14ac:dyDescent="0.25">
      <c r="A4998" s="16"/>
    </row>
    <row r="4999" spans="1:1" x14ac:dyDescent="0.25">
      <c r="A4999" s="16"/>
    </row>
    <row r="5000" spans="1:1" x14ac:dyDescent="0.25">
      <c r="A5000" s="16"/>
    </row>
    <row r="5001" spans="1:1" x14ac:dyDescent="0.25">
      <c r="A5001" s="16"/>
    </row>
    <row r="5002" spans="1:1" x14ac:dyDescent="0.25">
      <c r="A5002" s="16"/>
    </row>
    <row r="5003" spans="1:1" x14ac:dyDescent="0.25">
      <c r="A5003" s="16"/>
    </row>
    <row r="5004" spans="1:1" x14ac:dyDescent="0.25">
      <c r="A5004" s="16"/>
    </row>
    <row r="5005" spans="1:1" x14ac:dyDescent="0.25">
      <c r="A5005" s="16"/>
    </row>
    <row r="5006" spans="1:1" x14ac:dyDescent="0.25">
      <c r="A5006" s="16"/>
    </row>
    <row r="5007" spans="1:1" x14ac:dyDescent="0.25">
      <c r="A5007" s="16"/>
    </row>
    <row r="5008" spans="1:1" x14ac:dyDescent="0.25">
      <c r="A5008" s="16"/>
    </row>
    <row r="5009" spans="1:1" x14ac:dyDescent="0.25">
      <c r="A5009" s="16"/>
    </row>
    <row r="5010" spans="1:1" x14ac:dyDescent="0.25">
      <c r="A5010" s="16"/>
    </row>
    <row r="5011" spans="1:1" x14ac:dyDescent="0.25">
      <c r="A5011" s="16"/>
    </row>
    <row r="5012" spans="1:1" x14ac:dyDescent="0.25">
      <c r="A5012" s="16"/>
    </row>
    <row r="5013" spans="1:1" x14ac:dyDescent="0.25">
      <c r="A5013" s="16"/>
    </row>
    <row r="5014" spans="1:1" x14ac:dyDescent="0.25">
      <c r="A5014" s="16"/>
    </row>
    <row r="5015" spans="1:1" x14ac:dyDescent="0.25">
      <c r="A5015" s="16"/>
    </row>
    <row r="5016" spans="1:1" x14ac:dyDescent="0.25">
      <c r="A5016" s="16"/>
    </row>
    <row r="5017" spans="1:1" x14ac:dyDescent="0.25">
      <c r="A5017" s="16"/>
    </row>
    <row r="5018" spans="1:1" x14ac:dyDescent="0.25">
      <c r="A5018" s="16"/>
    </row>
    <row r="5019" spans="1:1" x14ac:dyDescent="0.25">
      <c r="A5019" s="16"/>
    </row>
    <row r="5020" spans="1:1" x14ac:dyDescent="0.25">
      <c r="A5020" s="16"/>
    </row>
    <row r="5021" spans="1:1" x14ac:dyDescent="0.25">
      <c r="A5021" s="16"/>
    </row>
    <row r="5022" spans="1:1" x14ac:dyDescent="0.25">
      <c r="A5022" s="16"/>
    </row>
    <row r="5023" spans="1:1" x14ac:dyDescent="0.25">
      <c r="A5023" s="16"/>
    </row>
    <row r="5024" spans="1:1" x14ac:dyDescent="0.25">
      <c r="A5024" s="16"/>
    </row>
    <row r="5025" spans="1:1" x14ac:dyDescent="0.25">
      <c r="A5025" s="16"/>
    </row>
    <row r="5026" spans="1:1" x14ac:dyDescent="0.25">
      <c r="A5026" s="16"/>
    </row>
    <row r="5027" spans="1:1" x14ac:dyDescent="0.25">
      <c r="A5027" s="16"/>
    </row>
    <row r="5028" spans="1:1" x14ac:dyDescent="0.25">
      <c r="A5028" s="16"/>
    </row>
    <row r="5029" spans="1:1" x14ac:dyDescent="0.25">
      <c r="A5029" s="16"/>
    </row>
    <row r="5030" spans="1:1" x14ac:dyDescent="0.25">
      <c r="A5030" s="16"/>
    </row>
    <row r="5031" spans="1:1" x14ac:dyDescent="0.25">
      <c r="A5031" s="16"/>
    </row>
    <row r="5032" spans="1:1" x14ac:dyDescent="0.25">
      <c r="A5032" s="16"/>
    </row>
    <row r="5033" spans="1:1" x14ac:dyDescent="0.25">
      <c r="A5033" s="16"/>
    </row>
    <row r="5034" spans="1:1" x14ac:dyDescent="0.25">
      <c r="A5034" s="16"/>
    </row>
    <row r="5035" spans="1:1" x14ac:dyDescent="0.25">
      <c r="A5035" s="16"/>
    </row>
    <row r="5036" spans="1:1" x14ac:dyDescent="0.25">
      <c r="A5036" s="16"/>
    </row>
    <row r="5037" spans="1:1" x14ac:dyDescent="0.25">
      <c r="A5037" s="16"/>
    </row>
    <row r="5038" spans="1:1" x14ac:dyDescent="0.25">
      <c r="A5038" s="16"/>
    </row>
    <row r="5039" spans="1:1" x14ac:dyDescent="0.25">
      <c r="A5039" s="16"/>
    </row>
    <row r="5040" spans="1:1" x14ac:dyDescent="0.25">
      <c r="A5040" s="16"/>
    </row>
    <row r="5041" spans="1:1" x14ac:dyDescent="0.25">
      <c r="A5041" s="16"/>
    </row>
    <row r="5042" spans="1:1" x14ac:dyDescent="0.25">
      <c r="A5042" s="16"/>
    </row>
    <row r="5043" spans="1:1" x14ac:dyDescent="0.25">
      <c r="A5043" s="16"/>
    </row>
    <row r="5044" spans="1:1" x14ac:dyDescent="0.25">
      <c r="A5044" s="16"/>
    </row>
    <row r="5045" spans="1:1" x14ac:dyDescent="0.25">
      <c r="A5045" s="16"/>
    </row>
    <row r="5046" spans="1:1" x14ac:dyDescent="0.25">
      <c r="A5046" s="16"/>
    </row>
    <row r="5047" spans="1:1" x14ac:dyDescent="0.25">
      <c r="A5047" s="16"/>
    </row>
    <row r="5048" spans="1:1" x14ac:dyDescent="0.25">
      <c r="A5048" s="16"/>
    </row>
    <row r="5049" spans="1:1" x14ac:dyDescent="0.25">
      <c r="A5049" s="16"/>
    </row>
    <row r="5050" spans="1:1" x14ac:dyDescent="0.25">
      <c r="A5050" s="16"/>
    </row>
    <row r="5051" spans="1:1" x14ac:dyDescent="0.25">
      <c r="A5051" s="16"/>
    </row>
    <row r="5052" spans="1:1" x14ac:dyDescent="0.25">
      <c r="A5052" s="16"/>
    </row>
    <row r="5053" spans="1:1" x14ac:dyDescent="0.25">
      <c r="A5053" s="16"/>
    </row>
    <row r="5054" spans="1:1" x14ac:dyDescent="0.25">
      <c r="A5054" s="16"/>
    </row>
    <row r="5055" spans="1:1" x14ac:dyDescent="0.25">
      <c r="A5055" s="16"/>
    </row>
    <row r="5056" spans="1:1" x14ac:dyDescent="0.25">
      <c r="A5056" s="16"/>
    </row>
    <row r="5057" spans="1:1" x14ac:dyDescent="0.25">
      <c r="A5057" s="16"/>
    </row>
    <row r="5058" spans="1:1" x14ac:dyDescent="0.25">
      <c r="A5058" s="16"/>
    </row>
    <row r="5059" spans="1:1" x14ac:dyDescent="0.25">
      <c r="A5059" s="16"/>
    </row>
    <row r="5060" spans="1:1" x14ac:dyDescent="0.25">
      <c r="A5060" s="16"/>
    </row>
    <row r="5061" spans="1:1" x14ac:dyDescent="0.25">
      <c r="A5061" s="16"/>
    </row>
    <row r="5062" spans="1:1" x14ac:dyDescent="0.25">
      <c r="A5062" s="16"/>
    </row>
    <row r="5063" spans="1:1" x14ac:dyDescent="0.25">
      <c r="A5063" s="16"/>
    </row>
    <row r="5064" spans="1:1" x14ac:dyDescent="0.25">
      <c r="A5064" s="16"/>
    </row>
    <row r="5065" spans="1:1" x14ac:dyDescent="0.25">
      <c r="A5065" s="16"/>
    </row>
    <row r="5066" spans="1:1" x14ac:dyDescent="0.25">
      <c r="A5066" s="16"/>
    </row>
    <row r="5067" spans="1:1" x14ac:dyDescent="0.25">
      <c r="A5067" s="16"/>
    </row>
    <row r="5068" spans="1:1" x14ac:dyDescent="0.25">
      <c r="A5068" s="16"/>
    </row>
    <row r="5069" spans="1:1" x14ac:dyDescent="0.25">
      <c r="A5069" s="16"/>
    </row>
    <row r="5070" spans="1:1" x14ac:dyDescent="0.25">
      <c r="A5070" s="16"/>
    </row>
    <row r="5071" spans="1:1" x14ac:dyDescent="0.25">
      <c r="A5071" s="16"/>
    </row>
    <row r="5072" spans="1:1" x14ac:dyDescent="0.25">
      <c r="A5072" s="16"/>
    </row>
    <row r="5073" spans="1:1" x14ac:dyDescent="0.25">
      <c r="A5073" s="16"/>
    </row>
    <row r="5074" spans="1:1" x14ac:dyDescent="0.25">
      <c r="A5074" s="16"/>
    </row>
    <row r="5075" spans="1:1" x14ac:dyDescent="0.25">
      <c r="A5075" s="16"/>
    </row>
    <row r="5076" spans="1:1" x14ac:dyDescent="0.25">
      <c r="A5076" s="16"/>
    </row>
    <row r="5077" spans="1:1" x14ac:dyDescent="0.25">
      <c r="A5077" s="16"/>
    </row>
    <row r="5078" spans="1:1" x14ac:dyDescent="0.25">
      <c r="A5078" s="16"/>
    </row>
    <row r="5079" spans="1:1" x14ac:dyDescent="0.25">
      <c r="A5079" s="16"/>
    </row>
    <row r="5080" spans="1:1" x14ac:dyDescent="0.25">
      <c r="A5080" s="16"/>
    </row>
    <row r="5081" spans="1:1" x14ac:dyDescent="0.25">
      <c r="A5081" s="16"/>
    </row>
    <row r="5082" spans="1:1" x14ac:dyDescent="0.25">
      <c r="A5082" s="16"/>
    </row>
    <row r="5083" spans="1:1" x14ac:dyDescent="0.25">
      <c r="A5083" s="16"/>
    </row>
    <row r="5084" spans="1:1" x14ac:dyDescent="0.25">
      <c r="A5084" s="16"/>
    </row>
    <row r="5085" spans="1:1" x14ac:dyDescent="0.25">
      <c r="A5085" s="16"/>
    </row>
    <row r="5086" spans="1:1" x14ac:dyDescent="0.25">
      <c r="A5086" s="16"/>
    </row>
    <row r="5087" spans="1:1" x14ac:dyDescent="0.25">
      <c r="A5087" s="16"/>
    </row>
    <row r="5088" spans="1:1" x14ac:dyDescent="0.25">
      <c r="A5088" s="16"/>
    </row>
    <row r="5089" spans="1:1" x14ac:dyDescent="0.25">
      <c r="A5089" s="16"/>
    </row>
    <row r="5090" spans="1:1" x14ac:dyDescent="0.25">
      <c r="A5090" s="16"/>
    </row>
    <row r="5091" spans="1:1" x14ac:dyDescent="0.25">
      <c r="A5091" s="16"/>
    </row>
    <row r="5092" spans="1:1" x14ac:dyDescent="0.25">
      <c r="A5092" s="16"/>
    </row>
    <row r="5093" spans="1:1" x14ac:dyDescent="0.25">
      <c r="A5093" s="16"/>
    </row>
    <row r="5094" spans="1:1" x14ac:dyDescent="0.25">
      <c r="A5094" s="16"/>
    </row>
    <row r="5095" spans="1:1" x14ac:dyDescent="0.25">
      <c r="A5095" s="16"/>
    </row>
    <row r="5096" spans="1:1" x14ac:dyDescent="0.25">
      <c r="A5096" s="16"/>
    </row>
    <row r="5097" spans="1:1" x14ac:dyDescent="0.25">
      <c r="A5097" s="16"/>
    </row>
    <row r="5098" spans="1:1" x14ac:dyDescent="0.25">
      <c r="A5098" s="16"/>
    </row>
    <row r="5099" spans="1:1" x14ac:dyDescent="0.25">
      <c r="A5099" s="16"/>
    </row>
    <row r="5100" spans="1:1" x14ac:dyDescent="0.25">
      <c r="A5100" s="16"/>
    </row>
    <row r="5101" spans="1:1" x14ac:dyDescent="0.25">
      <c r="A5101" s="16"/>
    </row>
    <row r="5102" spans="1:1" x14ac:dyDescent="0.25">
      <c r="A5102" s="16"/>
    </row>
    <row r="5103" spans="1:1" x14ac:dyDescent="0.25">
      <c r="A5103" s="16"/>
    </row>
    <row r="5104" spans="1:1" x14ac:dyDescent="0.25">
      <c r="A5104" s="16"/>
    </row>
    <row r="5105" spans="1:1" x14ac:dyDescent="0.25">
      <c r="A5105" s="16"/>
    </row>
    <row r="5106" spans="1:1" x14ac:dyDescent="0.25">
      <c r="A5106" s="16"/>
    </row>
    <row r="5107" spans="1:1" x14ac:dyDescent="0.25">
      <c r="A5107" s="16"/>
    </row>
    <row r="5108" spans="1:1" x14ac:dyDescent="0.25">
      <c r="A5108" s="16"/>
    </row>
    <row r="5109" spans="1:1" x14ac:dyDescent="0.25">
      <c r="A5109" s="16"/>
    </row>
    <row r="5110" spans="1:1" x14ac:dyDescent="0.25">
      <c r="A5110" s="16"/>
    </row>
    <row r="5111" spans="1:1" x14ac:dyDescent="0.25">
      <c r="A5111" s="16"/>
    </row>
    <row r="5112" spans="1:1" x14ac:dyDescent="0.25">
      <c r="A5112" s="16"/>
    </row>
    <row r="5113" spans="1:1" x14ac:dyDescent="0.25">
      <c r="A5113" s="16"/>
    </row>
    <row r="5114" spans="1:1" x14ac:dyDescent="0.25">
      <c r="A5114" s="16"/>
    </row>
    <row r="5115" spans="1:1" x14ac:dyDescent="0.25">
      <c r="A5115" s="16"/>
    </row>
    <row r="5116" spans="1:1" x14ac:dyDescent="0.25">
      <c r="A5116" s="16"/>
    </row>
    <row r="5117" spans="1:1" x14ac:dyDescent="0.25">
      <c r="A5117" s="16"/>
    </row>
    <row r="5118" spans="1:1" x14ac:dyDescent="0.25">
      <c r="A5118" s="16"/>
    </row>
    <row r="5119" spans="1:1" x14ac:dyDescent="0.25">
      <c r="A5119" s="16"/>
    </row>
    <row r="5120" spans="1:1" x14ac:dyDescent="0.25">
      <c r="A5120" s="16"/>
    </row>
    <row r="5121" spans="1:1" x14ac:dyDescent="0.25">
      <c r="A5121" s="16"/>
    </row>
    <row r="5122" spans="1:1" x14ac:dyDescent="0.25">
      <c r="A5122" s="16"/>
    </row>
    <row r="5123" spans="1:1" x14ac:dyDescent="0.25">
      <c r="A5123" s="16"/>
    </row>
    <row r="5124" spans="1:1" x14ac:dyDescent="0.25">
      <c r="A5124" s="16"/>
    </row>
    <row r="5125" spans="1:1" x14ac:dyDescent="0.25">
      <c r="A5125" s="16"/>
    </row>
    <row r="5126" spans="1:1" x14ac:dyDescent="0.25">
      <c r="A5126" s="16"/>
    </row>
    <row r="5127" spans="1:1" x14ac:dyDescent="0.25">
      <c r="A5127" s="16"/>
    </row>
    <row r="5128" spans="1:1" x14ac:dyDescent="0.25">
      <c r="A5128" s="16"/>
    </row>
    <row r="5129" spans="1:1" x14ac:dyDescent="0.25">
      <c r="A5129" s="16"/>
    </row>
    <row r="5130" spans="1:1" x14ac:dyDescent="0.25">
      <c r="A5130" s="16"/>
    </row>
    <row r="5131" spans="1:1" x14ac:dyDescent="0.25">
      <c r="A5131" s="16"/>
    </row>
    <row r="5132" spans="1:1" x14ac:dyDescent="0.25">
      <c r="A5132" s="16"/>
    </row>
    <row r="5133" spans="1:1" x14ac:dyDescent="0.25">
      <c r="A5133" s="16"/>
    </row>
    <row r="5134" spans="1:1" x14ac:dyDescent="0.25">
      <c r="A5134" s="16"/>
    </row>
    <row r="5135" spans="1:1" x14ac:dyDescent="0.25">
      <c r="A5135" s="16"/>
    </row>
    <row r="5136" spans="1:1" x14ac:dyDescent="0.25">
      <c r="A5136" s="16"/>
    </row>
    <row r="5137" spans="1:1" x14ac:dyDescent="0.25">
      <c r="A5137" s="16"/>
    </row>
    <row r="5138" spans="1:1" x14ac:dyDescent="0.25">
      <c r="A5138" s="16"/>
    </row>
    <row r="5139" spans="1:1" x14ac:dyDescent="0.25">
      <c r="A5139" s="16"/>
    </row>
    <row r="5140" spans="1:1" x14ac:dyDescent="0.25">
      <c r="A5140" s="16"/>
    </row>
    <row r="5141" spans="1:1" x14ac:dyDescent="0.25">
      <c r="A5141" s="16"/>
    </row>
    <row r="5142" spans="1:1" x14ac:dyDescent="0.25">
      <c r="A5142" s="16"/>
    </row>
    <row r="5143" spans="1:1" x14ac:dyDescent="0.25">
      <c r="A5143" s="16"/>
    </row>
    <row r="5144" spans="1:1" x14ac:dyDescent="0.25">
      <c r="A5144" s="16"/>
    </row>
    <row r="5145" spans="1:1" x14ac:dyDescent="0.25">
      <c r="A5145" s="16"/>
    </row>
    <row r="5146" spans="1:1" x14ac:dyDescent="0.25">
      <c r="A5146" s="16"/>
    </row>
    <row r="5147" spans="1:1" x14ac:dyDescent="0.25">
      <c r="A5147" s="16"/>
    </row>
    <row r="5148" spans="1:1" x14ac:dyDescent="0.25">
      <c r="A5148" s="16"/>
    </row>
    <row r="5149" spans="1:1" x14ac:dyDescent="0.25">
      <c r="A5149" s="16"/>
    </row>
    <row r="5150" spans="1:1" x14ac:dyDescent="0.25">
      <c r="A5150" s="16"/>
    </row>
    <row r="5151" spans="1:1" x14ac:dyDescent="0.25">
      <c r="A5151" s="16"/>
    </row>
    <row r="5152" spans="1:1" x14ac:dyDescent="0.25">
      <c r="A5152" s="16"/>
    </row>
    <row r="5153" spans="1:1" x14ac:dyDescent="0.25">
      <c r="A5153" s="16"/>
    </row>
    <row r="5154" spans="1:1" x14ac:dyDescent="0.25">
      <c r="A5154" s="16"/>
    </row>
    <row r="5155" spans="1:1" x14ac:dyDescent="0.25">
      <c r="A5155" s="16"/>
    </row>
    <row r="5156" spans="1:1" x14ac:dyDescent="0.25">
      <c r="A5156" s="16"/>
    </row>
    <row r="5157" spans="1:1" x14ac:dyDescent="0.25">
      <c r="A5157" s="16"/>
    </row>
    <row r="5158" spans="1:1" x14ac:dyDescent="0.25">
      <c r="A5158" s="16"/>
    </row>
    <row r="5159" spans="1:1" x14ac:dyDescent="0.25">
      <c r="A5159" s="16"/>
    </row>
    <row r="5160" spans="1:1" x14ac:dyDescent="0.25">
      <c r="A5160" s="16"/>
    </row>
    <row r="5161" spans="1:1" x14ac:dyDescent="0.25">
      <c r="A5161" s="16"/>
    </row>
    <row r="5162" spans="1:1" x14ac:dyDescent="0.25">
      <c r="A5162" s="16"/>
    </row>
    <row r="5163" spans="1:1" x14ac:dyDescent="0.25">
      <c r="A5163" s="16"/>
    </row>
    <row r="5164" spans="1:1" x14ac:dyDescent="0.25">
      <c r="A5164" s="16"/>
    </row>
    <row r="5165" spans="1:1" x14ac:dyDescent="0.25">
      <c r="A5165" s="16"/>
    </row>
    <row r="5166" spans="1:1" x14ac:dyDescent="0.25">
      <c r="A5166" s="16"/>
    </row>
    <row r="5167" spans="1:1" x14ac:dyDescent="0.25">
      <c r="A5167" s="16"/>
    </row>
    <row r="5168" spans="1:1" x14ac:dyDescent="0.25">
      <c r="A5168" s="16"/>
    </row>
    <row r="5169" spans="1:1" x14ac:dyDescent="0.25">
      <c r="A5169" s="16"/>
    </row>
    <row r="5170" spans="1:1" x14ac:dyDescent="0.25">
      <c r="A5170" s="16"/>
    </row>
    <row r="5171" spans="1:1" x14ac:dyDescent="0.25">
      <c r="A5171" s="16"/>
    </row>
    <row r="5172" spans="1:1" x14ac:dyDescent="0.25">
      <c r="A5172" s="16"/>
    </row>
    <row r="5173" spans="1:1" x14ac:dyDescent="0.25">
      <c r="A5173" s="16"/>
    </row>
    <row r="5174" spans="1:1" x14ac:dyDescent="0.25">
      <c r="A5174" s="16"/>
    </row>
    <row r="5175" spans="1:1" x14ac:dyDescent="0.25">
      <c r="A5175" s="16"/>
    </row>
    <row r="5176" spans="1:1" x14ac:dyDescent="0.25">
      <c r="A5176" s="16"/>
    </row>
    <row r="5177" spans="1:1" x14ac:dyDescent="0.25">
      <c r="A5177" s="16"/>
    </row>
    <row r="5178" spans="1:1" x14ac:dyDescent="0.25">
      <c r="A5178" s="16"/>
    </row>
    <row r="5179" spans="1:1" x14ac:dyDescent="0.25">
      <c r="A5179" s="16"/>
    </row>
    <row r="5180" spans="1:1" x14ac:dyDescent="0.25">
      <c r="A5180" s="16"/>
    </row>
    <row r="5181" spans="1:1" x14ac:dyDescent="0.25">
      <c r="A5181" s="16"/>
    </row>
    <row r="5182" spans="1:1" x14ac:dyDescent="0.25">
      <c r="A5182" s="16"/>
    </row>
    <row r="5183" spans="1:1" x14ac:dyDescent="0.25">
      <c r="A5183" s="16"/>
    </row>
    <row r="5184" spans="1:1" x14ac:dyDescent="0.25">
      <c r="A5184" s="16"/>
    </row>
    <row r="5185" spans="1:1" x14ac:dyDescent="0.25">
      <c r="A5185" s="16"/>
    </row>
    <row r="5186" spans="1:1" x14ac:dyDescent="0.25">
      <c r="A5186" s="16"/>
    </row>
    <row r="5187" spans="1:1" x14ac:dyDescent="0.25">
      <c r="A5187" s="16"/>
    </row>
    <row r="5188" spans="1:1" x14ac:dyDescent="0.25">
      <c r="A5188" s="16"/>
    </row>
    <row r="5189" spans="1:1" x14ac:dyDescent="0.25">
      <c r="A5189" s="16"/>
    </row>
    <row r="5190" spans="1:1" x14ac:dyDescent="0.25">
      <c r="A5190" s="16"/>
    </row>
    <row r="5191" spans="1:1" x14ac:dyDescent="0.25">
      <c r="A5191" s="16"/>
    </row>
    <row r="5192" spans="1:1" x14ac:dyDescent="0.25">
      <c r="A5192" s="16"/>
    </row>
    <row r="5193" spans="1:1" x14ac:dyDescent="0.25">
      <c r="A5193" s="16"/>
    </row>
    <row r="5194" spans="1:1" x14ac:dyDescent="0.25">
      <c r="A5194" s="16"/>
    </row>
    <row r="5195" spans="1:1" x14ac:dyDescent="0.25">
      <c r="A5195" s="16"/>
    </row>
    <row r="5196" spans="1:1" x14ac:dyDescent="0.25">
      <c r="A5196" s="16"/>
    </row>
    <row r="5197" spans="1:1" x14ac:dyDescent="0.25">
      <c r="A5197" s="16"/>
    </row>
    <row r="5198" spans="1:1" x14ac:dyDescent="0.25">
      <c r="A5198" s="16"/>
    </row>
    <row r="5199" spans="1:1" x14ac:dyDescent="0.25">
      <c r="A5199" s="16"/>
    </row>
    <row r="5200" spans="1:1" x14ac:dyDescent="0.25">
      <c r="A5200" s="16"/>
    </row>
    <row r="5201" spans="1:1" x14ac:dyDescent="0.25">
      <c r="A5201" s="16"/>
    </row>
    <row r="5202" spans="1:1" x14ac:dyDescent="0.25">
      <c r="A5202" s="16"/>
    </row>
    <row r="5203" spans="1:1" x14ac:dyDescent="0.25">
      <c r="A5203" s="16"/>
    </row>
    <row r="5204" spans="1:1" x14ac:dyDescent="0.25">
      <c r="A5204" s="16"/>
    </row>
    <row r="5205" spans="1:1" x14ac:dyDescent="0.25">
      <c r="A5205" s="16"/>
    </row>
    <row r="5206" spans="1:1" x14ac:dyDescent="0.25">
      <c r="A5206" s="16"/>
    </row>
    <row r="5207" spans="1:1" x14ac:dyDescent="0.25">
      <c r="A5207" s="16"/>
    </row>
    <row r="5208" spans="1:1" x14ac:dyDescent="0.25">
      <c r="A5208" s="16"/>
    </row>
    <row r="5209" spans="1:1" x14ac:dyDescent="0.25">
      <c r="A5209" s="16"/>
    </row>
    <row r="5210" spans="1:1" x14ac:dyDescent="0.25">
      <c r="A5210" s="16"/>
    </row>
    <row r="5211" spans="1:1" x14ac:dyDescent="0.25">
      <c r="A5211" s="16"/>
    </row>
    <row r="5212" spans="1:1" x14ac:dyDescent="0.25">
      <c r="A5212" s="16"/>
    </row>
    <row r="5213" spans="1:1" x14ac:dyDescent="0.25">
      <c r="A5213" s="16"/>
    </row>
    <row r="5214" spans="1:1" x14ac:dyDescent="0.25">
      <c r="A5214" s="16"/>
    </row>
    <row r="5215" spans="1:1" x14ac:dyDescent="0.25">
      <c r="A5215" s="16"/>
    </row>
    <row r="5216" spans="1:1" x14ac:dyDescent="0.25">
      <c r="A5216" s="16"/>
    </row>
    <row r="5217" spans="1:1" x14ac:dyDescent="0.25">
      <c r="A5217" s="16"/>
    </row>
    <row r="5218" spans="1:1" x14ac:dyDescent="0.25">
      <c r="A5218" s="16"/>
    </row>
    <row r="5219" spans="1:1" x14ac:dyDescent="0.25">
      <c r="A5219" s="16"/>
    </row>
    <row r="5220" spans="1:1" x14ac:dyDescent="0.25">
      <c r="A5220" s="16"/>
    </row>
    <row r="5221" spans="1:1" x14ac:dyDescent="0.25">
      <c r="A5221" s="16"/>
    </row>
    <row r="5222" spans="1:1" x14ac:dyDescent="0.25">
      <c r="A5222" s="16"/>
    </row>
    <row r="5223" spans="1:1" x14ac:dyDescent="0.25">
      <c r="A5223" s="16"/>
    </row>
    <row r="5224" spans="1:1" x14ac:dyDescent="0.25">
      <c r="A5224" s="16"/>
    </row>
    <row r="5225" spans="1:1" x14ac:dyDescent="0.25">
      <c r="A5225" s="16"/>
    </row>
    <row r="5226" spans="1:1" x14ac:dyDescent="0.25">
      <c r="A5226" s="16"/>
    </row>
    <row r="5227" spans="1:1" x14ac:dyDescent="0.25">
      <c r="A5227" s="16"/>
    </row>
    <row r="5228" spans="1:1" x14ac:dyDescent="0.25">
      <c r="A5228" s="16"/>
    </row>
    <row r="5229" spans="1:1" x14ac:dyDescent="0.25">
      <c r="A5229" s="16"/>
    </row>
    <row r="5230" spans="1:1" x14ac:dyDescent="0.25">
      <c r="A5230" s="16"/>
    </row>
    <row r="5231" spans="1:1" x14ac:dyDescent="0.25">
      <c r="A5231" s="16"/>
    </row>
    <row r="5232" spans="1:1" x14ac:dyDescent="0.25">
      <c r="A5232" s="16"/>
    </row>
    <row r="5233" spans="1:1" x14ac:dyDescent="0.25">
      <c r="A5233" s="16"/>
    </row>
    <row r="5234" spans="1:1" x14ac:dyDescent="0.25">
      <c r="A5234" s="16"/>
    </row>
    <row r="5235" spans="1:1" x14ac:dyDescent="0.25">
      <c r="A5235" s="16"/>
    </row>
    <row r="5236" spans="1:1" x14ac:dyDescent="0.25">
      <c r="A5236" s="16"/>
    </row>
    <row r="5237" spans="1:1" x14ac:dyDescent="0.25">
      <c r="A5237" s="16"/>
    </row>
    <row r="5238" spans="1:1" x14ac:dyDescent="0.25">
      <c r="A5238" s="16"/>
    </row>
    <row r="5239" spans="1:1" x14ac:dyDescent="0.25">
      <c r="A5239" s="16"/>
    </row>
    <row r="5240" spans="1:1" x14ac:dyDescent="0.25">
      <c r="A5240" s="16"/>
    </row>
    <row r="5241" spans="1:1" x14ac:dyDescent="0.25">
      <c r="A5241" s="16"/>
    </row>
    <row r="5242" spans="1:1" x14ac:dyDescent="0.25">
      <c r="A5242" s="16"/>
    </row>
    <row r="5243" spans="1:1" x14ac:dyDescent="0.25">
      <c r="A5243" s="16"/>
    </row>
    <row r="5244" spans="1:1" x14ac:dyDescent="0.25">
      <c r="A5244" s="16"/>
    </row>
    <row r="5245" spans="1:1" x14ac:dyDescent="0.25">
      <c r="A5245" s="16"/>
    </row>
    <row r="5246" spans="1:1" x14ac:dyDescent="0.25">
      <c r="A5246" s="16"/>
    </row>
    <row r="5247" spans="1:1" x14ac:dyDescent="0.25">
      <c r="A5247" s="16"/>
    </row>
    <row r="5248" spans="1:1" x14ac:dyDescent="0.25">
      <c r="A5248" s="16"/>
    </row>
    <row r="5249" spans="1:1" x14ac:dyDescent="0.25">
      <c r="A5249" s="16"/>
    </row>
    <row r="5250" spans="1:1" x14ac:dyDescent="0.25">
      <c r="A5250" s="16"/>
    </row>
    <row r="5251" spans="1:1" x14ac:dyDescent="0.25">
      <c r="A5251" s="16"/>
    </row>
    <row r="5252" spans="1:1" x14ac:dyDescent="0.25">
      <c r="A5252" s="16"/>
    </row>
    <row r="5253" spans="1:1" x14ac:dyDescent="0.25">
      <c r="A5253" s="16"/>
    </row>
    <row r="5254" spans="1:1" x14ac:dyDescent="0.25">
      <c r="A5254" s="16"/>
    </row>
    <row r="5255" spans="1:1" x14ac:dyDescent="0.25">
      <c r="A5255" s="16"/>
    </row>
    <row r="5256" spans="1:1" x14ac:dyDescent="0.25">
      <c r="A5256" s="16"/>
    </row>
    <row r="5257" spans="1:1" x14ac:dyDescent="0.25">
      <c r="A5257" s="16"/>
    </row>
    <row r="5258" spans="1:1" x14ac:dyDescent="0.25">
      <c r="A5258" s="16"/>
    </row>
    <row r="5259" spans="1:1" x14ac:dyDescent="0.25">
      <c r="A5259" s="16"/>
    </row>
    <row r="5260" spans="1:1" x14ac:dyDescent="0.25">
      <c r="A5260" s="16"/>
    </row>
    <row r="5261" spans="1:1" x14ac:dyDescent="0.25">
      <c r="A5261" s="16"/>
    </row>
    <row r="5262" spans="1:1" x14ac:dyDescent="0.25">
      <c r="A5262" s="16"/>
    </row>
    <row r="5263" spans="1:1" x14ac:dyDescent="0.25">
      <c r="A5263" s="16"/>
    </row>
    <row r="5264" spans="1:1" x14ac:dyDescent="0.25">
      <c r="A5264" s="16"/>
    </row>
    <row r="5265" spans="1:1" x14ac:dyDescent="0.25">
      <c r="A5265" s="16"/>
    </row>
    <row r="5266" spans="1:1" x14ac:dyDescent="0.25">
      <c r="A5266" s="16"/>
    </row>
    <row r="5267" spans="1:1" x14ac:dyDescent="0.25">
      <c r="A5267" s="16"/>
    </row>
    <row r="5268" spans="1:1" x14ac:dyDescent="0.25">
      <c r="A5268" s="16"/>
    </row>
    <row r="5269" spans="1:1" x14ac:dyDescent="0.25">
      <c r="A5269" s="16"/>
    </row>
    <row r="5270" spans="1:1" x14ac:dyDescent="0.25">
      <c r="A5270" s="16"/>
    </row>
    <row r="5271" spans="1:1" x14ac:dyDescent="0.25">
      <c r="A5271" s="16"/>
    </row>
    <row r="5272" spans="1:1" x14ac:dyDescent="0.25">
      <c r="A5272" s="16"/>
    </row>
    <row r="5273" spans="1:1" x14ac:dyDescent="0.25">
      <c r="A5273" s="16"/>
    </row>
    <row r="5274" spans="1:1" x14ac:dyDescent="0.25">
      <c r="A5274" s="16"/>
    </row>
    <row r="5275" spans="1:1" x14ac:dyDescent="0.25">
      <c r="A5275" s="16"/>
    </row>
    <row r="5276" spans="1:1" x14ac:dyDescent="0.25">
      <c r="A5276" s="16"/>
    </row>
    <row r="5277" spans="1:1" x14ac:dyDescent="0.25">
      <c r="A5277" s="16"/>
    </row>
    <row r="5278" spans="1:1" x14ac:dyDescent="0.25">
      <c r="A5278" s="16"/>
    </row>
    <row r="5279" spans="1:1" x14ac:dyDescent="0.25">
      <c r="A5279" s="16"/>
    </row>
    <row r="5280" spans="1:1" x14ac:dyDescent="0.25">
      <c r="A5280" s="16"/>
    </row>
    <row r="5281" spans="1:1" x14ac:dyDescent="0.25">
      <c r="A5281" s="16"/>
    </row>
    <row r="5282" spans="1:1" x14ac:dyDescent="0.25">
      <c r="A5282" s="16"/>
    </row>
    <row r="5283" spans="1:1" x14ac:dyDescent="0.25">
      <c r="A5283" s="16"/>
    </row>
    <row r="5284" spans="1:1" x14ac:dyDescent="0.25">
      <c r="A5284" s="16"/>
    </row>
    <row r="5285" spans="1:1" x14ac:dyDescent="0.25">
      <c r="A5285" s="16"/>
    </row>
    <row r="5286" spans="1:1" x14ac:dyDescent="0.25">
      <c r="A5286" s="16"/>
    </row>
    <row r="5287" spans="1:1" x14ac:dyDescent="0.25">
      <c r="A5287" s="16"/>
    </row>
    <row r="5288" spans="1:1" x14ac:dyDescent="0.25">
      <c r="A5288" s="16"/>
    </row>
    <row r="5289" spans="1:1" x14ac:dyDescent="0.25">
      <c r="A5289" s="16"/>
    </row>
    <row r="5290" spans="1:1" x14ac:dyDescent="0.25">
      <c r="A5290" s="16"/>
    </row>
    <row r="5291" spans="1:1" x14ac:dyDescent="0.25">
      <c r="A5291" s="16"/>
    </row>
    <row r="5292" spans="1:1" x14ac:dyDescent="0.25">
      <c r="A5292" s="16"/>
    </row>
    <row r="5293" spans="1:1" x14ac:dyDescent="0.25">
      <c r="A5293" s="16"/>
    </row>
    <row r="5294" spans="1:1" x14ac:dyDescent="0.25">
      <c r="A5294" s="16"/>
    </row>
    <row r="5295" spans="1:1" x14ac:dyDescent="0.25">
      <c r="A5295" s="16"/>
    </row>
    <row r="5296" spans="1:1" x14ac:dyDescent="0.25">
      <c r="A5296" s="16"/>
    </row>
    <row r="5297" spans="1:1" x14ac:dyDescent="0.25">
      <c r="A5297" s="16"/>
    </row>
    <row r="5298" spans="1:1" x14ac:dyDescent="0.25">
      <c r="A5298" s="16"/>
    </row>
    <row r="5299" spans="1:1" x14ac:dyDescent="0.25">
      <c r="A5299" s="16"/>
    </row>
    <row r="5300" spans="1:1" x14ac:dyDescent="0.25">
      <c r="A5300" s="16"/>
    </row>
    <row r="5301" spans="1:1" x14ac:dyDescent="0.25">
      <c r="A5301" s="16"/>
    </row>
    <row r="5302" spans="1:1" x14ac:dyDescent="0.25">
      <c r="A5302" s="16"/>
    </row>
    <row r="5303" spans="1:1" x14ac:dyDescent="0.25">
      <c r="A5303" s="16"/>
    </row>
    <row r="5304" spans="1:1" x14ac:dyDescent="0.25">
      <c r="A5304" s="16"/>
    </row>
    <row r="5305" spans="1:1" x14ac:dyDescent="0.25">
      <c r="A5305" s="16"/>
    </row>
    <row r="5306" spans="1:1" x14ac:dyDescent="0.25">
      <c r="A5306" s="16"/>
    </row>
    <row r="5307" spans="1:1" x14ac:dyDescent="0.25">
      <c r="A5307" s="16"/>
    </row>
    <row r="5308" spans="1:1" x14ac:dyDescent="0.25">
      <c r="A5308" s="16"/>
    </row>
    <row r="5309" spans="1:1" x14ac:dyDescent="0.25">
      <c r="A5309" s="16"/>
    </row>
    <row r="5310" spans="1:1" x14ac:dyDescent="0.25">
      <c r="A5310" s="16"/>
    </row>
    <row r="5311" spans="1:1" x14ac:dyDescent="0.25">
      <c r="A5311" s="16"/>
    </row>
    <row r="5312" spans="1:1" x14ac:dyDescent="0.25">
      <c r="A5312" s="16"/>
    </row>
    <row r="5313" spans="1:1" x14ac:dyDescent="0.25">
      <c r="A5313" s="16"/>
    </row>
    <row r="5314" spans="1:1" x14ac:dyDescent="0.25">
      <c r="A5314" s="16"/>
    </row>
    <row r="5315" spans="1:1" x14ac:dyDescent="0.25">
      <c r="A5315" s="16"/>
    </row>
    <row r="5316" spans="1:1" x14ac:dyDescent="0.25">
      <c r="A5316" s="16"/>
    </row>
    <row r="5317" spans="1:1" x14ac:dyDescent="0.25">
      <c r="A5317" s="16"/>
    </row>
    <row r="5318" spans="1:1" x14ac:dyDescent="0.25">
      <c r="A5318" s="16"/>
    </row>
    <row r="5319" spans="1:1" x14ac:dyDescent="0.25">
      <c r="A5319" s="16"/>
    </row>
    <row r="5320" spans="1:1" x14ac:dyDescent="0.25">
      <c r="A5320" s="16"/>
    </row>
    <row r="5321" spans="1:1" x14ac:dyDescent="0.25">
      <c r="A5321" s="16"/>
    </row>
    <row r="5322" spans="1:1" x14ac:dyDescent="0.25">
      <c r="A5322" s="16"/>
    </row>
    <row r="5323" spans="1:1" x14ac:dyDescent="0.25">
      <c r="A5323" s="16"/>
    </row>
    <row r="5324" spans="1:1" x14ac:dyDescent="0.25">
      <c r="A5324" s="16"/>
    </row>
    <row r="5325" spans="1:1" x14ac:dyDescent="0.25">
      <c r="A5325" s="16"/>
    </row>
    <row r="5326" spans="1:1" x14ac:dyDescent="0.25">
      <c r="A5326" s="16"/>
    </row>
    <row r="5327" spans="1:1" x14ac:dyDescent="0.25">
      <c r="A5327" s="16"/>
    </row>
    <row r="5328" spans="1:1" x14ac:dyDescent="0.25">
      <c r="A5328" s="16"/>
    </row>
    <row r="5329" spans="1:1" x14ac:dyDescent="0.25">
      <c r="A5329" s="16"/>
    </row>
    <row r="5330" spans="1:1" x14ac:dyDescent="0.25">
      <c r="A5330" s="16"/>
    </row>
    <row r="5331" spans="1:1" x14ac:dyDescent="0.25">
      <c r="A5331" s="16"/>
    </row>
    <row r="5332" spans="1:1" x14ac:dyDescent="0.25">
      <c r="A5332" s="16"/>
    </row>
    <row r="5333" spans="1:1" x14ac:dyDescent="0.25">
      <c r="A5333" s="16"/>
    </row>
    <row r="5334" spans="1:1" x14ac:dyDescent="0.25">
      <c r="A5334" s="16"/>
    </row>
    <row r="5335" spans="1:1" x14ac:dyDescent="0.25">
      <c r="A5335" s="16"/>
    </row>
    <row r="5336" spans="1:1" x14ac:dyDescent="0.25">
      <c r="A5336" s="16"/>
    </row>
    <row r="5337" spans="1:1" x14ac:dyDescent="0.25">
      <c r="A5337" s="16"/>
    </row>
    <row r="5338" spans="1:1" x14ac:dyDescent="0.25">
      <c r="A5338" s="16"/>
    </row>
    <row r="5339" spans="1:1" x14ac:dyDescent="0.25">
      <c r="A5339" s="16"/>
    </row>
    <row r="5340" spans="1:1" x14ac:dyDescent="0.25">
      <c r="A5340" s="16"/>
    </row>
    <row r="5341" spans="1:1" x14ac:dyDescent="0.25">
      <c r="A5341" s="16"/>
    </row>
    <row r="5342" spans="1:1" x14ac:dyDescent="0.25">
      <c r="A5342" s="16"/>
    </row>
    <row r="5343" spans="1:1" x14ac:dyDescent="0.25">
      <c r="A5343" s="16"/>
    </row>
    <row r="5344" spans="1:1" x14ac:dyDescent="0.25">
      <c r="A5344" s="16"/>
    </row>
    <row r="5345" spans="1:1" x14ac:dyDescent="0.25">
      <c r="A5345" s="16"/>
    </row>
    <row r="5346" spans="1:1" x14ac:dyDescent="0.25">
      <c r="A5346" s="16"/>
    </row>
    <row r="5347" spans="1:1" x14ac:dyDescent="0.25">
      <c r="A5347" s="16"/>
    </row>
    <row r="5348" spans="1:1" x14ac:dyDescent="0.25">
      <c r="A5348" s="16"/>
    </row>
    <row r="5349" spans="1:1" x14ac:dyDescent="0.25">
      <c r="A5349" s="16"/>
    </row>
    <row r="5350" spans="1:1" x14ac:dyDescent="0.25">
      <c r="A5350" s="16"/>
    </row>
    <row r="5351" spans="1:1" x14ac:dyDescent="0.25">
      <c r="A5351" s="16"/>
    </row>
    <row r="5352" spans="1:1" x14ac:dyDescent="0.25">
      <c r="A5352" s="16"/>
    </row>
    <row r="5353" spans="1:1" x14ac:dyDescent="0.25">
      <c r="A5353" s="16"/>
    </row>
    <row r="5354" spans="1:1" x14ac:dyDescent="0.25">
      <c r="A5354" s="16"/>
    </row>
    <row r="5355" spans="1:1" x14ac:dyDescent="0.25">
      <c r="A5355" s="16"/>
    </row>
    <row r="5356" spans="1:1" x14ac:dyDescent="0.25">
      <c r="A5356" s="16"/>
    </row>
    <row r="5357" spans="1:1" x14ac:dyDescent="0.25">
      <c r="A5357" s="16"/>
    </row>
    <row r="5358" spans="1:1" x14ac:dyDescent="0.25">
      <c r="A5358" s="16"/>
    </row>
    <row r="5359" spans="1:1" x14ac:dyDescent="0.25">
      <c r="A5359" s="16"/>
    </row>
    <row r="5360" spans="1:1" x14ac:dyDescent="0.25">
      <c r="A5360" s="16"/>
    </row>
    <row r="5361" spans="1:1" x14ac:dyDescent="0.25">
      <c r="A5361" s="16"/>
    </row>
    <row r="5362" spans="1:1" x14ac:dyDescent="0.25">
      <c r="A5362" s="16"/>
    </row>
    <row r="5363" spans="1:1" x14ac:dyDescent="0.25">
      <c r="A5363" s="16"/>
    </row>
    <row r="5364" spans="1:1" x14ac:dyDescent="0.25">
      <c r="A5364" s="16"/>
    </row>
    <row r="5365" spans="1:1" x14ac:dyDescent="0.25">
      <c r="A5365" s="16"/>
    </row>
    <row r="5366" spans="1:1" x14ac:dyDescent="0.25">
      <c r="A5366" s="16"/>
    </row>
    <row r="5367" spans="1:1" x14ac:dyDescent="0.25">
      <c r="A5367" s="16"/>
    </row>
    <row r="5368" spans="1:1" x14ac:dyDescent="0.25">
      <c r="A5368" s="16"/>
    </row>
    <row r="5369" spans="1:1" x14ac:dyDescent="0.25">
      <c r="A5369" s="16"/>
    </row>
    <row r="5370" spans="1:1" x14ac:dyDescent="0.25">
      <c r="A5370" s="16"/>
    </row>
    <row r="5371" spans="1:1" x14ac:dyDescent="0.25">
      <c r="A5371" s="16"/>
    </row>
    <row r="5372" spans="1:1" x14ac:dyDescent="0.25">
      <c r="A5372" s="16"/>
    </row>
    <row r="5373" spans="1:1" x14ac:dyDescent="0.25">
      <c r="A5373" s="16"/>
    </row>
    <row r="5374" spans="1:1" x14ac:dyDescent="0.25">
      <c r="A5374" s="16"/>
    </row>
    <row r="5375" spans="1:1" x14ac:dyDescent="0.25">
      <c r="A5375" s="16"/>
    </row>
    <row r="5376" spans="1:1" x14ac:dyDescent="0.25">
      <c r="A5376" s="16"/>
    </row>
    <row r="5377" spans="1:1" x14ac:dyDescent="0.25">
      <c r="A5377" s="16"/>
    </row>
    <row r="5378" spans="1:1" x14ac:dyDescent="0.25">
      <c r="A5378" s="16"/>
    </row>
    <row r="5379" spans="1:1" x14ac:dyDescent="0.25">
      <c r="A5379" s="16"/>
    </row>
    <row r="5380" spans="1:1" x14ac:dyDescent="0.25">
      <c r="A5380" s="16"/>
    </row>
    <row r="5381" spans="1:1" x14ac:dyDescent="0.25">
      <c r="A5381" s="16"/>
    </row>
    <row r="5382" spans="1:1" x14ac:dyDescent="0.25">
      <c r="A5382" s="16"/>
    </row>
    <row r="5383" spans="1:1" x14ac:dyDescent="0.25">
      <c r="A5383" s="16"/>
    </row>
    <row r="5384" spans="1:1" x14ac:dyDescent="0.25">
      <c r="A5384" s="16"/>
    </row>
    <row r="5385" spans="1:1" x14ac:dyDescent="0.25">
      <c r="A5385" s="16"/>
    </row>
    <row r="5386" spans="1:1" x14ac:dyDescent="0.25">
      <c r="A5386" s="16"/>
    </row>
    <row r="5387" spans="1:1" x14ac:dyDescent="0.25">
      <c r="A5387" s="16"/>
    </row>
    <row r="5388" spans="1:1" x14ac:dyDescent="0.25">
      <c r="A5388" s="16"/>
    </row>
    <row r="5389" spans="1:1" x14ac:dyDescent="0.25">
      <c r="A5389" s="16"/>
    </row>
    <row r="5390" spans="1:1" x14ac:dyDescent="0.25">
      <c r="A5390" s="16"/>
    </row>
    <row r="5391" spans="1:1" x14ac:dyDescent="0.25">
      <c r="A5391" s="16"/>
    </row>
    <row r="5392" spans="1:1" x14ac:dyDescent="0.25">
      <c r="A5392" s="16"/>
    </row>
    <row r="5393" spans="1:1" x14ac:dyDescent="0.25">
      <c r="A5393" s="16"/>
    </row>
    <row r="5394" spans="1:1" x14ac:dyDescent="0.25">
      <c r="A5394" s="16"/>
    </row>
    <row r="5395" spans="1:1" x14ac:dyDescent="0.25">
      <c r="A5395" s="16"/>
    </row>
    <row r="5396" spans="1:1" x14ac:dyDescent="0.25">
      <c r="A5396" s="16"/>
    </row>
    <row r="5397" spans="1:1" x14ac:dyDescent="0.25">
      <c r="A5397" s="16"/>
    </row>
    <row r="5398" spans="1:1" x14ac:dyDescent="0.25">
      <c r="A5398" s="16"/>
    </row>
    <row r="5399" spans="1:1" x14ac:dyDescent="0.25">
      <c r="A5399" s="16"/>
    </row>
    <row r="5400" spans="1:1" x14ac:dyDescent="0.25">
      <c r="A5400" s="16"/>
    </row>
    <row r="5401" spans="1:1" x14ac:dyDescent="0.25">
      <c r="A5401" s="16"/>
    </row>
    <row r="5402" spans="1:1" x14ac:dyDescent="0.25">
      <c r="A5402" s="16"/>
    </row>
    <row r="5403" spans="1:1" x14ac:dyDescent="0.25">
      <c r="A5403" s="16"/>
    </row>
    <row r="5404" spans="1:1" x14ac:dyDescent="0.25">
      <c r="A5404" s="16"/>
    </row>
    <row r="5405" spans="1:1" x14ac:dyDescent="0.25">
      <c r="A5405" s="16"/>
    </row>
    <row r="5406" spans="1:1" x14ac:dyDescent="0.25">
      <c r="A5406" s="16"/>
    </row>
    <row r="5407" spans="1:1" x14ac:dyDescent="0.25">
      <c r="A5407" s="16"/>
    </row>
    <row r="5408" spans="1:1" x14ac:dyDescent="0.25">
      <c r="A5408" s="16"/>
    </row>
    <row r="5409" spans="1:1" x14ac:dyDescent="0.25">
      <c r="A5409" s="16"/>
    </row>
    <row r="5410" spans="1:1" x14ac:dyDescent="0.25">
      <c r="A5410" s="16"/>
    </row>
    <row r="5411" spans="1:1" x14ac:dyDescent="0.25">
      <c r="A5411" s="16"/>
    </row>
    <row r="5412" spans="1:1" x14ac:dyDescent="0.25">
      <c r="A5412" s="16"/>
    </row>
    <row r="5413" spans="1:1" x14ac:dyDescent="0.25">
      <c r="A5413" s="16"/>
    </row>
    <row r="5414" spans="1:1" x14ac:dyDescent="0.25">
      <c r="A5414" s="16"/>
    </row>
    <row r="5415" spans="1:1" x14ac:dyDescent="0.25">
      <c r="A5415" s="16"/>
    </row>
    <row r="5416" spans="1:1" x14ac:dyDescent="0.25">
      <c r="A5416" s="16"/>
    </row>
    <row r="5417" spans="1:1" x14ac:dyDescent="0.25">
      <c r="A5417" s="16"/>
    </row>
    <row r="5418" spans="1:1" x14ac:dyDescent="0.25">
      <c r="A5418" s="16"/>
    </row>
    <row r="5419" spans="1:1" x14ac:dyDescent="0.25">
      <c r="A5419" s="16"/>
    </row>
    <row r="5420" spans="1:1" x14ac:dyDescent="0.25">
      <c r="A5420" s="16"/>
    </row>
    <row r="5421" spans="1:1" x14ac:dyDescent="0.25">
      <c r="A5421" s="16"/>
    </row>
    <row r="5422" spans="1:1" x14ac:dyDescent="0.25">
      <c r="A5422" s="16"/>
    </row>
    <row r="5423" spans="1:1" x14ac:dyDescent="0.25">
      <c r="A5423" s="16"/>
    </row>
    <row r="5424" spans="1:1" x14ac:dyDescent="0.25">
      <c r="A5424" s="16"/>
    </row>
    <row r="5425" spans="1:1" x14ac:dyDescent="0.25">
      <c r="A5425" s="16"/>
    </row>
    <row r="5426" spans="1:1" x14ac:dyDescent="0.25">
      <c r="A5426" s="16"/>
    </row>
    <row r="5427" spans="1:1" x14ac:dyDescent="0.25">
      <c r="A5427" s="16"/>
    </row>
    <row r="5428" spans="1:1" x14ac:dyDescent="0.25">
      <c r="A5428" s="16"/>
    </row>
    <row r="5429" spans="1:1" x14ac:dyDescent="0.25">
      <c r="A5429" s="16"/>
    </row>
    <row r="5430" spans="1:1" x14ac:dyDescent="0.25">
      <c r="A5430" s="16"/>
    </row>
    <row r="5431" spans="1:1" x14ac:dyDescent="0.25">
      <c r="A5431" s="16"/>
    </row>
    <row r="5432" spans="1:1" x14ac:dyDescent="0.25">
      <c r="A5432" s="16"/>
    </row>
    <row r="5433" spans="1:1" x14ac:dyDescent="0.25">
      <c r="A5433" s="16"/>
    </row>
    <row r="5434" spans="1:1" x14ac:dyDescent="0.25">
      <c r="A5434" s="16"/>
    </row>
    <row r="5435" spans="1:1" x14ac:dyDescent="0.25">
      <c r="A5435" s="16"/>
    </row>
    <row r="5436" spans="1:1" x14ac:dyDescent="0.25">
      <c r="A5436" s="16"/>
    </row>
    <row r="5437" spans="1:1" x14ac:dyDescent="0.25">
      <c r="A5437" s="16"/>
    </row>
    <row r="5438" spans="1:1" x14ac:dyDescent="0.25">
      <c r="A5438" s="16"/>
    </row>
    <row r="5439" spans="1:1" x14ac:dyDescent="0.25">
      <c r="A5439" s="16"/>
    </row>
    <row r="5440" spans="1:1" x14ac:dyDescent="0.25">
      <c r="A5440" s="16"/>
    </row>
    <row r="5441" spans="1:1" x14ac:dyDescent="0.25">
      <c r="A5441" s="16"/>
    </row>
    <row r="5442" spans="1:1" x14ac:dyDescent="0.25">
      <c r="A5442" s="16"/>
    </row>
    <row r="5443" spans="1:1" x14ac:dyDescent="0.25">
      <c r="A5443" s="16"/>
    </row>
    <row r="5444" spans="1:1" x14ac:dyDescent="0.25">
      <c r="A5444" s="16"/>
    </row>
    <row r="5445" spans="1:1" x14ac:dyDescent="0.25">
      <c r="A5445" s="16"/>
    </row>
    <row r="5446" spans="1:1" x14ac:dyDescent="0.25">
      <c r="A5446" s="16"/>
    </row>
    <row r="5447" spans="1:1" x14ac:dyDescent="0.25">
      <c r="A5447" s="16"/>
    </row>
    <row r="5448" spans="1:1" x14ac:dyDescent="0.25">
      <c r="A5448" s="16"/>
    </row>
    <row r="5449" spans="1:1" x14ac:dyDescent="0.25">
      <c r="A5449" s="16"/>
    </row>
    <row r="5450" spans="1:1" x14ac:dyDescent="0.25">
      <c r="A5450" s="16"/>
    </row>
    <row r="5451" spans="1:1" x14ac:dyDescent="0.25">
      <c r="A5451" s="16"/>
    </row>
    <row r="5452" spans="1:1" x14ac:dyDescent="0.25">
      <c r="A5452" s="16"/>
    </row>
    <row r="5453" spans="1:1" x14ac:dyDescent="0.25">
      <c r="A5453" s="16"/>
    </row>
    <row r="5454" spans="1:1" x14ac:dyDescent="0.25">
      <c r="A5454" s="16"/>
    </row>
    <row r="5455" spans="1:1" x14ac:dyDescent="0.25">
      <c r="A5455" s="16"/>
    </row>
    <row r="5456" spans="1:1" x14ac:dyDescent="0.25">
      <c r="A5456" s="16"/>
    </row>
    <row r="5457" spans="1:1" x14ac:dyDescent="0.25">
      <c r="A5457" s="16"/>
    </row>
    <row r="5458" spans="1:1" x14ac:dyDescent="0.25">
      <c r="A5458" s="16"/>
    </row>
    <row r="5459" spans="1:1" x14ac:dyDescent="0.25">
      <c r="A5459" s="16"/>
    </row>
    <row r="5460" spans="1:1" x14ac:dyDescent="0.25">
      <c r="A5460" s="16"/>
    </row>
    <row r="5461" spans="1:1" x14ac:dyDescent="0.25">
      <c r="A5461" s="16"/>
    </row>
    <row r="5462" spans="1:1" x14ac:dyDescent="0.25">
      <c r="A5462" s="16"/>
    </row>
    <row r="5463" spans="1:1" x14ac:dyDescent="0.25">
      <c r="A5463" s="16"/>
    </row>
    <row r="5464" spans="1:1" x14ac:dyDescent="0.25">
      <c r="A5464" s="16"/>
    </row>
    <row r="5465" spans="1:1" x14ac:dyDescent="0.25">
      <c r="A5465" s="16"/>
    </row>
    <row r="5466" spans="1:1" x14ac:dyDescent="0.25">
      <c r="A5466" s="16"/>
    </row>
    <row r="5467" spans="1:1" x14ac:dyDescent="0.25">
      <c r="A5467" s="16"/>
    </row>
    <row r="5468" spans="1:1" x14ac:dyDescent="0.25">
      <c r="A5468" s="16"/>
    </row>
    <row r="5469" spans="1:1" x14ac:dyDescent="0.25">
      <c r="A5469" s="16"/>
    </row>
    <row r="5470" spans="1:1" x14ac:dyDescent="0.25">
      <c r="A5470" s="16"/>
    </row>
    <row r="5471" spans="1:1" x14ac:dyDescent="0.25">
      <c r="A5471" s="16"/>
    </row>
    <row r="5472" spans="1:1" x14ac:dyDescent="0.25">
      <c r="A5472" s="16"/>
    </row>
    <row r="5473" spans="1:1" x14ac:dyDescent="0.25">
      <c r="A5473" s="16"/>
    </row>
    <row r="5474" spans="1:1" x14ac:dyDescent="0.25">
      <c r="A5474" s="16"/>
    </row>
    <row r="5475" spans="1:1" x14ac:dyDescent="0.25">
      <c r="A5475" s="16"/>
    </row>
    <row r="5476" spans="1:1" x14ac:dyDescent="0.25">
      <c r="A5476" s="16"/>
    </row>
    <row r="5477" spans="1:1" x14ac:dyDescent="0.25">
      <c r="A5477" s="16"/>
    </row>
    <row r="5478" spans="1:1" x14ac:dyDescent="0.25">
      <c r="A5478" s="16"/>
    </row>
    <row r="5479" spans="1:1" x14ac:dyDescent="0.25">
      <c r="A5479" s="16"/>
    </row>
    <row r="5480" spans="1:1" x14ac:dyDescent="0.25">
      <c r="A5480" s="16"/>
    </row>
    <row r="5481" spans="1:1" x14ac:dyDescent="0.25">
      <c r="A5481" s="16"/>
    </row>
    <row r="5482" spans="1:1" x14ac:dyDescent="0.25">
      <c r="A5482" s="16"/>
    </row>
    <row r="5483" spans="1:1" x14ac:dyDescent="0.25">
      <c r="A5483" s="16"/>
    </row>
    <row r="5484" spans="1:1" x14ac:dyDescent="0.25">
      <c r="A5484" s="16"/>
    </row>
    <row r="5485" spans="1:1" x14ac:dyDescent="0.25">
      <c r="A5485" s="16"/>
    </row>
    <row r="5486" spans="1:1" x14ac:dyDescent="0.25">
      <c r="A5486" s="16"/>
    </row>
    <row r="5487" spans="1:1" x14ac:dyDescent="0.25">
      <c r="A5487" s="16"/>
    </row>
    <row r="5488" spans="1:1" x14ac:dyDescent="0.25">
      <c r="A5488" s="16"/>
    </row>
    <row r="5489" spans="1:1" x14ac:dyDescent="0.25">
      <c r="A5489" s="16"/>
    </row>
    <row r="5490" spans="1:1" x14ac:dyDescent="0.25">
      <c r="A5490" s="16"/>
    </row>
    <row r="5491" spans="1:1" x14ac:dyDescent="0.25">
      <c r="A5491" s="16"/>
    </row>
    <row r="5492" spans="1:1" x14ac:dyDescent="0.25">
      <c r="A5492" s="16"/>
    </row>
    <row r="5493" spans="1:1" x14ac:dyDescent="0.25">
      <c r="A5493" s="16"/>
    </row>
    <row r="5494" spans="1:1" x14ac:dyDescent="0.25">
      <c r="A5494" s="16"/>
    </row>
    <row r="5495" spans="1:1" x14ac:dyDescent="0.25">
      <c r="A5495" s="16"/>
    </row>
    <row r="5496" spans="1:1" x14ac:dyDescent="0.25">
      <c r="A5496" s="16"/>
    </row>
    <row r="5497" spans="1:1" x14ac:dyDescent="0.25">
      <c r="A5497" s="16"/>
    </row>
    <row r="5498" spans="1:1" x14ac:dyDescent="0.25">
      <c r="A5498" s="16"/>
    </row>
    <row r="5499" spans="1:1" x14ac:dyDescent="0.25">
      <c r="A5499" s="16"/>
    </row>
    <row r="5500" spans="1:1" x14ac:dyDescent="0.25">
      <c r="A5500" s="16"/>
    </row>
    <row r="5501" spans="1:1" x14ac:dyDescent="0.25">
      <c r="A5501" s="16"/>
    </row>
    <row r="5502" spans="1:1" x14ac:dyDescent="0.25">
      <c r="A5502" s="16"/>
    </row>
    <row r="5503" spans="1:1" x14ac:dyDescent="0.25">
      <c r="A5503" s="16"/>
    </row>
    <row r="5504" spans="1:1" x14ac:dyDescent="0.25">
      <c r="A5504" s="16"/>
    </row>
    <row r="5505" spans="1:1" x14ac:dyDescent="0.25">
      <c r="A5505" s="16"/>
    </row>
    <row r="5506" spans="1:1" x14ac:dyDescent="0.25">
      <c r="A5506" s="16"/>
    </row>
    <row r="5507" spans="1:1" x14ac:dyDescent="0.25">
      <c r="A5507" s="16"/>
    </row>
    <row r="5508" spans="1:1" x14ac:dyDescent="0.25">
      <c r="A5508" s="16"/>
    </row>
    <row r="5509" spans="1:1" x14ac:dyDescent="0.25">
      <c r="A5509" s="16"/>
    </row>
    <row r="5510" spans="1:1" x14ac:dyDescent="0.25">
      <c r="A5510" s="16"/>
    </row>
    <row r="5511" spans="1:1" x14ac:dyDescent="0.25">
      <c r="A5511" s="16"/>
    </row>
    <row r="5512" spans="1:1" x14ac:dyDescent="0.25">
      <c r="A5512" s="16"/>
    </row>
    <row r="5513" spans="1:1" x14ac:dyDescent="0.25">
      <c r="A5513" s="16"/>
    </row>
    <row r="5514" spans="1:1" x14ac:dyDescent="0.25">
      <c r="A5514" s="16"/>
    </row>
    <row r="5515" spans="1:1" x14ac:dyDescent="0.25">
      <c r="A5515" s="16"/>
    </row>
    <row r="5516" spans="1:1" x14ac:dyDescent="0.25">
      <c r="A5516" s="16"/>
    </row>
    <row r="5517" spans="1:1" x14ac:dyDescent="0.25">
      <c r="A5517" s="16"/>
    </row>
    <row r="5518" spans="1:1" x14ac:dyDescent="0.25">
      <c r="A5518" s="16"/>
    </row>
    <row r="5519" spans="1:1" x14ac:dyDescent="0.25">
      <c r="A5519" s="16"/>
    </row>
    <row r="5520" spans="1:1" x14ac:dyDescent="0.25">
      <c r="A5520" s="16"/>
    </row>
    <row r="5521" spans="1:1" x14ac:dyDescent="0.25">
      <c r="A5521" s="16"/>
    </row>
    <row r="5522" spans="1:1" x14ac:dyDescent="0.25">
      <c r="A5522" s="16"/>
    </row>
    <row r="5523" spans="1:1" x14ac:dyDescent="0.25">
      <c r="A5523" s="16"/>
    </row>
    <row r="5524" spans="1:1" x14ac:dyDescent="0.25">
      <c r="A5524" s="16"/>
    </row>
    <row r="5525" spans="1:1" x14ac:dyDescent="0.25">
      <c r="A5525" s="16"/>
    </row>
    <row r="5526" spans="1:1" x14ac:dyDescent="0.25">
      <c r="A5526" s="16"/>
    </row>
    <row r="5527" spans="1:1" x14ac:dyDescent="0.25">
      <c r="A5527" s="16"/>
    </row>
    <row r="5528" spans="1:1" x14ac:dyDescent="0.25">
      <c r="A5528" s="16"/>
    </row>
    <row r="5529" spans="1:1" x14ac:dyDescent="0.25">
      <c r="A5529" s="16"/>
    </row>
    <row r="5530" spans="1:1" x14ac:dyDescent="0.25">
      <c r="A5530" s="16"/>
    </row>
    <row r="5531" spans="1:1" x14ac:dyDescent="0.25">
      <c r="A5531" s="16"/>
    </row>
    <row r="5532" spans="1:1" x14ac:dyDescent="0.25">
      <c r="A5532" s="16"/>
    </row>
    <row r="5533" spans="1:1" x14ac:dyDescent="0.25">
      <c r="A5533" s="16"/>
    </row>
    <row r="5534" spans="1:1" x14ac:dyDescent="0.25">
      <c r="A5534" s="16"/>
    </row>
    <row r="5535" spans="1:1" x14ac:dyDescent="0.25">
      <c r="A5535" s="16"/>
    </row>
    <row r="5536" spans="1:1" x14ac:dyDescent="0.25">
      <c r="A5536" s="16"/>
    </row>
    <row r="5537" spans="1:1" x14ac:dyDescent="0.25">
      <c r="A5537" s="16"/>
    </row>
    <row r="5538" spans="1:1" x14ac:dyDescent="0.25">
      <c r="A5538" s="16"/>
    </row>
    <row r="5539" spans="1:1" x14ac:dyDescent="0.25">
      <c r="A5539" s="16"/>
    </row>
    <row r="5540" spans="1:1" x14ac:dyDescent="0.25">
      <c r="A5540" s="16"/>
    </row>
    <row r="5541" spans="1:1" x14ac:dyDescent="0.25">
      <c r="A5541" s="16"/>
    </row>
    <row r="5542" spans="1:1" x14ac:dyDescent="0.25">
      <c r="A5542" s="16"/>
    </row>
    <row r="5543" spans="1:1" x14ac:dyDescent="0.25">
      <c r="A5543" s="16"/>
    </row>
    <row r="5544" spans="1:1" x14ac:dyDescent="0.25">
      <c r="A5544" s="16"/>
    </row>
    <row r="5545" spans="1:1" x14ac:dyDescent="0.25">
      <c r="A5545" s="16"/>
    </row>
    <row r="5546" spans="1:1" x14ac:dyDescent="0.25">
      <c r="A5546" s="16"/>
    </row>
    <row r="5547" spans="1:1" x14ac:dyDescent="0.25">
      <c r="A5547" s="16"/>
    </row>
    <row r="5548" spans="1:1" x14ac:dyDescent="0.25">
      <c r="A5548" s="16"/>
    </row>
    <row r="5549" spans="1:1" x14ac:dyDescent="0.25">
      <c r="A5549" s="16"/>
    </row>
    <row r="5550" spans="1:1" x14ac:dyDescent="0.25">
      <c r="A5550" s="16"/>
    </row>
    <row r="5551" spans="1:1" x14ac:dyDescent="0.25">
      <c r="A5551" s="16"/>
    </row>
    <row r="5552" spans="1:1" x14ac:dyDescent="0.25">
      <c r="A5552" s="16"/>
    </row>
    <row r="5553" spans="1:1" x14ac:dyDescent="0.25">
      <c r="A5553" s="16"/>
    </row>
    <row r="5554" spans="1:1" x14ac:dyDescent="0.25">
      <c r="A5554" s="16"/>
    </row>
    <row r="5555" spans="1:1" x14ac:dyDescent="0.25">
      <c r="A5555" s="16"/>
    </row>
    <row r="5556" spans="1:1" x14ac:dyDescent="0.25">
      <c r="A5556" s="16"/>
    </row>
    <row r="5557" spans="1:1" x14ac:dyDescent="0.25">
      <c r="A5557" s="16"/>
    </row>
    <row r="5558" spans="1:1" x14ac:dyDescent="0.25">
      <c r="A5558" s="16"/>
    </row>
    <row r="5559" spans="1:1" x14ac:dyDescent="0.25">
      <c r="A5559" s="16"/>
    </row>
    <row r="5560" spans="1:1" x14ac:dyDescent="0.25">
      <c r="A5560" s="16"/>
    </row>
    <row r="5561" spans="1:1" x14ac:dyDescent="0.25">
      <c r="A5561" s="16"/>
    </row>
    <row r="5562" spans="1:1" x14ac:dyDescent="0.25">
      <c r="A5562" s="16"/>
    </row>
    <row r="5563" spans="1:1" x14ac:dyDescent="0.25">
      <c r="A5563" s="16"/>
    </row>
    <row r="5564" spans="1:1" x14ac:dyDescent="0.25">
      <c r="A5564" s="16"/>
    </row>
    <row r="5565" spans="1:1" x14ac:dyDescent="0.25">
      <c r="A5565" s="16"/>
    </row>
    <row r="5566" spans="1:1" x14ac:dyDescent="0.25">
      <c r="A5566" s="16"/>
    </row>
    <row r="5567" spans="1:1" x14ac:dyDescent="0.25">
      <c r="A5567" s="16"/>
    </row>
    <row r="5568" spans="1:1" x14ac:dyDescent="0.25">
      <c r="A5568" s="16"/>
    </row>
    <row r="5569" spans="1:1" x14ac:dyDescent="0.25">
      <c r="A5569" s="16"/>
    </row>
    <row r="5570" spans="1:1" x14ac:dyDescent="0.25">
      <c r="A5570" s="16"/>
    </row>
    <row r="5571" spans="1:1" x14ac:dyDescent="0.25">
      <c r="A5571" s="16"/>
    </row>
    <row r="5572" spans="1:1" x14ac:dyDescent="0.25">
      <c r="A5572" s="16"/>
    </row>
    <row r="5573" spans="1:1" x14ac:dyDescent="0.25">
      <c r="A5573" s="16"/>
    </row>
    <row r="5574" spans="1:1" x14ac:dyDescent="0.25">
      <c r="A5574" s="16"/>
    </row>
    <row r="5575" spans="1:1" x14ac:dyDescent="0.25">
      <c r="A5575" s="16"/>
    </row>
    <row r="5576" spans="1:1" x14ac:dyDescent="0.25">
      <c r="A5576" s="16"/>
    </row>
    <row r="5577" spans="1:1" x14ac:dyDescent="0.25">
      <c r="A5577" s="16"/>
    </row>
    <row r="5578" spans="1:1" x14ac:dyDescent="0.25">
      <c r="A5578" s="16"/>
    </row>
    <row r="5579" spans="1:1" x14ac:dyDescent="0.25">
      <c r="A5579" s="16"/>
    </row>
    <row r="5580" spans="1:1" x14ac:dyDescent="0.25">
      <c r="A5580" s="16"/>
    </row>
    <row r="5581" spans="1:1" x14ac:dyDescent="0.25">
      <c r="A5581" s="16"/>
    </row>
    <row r="5582" spans="1:1" x14ac:dyDescent="0.25">
      <c r="A5582" s="16"/>
    </row>
    <row r="5583" spans="1:1" x14ac:dyDescent="0.25">
      <c r="A5583" s="16"/>
    </row>
    <row r="5584" spans="1:1" x14ac:dyDescent="0.25">
      <c r="A5584" s="16"/>
    </row>
    <row r="5585" spans="1:1" x14ac:dyDescent="0.25">
      <c r="A5585" s="16"/>
    </row>
    <row r="5586" spans="1:1" x14ac:dyDescent="0.25">
      <c r="A5586" s="16"/>
    </row>
    <row r="5587" spans="1:1" x14ac:dyDescent="0.25">
      <c r="A5587" s="16"/>
    </row>
    <row r="5588" spans="1:1" x14ac:dyDescent="0.25">
      <c r="A5588" s="16"/>
    </row>
    <row r="5589" spans="1:1" x14ac:dyDescent="0.25">
      <c r="A5589" s="16"/>
    </row>
    <row r="5590" spans="1:1" x14ac:dyDescent="0.25">
      <c r="A5590" s="16"/>
    </row>
    <row r="5591" spans="1:1" x14ac:dyDescent="0.25">
      <c r="A5591" s="16"/>
    </row>
    <row r="5592" spans="1:1" x14ac:dyDescent="0.25">
      <c r="A5592" s="16"/>
    </row>
    <row r="5593" spans="1:1" x14ac:dyDescent="0.25">
      <c r="A5593" s="16"/>
    </row>
    <row r="5594" spans="1:1" x14ac:dyDescent="0.25">
      <c r="A5594" s="16"/>
    </row>
    <row r="5595" spans="1:1" x14ac:dyDescent="0.25">
      <c r="A5595" s="16"/>
    </row>
    <row r="5596" spans="1:1" x14ac:dyDescent="0.25">
      <c r="A5596" s="16"/>
    </row>
    <row r="5597" spans="1:1" x14ac:dyDescent="0.25">
      <c r="A5597" s="16"/>
    </row>
    <row r="5598" spans="1:1" x14ac:dyDescent="0.25">
      <c r="A5598" s="16"/>
    </row>
    <row r="5599" spans="1:1" x14ac:dyDescent="0.25">
      <c r="A5599" s="16"/>
    </row>
    <row r="5600" spans="1:1" x14ac:dyDescent="0.25">
      <c r="A5600" s="16"/>
    </row>
    <row r="5601" spans="1:1" x14ac:dyDescent="0.25">
      <c r="A5601" s="16"/>
    </row>
    <row r="5602" spans="1:1" x14ac:dyDescent="0.25">
      <c r="A5602" s="16"/>
    </row>
    <row r="5603" spans="1:1" x14ac:dyDescent="0.25">
      <c r="A5603" s="16"/>
    </row>
    <row r="5604" spans="1:1" x14ac:dyDescent="0.25">
      <c r="A5604" s="16"/>
    </row>
    <row r="5605" spans="1:1" x14ac:dyDescent="0.25">
      <c r="A5605" s="16"/>
    </row>
    <row r="5606" spans="1:1" x14ac:dyDescent="0.25">
      <c r="A5606" s="16"/>
    </row>
    <row r="5607" spans="1:1" x14ac:dyDescent="0.25">
      <c r="A5607" s="16"/>
    </row>
    <row r="5608" spans="1:1" x14ac:dyDescent="0.25">
      <c r="A5608" s="16"/>
    </row>
    <row r="5609" spans="1:1" x14ac:dyDescent="0.25">
      <c r="A5609" s="16"/>
    </row>
    <row r="5610" spans="1:1" x14ac:dyDescent="0.25">
      <c r="A5610" s="16"/>
    </row>
    <row r="5611" spans="1:1" x14ac:dyDescent="0.25">
      <c r="A5611" s="16"/>
    </row>
    <row r="5612" spans="1:1" x14ac:dyDescent="0.25">
      <c r="A5612" s="16"/>
    </row>
    <row r="5613" spans="1:1" x14ac:dyDescent="0.25">
      <c r="A5613" s="16"/>
    </row>
    <row r="5614" spans="1:1" x14ac:dyDescent="0.25">
      <c r="A5614" s="16"/>
    </row>
    <row r="5615" spans="1:1" x14ac:dyDescent="0.25">
      <c r="A5615" s="16"/>
    </row>
    <row r="5616" spans="1:1" x14ac:dyDescent="0.25">
      <c r="A5616" s="16"/>
    </row>
    <row r="5617" spans="1:1" x14ac:dyDescent="0.25">
      <c r="A5617" s="16"/>
    </row>
    <row r="5618" spans="1:1" x14ac:dyDescent="0.25">
      <c r="A5618" s="16"/>
    </row>
    <row r="5619" spans="1:1" x14ac:dyDescent="0.25">
      <c r="A5619" s="16"/>
    </row>
    <row r="5620" spans="1:1" x14ac:dyDescent="0.25">
      <c r="A5620" s="16"/>
    </row>
    <row r="5621" spans="1:1" x14ac:dyDescent="0.25">
      <c r="A5621" s="16"/>
    </row>
    <row r="5622" spans="1:1" x14ac:dyDescent="0.25">
      <c r="A5622" s="16"/>
    </row>
    <row r="5623" spans="1:1" x14ac:dyDescent="0.25">
      <c r="A5623" s="16"/>
    </row>
    <row r="5624" spans="1:1" x14ac:dyDescent="0.25">
      <c r="A5624" s="16"/>
    </row>
    <row r="5625" spans="1:1" x14ac:dyDescent="0.25">
      <c r="A5625" s="16"/>
    </row>
    <row r="5626" spans="1:1" x14ac:dyDescent="0.25">
      <c r="A5626" s="16"/>
    </row>
    <row r="5627" spans="1:1" x14ac:dyDescent="0.25">
      <c r="A5627" s="16"/>
    </row>
    <row r="5628" spans="1:1" x14ac:dyDescent="0.25">
      <c r="A5628" s="16"/>
    </row>
    <row r="5629" spans="1:1" x14ac:dyDescent="0.25">
      <c r="A5629" s="16"/>
    </row>
    <row r="5630" spans="1:1" x14ac:dyDescent="0.25">
      <c r="A5630" s="16"/>
    </row>
    <row r="5631" spans="1:1" x14ac:dyDescent="0.25">
      <c r="A5631" s="16"/>
    </row>
    <row r="5632" spans="1:1" x14ac:dyDescent="0.25">
      <c r="A5632" s="16"/>
    </row>
    <row r="5633" spans="1:1" x14ac:dyDescent="0.25">
      <c r="A5633" s="16"/>
    </row>
    <row r="5634" spans="1:1" x14ac:dyDescent="0.25">
      <c r="A5634" s="16"/>
    </row>
    <row r="5635" spans="1:1" x14ac:dyDescent="0.25">
      <c r="A5635" s="16"/>
    </row>
    <row r="5636" spans="1:1" x14ac:dyDescent="0.25">
      <c r="A5636" s="16"/>
    </row>
    <row r="5637" spans="1:1" x14ac:dyDescent="0.25">
      <c r="A5637" s="16"/>
    </row>
    <row r="5638" spans="1:1" x14ac:dyDescent="0.25">
      <c r="A5638" s="16"/>
    </row>
    <row r="5639" spans="1:1" x14ac:dyDescent="0.25">
      <c r="A5639" s="16"/>
    </row>
    <row r="5640" spans="1:1" x14ac:dyDescent="0.25">
      <c r="A5640" s="16"/>
    </row>
    <row r="5641" spans="1:1" x14ac:dyDescent="0.25">
      <c r="A5641" s="16"/>
    </row>
    <row r="5642" spans="1:1" x14ac:dyDescent="0.25">
      <c r="A5642" s="16"/>
    </row>
    <row r="5643" spans="1:1" x14ac:dyDescent="0.25">
      <c r="A5643" s="16"/>
    </row>
    <row r="5644" spans="1:1" x14ac:dyDescent="0.25">
      <c r="A5644" s="16"/>
    </row>
    <row r="5645" spans="1:1" x14ac:dyDescent="0.25">
      <c r="A5645" s="16"/>
    </row>
    <row r="5646" spans="1:1" x14ac:dyDescent="0.25">
      <c r="A5646" s="16"/>
    </row>
    <row r="5647" spans="1:1" x14ac:dyDescent="0.25">
      <c r="A5647" s="16"/>
    </row>
    <row r="5648" spans="1:1" x14ac:dyDescent="0.25">
      <c r="A5648" s="16"/>
    </row>
    <row r="5649" spans="1:1" x14ac:dyDescent="0.25">
      <c r="A5649" s="16"/>
    </row>
    <row r="5650" spans="1:1" x14ac:dyDescent="0.25">
      <c r="A5650" s="16"/>
    </row>
    <row r="5651" spans="1:1" x14ac:dyDescent="0.25">
      <c r="A5651" s="16"/>
    </row>
    <row r="5652" spans="1:1" x14ac:dyDescent="0.25">
      <c r="A5652" s="16"/>
    </row>
    <row r="5653" spans="1:1" x14ac:dyDescent="0.25">
      <c r="A5653" s="16"/>
    </row>
    <row r="5654" spans="1:1" x14ac:dyDescent="0.25">
      <c r="A5654" s="16"/>
    </row>
    <row r="5655" spans="1:1" x14ac:dyDescent="0.25">
      <c r="A5655" s="16"/>
    </row>
    <row r="5656" spans="1:1" x14ac:dyDescent="0.25">
      <c r="A5656" s="16"/>
    </row>
    <row r="5657" spans="1:1" x14ac:dyDescent="0.25">
      <c r="A5657" s="16"/>
    </row>
    <row r="5658" spans="1:1" x14ac:dyDescent="0.25">
      <c r="A5658" s="16"/>
    </row>
    <row r="5659" spans="1:1" x14ac:dyDescent="0.25">
      <c r="A5659" s="16"/>
    </row>
    <row r="5660" spans="1:1" x14ac:dyDescent="0.25">
      <c r="A5660" s="16"/>
    </row>
    <row r="5661" spans="1:1" x14ac:dyDescent="0.25">
      <c r="A5661" s="16"/>
    </row>
    <row r="5662" spans="1:1" x14ac:dyDescent="0.25">
      <c r="A5662" s="16"/>
    </row>
    <row r="5663" spans="1:1" x14ac:dyDescent="0.25">
      <c r="A5663" s="16"/>
    </row>
    <row r="5664" spans="1:1" x14ac:dyDescent="0.25">
      <c r="A5664" s="16"/>
    </row>
    <row r="5665" spans="1:1" x14ac:dyDescent="0.25">
      <c r="A5665" s="16"/>
    </row>
    <row r="5666" spans="1:1" x14ac:dyDescent="0.25">
      <c r="A5666" s="16"/>
    </row>
    <row r="5667" spans="1:1" x14ac:dyDescent="0.25">
      <c r="A5667" s="16"/>
    </row>
    <row r="5668" spans="1:1" x14ac:dyDescent="0.25">
      <c r="A5668" s="16"/>
    </row>
    <row r="5669" spans="1:1" x14ac:dyDescent="0.25">
      <c r="A5669" s="16"/>
    </row>
    <row r="5670" spans="1:1" x14ac:dyDescent="0.25">
      <c r="A5670" s="16"/>
    </row>
    <row r="5671" spans="1:1" x14ac:dyDescent="0.25">
      <c r="A5671" s="16"/>
    </row>
    <row r="5672" spans="1:1" x14ac:dyDescent="0.25">
      <c r="A5672" s="16"/>
    </row>
    <row r="5673" spans="1:1" x14ac:dyDescent="0.25">
      <c r="A5673" s="16"/>
    </row>
    <row r="5674" spans="1:1" x14ac:dyDescent="0.25">
      <c r="A5674" s="16"/>
    </row>
    <row r="5675" spans="1:1" x14ac:dyDescent="0.25">
      <c r="A5675" s="16"/>
    </row>
    <row r="5676" spans="1:1" x14ac:dyDescent="0.25">
      <c r="A5676" s="16"/>
    </row>
    <row r="5677" spans="1:1" x14ac:dyDescent="0.25">
      <c r="A5677" s="16"/>
    </row>
    <row r="5678" spans="1:1" x14ac:dyDescent="0.25">
      <c r="A5678" s="16"/>
    </row>
    <row r="5679" spans="1:1" x14ac:dyDescent="0.25">
      <c r="A5679" s="16"/>
    </row>
    <row r="5680" spans="1:1" x14ac:dyDescent="0.25">
      <c r="A5680" s="16"/>
    </row>
    <row r="5681" spans="1:1" x14ac:dyDescent="0.25">
      <c r="A5681" s="16"/>
    </row>
    <row r="5682" spans="1:1" x14ac:dyDescent="0.25">
      <c r="A5682" s="16"/>
    </row>
    <row r="5683" spans="1:1" x14ac:dyDescent="0.25">
      <c r="A5683" s="16"/>
    </row>
    <row r="5684" spans="1:1" x14ac:dyDescent="0.25">
      <c r="A5684" s="16"/>
    </row>
    <row r="5685" spans="1:1" x14ac:dyDescent="0.25">
      <c r="A5685" s="16"/>
    </row>
    <row r="5686" spans="1:1" x14ac:dyDescent="0.25">
      <c r="A5686" s="16"/>
    </row>
    <row r="5687" spans="1:1" x14ac:dyDescent="0.25">
      <c r="A5687" s="16"/>
    </row>
    <row r="5688" spans="1:1" x14ac:dyDescent="0.25">
      <c r="A5688" s="16"/>
    </row>
    <row r="5689" spans="1:1" x14ac:dyDescent="0.25">
      <c r="A5689" s="16"/>
    </row>
    <row r="5690" spans="1:1" x14ac:dyDescent="0.25">
      <c r="A5690" s="16"/>
    </row>
    <row r="5691" spans="1:1" x14ac:dyDescent="0.25">
      <c r="A5691" s="16"/>
    </row>
    <row r="5692" spans="1:1" x14ac:dyDescent="0.25">
      <c r="A5692" s="16"/>
    </row>
    <row r="5693" spans="1:1" x14ac:dyDescent="0.25">
      <c r="A5693" s="16"/>
    </row>
    <row r="5694" spans="1:1" x14ac:dyDescent="0.25">
      <c r="A5694" s="16"/>
    </row>
    <row r="5695" spans="1:1" x14ac:dyDescent="0.25">
      <c r="A5695" s="16"/>
    </row>
    <row r="5696" spans="1:1" x14ac:dyDescent="0.25">
      <c r="A5696" s="16"/>
    </row>
    <row r="5697" spans="1:1" x14ac:dyDescent="0.25">
      <c r="A5697" s="16"/>
    </row>
    <row r="5698" spans="1:1" x14ac:dyDescent="0.25">
      <c r="A5698" s="16"/>
    </row>
    <row r="5699" spans="1:1" x14ac:dyDescent="0.25">
      <c r="A5699" s="16"/>
    </row>
    <row r="5700" spans="1:1" x14ac:dyDescent="0.25">
      <c r="A5700" s="16"/>
    </row>
    <row r="5701" spans="1:1" x14ac:dyDescent="0.25">
      <c r="A5701" s="16"/>
    </row>
    <row r="5702" spans="1:1" x14ac:dyDescent="0.25">
      <c r="A5702" s="16"/>
    </row>
    <row r="5703" spans="1:1" x14ac:dyDescent="0.25">
      <c r="A5703" s="16"/>
    </row>
    <row r="5704" spans="1:1" x14ac:dyDescent="0.25">
      <c r="A5704" s="16"/>
    </row>
    <row r="5705" spans="1:1" x14ac:dyDescent="0.25">
      <c r="A5705" s="16"/>
    </row>
    <row r="5706" spans="1:1" x14ac:dyDescent="0.25">
      <c r="A5706" s="16"/>
    </row>
    <row r="5707" spans="1:1" x14ac:dyDescent="0.25">
      <c r="A5707" s="16"/>
    </row>
    <row r="5708" spans="1:1" x14ac:dyDescent="0.25">
      <c r="A5708" s="16"/>
    </row>
    <row r="5709" spans="1:1" x14ac:dyDescent="0.25">
      <c r="A5709" s="16"/>
    </row>
    <row r="5710" spans="1:1" x14ac:dyDescent="0.25">
      <c r="A5710" s="16"/>
    </row>
    <row r="5711" spans="1:1" x14ac:dyDescent="0.25">
      <c r="A5711" s="16"/>
    </row>
    <row r="5712" spans="1:1" x14ac:dyDescent="0.25">
      <c r="A5712" s="16"/>
    </row>
    <row r="5713" spans="1:1" x14ac:dyDescent="0.25">
      <c r="A5713" s="16"/>
    </row>
    <row r="5714" spans="1:1" x14ac:dyDescent="0.25">
      <c r="A5714" s="16"/>
    </row>
    <row r="5715" spans="1:1" x14ac:dyDescent="0.25">
      <c r="A5715" s="16"/>
    </row>
    <row r="5716" spans="1:1" x14ac:dyDescent="0.25">
      <c r="A5716" s="16"/>
    </row>
    <row r="5717" spans="1:1" x14ac:dyDescent="0.25">
      <c r="A5717" s="16"/>
    </row>
    <row r="5718" spans="1:1" x14ac:dyDescent="0.25">
      <c r="A5718" s="16"/>
    </row>
    <row r="5719" spans="1:1" x14ac:dyDescent="0.25">
      <c r="A5719" s="16"/>
    </row>
    <row r="5720" spans="1:1" x14ac:dyDescent="0.25">
      <c r="A5720" s="16"/>
    </row>
    <row r="5721" spans="1:1" x14ac:dyDescent="0.25">
      <c r="A5721" s="16"/>
    </row>
    <row r="5722" spans="1:1" x14ac:dyDescent="0.25">
      <c r="A5722" s="16"/>
    </row>
    <row r="5723" spans="1:1" x14ac:dyDescent="0.25">
      <c r="A5723" s="16"/>
    </row>
    <row r="5724" spans="1:1" x14ac:dyDescent="0.25">
      <c r="A5724" s="16"/>
    </row>
    <row r="5725" spans="1:1" x14ac:dyDescent="0.25">
      <c r="A5725" s="16"/>
    </row>
    <row r="5726" spans="1:1" x14ac:dyDescent="0.25">
      <c r="A5726" s="16"/>
    </row>
    <row r="5727" spans="1:1" x14ac:dyDescent="0.25">
      <c r="A5727" s="16"/>
    </row>
    <row r="5728" spans="1:1" x14ac:dyDescent="0.25">
      <c r="A5728" s="16"/>
    </row>
    <row r="5729" spans="1:1" x14ac:dyDescent="0.25">
      <c r="A5729" s="16"/>
    </row>
    <row r="5730" spans="1:1" x14ac:dyDescent="0.25">
      <c r="A5730" s="16"/>
    </row>
    <row r="5731" spans="1:1" x14ac:dyDescent="0.25">
      <c r="A5731" s="16"/>
    </row>
    <row r="5732" spans="1:1" x14ac:dyDescent="0.25">
      <c r="A5732" s="16"/>
    </row>
    <row r="5733" spans="1:1" x14ac:dyDescent="0.25">
      <c r="A5733" s="16"/>
    </row>
    <row r="5734" spans="1:1" x14ac:dyDescent="0.25">
      <c r="A5734" s="16"/>
    </row>
    <row r="5735" spans="1:1" x14ac:dyDescent="0.25">
      <c r="A5735" s="16"/>
    </row>
    <row r="5736" spans="1:1" x14ac:dyDescent="0.25">
      <c r="A5736" s="16"/>
    </row>
    <row r="5737" spans="1:1" x14ac:dyDescent="0.25">
      <c r="A5737" s="16"/>
    </row>
    <row r="5738" spans="1:1" x14ac:dyDescent="0.25">
      <c r="A5738" s="16"/>
    </row>
    <row r="5739" spans="1:1" x14ac:dyDescent="0.25">
      <c r="A5739" s="16"/>
    </row>
    <row r="5740" spans="1:1" x14ac:dyDescent="0.25">
      <c r="A5740" s="16"/>
    </row>
    <row r="5741" spans="1:1" x14ac:dyDescent="0.25">
      <c r="A5741" s="16"/>
    </row>
    <row r="5742" spans="1:1" x14ac:dyDescent="0.25">
      <c r="A5742" s="16"/>
    </row>
    <row r="5743" spans="1:1" x14ac:dyDescent="0.25">
      <c r="A5743" s="16"/>
    </row>
    <row r="5744" spans="1:1" x14ac:dyDescent="0.25">
      <c r="A5744" s="16"/>
    </row>
    <row r="5745" spans="1:1" x14ac:dyDescent="0.25">
      <c r="A5745" s="16"/>
    </row>
    <row r="5746" spans="1:1" x14ac:dyDescent="0.25">
      <c r="A5746" s="16"/>
    </row>
    <row r="5747" spans="1:1" x14ac:dyDescent="0.25">
      <c r="A5747" s="16"/>
    </row>
    <row r="5748" spans="1:1" x14ac:dyDescent="0.25">
      <c r="A5748" s="16"/>
    </row>
    <row r="5749" spans="1:1" x14ac:dyDescent="0.25">
      <c r="A5749" s="16"/>
    </row>
    <row r="5750" spans="1:1" x14ac:dyDescent="0.25">
      <c r="A5750" s="16"/>
    </row>
    <row r="5751" spans="1:1" x14ac:dyDescent="0.25">
      <c r="A5751" s="16"/>
    </row>
    <row r="5752" spans="1:1" x14ac:dyDescent="0.25">
      <c r="A5752" s="16"/>
    </row>
    <row r="5753" spans="1:1" x14ac:dyDescent="0.25">
      <c r="A5753" s="16"/>
    </row>
    <row r="5754" spans="1:1" x14ac:dyDescent="0.25">
      <c r="A5754" s="16"/>
    </row>
    <row r="5755" spans="1:1" x14ac:dyDescent="0.25">
      <c r="A5755" s="16"/>
    </row>
    <row r="5756" spans="1:1" x14ac:dyDescent="0.25">
      <c r="A5756" s="16"/>
    </row>
    <row r="5757" spans="1:1" x14ac:dyDescent="0.25">
      <c r="A5757" s="16"/>
    </row>
    <row r="5758" spans="1:1" x14ac:dyDescent="0.25">
      <c r="A5758" s="16"/>
    </row>
    <row r="5759" spans="1:1" x14ac:dyDescent="0.25">
      <c r="A5759" s="16"/>
    </row>
    <row r="5760" spans="1:1" x14ac:dyDescent="0.25">
      <c r="A5760" s="16"/>
    </row>
    <row r="5761" spans="1:1" x14ac:dyDescent="0.25">
      <c r="A5761" s="16"/>
    </row>
    <row r="5762" spans="1:1" x14ac:dyDescent="0.25">
      <c r="A5762" s="16"/>
    </row>
    <row r="5763" spans="1:1" x14ac:dyDescent="0.25">
      <c r="A5763" s="16"/>
    </row>
    <row r="5764" spans="1:1" x14ac:dyDescent="0.25">
      <c r="A5764" s="16"/>
    </row>
    <row r="5765" spans="1:1" x14ac:dyDescent="0.25">
      <c r="A5765" s="16"/>
    </row>
    <row r="5766" spans="1:1" x14ac:dyDescent="0.25">
      <c r="A5766" s="16"/>
    </row>
    <row r="5767" spans="1:1" x14ac:dyDescent="0.25">
      <c r="A5767" s="16"/>
    </row>
    <row r="5768" spans="1:1" x14ac:dyDescent="0.25">
      <c r="A5768" s="16"/>
    </row>
    <row r="5769" spans="1:1" x14ac:dyDescent="0.25">
      <c r="A5769" s="16"/>
    </row>
    <row r="5770" spans="1:1" x14ac:dyDescent="0.25">
      <c r="A5770" s="16"/>
    </row>
    <row r="5771" spans="1:1" x14ac:dyDescent="0.25">
      <c r="A5771" s="16"/>
    </row>
    <row r="5772" spans="1:1" x14ac:dyDescent="0.25">
      <c r="A5772" s="16"/>
    </row>
    <row r="5773" spans="1:1" x14ac:dyDescent="0.25">
      <c r="A5773" s="16"/>
    </row>
    <row r="5774" spans="1:1" x14ac:dyDescent="0.25">
      <c r="A5774" s="16"/>
    </row>
    <row r="5775" spans="1:1" x14ac:dyDescent="0.25">
      <c r="A5775" s="16"/>
    </row>
    <row r="5776" spans="1:1" x14ac:dyDescent="0.25">
      <c r="A5776" s="16"/>
    </row>
    <row r="5777" spans="1:1" x14ac:dyDescent="0.25">
      <c r="A5777" s="16"/>
    </row>
    <row r="5778" spans="1:1" x14ac:dyDescent="0.25">
      <c r="A5778" s="16"/>
    </row>
    <row r="5779" spans="1:1" x14ac:dyDescent="0.25">
      <c r="A5779" s="16"/>
    </row>
    <row r="5780" spans="1:1" x14ac:dyDescent="0.25">
      <c r="A5780" s="16"/>
    </row>
    <row r="5781" spans="1:1" x14ac:dyDescent="0.25">
      <c r="A5781" s="16"/>
    </row>
    <row r="5782" spans="1:1" x14ac:dyDescent="0.25">
      <c r="A5782" s="16"/>
    </row>
    <row r="5783" spans="1:1" x14ac:dyDescent="0.25">
      <c r="A5783" s="16"/>
    </row>
    <row r="5784" spans="1:1" x14ac:dyDescent="0.25">
      <c r="A5784" s="16"/>
    </row>
    <row r="5785" spans="1:1" x14ac:dyDescent="0.25">
      <c r="A5785" s="16"/>
    </row>
    <row r="5786" spans="1:1" x14ac:dyDescent="0.25">
      <c r="A5786" s="16"/>
    </row>
    <row r="5787" spans="1:1" x14ac:dyDescent="0.25">
      <c r="A5787" s="16"/>
    </row>
    <row r="5788" spans="1:1" x14ac:dyDescent="0.25">
      <c r="A5788" s="16"/>
    </row>
    <row r="5789" spans="1:1" x14ac:dyDescent="0.25">
      <c r="A5789" s="16"/>
    </row>
    <row r="5790" spans="1:1" x14ac:dyDescent="0.25">
      <c r="A5790" s="16"/>
    </row>
    <row r="5791" spans="1:1" x14ac:dyDescent="0.25">
      <c r="A5791" s="16"/>
    </row>
    <row r="5792" spans="1:1" x14ac:dyDescent="0.25">
      <c r="A5792" s="16"/>
    </row>
    <row r="5793" spans="1:1" x14ac:dyDescent="0.25">
      <c r="A5793" s="16"/>
    </row>
    <row r="5794" spans="1:1" x14ac:dyDescent="0.25">
      <c r="A5794" s="16"/>
    </row>
    <row r="5795" spans="1:1" x14ac:dyDescent="0.25">
      <c r="A5795" s="16"/>
    </row>
    <row r="5796" spans="1:1" x14ac:dyDescent="0.25">
      <c r="A5796" s="16"/>
    </row>
    <row r="5797" spans="1:1" x14ac:dyDescent="0.25">
      <c r="A5797" s="16"/>
    </row>
    <row r="5798" spans="1:1" x14ac:dyDescent="0.25">
      <c r="A5798" s="16"/>
    </row>
    <row r="5799" spans="1:1" x14ac:dyDescent="0.25">
      <c r="A5799" s="16"/>
    </row>
    <row r="5800" spans="1:1" x14ac:dyDescent="0.25">
      <c r="A5800" s="16"/>
    </row>
    <row r="5801" spans="1:1" x14ac:dyDescent="0.25">
      <c r="A5801" s="16"/>
    </row>
    <row r="5802" spans="1:1" x14ac:dyDescent="0.25">
      <c r="A5802" s="16"/>
    </row>
    <row r="5803" spans="1:1" x14ac:dyDescent="0.25">
      <c r="A5803" s="16"/>
    </row>
    <row r="5804" spans="1:1" x14ac:dyDescent="0.25">
      <c r="A5804" s="16"/>
    </row>
    <row r="5805" spans="1:1" x14ac:dyDescent="0.25">
      <c r="A5805" s="16"/>
    </row>
    <row r="5806" spans="1:1" x14ac:dyDescent="0.25">
      <c r="A5806" s="16"/>
    </row>
    <row r="5807" spans="1:1" x14ac:dyDescent="0.25">
      <c r="A5807" s="16"/>
    </row>
    <row r="5808" spans="1:1" x14ac:dyDescent="0.25">
      <c r="A5808" s="16"/>
    </row>
    <row r="5809" spans="1:1" x14ac:dyDescent="0.25">
      <c r="A5809" s="16"/>
    </row>
    <row r="5810" spans="1:1" x14ac:dyDescent="0.25">
      <c r="A5810" s="16"/>
    </row>
    <row r="5811" spans="1:1" x14ac:dyDescent="0.25">
      <c r="A5811" s="16"/>
    </row>
    <row r="5812" spans="1:1" x14ac:dyDescent="0.25">
      <c r="A5812" s="16"/>
    </row>
    <row r="5813" spans="1:1" x14ac:dyDescent="0.25">
      <c r="A5813" s="16"/>
    </row>
    <row r="5814" spans="1:1" x14ac:dyDescent="0.25">
      <c r="A5814" s="16"/>
    </row>
    <row r="5815" spans="1:1" x14ac:dyDescent="0.25">
      <c r="A5815" s="16"/>
    </row>
    <row r="5816" spans="1:1" x14ac:dyDescent="0.25">
      <c r="A5816" s="16"/>
    </row>
    <row r="5817" spans="1:1" x14ac:dyDescent="0.25">
      <c r="A5817" s="16"/>
    </row>
    <row r="5818" spans="1:1" x14ac:dyDescent="0.25">
      <c r="A5818" s="16"/>
    </row>
    <row r="5819" spans="1:1" x14ac:dyDescent="0.25">
      <c r="A5819" s="16"/>
    </row>
    <row r="5820" spans="1:1" x14ac:dyDescent="0.25">
      <c r="A5820" s="16"/>
    </row>
    <row r="5821" spans="1:1" x14ac:dyDescent="0.25">
      <c r="A5821" s="16"/>
    </row>
    <row r="5822" spans="1:1" x14ac:dyDescent="0.25">
      <c r="A5822" s="16"/>
    </row>
    <row r="5823" spans="1:1" x14ac:dyDescent="0.25">
      <c r="A5823" s="16"/>
    </row>
    <row r="5824" spans="1:1" x14ac:dyDescent="0.25">
      <c r="A5824" s="16"/>
    </row>
    <row r="5825" spans="1:1" x14ac:dyDescent="0.25">
      <c r="A5825" s="16"/>
    </row>
    <row r="5826" spans="1:1" x14ac:dyDescent="0.25">
      <c r="A5826" s="16"/>
    </row>
    <row r="5827" spans="1:1" x14ac:dyDescent="0.25">
      <c r="A5827" s="16"/>
    </row>
    <row r="5828" spans="1:1" x14ac:dyDescent="0.25">
      <c r="A5828" s="16"/>
    </row>
    <row r="5829" spans="1:1" x14ac:dyDescent="0.25">
      <c r="A5829" s="16"/>
    </row>
    <row r="5830" spans="1:1" x14ac:dyDescent="0.25">
      <c r="A5830" s="16"/>
    </row>
    <row r="5831" spans="1:1" x14ac:dyDescent="0.25">
      <c r="A5831" s="16"/>
    </row>
    <row r="5832" spans="1:1" x14ac:dyDescent="0.25">
      <c r="A5832" s="16"/>
    </row>
    <row r="5833" spans="1:1" x14ac:dyDescent="0.25">
      <c r="A5833" s="16"/>
    </row>
    <row r="5834" spans="1:1" x14ac:dyDescent="0.25">
      <c r="A5834" s="16"/>
    </row>
    <row r="5835" spans="1:1" x14ac:dyDescent="0.25">
      <c r="A5835" s="16"/>
    </row>
    <row r="5836" spans="1:1" x14ac:dyDescent="0.25">
      <c r="A5836" s="16"/>
    </row>
    <row r="5837" spans="1:1" x14ac:dyDescent="0.25">
      <c r="A5837" s="16"/>
    </row>
    <row r="5838" spans="1:1" x14ac:dyDescent="0.25">
      <c r="A5838" s="16"/>
    </row>
    <row r="5839" spans="1:1" x14ac:dyDescent="0.25">
      <c r="A5839" s="16"/>
    </row>
    <row r="5840" spans="1:1" x14ac:dyDescent="0.25">
      <c r="A5840" s="16"/>
    </row>
    <row r="5841" spans="1:1" x14ac:dyDescent="0.25">
      <c r="A5841" s="16"/>
    </row>
    <row r="5842" spans="1:1" x14ac:dyDescent="0.25">
      <c r="A5842" s="16"/>
    </row>
    <row r="5843" spans="1:1" x14ac:dyDescent="0.25">
      <c r="A5843" s="16"/>
    </row>
    <row r="5844" spans="1:1" x14ac:dyDescent="0.25">
      <c r="A5844" s="16"/>
    </row>
    <row r="5845" spans="1:1" x14ac:dyDescent="0.25">
      <c r="A5845" s="16"/>
    </row>
    <row r="5846" spans="1:1" x14ac:dyDescent="0.25">
      <c r="A5846" s="16"/>
    </row>
    <row r="5847" spans="1:1" x14ac:dyDescent="0.25">
      <c r="A5847" s="16"/>
    </row>
    <row r="5848" spans="1:1" x14ac:dyDescent="0.25">
      <c r="A5848" s="16"/>
    </row>
    <row r="5849" spans="1:1" x14ac:dyDescent="0.25">
      <c r="A5849" s="16"/>
    </row>
    <row r="5850" spans="1:1" x14ac:dyDescent="0.25">
      <c r="A5850" s="16"/>
    </row>
    <row r="5851" spans="1:1" x14ac:dyDescent="0.25">
      <c r="A5851" s="16"/>
    </row>
    <row r="5852" spans="1:1" x14ac:dyDescent="0.25">
      <c r="A5852" s="16"/>
    </row>
    <row r="5853" spans="1:1" x14ac:dyDescent="0.25">
      <c r="A5853" s="16"/>
    </row>
    <row r="5854" spans="1:1" x14ac:dyDescent="0.25">
      <c r="A5854" s="16"/>
    </row>
    <row r="5855" spans="1:1" x14ac:dyDescent="0.25">
      <c r="A5855" s="16"/>
    </row>
    <row r="5856" spans="1:1" x14ac:dyDescent="0.25">
      <c r="A5856" s="16"/>
    </row>
    <row r="5857" spans="1:1" x14ac:dyDescent="0.25">
      <c r="A5857" s="16"/>
    </row>
    <row r="5858" spans="1:1" x14ac:dyDescent="0.25">
      <c r="A5858" s="16"/>
    </row>
    <row r="5859" spans="1:1" x14ac:dyDescent="0.25">
      <c r="A5859" s="16"/>
    </row>
    <row r="5860" spans="1:1" x14ac:dyDescent="0.25">
      <c r="A5860" s="16"/>
    </row>
    <row r="5861" spans="1:1" x14ac:dyDescent="0.25">
      <c r="A5861" s="16"/>
    </row>
    <row r="5862" spans="1:1" x14ac:dyDescent="0.25">
      <c r="A5862" s="16"/>
    </row>
    <row r="5863" spans="1:1" x14ac:dyDescent="0.25">
      <c r="A5863" s="16"/>
    </row>
    <row r="5864" spans="1:1" x14ac:dyDescent="0.25">
      <c r="A5864" s="16"/>
    </row>
    <row r="5865" spans="1:1" x14ac:dyDescent="0.25">
      <c r="A5865" s="16"/>
    </row>
    <row r="5866" spans="1:1" x14ac:dyDescent="0.25">
      <c r="A5866" s="16"/>
    </row>
    <row r="5867" spans="1:1" x14ac:dyDescent="0.25">
      <c r="A5867" s="16"/>
    </row>
    <row r="5868" spans="1:1" x14ac:dyDescent="0.25">
      <c r="A5868" s="16"/>
    </row>
    <row r="5869" spans="1:1" x14ac:dyDescent="0.25">
      <c r="A5869" s="16"/>
    </row>
    <row r="5870" spans="1:1" x14ac:dyDescent="0.25">
      <c r="A5870" s="16"/>
    </row>
    <row r="5871" spans="1:1" x14ac:dyDescent="0.25">
      <c r="A5871" s="16"/>
    </row>
    <row r="5872" spans="1:1" x14ac:dyDescent="0.25">
      <c r="A5872" s="16"/>
    </row>
    <row r="5873" spans="1:1" x14ac:dyDescent="0.25">
      <c r="A5873" s="16"/>
    </row>
    <row r="5874" spans="1:1" x14ac:dyDescent="0.25">
      <c r="A5874" s="16"/>
    </row>
    <row r="5875" spans="1:1" x14ac:dyDescent="0.25">
      <c r="A5875" s="16"/>
    </row>
    <row r="5876" spans="1:1" x14ac:dyDescent="0.25">
      <c r="A5876" s="16"/>
    </row>
    <row r="5877" spans="1:1" x14ac:dyDescent="0.25">
      <c r="A5877" s="16"/>
    </row>
    <row r="5878" spans="1:1" x14ac:dyDescent="0.25">
      <c r="A5878" s="16"/>
    </row>
    <row r="5879" spans="1:1" x14ac:dyDescent="0.25">
      <c r="A5879" s="16"/>
    </row>
    <row r="5880" spans="1:1" x14ac:dyDescent="0.25">
      <c r="A5880" s="16"/>
    </row>
    <row r="5881" spans="1:1" x14ac:dyDescent="0.25">
      <c r="A5881" s="16"/>
    </row>
    <row r="5882" spans="1:1" x14ac:dyDescent="0.25">
      <c r="A5882" s="16"/>
    </row>
    <row r="5883" spans="1:1" x14ac:dyDescent="0.25">
      <c r="A5883" s="16"/>
    </row>
    <row r="5884" spans="1:1" x14ac:dyDescent="0.25">
      <c r="A5884" s="16"/>
    </row>
    <row r="5885" spans="1:1" x14ac:dyDescent="0.25">
      <c r="A5885" s="16"/>
    </row>
    <row r="5886" spans="1:1" x14ac:dyDescent="0.25">
      <c r="A5886" s="16"/>
    </row>
    <row r="5887" spans="1:1" x14ac:dyDescent="0.25">
      <c r="A5887" s="16"/>
    </row>
    <row r="5888" spans="1:1" x14ac:dyDescent="0.25">
      <c r="A5888" s="16"/>
    </row>
    <row r="5889" spans="1:1" x14ac:dyDescent="0.25">
      <c r="A5889" s="16"/>
    </row>
    <row r="5890" spans="1:1" x14ac:dyDescent="0.25">
      <c r="A5890" s="16"/>
    </row>
    <row r="5891" spans="1:1" x14ac:dyDescent="0.25">
      <c r="A5891" s="16"/>
    </row>
    <row r="5892" spans="1:1" x14ac:dyDescent="0.25">
      <c r="A5892" s="16"/>
    </row>
    <row r="5893" spans="1:1" x14ac:dyDescent="0.25">
      <c r="A5893" s="16"/>
    </row>
    <row r="5894" spans="1:1" x14ac:dyDescent="0.25">
      <c r="A5894" s="16"/>
    </row>
    <row r="5895" spans="1:1" x14ac:dyDescent="0.25">
      <c r="A5895" s="16"/>
    </row>
    <row r="5896" spans="1:1" x14ac:dyDescent="0.25">
      <c r="A5896" s="16"/>
    </row>
    <row r="5897" spans="1:1" x14ac:dyDescent="0.25">
      <c r="A5897" s="16"/>
    </row>
    <row r="5898" spans="1:1" x14ac:dyDescent="0.25">
      <c r="A5898" s="16"/>
    </row>
    <row r="5899" spans="1:1" x14ac:dyDescent="0.25">
      <c r="A5899" s="16"/>
    </row>
    <row r="5900" spans="1:1" x14ac:dyDescent="0.25">
      <c r="A5900" s="16"/>
    </row>
    <row r="5901" spans="1:1" x14ac:dyDescent="0.25">
      <c r="A5901" s="16"/>
    </row>
    <row r="5902" spans="1:1" x14ac:dyDescent="0.25">
      <c r="A5902" s="16"/>
    </row>
    <row r="5903" spans="1:1" x14ac:dyDescent="0.25">
      <c r="A5903" s="16"/>
    </row>
    <row r="5904" spans="1:1" x14ac:dyDescent="0.25">
      <c r="A5904" s="16"/>
    </row>
    <row r="5905" spans="1:1" x14ac:dyDescent="0.25">
      <c r="A5905" s="16"/>
    </row>
    <row r="5906" spans="1:1" x14ac:dyDescent="0.25">
      <c r="A5906" s="16"/>
    </row>
    <row r="5907" spans="1:1" x14ac:dyDescent="0.25">
      <c r="A5907" s="16"/>
    </row>
    <row r="5908" spans="1:1" x14ac:dyDescent="0.25">
      <c r="A5908" s="16"/>
    </row>
    <row r="5909" spans="1:1" x14ac:dyDescent="0.25">
      <c r="A5909" s="16"/>
    </row>
    <row r="5910" spans="1:1" x14ac:dyDescent="0.25">
      <c r="A5910" s="16"/>
    </row>
    <row r="5911" spans="1:1" x14ac:dyDescent="0.25">
      <c r="A5911" s="16"/>
    </row>
    <row r="5912" spans="1:1" x14ac:dyDescent="0.25">
      <c r="A5912" s="16"/>
    </row>
    <row r="5913" spans="1:1" x14ac:dyDescent="0.25">
      <c r="A5913" s="16"/>
    </row>
    <row r="5914" spans="1:1" x14ac:dyDescent="0.25">
      <c r="A5914" s="16"/>
    </row>
    <row r="5915" spans="1:1" x14ac:dyDescent="0.25">
      <c r="A5915" s="16"/>
    </row>
    <row r="5916" spans="1:1" x14ac:dyDescent="0.25">
      <c r="A5916" s="16"/>
    </row>
    <row r="5917" spans="1:1" x14ac:dyDescent="0.25">
      <c r="A5917" s="16"/>
    </row>
    <row r="5918" spans="1:1" x14ac:dyDescent="0.25">
      <c r="A5918" s="16"/>
    </row>
    <row r="5919" spans="1:1" x14ac:dyDescent="0.25">
      <c r="A5919" s="16"/>
    </row>
    <row r="5920" spans="1:1" x14ac:dyDescent="0.25">
      <c r="A5920" s="16"/>
    </row>
    <row r="5921" spans="1:1" x14ac:dyDescent="0.25">
      <c r="A5921" s="16"/>
    </row>
    <row r="5922" spans="1:1" x14ac:dyDescent="0.25">
      <c r="A5922" s="16"/>
    </row>
    <row r="5923" spans="1:1" x14ac:dyDescent="0.25">
      <c r="A5923" s="16"/>
    </row>
    <row r="5924" spans="1:1" x14ac:dyDescent="0.25">
      <c r="A5924" s="16"/>
    </row>
    <row r="5925" spans="1:1" x14ac:dyDescent="0.25">
      <c r="A5925" s="16"/>
    </row>
    <row r="5926" spans="1:1" x14ac:dyDescent="0.25">
      <c r="A5926" s="16"/>
    </row>
    <row r="5927" spans="1:1" x14ac:dyDescent="0.25">
      <c r="A5927" s="16"/>
    </row>
    <row r="5928" spans="1:1" x14ac:dyDescent="0.25">
      <c r="A5928" s="16"/>
    </row>
    <row r="5929" spans="1:1" x14ac:dyDescent="0.25">
      <c r="A5929" s="16"/>
    </row>
    <row r="5930" spans="1:1" x14ac:dyDescent="0.25">
      <c r="A5930" s="16"/>
    </row>
    <row r="5931" spans="1:1" x14ac:dyDescent="0.25">
      <c r="A5931" s="16"/>
    </row>
    <row r="5932" spans="1:1" x14ac:dyDescent="0.25">
      <c r="A5932" s="16"/>
    </row>
    <row r="5933" spans="1:1" x14ac:dyDescent="0.25">
      <c r="A5933" s="16"/>
    </row>
    <row r="5934" spans="1:1" x14ac:dyDescent="0.25">
      <c r="A5934" s="16"/>
    </row>
    <row r="5935" spans="1:1" x14ac:dyDescent="0.25">
      <c r="A5935" s="16"/>
    </row>
    <row r="5936" spans="1:1" x14ac:dyDescent="0.25">
      <c r="A5936" s="16"/>
    </row>
    <row r="5937" spans="1:1" x14ac:dyDescent="0.25">
      <c r="A5937" s="16"/>
    </row>
    <row r="5938" spans="1:1" x14ac:dyDescent="0.25">
      <c r="A5938" s="16"/>
    </row>
    <row r="5939" spans="1:1" x14ac:dyDescent="0.25">
      <c r="A5939" s="16"/>
    </row>
    <row r="5940" spans="1:1" x14ac:dyDescent="0.25">
      <c r="A5940" s="16"/>
    </row>
    <row r="5941" spans="1:1" x14ac:dyDescent="0.25">
      <c r="A5941" s="16"/>
    </row>
    <row r="5942" spans="1:1" x14ac:dyDescent="0.25">
      <c r="A5942" s="16"/>
    </row>
    <row r="5943" spans="1:1" x14ac:dyDescent="0.25">
      <c r="A5943" s="16"/>
    </row>
    <row r="5944" spans="1:1" x14ac:dyDescent="0.25">
      <c r="A5944" s="16"/>
    </row>
    <row r="5945" spans="1:1" x14ac:dyDescent="0.25">
      <c r="A5945" s="16"/>
    </row>
    <row r="5946" spans="1:1" x14ac:dyDescent="0.25">
      <c r="A5946" s="16"/>
    </row>
    <row r="5947" spans="1:1" x14ac:dyDescent="0.25">
      <c r="A5947" s="16"/>
    </row>
    <row r="5948" spans="1:1" x14ac:dyDescent="0.25">
      <c r="A5948" s="16"/>
    </row>
    <row r="5949" spans="1:1" x14ac:dyDescent="0.25">
      <c r="A5949" s="16"/>
    </row>
    <row r="5950" spans="1:1" x14ac:dyDescent="0.25">
      <c r="A5950" s="16"/>
    </row>
    <row r="5951" spans="1:1" x14ac:dyDescent="0.25">
      <c r="A5951" s="16"/>
    </row>
    <row r="5952" spans="1:1" x14ac:dyDescent="0.25">
      <c r="A5952" s="16"/>
    </row>
    <row r="5953" spans="1:1" x14ac:dyDescent="0.25">
      <c r="A5953" s="16"/>
    </row>
    <row r="5954" spans="1:1" x14ac:dyDescent="0.25">
      <c r="A5954" s="16"/>
    </row>
    <row r="5955" spans="1:1" x14ac:dyDescent="0.25">
      <c r="A5955" s="16"/>
    </row>
    <row r="5956" spans="1:1" x14ac:dyDescent="0.25">
      <c r="A5956" s="16"/>
    </row>
    <row r="5957" spans="1:1" x14ac:dyDescent="0.25">
      <c r="A5957" s="16"/>
    </row>
    <row r="5958" spans="1:1" x14ac:dyDescent="0.25">
      <c r="A5958" s="16"/>
    </row>
    <row r="5959" spans="1:1" x14ac:dyDescent="0.25">
      <c r="A5959" s="16"/>
    </row>
    <row r="5960" spans="1:1" x14ac:dyDescent="0.25">
      <c r="A5960" s="16"/>
    </row>
    <row r="5961" spans="1:1" x14ac:dyDescent="0.25">
      <c r="A5961" s="16"/>
    </row>
    <row r="5962" spans="1:1" x14ac:dyDescent="0.25">
      <c r="A5962" s="16"/>
    </row>
    <row r="5963" spans="1:1" x14ac:dyDescent="0.25">
      <c r="A5963" s="16"/>
    </row>
    <row r="5964" spans="1:1" x14ac:dyDescent="0.25">
      <c r="A5964" s="16"/>
    </row>
    <row r="5965" spans="1:1" x14ac:dyDescent="0.25">
      <c r="A5965" s="16"/>
    </row>
    <row r="5966" spans="1:1" x14ac:dyDescent="0.25">
      <c r="A5966" s="16"/>
    </row>
    <row r="5967" spans="1:1" x14ac:dyDescent="0.25">
      <c r="A5967" s="16"/>
    </row>
    <row r="5968" spans="1:1" x14ac:dyDescent="0.25">
      <c r="A5968" s="16"/>
    </row>
    <row r="5969" spans="1:1" x14ac:dyDescent="0.25">
      <c r="A5969" s="16"/>
    </row>
    <row r="5970" spans="1:1" x14ac:dyDescent="0.25">
      <c r="A5970" s="16"/>
    </row>
    <row r="5971" spans="1:1" x14ac:dyDescent="0.25">
      <c r="A5971" s="16"/>
    </row>
    <row r="5972" spans="1:1" x14ac:dyDescent="0.25">
      <c r="A5972" s="16"/>
    </row>
    <row r="5973" spans="1:1" x14ac:dyDescent="0.25">
      <c r="A5973" s="16"/>
    </row>
    <row r="5974" spans="1:1" x14ac:dyDescent="0.25">
      <c r="A5974" s="16"/>
    </row>
    <row r="5975" spans="1:1" x14ac:dyDescent="0.25">
      <c r="A5975" s="16"/>
    </row>
    <row r="5976" spans="1:1" x14ac:dyDescent="0.25">
      <c r="A5976" s="16"/>
    </row>
    <row r="5977" spans="1:1" x14ac:dyDescent="0.25">
      <c r="A5977" s="16"/>
    </row>
    <row r="5978" spans="1:1" x14ac:dyDescent="0.25">
      <c r="A5978" s="16"/>
    </row>
    <row r="5979" spans="1:1" x14ac:dyDescent="0.25">
      <c r="A5979" s="16"/>
    </row>
    <row r="5980" spans="1:1" x14ac:dyDescent="0.25">
      <c r="A5980" s="16"/>
    </row>
    <row r="5981" spans="1:1" x14ac:dyDescent="0.25">
      <c r="A5981" s="16"/>
    </row>
    <row r="5982" spans="1:1" x14ac:dyDescent="0.25">
      <c r="A5982" s="16"/>
    </row>
    <row r="5983" spans="1:1" x14ac:dyDescent="0.25">
      <c r="A5983" s="16"/>
    </row>
    <row r="5984" spans="1:1" x14ac:dyDescent="0.25">
      <c r="A5984" s="16"/>
    </row>
    <row r="5985" spans="1:1" x14ac:dyDescent="0.25">
      <c r="A5985" s="16"/>
    </row>
    <row r="5986" spans="1:1" x14ac:dyDescent="0.25">
      <c r="A5986" s="16"/>
    </row>
    <row r="5987" spans="1:1" x14ac:dyDescent="0.25">
      <c r="A5987" s="16"/>
    </row>
    <row r="5988" spans="1:1" x14ac:dyDescent="0.25">
      <c r="A5988" s="16"/>
    </row>
    <row r="5989" spans="1:1" x14ac:dyDescent="0.25">
      <c r="A5989" s="16"/>
    </row>
    <row r="5990" spans="1:1" x14ac:dyDescent="0.25">
      <c r="A5990" s="16"/>
    </row>
    <row r="5991" spans="1:1" x14ac:dyDescent="0.25">
      <c r="A5991" s="16"/>
    </row>
    <row r="5992" spans="1:1" x14ac:dyDescent="0.25">
      <c r="A5992" s="16"/>
    </row>
    <row r="5993" spans="1:1" x14ac:dyDescent="0.25">
      <c r="A5993" s="16"/>
    </row>
    <row r="5994" spans="1:1" x14ac:dyDescent="0.25">
      <c r="A5994" s="16"/>
    </row>
    <row r="5995" spans="1:1" x14ac:dyDescent="0.25">
      <c r="A5995" s="16"/>
    </row>
    <row r="5996" spans="1:1" x14ac:dyDescent="0.25">
      <c r="A5996" s="16"/>
    </row>
    <row r="5997" spans="1:1" x14ac:dyDescent="0.25">
      <c r="A5997" s="16"/>
    </row>
    <row r="5998" spans="1:1" x14ac:dyDescent="0.25">
      <c r="A5998" s="16"/>
    </row>
    <row r="5999" spans="1:1" x14ac:dyDescent="0.25">
      <c r="A5999" s="16"/>
    </row>
    <row r="6000" spans="1:1" x14ac:dyDescent="0.25">
      <c r="A6000" s="16"/>
    </row>
    <row r="6001" spans="1:1" x14ac:dyDescent="0.25">
      <c r="A6001" s="16"/>
    </row>
    <row r="6002" spans="1:1" x14ac:dyDescent="0.25">
      <c r="A6002" s="16"/>
    </row>
    <row r="6003" spans="1:1" x14ac:dyDescent="0.25">
      <c r="A6003" s="16"/>
    </row>
    <row r="6004" spans="1:1" x14ac:dyDescent="0.25">
      <c r="A6004" s="16"/>
    </row>
    <row r="6005" spans="1:1" x14ac:dyDescent="0.25">
      <c r="A6005" s="16"/>
    </row>
    <row r="6006" spans="1:1" x14ac:dyDescent="0.25">
      <c r="A6006" s="16"/>
    </row>
    <row r="6007" spans="1:1" x14ac:dyDescent="0.25">
      <c r="A6007" s="16"/>
    </row>
    <row r="6008" spans="1:1" x14ac:dyDescent="0.25">
      <c r="A6008" s="16"/>
    </row>
    <row r="6009" spans="1:1" x14ac:dyDescent="0.25">
      <c r="A6009" s="16"/>
    </row>
    <row r="6010" spans="1:1" x14ac:dyDescent="0.25">
      <c r="A6010" s="16"/>
    </row>
    <row r="6011" spans="1:1" x14ac:dyDescent="0.25">
      <c r="A6011" s="16"/>
    </row>
    <row r="6012" spans="1:1" x14ac:dyDescent="0.25">
      <c r="A6012" s="16"/>
    </row>
    <row r="6013" spans="1:1" x14ac:dyDescent="0.25">
      <c r="A6013" s="16"/>
    </row>
    <row r="6014" spans="1:1" x14ac:dyDescent="0.25">
      <c r="A6014" s="16"/>
    </row>
    <row r="6015" spans="1:1" x14ac:dyDescent="0.25">
      <c r="A6015" s="16"/>
    </row>
    <row r="6016" spans="1:1" x14ac:dyDescent="0.25">
      <c r="A6016" s="16"/>
    </row>
    <row r="6017" spans="1:1" x14ac:dyDescent="0.25">
      <c r="A6017" s="16"/>
    </row>
    <row r="6018" spans="1:1" x14ac:dyDescent="0.25">
      <c r="A6018" s="16"/>
    </row>
    <row r="6019" spans="1:1" x14ac:dyDescent="0.25">
      <c r="A6019" s="16"/>
    </row>
    <row r="6020" spans="1:1" x14ac:dyDescent="0.25">
      <c r="A6020" s="16"/>
    </row>
    <row r="6021" spans="1:1" x14ac:dyDescent="0.25">
      <c r="A6021" s="16"/>
    </row>
    <row r="6022" spans="1:1" x14ac:dyDescent="0.25">
      <c r="A6022" s="16"/>
    </row>
    <row r="6023" spans="1:1" x14ac:dyDescent="0.25">
      <c r="A6023" s="16"/>
    </row>
    <row r="6024" spans="1:1" x14ac:dyDescent="0.25">
      <c r="A6024" s="16"/>
    </row>
    <row r="6025" spans="1:1" x14ac:dyDescent="0.25">
      <c r="A6025" s="16"/>
    </row>
    <row r="6026" spans="1:1" x14ac:dyDescent="0.25">
      <c r="A6026" s="16"/>
    </row>
    <row r="6027" spans="1:1" x14ac:dyDescent="0.25">
      <c r="A6027" s="16"/>
    </row>
    <row r="6028" spans="1:1" x14ac:dyDescent="0.25">
      <c r="A6028" s="16"/>
    </row>
    <row r="6029" spans="1:1" x14ac:dyDescent="0.25">
      <c r="A6029" s="16"/>
    </row>
    <row r="6030" spans="1:1" x14ac:dyDescent="0.25">
      <c r="A6030" s="16"/>
    </row>
    <row r="6031" spans="1:1" x14ac:dyDescent="0.25">
      <c r="A6031" s="16"/>
    </row>
    <row r="6032" spans="1:1" x14ac:dyDescent="0.25">
      <c r="A6032" s="16"/>
    </row>
    <row r="6033" spans="1:1" x14ac:dyDescent="0.25">
      <c r="A6033" s="16"/>
    </row>
    <row r="6034" spans="1:1" x14ac:dyDescent="0.25">
      <c r="A6034" s="16"/>
    </row>
    <row r="6035" spans="1:1" x14ac:dyDescent="0.25">
      <c r="A6035" s="16"/>
    </row>
    <row r="6036" spans="1:1" x14ac:dyDescent="0.25">
      <c r="A6036" s="16"/>
    </row>
    <row r="6037" spans="1:1" x14ac:dyDescent="0.25">
      <c r="A6037" s="16"/>
    </row>
    <row r="6038" spans="1:1" x14ac:dyDescent="0.25">
      <c r="A6038" s="16"/>
    </row>
    <row r="6039" spans="1:1" x14ac:dyDescent="0.25">
      <c r="A6039" s="16"/>
    </row>
    <row r="6040" spans="1:1" x14ac:dyDescent="0.25">
      <c r="A6040" s="16"/>
    </row>
    <row r="6041" spans="1:1" x14ac:dyDescent="0.25">
      <c r="A6041" s="16"/>
    </row>
    <row r="6042" spans="1:1" x14ac:dyDescent="0.25">
      <c r="A6042" s="16"/>
    </row>
    <row r="6043" spans="1:1" x14ac:dyDescent="0.25">
      <c r="A6043" s="16"/>
    </row>
    <row r="6044" spans="1:1" x14ac:dyDescent="0.25">
      <c r="A6044" s="16"/>
    </row>
    <row r="6045" spans="1:1" x14ac:dyDescent="0.25">
      <c r="A6045" s="16"/>
    </row>
    <row r="6046" spans="1:1" x14ac:dyDescent="0.25">
      <c r="A6046" s="16"/>
    </row>
    <row r="6047" spans="1:1" x14ac:dyDescent="0.25">
      <c r="A6047" s="16"/>
    </row>
    <row r="6048" spans="1:1" x14ac:dyDescent="0.25">
      <c r="A6048" s="16"/>
    </row>
    <row r="6049" spans="1:1" x14ac:dyDescent="0.25">
      <c r="A6049" s="16"/>
    </row>
    <row r="6050" spans="1:1" x14ac:dyDescent="0.25">
      <c r="A6050" s="16"/>
    </row>
    <row r="6051" spans="1:1" x14ac:dyDescent="0.25">
      <c r="A6051" s="16"/>
    </row>
    <row r="6052" spans="1:1" x14ac:dyDescent="0.25">
      <c r="A6052" s="16"/>
    </row>
    <row r="6053" spans="1:1" x14ac:dyDescent="0.25">
      <c r="A6053" s="16"/>
    </row>
    <row r="6054" spans="1:1" x14ac:dyDescent="0.25">
      <c r="A6054" s="16"/>
    </row>
    <row r="6055" spans="1:1" x14ac:dyDescent="0.25">
      <c r="A6055" s="16"/>
    </row>
    <row r="6056" spans="1:1" x14ac:dyDescent="0.25">
      <c r="A6056" s="16"/>
    </row>
    <row r="6057" spans="1:1" x14ac:dyDescent="0.25">
      <c r="A6057" s="16"/>
    </row>
    <row r="6058" spans="1:1" x14ac:dyDescent="0.25">
      <c r="A6058" s="16"/>
    </row>
    <row r="6059" spans="1:1" x14ac:dyDescent="0.25">
      <c r="A6059" s="16"/>
    </row>
    <row r="6060" spans="1:1" x14ac:dyDescent="0.25">
      <c r="A6060" s="16"/>
    </row>
    <row r="6061" spans="1:1" x14ac:dyDescent="0.25">
      <c r="A6061" s="16"/>
    </row>
    <row r="6062" spans="1:1" x14ac:dyDescent="0.25">
      <c r="A6062" s="16"/>
    </row>
    <row r="6063" spans="1:1" x14ac:dyDescent="0.25">
      <c r="A6063" s="16"/>
    </row>
    <row r="6064" spans="1:1" x14ac:dyDescent="0.25">
      <c r="A6064" s="16"/>
    </row>
    <row r="6065" spans="1:1" x14ac:dyDescent="0.25">
      <c r="A6065" s="16"/>
    </row>
    <row r="6066" spans="1:1" x14ac:dyDescent="0.25">
      <c r="A6066" s="16"/>
    </row>
    <row r="6067" spans="1:1" x14ac:dyDescent="0.25">
      <c r="A6067" s="16"/>
    </row>
    <row r="6068" spans="1:1" x14ac:dyDescent="0.25">
      <c r="A6068" s="16"/>
    </row>
    <row r="6069" spans="1:1" x14ac:dyDescent="0.25">
      <c r="A6069" s="16"/>
    </row>
    <row r="6070" spans="1:1" x14ac:dyDescent="0.25">
      <c r="A6070" s="16"/>
    </row>
    <row r="6071" spans="1:1" x14ac:dyDescent="0.25">
      <c r="A6071" s="16"/>
    </row>
    <row r="6072" spans="1:1" x14ac:dyDescent="0.25">
      <c r="A6072" s="16"/>
    </row>
    <row r="6073" spans="1:1" x14ac:dyDescent="0.25">
      <c r="A6073" s="16"/>
    </row>
    <row r="6074" spans="1:1" x14ac:dyDescent="0.25">
      <c r="A6074" s="16"/>
    </row>
    <row r="6075" spans="1:1" x14ac:dyDescent="0.25">
      <c r="A6075" s="16"/>
    </row>
    <row r="6076" spans="1:1" x14ac:dyDescent="0.25">
      <c r="A6076" s="16"/>
    </row>
    <row r="6077" spans="1:1" x14ac:dyDescent="0.25">
      <c r="A6077" s="16"/>
    </row>
    <row r="6078" spans="1:1" x14ac:dyDescent="0.25">
      <c r="A6078" s="16"/>
    </row>
    <row r="6079" spans="1:1" x14ac:dyDescent="0.25">
      <c r="A6079" s="16"/>
    </row>
    <row r="6080" spans="1:1" x14ac:dyDescent="0.25">
      <c r="A6080" s="16"/>
    </row>
    <row r="6081" spans="1:1" x14ac:dyDescent="0.25">
      <c r="A6081" s="16"/>
    </row>
    <row r="6082" spans="1:1" x14ac:dyDescent="0.25">
      <c r="A6082" s="16"/>
    </row>
    <row r="6083" spans="1:1" x14ac:dyDescent="0.25">
      <c r="A6083" s="16"/>
    </row>
    <row r="6084" spans="1:1" x14ac:dyDescent="0.25">
      <c r="A6084" s="16"/>
    </row>
    <row r="6085" spans="1:1" x14ac:dyDescent="0.25">
      <c r="A6085" s="16"/>
    </row>
    <row r="6086" spans="1:1" x14ac:dyDescent="0.25">
      <c r="A6086" s="16"/>
    </row>
    <row r="6087" spans="1:1" x14ac:dyDescent="0.25">
      <c r="A6087" s="16"/>
    </row>
    <row r="6088" spans="1:1" x14ac:dyDescent="0.25">
      <c r="A6088" s="16"/>
    </row>
    <row r="6089" spans="1:1" x14ac:dyDescent="0.25">
      <c r="A6089" s="16"/>
    </row>
    <row r="6090" spans="1:1" x14ac:dyDescent="0.25">
      <c r="A6090" s="16"/>
    </row>
    <row r="6091" spans="1:1" x14ac:dyDescent="0.25">
      <c r="A6091" s="16"/>
    </row>
    <row r="6092" spans="1:1" x14ac:dyDescent="0.25">
      <c r="A6092" s="16"/>
    </row>
    <row r="6093" spans="1:1" x14ac:dyDescent="0.25">
      <c r="A6093" s="16"/>
    </row>
    <row r="6094" spans="1:1" x14ac:dyDescent="0.25">
      <c r="A6094" s="16"/>
    </row>
    <row r="6095" spans="1:1" x14ac:dyDescent="0.25">
      <c r="A6095" s="16"/>
    </row>
    <row r="6096" spans="1:1" x14ac:dyDescent="0.25">
      <c r="A6096" s="16"/>
    </row>
    <row r="6097" spans="1:1" x14ac:dyDescent="0.25">
      <c r="A6097" s="16"/>
    </row>
    <row r="6098" spans="1:1" x14ac:dyDescent="0.25">
      <c r="A6098" s="16"/>
    </row>
    <row r="6099" spans="1:1" x14ac:dyDescent="0.25">
      <c r="A6099" s="16"/>
    </row>
    <row r="6100" spans="1:1" x14ac:dyDescent="0.25">
      <c r="A6100" s="16"/>
    </row>
    <row r="6101" spans="1:1" x14ac:dyDescent="0.25">
      <c r="A6101" s="16"/>
    </row>
    <row r="6102" spans="1:1" x14ac:dyDescent="0.25">
      <c r="A6102" s="16"/>
    </row>
    <row r="6103" spans="1:1" x14ac:dyDescent="0.25">
      <c r="A6103" s="16"/>
    </row>
    <row r="6104" spans="1:1" x14ac:dyDescent="0.25">
      <c r="A6104" s="16"/>
    </row>
    <row r="6105" spans="1:1" x14ac:dyDescent="0.25">
      <c r="A6105" s="16"/>
    </row>
    <row r="6106" spans="1:1" x14ac:dyDescent="0.25">
      <c r="A6106" s="16"/>
    </row>
    <row r="6107" spans="1:1" x14ac:dyDescent="0.25">
      <c r="A6107" s="16"/>
    </row>
    <row r="6108" spans="1:1" x14ac:dyDescent="0.25">
      <c r="A6108" s="16"/>
    </row>
    <row r="6109" spans="1:1" x14ac:dyDescent="0.25">
      <c r="A6109" s="16"/>
    </row>
    <row r="6110" spans="1:1" x14ac:dyDescent="0.25">
      <c r="A6110" s="16"/>
    </row>
    <row r="6111" spans="1:1" x14ac:dyDescent="0.25">
      <c r="A6111" s="16"/>
    </row>
    <row r="6112" spans="1:1" x14ac:dyDescent="0.25">
      <c r="A6112" s="16"/>
    </row>
    <row r="6113" spans="1:1" x14ac:dyDescent="0.25">
      <c r="A6113" s="16"/>
    </row>
    <row r="6114" spans="1:1" x14ac:dyDescent="0.25">
      <c r="A6114" s="16"/>
    </row>
    <row r="6115" spans="1:1" x14ac:dyDescent="0.25">
      <c r="A6115" s="16"/>
    </row>
    <row r="6116" spans="1:1" x14ac:dyDescent="0.25">
      <c r="A6116" s="16"/>
    </row>
    <row r="6117" spans="1:1" x14ac:dyDescent="0.25">
      <c r="A6117" s="16"/>
    </row>
    <row r="6118" spans="1:1" x14ac:dyDescent="0.25">
      <c r="A6118" s="16"/>
    </row>
    <row r="6119" spans="1:1" x14ac:dyDescent="0.25">
      <c r="A6119" s="16"/>
    </row>
    <row r="6120" spans="1:1" x14ac:dyDescent="0.25">
      <c r="A6120" s="16"/>
    </row>
    <row r="6121" spans="1:1" x14ac:dyDescent="0.25">
      <c r="A6121" s="16"/>
    </row>
    <row r="6122" spans="1:1" x14ac:dyDescent="0.25">
      <c r="A6122" s="16"/>
    </row>
    <row r="6123" spans="1:1" x14ac:dyDescent="0.25">
      <c r="A6123" s="16"/>
    </row>
    <row r="6124" spans="1:1" x14ac:dyDescent="0.25">
      <c r="A6124" s="16"/>
    </row>
    <row r="6125" spans="1:1" x14ac:dyDescent="0.25">
      <c r="A6125" s="16"/>
    </row>
    <row r="6126" spans="1:1" x14ac:dyDescent="0.25">
      <c r="A6126" s="16"/>
    </row>
    <row r="6127" spans="1:1" x14ac:dyDescent="0.25">
      <c r="A6127" s="16"/>
    </row>
    <row r="6128" spans="1:1" x14ac:dyDescent="0.25">
      <c r="A6128" s="16"/>
    </row>
    <row r="6129" spans="1:1" x14ac:dyDescent="0.25">
      <c r="A6129" s="16"/>
    </row>
    <row r="6130" spans="1:1" x14ac:dyDescent="0.25">
      <c r="A6130" s="16"/>
    </row>
    <row r="6131" spans="1:1" x14ac:dyDescent="0.25">
      <c r="A6131" s="16"/>
    </row>
    <row r="6132" spans="1:1" x14ac:dyDescent="0.25">
      <c r="A6132" s="16"/>
    </row>
    <row r="6133" spans="1:1" x14ac:dyDescent="0.25">
      <c r="A6133" s="16"/>
    </row>
    <row r="6134" spans="1:1" x14ac:dyDescent="0.25">
      <c r="A6134" s="16"/>
    </row>
    <row r="6135" spans="1:1" x14ac:dyDescent="0.25">
      <c r="A6135" s="16"/>
    </row>
    <row r="6136" spans="1:1" x14ac:dyDescent="0.25">
      <c r="A6136" s="16"/>
    </row>
    <row r="6137" spans="1:1" x14ac:dyDescent="0.25">
      <c r="A6137" s="16"/>
    </row>
    <row r="6138" spans="1:1" x14ac:dyDescent="0.25">
      <c r="A6138" s="16"/>
    </row>
    <row r="6139" spans="1:1" x14ac:dyDescent="0.25">
      <c r="A6139" s="16"/>
    </row>
    <row r="6140" spans="1:1" x14ac:dyDescent="0.25">
      <c r="A6140" s="16"/>
    </row>
    <row r="6141" spans="1:1" x14ac:dyDescent="0.25">
      <c r="A6141" s="16"/>
    </row>
    <row r="6142" spans="1:1" x14ac:dyDescent="0.25">
      <c r="A6142" s="16"/>
    </row>
    <row r="6143" spans="1:1" x14ac:dyDescent="0.25">
      <c r="A6143" s="16"/>
    </row>
    <row r="6144" spans="1:1" x14ac:dyDescent="0.25">
      <c r="A6144" s="16"/>
    </row>
    <row r="6145" spans="1:1" x14ac:dyDescent="0.25">
      <c r="A6145" s="16"/>
    </row>
    <row r="6146" spans="1:1" x14ac:dyDescent="0.25">
      <c r="A6146" s="16"/>
    </row>
    <row r="6147" spans="1:1" x14ac:dyDescent="0.25">
      <c r="A6147" s="16"/>
    </row>
    <row r="6148" spans="1:1" x14ac:dyDescent="0.25">
      <c r="A6148" s="16"/>
    </row>
    <row r="6149" spans="1:1" x14ac:dyDescent="0.25">
      <c r="A6149" s="16"/>
    </row>
    <row r="6150" spans="1:1" x14ac:dyDescent="0.25">
      <c r="A6150" s="16"/>
    </row>
    <row r="6151" spans="1:1" x14ac:dyDescent="0.25">
      <c r="A6151" s="16"/>
    </row>
    <row r="6152" spans="1:1" x14ac:dyDescent="0.25">
      <c r="A6152" s="16"/>
    </row>
    <row r="6153" spans="1:1" x14ac:dyDescent="0.25">
      <c r="A6153" s="16"/>
    </row>
    <row r="6154" spans="1:1" x14ac:dyDescent="0.25">
      <c r="A6154" s="16"/>
    </row>
    <row r="6155" spans="1:1" x14ac:dyDescent="0.25">
      <c r="A6155" s="16"/>
    </row>
    <row r="6156" spans="1:1" x14ac:dyDescent="0.25">
      <c r="A6156" s="16"/>
    </row>
    <row r="6157" spans="1:1" x14ac:dyDescent="0.25">
      <c r="A6157" s="16"/>
    </row>
    <row r="6158" spans="1:1" x14ac:dyDescent="0.25">
      <c r="A6158" s="16"/>
    </row>
    <row r="6159" spans="1:1" x14ac:dyDescent="0.25">
      <c r="A6159" s="16"/>
    </row>
    <row r="6160" spans="1:1" x14ac:dyDescent="0.25">
      <c r="A6160" s="16"/>
    </row>
    <row r="6161" spans="1:1" x14ac:dyDescent="0.25">
      <c r="A6161" s="16"/>
    </row>
    <row r="6162" spans="1:1" x14ac:dyDescent="0.25">
      <c r="A6162" s="16"/>
    </row>
    <row r="6163" spans="1:1" x14ac:dyDescent="0.25">
      <c r="A6163" s="16"/>
    </row>
    <row r="6164" spans="1:1" x14ac:dyDescent="0.25">
      <c r="A6164" s="16"/>
    </row>
    <row r="6165" spans="1:1" x14ac:dyDescent="0.25">
      <c r="A6165" s="16"/>
    </row>
    <row r="6166" spans="1:1" x14ac:dyDescent="0.25">
      <c r="A6166" s="16"/>
    </row>
    <row r="6167" spans="1:1" x14ac:dyDescent="0.25">
      <c r="A6167" s="16"/>
    </row>
    <row r="6168" spans="1:1" x14ac:dyDescent="0.25">
      <c r="A6168" s="16"/>
    </row>
    <row r="6169" spans="1:1" x14ac:dyDescent="0.25">
      <c r="A6169" s="16"/>
    </row>
    <row r="6170" spans="1:1" x14ac:dyDescent="0.25">
      <c r="A6170" s="16"/>
    </row>
    <row r="6171" spans="1:1" x14ac:dyDescent="0.25">
      <c r="A6171" s="16"/>
    </row>
    <row r="6172" spans="1:1" x14ac:dyDescent="0.25">
      <c r="A6172" s="16"/>
    </row>
    <row r="6173" spans="1:1" x14ac:dyDescent="0.25">
      <c r="A6173" s="16"/>
    </row>
    <row r="6174" spans="1:1" x14ac:dyDescent="0.25">
      <c r="A6174" s="16"/>
    </row>
    <row r="6175" spans="1:1" x14ac:dyDescent="0.25">
      <c r="A6175" s="16"/>
    </row>
    <row r="6176" spans="1:1" x14ac:dyDescent="0.25">
      <c r="A6176" s="16"/>
    </row>
    <row r="6177" spans="1:1" x14ac:dyDescent="0.25">
      <c r="A6177" s="16"/>
    </row>
    <row r="6178" spans="1:1" x14ac:dyDescent="0.25">
      <c r="A6178" s="16"/>
    </row>
    <row r="6179" spans="1:1" x14ac:dyDescent="0.25">
      <c r="A6179" s="16"/>
    </row>
    <row r="6180" spans="1:1" x14ac:dyDescent="0.25">
      <c r="A6180" s="16"/>
    </row>
    <row r="6181" spans="1:1" x14ac:dyDescent="0.25">
      <c r="A6181" s="16"/>
    </row>
    <row r="6182" spans="1:1" x14ac:dyDescent="0.25">
      <c r="A6182" s="16"/>
    </row>
    <row r="6183" spans="1:1" x14ac:dyDescent="0.25">
      <c r="A6183" s="16"/>
    </row>
    <row r="6184" spans="1:1" x14ac:dyDescent="0.25">
      <c r="A6184" s="16"/>
    </row>
    <row r="6185" spans="1:1" x14ac:dyDescent="0.25">
      <c r="A6185" s="16"/>
    </row>
    <row r="6186" spans="1:1" x14ac:dyDescent="0.25">
      <c r="A6186" s="16"/>
    </row>
    <row r="6187" spans="1:1" x14ac:dyDescent="0.25">
      <c r="A6187" s="16"/>
    </row>
    <row r="6188" spans="1:1" x14ac:dyDescent="0.25">
      <c r="A6188" s="16"/>
    </row>
    <row r="6189" spans="1:1" x14ac:dyDescent="0.25">
      <c r="A6189" s="16"/>
    </row>
    <row r="6190" spans="1:1" x14ac:dyDescent="0.25">
      <c r="A6190" s="16"/>
    </row>
    <row r="6191" spans="1:1" x14ac:dyDescent="0.25">
      <c r="A6191" s="16"/>
    </row>
    <row r="6192" spans="1:1" x14ac:dyDescent="0.25">
      <c r="A6192" s="16"/>
    </row>
    <row r="6193" spans="1:1" x14ac:dyDescent="0.25">
      <c r="A6193" s="16"/>
    </row>
    <row r="6194" spans="1:1" x14ac:dyDescent="0.25">
      <c r="A6194" s="16"/>
    </row>
    <row r="6195" spans="1:1" x14ac:dyDescent="0.25">
      <c r="A6195" s="16"/>
    </row>
    <row r="6196" spans="1:1" x14ac:dyDescent="0.25">
      <c r="A6196" s="16"/>
    </row>
    <row r="6197" spans="1:1" x14ac:dyDescent="0.25">
      <c r="A6197" s="16"/>
    </row>
    <row r="6198" spans="1:1" x14ac:dyDescent="0.25">
      <c r="A6198" s="16"/>
    </row>
    <row r="6199" spans="1:1" x14ac:dyDescent="0.25">
      <c r="A6199" s="16"/>
    </row>
    <row r="6200" spans="1:1" x14ac:dyDescent="0.25">
      <c r="A6200" s="16"/>
    </row>
    <row r="6201" spans="1:1" x14ac:dyDescent="0.25">
      <c r="A6201" s="16"/>
    </row>
    <row r="6202" spans="1:1" x14ac:dyDescent="0.25">
      <c r="A6202" s="16"/>
    </row>
    <row r="6203" spans="1:1" x14ac:dyDescent="0.25">
      <c r="A6203" s="16"/>
    </row>
    <row r="6204" spans="1:1" x14ac:dyDescent="0.25">
      <c r="A6204" s="16"/>
    </row>
    <row r="6205" spans="1:1" x14ac:dyDescent="0.25">
      <c r="A6205" s="16"/>
    </row>
    <row r="6206" spans="1:1" x14ac:dyDescent="0.25">
      <c r="A6206" s="16"/>
    </row>
    <row r="6207" spans="1:1" x14ac:dyDescent="0.25">
      <c r="A6207" s="16"/>
    </row>
    <row r="6208" spans="1:1" x14ac:dyDescent="0.25">
      <c r="A6208" s="16"/>
    </row>
    <row r="6209" spans="1:1" x14ac:dyDescent="0.25">
      <c r="A6209" s="16"/>
    </row>
    <row r="6210" spans="1:1" x14ac:dyDescent="0.25">
      <c r="A6210" s="16"/>
    </row>
    <row r="6211" spans="1:1" x14ac:dyDescent="0.25">
      <c r="A6211" s="16"/>
    </row>
    <row r="6212" spans="1:1" x14ac:dyDescent="0.25">
      <c r="A6212" s="16"/>
    </row>
    <row r="6213" spans="1:1" x14ac:dyDescent="0.25">
      <c r="A6213" s="16"/>
    </row>
    <row r="6214" spans="1:1" x14ac:dyDescent="0.25">
      <c r="A6214" s="16"/>
    </row>
    <row r="6215" spans="1:1" x14ac:dyDescent="0.25">
      <c r="A6215" s="16"/>
    </row>
    <row r="6216" spans="1:1" x14ac:dyDescent="0.25">
      <c r="A6216" s="16"/>
    </row>
    <row r="6217" spans="1:1" x14ac:dyDescent="0.25">
      <c r="A6217" s="16"/>
    </row>
    <row r="6218" spans="1:1" x14ac:dyDescent="0.25">
      <c r="A6218" s="16"/>
    </row>
    <row r="6219" spans="1:1" x14ac:dyDescent="0.25">
      <c r="A6219" s="16"/>
    </row>
    <row r="6220" spans="1:1" x14ac:dyDescent="0.25">
      <c r="A6220" s="16"/>
    </row>
    <row r="6221" spans="1:1" x14ac:dyDescent="0.25">
      <c r="A6221" s="16"/>
    </row>
    <row r="6222" spans="1:1" x14ac:dyDescent="0.25">
      <c r="A6222" s="16"/>
    </row>
    <row r="6223" spans="1:1" x14ac:dyDescent="0.25">
      <c r="A6223" s="16"/>
    </row>
    <row r="6224" spans="1:1" x14ac:dyDescent="0.25">
      <c r="A6224" s="16"/>
    </row>
    <row r="6225" spans="1:1" x14ac:dyDescent="0.25">
      <c r="A6225" s="16"/>
    </row>
    <row r="6226" spans="1:1" x14ac:dyDescent="0.25">
      <c r="A6226" s="16"/>
    </row>
    <row r="6227" spans="1:1" x14ac:dyDescent="0.25">
      <c r="A6227" s="16"/>
    </row>
    <row r="6228" spans="1:1" x14ac:dyDescent="0.25">
      <c r="A6228" s="16"/>
    </row>
    <row r="6229" spans="1:1" x14ac:dyDescent="0.25">
      <c r="A6229" s="16"/>
    </row>
    <row r="6230" spans="1:1" x14ac:dyDescent="0.25">
      <c r="A6230" s="16"/>
    </row>
    <row r="6231" spans="1:1" x14ac:dyDescent="0.25">
      <c r="A6231" s="16"/>
    </row>
    <row r="6232" spans="1:1" x14ac:dyDescent="0.25">
      <c r="A6232" s="16"/>
    </row>
    <row r="6233" spans="1:1" x14ac:dyDescent="0.25">
      <c r="A6233" s="16"/>
    </row>
    <row r="6234" spans="1:1" x14ac:dyDescent="0.25">
      <c r="A6234" s="16"/>
    </row>
    <row r="6235" spans="1:1" x14ac:dyDescent="0.25">
      <c r="A6235" s="16"/>
    </row>
    <row r="6236" spans="1:1" x14ac:dyDescent="0.25">
      <c r="A6236" s="16"/>
    </row>
    <row r="6237" spans="1:1" x14ac:dyDescent="0.25">
      <c r="A6237" s="16"/>
    </row>
    <row r="6238" spans="1:1" x14ac:dyDescent="0.25">
      <c r="A6238" s="16"/>
    </row>
    <row r="6239" spans="1:1" x14ac:dyDescent="0.25">
      <c r="A6239" s="16"/>
    </row>
    <row r="6240" spans="1:1" x14ac:dyDescent="0.25">
      <c r="A6240" s="16"/>
    </row>
    <row r="6241" spans="1:1" x14ac:dyDescent="0.25">
      <c r="A6241" s="16"/>
    </row>
    <row r="6242" spans="1:1" x14ac:dyDescent="0.25">
      <c r="A6242" s="16"/>
    </row>
    <row r="6243" spans="1:1" x14ac:dyDescent="0.25">
      <c r="A6243" s="16"/>
    </row>
    <row r="6244" spans="1:1" x14ac:dyDescent="0.25">
      <c r="A6244" s="16"/>
    </row>
    <row r="6245" spans="1:1" x14ac:dyDescent="0.25">
      <c r="A6245" s="16"/>
    </row>
    <row r="6246" spans="1:1" x14ac:dyDescent="0.25">
      <c r="A6246" s="16"/>
    </row>
    <row r="6247" spans="1:1" x14ac:dyDescent="0.25">
      <c r="A6247" s="16"/>
    </row>
    <row r="6248" spans="1:1" x14ac:dyDescent="0.25">
      <c r="A6248" s="16"/>
    </row>
    <row r="6249" spans="1:1" x14ac:dyDescent="0.25">
      <c r="A6249" s="16"/>
    </row>
    <row r="6250" spans="1:1" x14ac:dyDescent="0.25">
      <c r="A6250" s="16"/>
    </row>
    <row r="6251" spans="1:1" x14ac:dyDescent="0.25">
      <c r="A6251" s="16"/>
    </row>
    <row r="6252" spans="1:1" x14ac:dyDescent="0.25">
      <c r="A6252" s="16"/>
    </row>
    <row r="6253" spans="1:1" x14ac:dyDescent="0.25">
      <c r="A6253" s="16"/>
    </row>
    <row r="6254" spans="1:1" x14ac:dyDescent="0.25">
      <c r="A6254" s="16"/>
    </row>
    <row r="6255" spans="1:1" x14ac:dyDescent="0.25">
      <c r="A6255" s="16"/>
    </row>
    <row r="6256" spans="1:1" x14ac:dyDescent="0.25">
      <c r="A6256" s="16"/>
    </row>
    <row r="6257" spans="1:1" x14ac:dyDescent="0.25">
      <c r="A6257" s="16"/>
    </row>
    <row r="6258" spans="1:1" x14ac:dyDescent="0.25">
      <c r="A6258" s="16"/>
    </row>
    <row r="6259" spans="1:1" x14ac:dyDescent="0.25">
      <c r="A6259" s="16"/>
    </row>
    <row r="6260" spans="1:1" x14ac:dyDescent="0.25">
      <c r="A6260" s="16"/>
    </row>
    <row r="6261" spans="1:1" x14ac:dyDescent="0.25">
      <c r="A6261" s="16"/>
    </row>
    <row r="6262" spans="1:1" x14ac:dyDescent="0.25">
      <c r="A6262" s="16"/>
    </row>
    <row r="6263" spans="1:1" x14ac:dyDescent="0.25">
      <c r="A6263" s="16"/>
    </row>
    <row r="6264" spans="1:1" x14ac:dyDescent="0.25">
      <c r="A6264" s="16"/>
    </row>
    <row r="6265" spans="1:1" x14ac:dyDescent="0.25">
      <c r="A6265" s="16"/>
    </row>
    <row r="6266" spans="1:1" x14ac:dyDescent="0.25">
      <c r="A6266" s="16"/>
    </row>
    <row r="6267" spans="1:1" x14ac:dyDescent="0.25">
      <c r="A6267" s="16"/>
    </row>
    <row r="6268" spans="1:1" x14ac:dyDescent="0.25">
      <c r="A6268" s="16"/>
    </row>
    <row r="6269" spans="1:1" x14ac:dyDescent="0.25">
      <c r="A6269" s="16"/>
    </row>
    <row r="6270" spans="1:1" x14ac:dyDescent="0.25">
      <c r="A6270" s="16"/>
    </row>
    <row r="6271" spans="1:1" x14ac:dyDescent="0.25">
      <c r="A6271" s="16"/>
    </row>
    <row r="6272" spans="1:1" x14ac:dyDescent="0.25">
      <c r="A6272" s="16"/>
    </row>
    <row r="6273" spans="1:1" x14ac:dyDescent="0.25">
      <c r="A6273" s="16"/>
    </row>
    <row r="6274" spans="1:1" x14ac:dyDescent="0.25">
      <c r="A6274" s="16"/>
    </row>
    <row r="6275" spans="1:1" x14ac:dyDescent="0.25">
      <c r="A6275" s="16"/>
    </row>
    <row r="6276" spans="1:1" x14ac:dyDescent="0.25">
      <c r="A6276" s="16"/>
    </row>
    <row r="6277" spans="1:1" x14ac:dyDescent="0.25">
      <c r="A6277" s="16"/>
    </row>
    <row r="6278" spans="1:1" x14ac:dyDescent="0.25">
      <c r="A6278" s="16"/>
    </row>
    <row r="6279" spans="1:1" x14ac:dyDescent="0.25">
      <c r="A6279" s="16"/>
    </row>
    <row r="6280" spans="1:1" x14ac:dyDescent="0.25">
      <c r="A6280" s="16"/>
    </row>
    <row r="6281" spans="1:1" x14ac:dyDescent="0.25">
      <c r="A6281" s="16"/>
    </row>
    <row r="6282" spans="1:1" x14ac:dyDescent="0.25">
      <c r="A6282" s="16"/>
    </row>
    <row r="6283" spans="1:1" x14ac:dyDescent="0.25">
      <c r="A6283" s="16"/>
    </row>
    <row r="6284" spans="1:1" x14ac:dyDescent="0.25">
      <c r="A6284" s="16"/>
    </row>
    <row r="6285" spans="1:1" x14ac:dyDescent="0.25">
      <c r="A6285" s="16"/>
    </row>
    <row r="6286" spans="1:1" x14ac:dyDescent="0.25">
      <c r="A6286" s="16"/>
    </row>
    <row r="6287" spans="1:1" x14ac:dyDescent="0.25">
      <c r="A6287" s="16"/>
    </row>
    <row r="6288" spans="1:1" x14ac:dyDescent="0.25">
      <c r="A6288" s="16"/>
    </row>
    <row r="6289" spans="1:1" x14ac:dyDescent="0.25">
      <c r="A6289" s="16"/>
    </row>
    <row r="6290" spans="1:1" x14ac:dyDescent="0.25">
      <c r="A6290" s="16"/>
    </row>
    <row r="6291" spans="1:1" x14ac:dyDescent="0.25">
      <c r="A6291" s="16"/>
    </row>
    <row r="6292" spans="1:1" x14ac:dyDescent="0.25">
      <c r="A6292" s="16"/>
    </row>
    <row r="6293" spans="1:1" x14ac:dyDescent="0.25">
      <c r="A6293" s="16"/>
    </row>
    <row r="6294" spans="1:1" x14ac:dyDescent="0.25">
      <c r="A6294" s="16"/>
    </row>
    <row r="6295" spans="1:1" x14ac:dyDescent="0.25">
      <c r="A6295" s="16"/>
    </row>
    <row r="6296" spans="1:1" x14ac:dyDescent="0.25">
      <c r="A6296" s="16"/>
    </row>
    <row r="6297" spans="1:1" x14ac:dyDescent="0.25">
      <c r="A6297" s="16"/>
    </row>
    <row r="6298" spans="1:1" x14ac:dyDescent="0.25">
      <c r="A6298" s="16"/>
    </row>
    <row r="6299" spans="1:1" x14ac:dyDescent="0.25">
      <c r="A6299" s="16"/>
    </row>
    <row r="6300" spans="1:1" x14ac:dyDescent="0.25">
      <c r="A6300" s="16"/>
    </row>
    <row r="6301" spans="1:1" x14ac:dyDescent="0.25">
      <c r="A6301" s="16"/>
    </row>
    <row r="6302" spans="1:1" x14ac:dyDescent="0.25">
      <c r="A6302" s="16"/>
    </row>
    <row r="6303" spans="1:1" x14ac:dyDescent="0.25">
      <c r="A6303" s="16"/>
    </row>
    <row r="6304" spans="1:1" x14ac:dyDescent="0.25">
      <c r="A6304" s="16"/>
    </row>
    <row r="6305" spans="1:1" x14ac:dyDescent="0.25">
      <c r="A6305" s="16"/>
    </row>
    <row r="6306" spans="1:1" x14ac:dyDescent="0.25">
      <c r="A6306" s="16"/>
    </row>
    <row r="6307" spans="1:1" x14ac:dyDescent="0.25">
      <c r="A6307" s="16"/>
    </row>
    <row r="6308" spans="1:1" x14ac:dyDescent="0.25">
      <c r="A6308" s="16"/>
    </row>
    <row r="6309" spans="1:1" x14ac:dyDescent="0.25">
      <c r="A6309" s="16"/>
    </row>
    <row r="6310" spans="1:1" x14ac:dyDescent="0.25">
      <c r="A6310" s="16"/>
    </row>
    <row r="6311" spans="1:1" x14ac:dyDescent="0.25">
      <c r="A6311" s="16"/>
    </row>
    <row r="6312" spans="1:1" x14ac:dyDescent="0.25">
      <c r="A6312" s="16"/>
    </row>
    <row r="6313" spans="1:1" x14ac:dyDescent="0.25">
      <c r="A6313" s="16"/>
    </row>
    <row r="6314" spans="1:1" x14ac:dyDescent="0.25">
      <c r="A6314" s="16"/>
    </row>
    <row r="6315" spans="1:1" x14ac:dyDescent="0.25">
      <c r="A6315" s="16"/>
    </row>
    <row r="6316" spans="1:1" x14ac:dyDescent="0.25">
      <c r="A6316" s="16"/>
    </row>
    <row r="6317" spans="1:1" x14ac:dyDescent="0.25">
      <c r="A6317" s="16"/>
    </row>
    <row r="6318" spans="1:1" x14ac:dyDescent="0.25">
      <c r="A6318" s="16"/>
    </row>
    <row r="6319" spans="1:1" x14ac:dyDescent="0.25">
      <c r="A6319" s="16"/>
    </row>
    <row r="6320" spans="1:1" x14ac:dyDescent="0.25">
      <c r="A6320" s="16"/>
    </row>
    <row r="6321" spans="1:1" x14ac:dyDescent="0.25">
      <c r="A6321" s="16"/>
    </row>
    <row r="6322" spans="1:1" x14ac:dyDescent="0.25">
      <c r="A6322" s="16"/>
    </row>
    <row r="6323" spans="1:1" x14ac:dyDescent="0.25">
      <c r="A6323" s="16"/>
    </row>
    <row r="6324" spans="1:1" x14ac:dyDescent="0.25">
      <c r="A6324" s="16"/>
    </row>
    <row r="6325" spans="1:1" x14ac:dyDescent="0.25">
      <c r="A6325" s="16"/>
    </row>
    <row r="6326" spans="1:1" x14ac:dyDescent="0.25">
      <c r="A6326" s="16"/>
    </row>
    <row r="6327" spans="1:1" x14ac:dyDescent="0.25">
      <c r="A6327" s="16"/>
    </row>
    <row r="6328" spans="1:1" x14ac:dyDescent="0.25">
      <c r="A6328" s="16"/>
    </row>
    <row r="6329" spans="1:1" x14ac:dyDescent="0.25">
      <c r="A6329" s="16"/>
    </row>
    <row r="6330" spans="1:1" x14ac:dyDescent="0.25">
      <c r="A6330" s="16"/>
    </row>
    <row r="6331" spans="1:1" x14ac:dyDescent="0.25">
      <c r="A6331" s="16"/>
    </row>
    <row r="6332" spans="1:1" x14ac:dyDescent="0.25">
      <c r="A6332" s="16"/>
    </row>
    <row r="6333" spans="1:1" x14ac:dyDescent="0.25">
      <c r="A6333" s="16"/>
    </row>
    <row r="6334" spans="1:1" x14ac:dyDescent="0.25">
      <c r="A6334" s="16"/>
    </row>
    <row r="6335" spans="1:1" x14ac:dyDescent="0.25">
      <c r="A6335" s="16"/>
    </row>
    <row r="6336" spans="1:1" x14ac:dyDescent="0.25">
      <c r="A6336" s="16"/>
    </row>
    <row r="6337" spans="1:1" x14ac:dyDescent="0.25">
      <c r="A6337" s="16"/>
    </row>
    <row r="6338" spans="1:1" x14ac:dyDescent="0.25">
      <c r="A6338" s="16"/>
    </row>
    <row r="6339" spans="1:1" x14ac:dyDescent="0.25">
      <c r="A6339" s="16"/>
    </row>
    <row r="6340" spans="1:1" x14ac:dyDescent="0.25">
      <c r="A6340" s="16"/>
    </row>
    <row r="6341" spans="1:1" x14ac:dyDescent="0.25">
      <c r="A6341" s="16"/>
    </row>
    <row r="6342" spans="1:1" x14ac:dyDescent="0.25">
      <c r="A6342" s="16"/>
    </row>
    <row r="6343" spans="1:1" x14ac:dyDescent="0.25">
      <c r="A6343" s="16"/>
    </row>
    <row r="6344" spans="1:1" x14ac:dyDescent="0.25">
      <c r="A6344" s="16"/>
    </row>
    <row r="6345" spans="1:1" x14ac:dyDescent="0.25">
      <c r="A6345" s="16"/>
    </row>
    <row r="6346" spans="1:1" x14ac:dyDescent="0.25">
      <c r="A6346" s="16"/>
    </row>
    <row r="6347" spans="1:1" x14ac:dyDescent="0.25">
      <c r="A6347" s="16"/>
    </row>
    <row r="6348" spans="1:1" x14ac:dyDescent="0.25">
      <c r="A6348" s="16"/>
    </row>
    <row r="6349" spans="1:1" x14ac:dyDescent="0.25">
      <c r="A6349" s="16"/>
    </row>
    <row r="6350" spans="1:1" x14ac:dyDescent="0.25">
      <c r="A6350" s="16"/>
    </row>
    <row r="6351" spans="1:1" x14ac:dyDescent="0.25">
      <c r="A6351" s="16"/>
    </row>
    <row r="6352" spans="1:1" x14ac:dyDescent="0.25">
      <c r="A6352" s="16"/>
    </row>
    <row r="6353" spans="1:1" x14ac:dyDescent="0.25">
      <c r="A6353" s="16"/>
    </row>
    <row r="6354" spans="1:1" x14ac:dyDescent="0.25">
      <c r="A6354" s="16"/>
    </row>
    <row r="6355" spans="1:1" x14ac:dyDescent="0.25">
      <c r="A6355" s="16"/>
    </row>
    <row r="6356" spans="1:1" x14ac:dyDescent="0.25">
      <c r="A6356" s="16"/>
    </row>
    <row r="6357" spans="1:1" x14ac:dyDescent="0.25">
      <c r="A6357" s="16"/>
    </row>
    <row r="6358" spans="1:1" x14ac:dyDescent="0.25">
      <c r="A6358" s="16"/>
    </row>
    <row r="6359" spans="1:1" x14ac:dyDescent="0.25">
      <c r="A6359" s="16"/>
    </row>
    <row r="6360" spans="1:1" x14ac:dyDescent="0.25">
      <c r="A6360" s="16"/>
    </row>
    <row r="6361" spans="1:1" x14ac:dyDescent="0.25">
      <c r="A6361" s="16"/>
    </row>
    <row r="6362" spans="1:1" x14ac:dyDescent="0.25">
      <c r="A6362" s="16"/>
    </row>
    <row r="6363" spans="1:1" x14ac:dyDescent="0.25">
      <c r="A6363" s="16"/>
    </row>
    <row r="6364" spans="1:1" x14ac:dyDescent="0.25">
      <c r="A6364" s="16"/>
    </row>
    <row r="6365" spans="1:1" x14ac:dyDescent="0.25">
      <c r="A6365" s="16"/>
    </row>
    <row r="6366" spans="1:1" x14ac:dyDescent="0.25">
      <c r="A6366" s="16"/>
    </row>
    <row r="6367" spans="1:1" x14ac:dyDescent="0.25">
      <c r="A6367" s="16"/>
    </row>
    <row r="6368" spans="1:1" x14ac:dyDescent="0.25">
      <c r="A6368" s="16"/>
    </row>
    <row r="6369" spans="1:1" x14ac:dyDescent="0.25">
      <c r="A6369" s="16"/>
    </row>
    <row r="6370" spans="1:1" x14ac:dyDescent="0.25">
      <c r="A6370" s="16"/>
    </row>
    <row r="6371" spans="1:1" x14ac:dyDescent="0.25">
      <c r="A6371" s="16"/>
    </row>
    <row r="6372" spans="1:1" x14ac:dyDescent="0.25">
      <c r="A6372" s="16"/>
    </row>
    <row r="6373" spans="1:1" x14ac:dyDescent="0.25">
      <c r="A6373" s="16"/>
    </row>
    <row r="6374" spans="1:1" x14ac:dyDescent="0.25">
      <c r="A6374" s="16"/>
    </row>
    <row r="6375" spans="1:1" x14ac:dyDescent="0.25">
      <c r="A6375" s="16"/>
    </row>
    <row r="6376" spans="1:1" x14ac:dyDescent="0.25">
      <c r="A6376" s="16"/>
    </row>
    <row r="6377" spans="1:1" x14ac:dyDescent="0.25">
      <c r="A6377" s="16"/>
    </row>
    <row r="6378" spans="1:1" x14ac:dyDescent="0.25">
      <c r="A6378" s="16"/>
    </row>
    <row r="6379" spans="1:1" x14ac:dyDescent="0.25">
      <c r="A6379" s="16"/>
    </row>
    <row r="6380" spans="1:1" x14ac:dyDescent="0.25">
      <c r="A6380" s="16"/>
    </row>
    <row r="6381" spans="1:1" x14ac:dyDescent="0.25">
      <c r="A6381" s="16"/>
    </row>
    <row r="6382" spans="1:1" x14ac:dyDescent="0.25">
      <c r="A6382" s="16"/>
    </row>
    <row r="6383" spans="1:1" x14ac:dyDescent="0.25">
      <c r="A6383" s="16"/>
    </row>
    <row r="6384" spans="1:1" x14ac:dyDescent="0.25">
      <c r="A6384" s="16"/>
    </row>
    <row r="6385" spans="1:1" x14ac:dyDescent="0.25">
      <c r="A6385" s="16"/>
    </row>
    <row r="6386" spans="1:1" x14ac:dyDescent="0.25">
      <c r="A6386" s="16"/>
    </row>
    <row r="6387" spans="1:1" x14ac:dyDescent="0.25">
      <c r="A6387" s="16"/>
    </row>
    <row r="6388" spans="1:1" x14ac:dyDescent="0.25">
      <c r="A6388" s="16"/>
    </row>
    <row r="6389" spans="1:1" x14ac:dyDescent="0.25">
      <c r="A6389" s="16"/>
    </row>
    <row r="6390" spans="1:1" x14ac:dyDescent="0.25">
      <c r="A6390" s="16"/>
    </row>
    <row r="6391" spans="1:1" x14ac:dyDescent="0.25">
      <c r="A6391" s="16"/>
    </row>
    <row r="6392" spans="1:1" x14ac:dyDescent="0.25">
      <c r="A6392" s="16"/>
    </row>
    <row r="6393" spans="1:1" x14ac:dyDescent="0.25">
      <c r="A6393" s="16"/>
    </row>
    <row r="6394" spans="1:1" x14ac:dyDescent="0.25">
      <c r="A6394" s="16"/>
    </row>
    <row r="6395" spans="1:1" x14ac:dyDescent="0.25">
      <c r="A6395" s="16"/>
    </row>
    <row r="6396" spans="1:1" x14ac:dyDescent="0.25">
      <c r="A6396" s="16"/>
    </row>
    <row r="6397" spans="1:1" x14ac:dyDescent="0.25">
      <c r="A6397" s="16"/>
    </row>
    <row r="6398" spans="1:1" x14ac:dyDescent="0.25">
      <c r="A6398" s="16"/>
    </row>
    <row r="6399" spans="1:1" x14ac:dyDescent="0.25">
      <c r="A6399" s="16"/>
    </row>
    <row r="6400" spans="1:1" x14ac:dyDescent="0.25">
      <c r="A6400" s="16"/>
    </row>
    <row r="6401" spans="1:1" x14ac:dyDescent="0.25">
      <c r="A6401" s="16"/>
    </row>
    <row r="6402" spans="1:1" x14ac:dyDescent="0.25">
      <c r="A6402" s="16"/>
    </row>
    <row r="6403" spans="1:1" x14ac:dyDescent="0.25">
      <c r="A6403" s="16"/>
    </row>
    <row r="6404" spans="1:1" x14ac:dyDescent="0.25">
      <c r="A6404" s="16"/>
    </row>
    <row r="6405" spans="1:1" x14ac:dyDescent="0.25">
      <c r="A6405" s="16"/>
    </row>
    <row r="6406" spans="1:1" x14ac:dyDescent="0.25">
      <c r="A6406" s="16"/>
    </row>
    <row r="6407" spans="1:1" x14ac:dyDescent="0.25">
      <c r="A6407" s="16"/>
    </row>
    <row r="6408" spans="1:1" x14ac:dyDescent="0.25">
      <c r="A6408" s="16"/>
    </row>
    <row r="6409" spans="1:1" x14ac:dyDescent="0.25">
      <c r="A6409" s="16"/>
    </row>
    <row r="6410" spans="1:1" x14ac:dyDescent="0.25">
      <c r="A6410" s="16"/>
    </row>
    <row r="6411" spans="1:1" x14ac:dyDescent="0.25">
      <c r="A6411" s="16"/>
    </row>
    <row r="6412" spans="1:1" x14ac:dyDescent="0.25">
      <c r="A6412" s="16"/>
    </row>
    <row r="6413" spans="1:1" x14ac:dyDescent="0.25">
      <c r="A6413" s="16"/>
    </row>
    <row r="6414" spans="1:1" x14ac:dyDescent="0.25">
      <c r="A6414" s="16"/>
    </row>
    <row r="6415" spans="1:1" x14ac:dyDescent="0.25">
      <c r="A6415" s="16"/>
    </row>
    <row r="6416" spans="1:1" x14ac:dyDescent="0.25">
      <c r="A6416" s="16"/>
    </row>
    <row r="6417" spans="1:1" x14ac:dyDescent="0.25">
      <c r="A6417" s="16"/>
    </row>
    <row r="6418" spans="1:1" x14ac:dyDescent="0.25">
      <c r="A6418" s="16"/>
    </row>
    <row r="6419" spans="1:1" x14ac:dyDescent="0.25">
      <c r="A6419" s="16"/>
    </row>
    <row r="6420" spans="1:1" x14ac:dyDescent="0.25">
      <c r="A6420" s="16"/>
    </row>
    <row r="6421" spans="1:1" x14ac:dyDescent="0.25">
      <c r="A6421" s="16"/>
    </row>
    <row r="6422" spans="1:1" x14ac:dyDescent="0.25">
      <c r="A6422" s="16"/>
    </row>
    <row r="6423" spans="1:1" x14ac:dyDescent="0.25">
      <c r="A6423" s="16"/>
    </row>
    <row r="6424" spans="1:1" x14ac:dyDescent="0.25">
      <c r="A6424" s="16"/>
    </row>
    <row r="6425" spans="1:1" x14ac:dyDescent="0.25">
      <c r="A6425" s="16"/>
    </row>
    <row r="6426" spans="1:1" x14ac:dyDescent="0.25">
      <c r="A6426" s="16"/>
    </row>
    <row r="6427" spans="1:1" x14ac:dyDescent="0.25">
      <c r="A6427" s="16"/>
    </row>
    <row r="6428" spans="1:1" x14ac:dyDescent="0.25">
      <c r="A6428" s="16"/>
    </row>
    <row r="6429" spans="1:1" x14ac:dyDescent="0.25">
      <c r="A6429" s="16"/>
    </row>
    <row r="6430" spans="1:1" x14ac:dyDescent="0.25">
      <c r="A6430" s="16"/>
    </row>
    <row r="6431" spans="1:1" x14ac:dyDescent="0.25">
      <c r="A6431" s="16"/>
    </row>
    <row r="6432" spans="1:1" x14ac:dyDescent="0.25">
      <c r="A6432" s="16"/>
    </row>
    <row r="6433" spans="1:1" x14ac:dyDescent="0.25">
      <c r="A6433" s="16"/>
    </row>
    <row r="6434" spans="1:1" x14ac:dyDescent="0.25">
      <c r="A6434" s="16"/>
    </row>
    <row r="6435" spans="1:1" x14ac:dyDescent="0.25">
      <c r="A6435" s="16"/>
    </row>
    <row r="6436" spans="1:1" x14ac:dyDescent="0.25">
      <c r="A6436" s="16"/>
    </row>
    <row r="6437" spans="1:1" x14ac:dyDescent="0.25">
      <c r="A6437" s="16"/>
    </row>
    <row r="6438" spans="1:1" x14ac:dyDescent="0.25">
      <c r="A6438" s="16"/>
    </row>
    <row r="6439" spans="1:1" x14ac:dyDescent="0.25">
      <c r="A6439" s="16"/>
    </row>
    <row r="6440" spans="1:1" x14ac:dyDescent="0.25">
      <c r="A6440" s="16"/>
    </row>
    <row r="6441" spans="1:1" x14ac:dyDescent="0.25">
      <c r="A6441" s="16"/>
    </row>
    <row r="6442" spans="1:1" x14ac:dyDescent="0.25">
      <c r="A6442" s="16"/>
    </row>
    <row r="6443" spans="1:1" x14ac:dyDescent="0.25">
      <c r="A6443" s="16"/>
    </row>
    <row r="6444" spans="1:1" x14ac:dyDescent="0.25">
      <c r="A6444" s="16"/>
    </row>
    <row r="6445" spans="1:1" x14ac:dyDescent="0.25">
      <c r="A6445" s="16"/>
    </row>
    <row r="6446" spans="1:1" x14ac:dyDescent="0.25">
      <c r="A6446" s="16"/>
    </row>
    <row r="6447" spans="1:1" x14ac:dyDescent="0.25">
      <c r="A6447" s="16"/>
    </row>
    <row r="6448" spans="1:1" x14ac:dyDescent="0.25">
      <c r="A6448" s="16"/>
    </row>
    <row r="6449" spans="1:1" x14ac:dyDescent="0.25">
      <c r="A6449" s="16"/>
    </row>
    <row r="6450" spans="1:1" x14ac:dyDescent="0.25">
      <c r="A6450" s="16"/>
    </row>
    <row r="6451" spans="1:1" x14ac:dyDescent="0.25">
      <c r="A6451" s="16"/>
    </row>
    <row r="6452" spans="1:1" x14ac:dyDescent="0.25">
      <c r="A6452" s="16"/>
    </row>
    <row r="6453" spans="1:1" x14ac:dyDescent="0.25">
      <c r="A6453" s="16"/>
    </row>
    <row r="6454" spans="1:1" x14ac:dyDescent="0.25">
      <c r="A6454" s="16"/>
    </row>
    <row r="6455" spans="1:1" x14ac:dyDescent="0.25">
      <c r="A6455" s="16"/>
    </row>
    <row r="6456" spans="1:1" x14ac:dyDescent="0.25">
      <c r="A6456" s="16"/>
    </row>
    <row r="6457" spans="1:1" x14ac:dyDescent="0.25">
      <c r="A6457" s="16"/>
    </row>
    <row r="6458" spans="1:1" x14ac:dyDescent="0.25">
      <c r="A6458" s="16"/>
    </row>
    <row r="6459" spans="1:1" x14ac:dyDescent="0.25">
      <c r="A6459" s="16"/>
    </row>
    <row r="6460" spans="1:1" x14ac:dyDescent="0.25">
      <c r="A6460" s="16"/>
    </row>
    <row r="6461" spans="1:1" x14ac:dyDescent="0.25">
      <c r="A6461" s="16"/>
    </row>
    <row r="6462" spans="1:1" x14ac:dyDescent="0.25">
      <c r="A6462" s="16"/>
    </row>
    <row r="6463" spans="1:1" x14ac:dyDescent="0.25">
      <c r="A6463" s="16"/>
    </row>
    <row r="6464" spans="1:1" x14ac:dyDescent="0.25">
      <c r="A6464" s="16"/>
    </row>
    <row r="6465" spans="1:1" x14ac:dyDescent="0.25">
      <c r="A6465" s="16"/>
    </row>
    <row r="6466" spans="1:1" x14ac:dyDescent="0.25">
      <c r="A6466" s="16"/>
    </row>
    <row r="6467" spans="1:1" x14ac:dyDescent="0.25">
      <c r="A6467" s="16"/>
    </row>
    <row r="6468" spans="1:1" x14ac:dyDescent="0.25">
      <c r="A6468" s="16"/>
    </row>
    <row r="6469" spans="1:1" x14ac:dyDescent="0.25">
      <c r="A6469" s="16"/>
    </row>
    <row r="6470" spans="1:1" x14ac:dyDescent="0.25">
      <c r="A6470" s="16"/>
    </row>
    <row r="6471" spans="1:1" x14ac:dyDescent="0.25">
      <c r="A6471" s="16"/>
    </row>
    <row r="6472" spans="1:1" x14ac:dyDescent="0.25">
      <c r="A6472" s="16"/>
    </row>
    <row r="6473" spans="1:1" x14ac:dyDescent="0.25">
      <c r="A6473" s="16"/>
    </row>
    <row r="6474" spans="1:1" x14ac:dyDescent="0.25">
      <c r="A6474" s="16"/>
    </row>
    <row r="6475" spans="1:1" x14ac:dyDescent="0.25">
      <c r="A6475" s="16"/>
    </row>
    <row r="6476" spans="1:1" x14ac:dyDescent="0.25">
      <c r="A6476" s="16"/>
    </row>
    <row r="6477" spans="1:1" x14ac:dyDescent="0.25">
      <c r="A6477" s="16"/>
    </row>
    <row r="6478" spans="1:1" x14ac:dyDescent="0.25">
      <c r="A6478" s="16"/>
    </row>
    <row r="6479" spans="1:1" x14ac:dyDescent="0.25">
      <c r="A6479" s="16"/>
    </row>
    <row r="6480" spans="1:1" x14ac:dyDescent="0.25">
      <c r="A6480" s="16"/>
    </row>
    <row r="6481" spans="1:1" x14ac:dyDescent="0.25">
      <c r="A6481" s="16"/>
    </row>
    <row r="6482" spans="1:1" x14ac:dyDescent="0.25">
      <c r="A6482" s="16"/>
    </row>
    <row r="6483" spans="1:1" x14ac:dyDescent="0.25">
      <c r="A6483" s="16"/>
    </row>
    <row r="6484" spans="1:1" x14ac:dyDescent="0.25">
      <c r="A6484" s="16"/>
    </row>
    <row r="6485" spans="1:1" x14ac:dyDescent="0.25">
      <c r="A6485" s="16"/>
    </row>
    <row r="6486" spans="1:1" x14ac:dyDescent="0.25">
      <c r="A6486" s="16"/>
    </row>
    <row r="6487" spans="1:1" x14ac:dyDescent="0.25">
      <c r="A6487" s="16"/>
    </row>
    <row r="6488" spans="1:1" x14ac:dyDescent="0.25">
      <c r="A6488" s="16"/>
    </row>
    <row r="6489" spans="1:1" x14ac:dyDescent="0.25">
      <c r="A6489" s="16"/>
    </row>
    <row r="6490" spans="1:1" x14ac:dyDescent="0.25">
      <c r="A6490" s="16"/>
    </row>
    <row r="6491" spans="1:1" x14ac:dyDescent="0.25">
      <c r="A6491" s="16"/>
    </row>
    <row r="6492" spans="1:1" x14ac:dyDescent="0.25">
      <c r="A6492" s="16"/>
    </row>
    <row r="6493" spans="1:1" x14ac:dyDescent="0.25">
      <c r="A6493" s="16"/>
    </row>
    <row r="6494" spans="1:1" x14ac:dyDescent="0.25">
      <c r="A6494" s="16"/>
    </row>
    <row r="6495" spans="1:1" x14ac:dyDescent="0.25">
      <c r="A6495" s="16"/>
    </row>
    <row r="6496" spans="1:1" x14ac:dyDescent="0.25">
      <c r="A6496" s="16"/>
    </row>
    <row r="6497" spans="1:1" x14ac:dyDescent="0.25">
      <c r="A6497" s="16"/>
    </row>
    <row r="6498" spans="1:1" x14ac:dyDescent="0.25">
      <c r="A6498" s="16"/>
    </row>
    <row r="6499" spans="1:1" x14ac:dyDescent="0.25">
      <c r="A6499" s="16"/>
    </row>
    <row r="6500" spans="1:1" x14ac:dyDescent="0.25">
      <c r="A6500" s="16"/>
    </row>
    <row r="6501" spans="1:1" x14ac:dyDescent="0.25">
      <c r="A6501" s="16"/>
    </row>
    <row r="6502" spans="1:1" x14ac:dyDescent="0.25">
      <c r="A6502" s="16"/>
    </row>
    <row r="6503" spans="1:1" x14ac:dyDescent="0.25">
      <c r="A6503" s="16"/>
    </row>
    <row r="6504" spans="1:1" x14ac:dyDescent="0.25">
      <c r="A6504" s="16"/>
    </row>
    <row r="6505" spans="1:1" x14ac:dyDescent="0.25">
      <c r="A6505" s="16"/>
    </row>
    <row r="6506" spans="1:1" x14ac:dyDescent="0.25">
      <c r="A6506" s="16"/>
    </row>
    <row r="6507" spans="1:1" x14ac:dyDescent="0.25">
      <c r="A6507" s="16"/>
    </row>
    <row r="6508" spans="1:1" x14ac:dyDescent="0.25">
      <c r="A6508" s="16"/>
    </row>
    <row r="6509" spans="1:1" x14ac:dyDescent="0.25">
      <c r="A6509" s="16"/>
    </row>
    <row r="6510" spans="1:1" x14ac:dyDescent="0.25">
      <c r="A6510" s="16"/>
    </row>
    <row r="6511" spans="1:1" x14ac:dyDescent="0.25">
      <c r="A6511" s="16"/>
    </row>
    <row r="6512" spans="1:1" x14ac:dyDescent="0.25">
      <c r="A6512" s="16"/>
    </row>
    <row r="6513" spans="1:1" x14ac:dyDescent="0.25">
      <c r="A6513" s="16"/>
    </row>
    <row r="6514" spans="1:1" x14ac:dyDescent="0.25">
      <c r="A6514" s="16"/>
    </row>
    <row r="6515" spans="1:1" x14ac:dyDescent="0.25">
      <c r="A6515" s="16"/>
    </row>
    <row r="6516" spans="1:1" x14ac:dyDescent="0.25">
      <c r="A6516" s="16"/>
    </row>
    <row r="6517" spans="1:1" x14ac:dyDescent="0.25">
      <c r="A6517" s="16"/>
    </row>
    <row r="6518" spans="1:1" x14ac:dyDescent="0.25">
      <c r="A6518" s="16"/>
    </row>
    <row r="6519" spans="1:1" x14ac:dyDescent="0.25">
      <c r="A6519" s="16"/>
    </row>
    <row r="6520" spans="1:1" x14ac:dyDescent="0.25">
      <c r="A6520" s="16"/>
    </row>
    <row r="6521" spans="1:1" x14ac:dyDescent="0.25">
      <c r="A6521" s="16"/>
    </row>
    <row r="6522" spans="1:1" x14ac:dyDescent="0.25">
      <c r="A6522" s="16"/>
    </row>
    <row r="6523" spans="1:1" x14ac:dyDescent="0.25">
      <c r="A6523" s="16"/>
    </row>
    <row r="6524" spans="1:1" x14ac:dyDescent="0.25">
      <c r="A6524" s="16"/>
    </row>
    <row r="6525" spans="1:1" x14ac:dyDescent="0.25">
      <c r="A6525" s="16"/>
    </row>
    <row r="6526" spans="1:1" x14ac:dyDescent="0.25">
      <c r="A6526" s="16"/>
    </row>
    <row r="6527" spans="1:1" x14ac:dyDescent="0.25">
      <c r="A6527" s="16"/>
    </row>
    <row r="6528" spans="1:1" x14ac:dyDescent="0.25">
      <c r="A6528" s="16"/>
    </row>
    <row r="6529" spans="1:1" x14ac:dyDescent="0.25">
      <c r="A6529" s="16"/>
    </row>
    <row r="6530" spans="1:1" x14ac:dyDescent="0.25">
      <c r="A6530" s="16"/>
    </row>
    <row r="6531" spans="1:1" x14ac:dyDescent="0.25">
      <c r="A6531" s="16"/>
    </row>
    <row r="6532" spans="1:1" x14ac:dyDescent="0.25">
      <c r="A6532" s="16"/>
    </row>
    <row r="6533" spans="1:1" x14ac:dyDescent="0.25">
      <c r="A6533" s="16"/>
    </row>
    <row r="6534" spans="1:1" x14ac:dyDescent="0.25">
      <c r="A6534" s="16"/>
    </row>
    <row r="6535" spans="1:1" x14ac:dyDescent="0.25">
      <c r="A6535" s="16"/>
    </row>
    <row r="6536" spans="1:1" x14ac:dyDescent="0.25">
      <c r="A6536" s="16"/>
    </row>
    <row r="6537" spans="1:1" x14ac:dyDescent="0.25">
      <c r="A6537" s="16"/>
    </row>
    <row r="6538" spans="1:1" x14ac:dyDescent="0.25">
      <c r="A6538" s="16"/>
    </row>
    <row r="6539" spans="1:1" x14ac:dyDescent="0.25">
      <c r="A6539" s="16"/>
    </row>
    <row r="6540" spans="1:1" x14ac:dyDescent="0.25">
      <c r="A6540" s="16"/>
    </row>
    <row r="6541" spans="1:1" x14ac:dyDescent="0.25">
      <c r="A6541" s="16"/>
    </row>
    <row r="6542" spans="1:1" x14ac:dyDescent="0.25">
      <c r="A6542" s="16"/>
    </row>
    <row r="6543" spans="1:1" x14ac:dyDescent="0.25">
      <c r="A6543" s="16"/>
    </row>
    <row r="6544" spans="1:1" x14ac:dyDescent="0.25">
      <c r="A6544" s="16"/>
    </row>
    <row r="6545" spans="1:1" x14ac:dyDescent="0.25">
      <c r="A6545" s="16"/>
    </row>
    <row r="6546" spans="1:1" x14ac:dyDescent="0.25">
      <c r="A6546" s="16"/>
    </row>
    <row r="6547" spans="1:1" x14ac:dyDescent="0.25">
      <c r="A6547" s="16"/>
    </row>
    <row r="6548" spans="1:1" x14ac:dyDescent="0.25">
      <c r="A6548" s="16"/>
    </row>
    <row r="6549" spans="1:1" x14ac:dyDescent="0.25">
      <c r="A6549" s="16"/>
    </row>
    <row r="6550" spans="1:1" x14ac:dyDescent="0.25">
      <c r="A6550" s="16"/>
    </row>
    <row r="6551" spans="1:1" x14ac:dyDescent="0.25">
      <c r="A6551" s="16"/>
    </row>
    <row r="6552" spans="1:1" x14ac:dyDescent="0.25">
      <c r="A6552" s="16"/>
    </row>
    <row r="6553" spans="1:1" x14ac:dyDescent="0.25">
      <c r="A6553" s="16"/>
    </row>
    <row r="6554" spans="1:1" x14ac:dyDescent="0.25">
      <c r="A6554" s="16"/>
    </row>
    <row r="6555" spans="1:1" x14ac:dyDescent="0.25">
      <c r="A6555" s="16"/>
    </row>
    <row r="6556" spans="1:1" x14ac:dyDescent="0.25">
      <c r="A6556" s="16"/>
    </row>
    <row r="6557" spans="1:1" x14ac:dyDescent="0.25">
      <c r="A6557" s="16"/>
    </row>
    <row r="6558" spans="1:1" x14ac:dyDescent="0.25">
      <c r="A6558" s="16"/>
    </row>
    <row r="6559" spans="1:1" x14ac:dyDescent="0.25">
      <c r="A6559" s="16"/>
    </row>
    <row r="6560" spans="1:1" x14ac:dyDescent="0.25">
      <c r="A6560" s="16"/>
    </row>
    <row r="6561" spans="1:1" x14ac:dyDescent="0.25">
      <c r="A6561" s="16"/>
    </row>
    <row r="6562" spans="1:1" x14ac:dyDescent="0.25">
      <c r="A6562" s="16"/>
    </row>
    <row r="6563" spans="1:1" x14ac:dyDescent="0.25">
      <c r="A6563" s="16"/>
    </row>
    <row r="6564" spans="1:1" x14ac:dyDescent="0.25">
      <c r="A6564" s="16"/>
    </row>
    <row r="6565" spans="1:1" x14ac:dyDescent="0.25">
      <c r="A6565" s="16"/>
    </row>
    <row r="6566" spans="1:1" x14ac:dyDescent="0.25">
      <c r="A6566" s="16"/>
    </row>
    <row r="6567" spans="1:1" x14ac:dyDescent="0.25">
      <c r="A6567" s="16"/>
    </row>
    <row r="6568" spans="1:1" x14ac:dyDescent="0.25">
      <c r="A6568" s="16"/>
    </row>
    <row r="6569" spans="1:1" x14ac:dyDescent="0.25">
      <c r="A6569" s="16"/>
    </row>
    <row r="6570" spans="1:1" x14ac:dyDescent="0.25">
      <c r="A6570" s="16"/>
    </row>
    <row r="6571" spans="1:1" x14ac:dyDescent="0.25">
      <c r="A6571" s="16"/>
    </row>
    <row r="6572" spans="1:1" x14ac:dyDescent="0.25">
      <c r="A6572" s="16"/>
    </row>
    <row r="6573" spans="1:1" x14ac:dyDescent="0.25">
      <c r="A6573" s="16"/>
    </row>
    <row r="6574" spans="1:1" x14ac:dyDescent="0.25">
      <c r="A6574" s="16"/>
    </row>
    <row r="6575" spans="1:1" x14ac:dyDescent="0.25">
      <c r="A6575" s="16"/>
    </row>
    <row r="6576" spans="1:1" x14ac:dyDescent="0.25">
      <c r="A6576" s="16"/>
    </row>
    <row r="6577" spans="1:1" x14ac:dyDescent="0.25">
      <c r="A6577" s="16"/>
    </row>
    <row r="6578" spans="1:1" x14ac:dyDescent="0.25">
      <c r="A6578" s="16"/>
    </row>
    <row r="6579" spans="1:1" x14ac:dyDescent="0.25">
      <c r="A6579" s="16"/>
    </row>
    <row r="6580" spans="1:1" x14ac:dyDescent="0.25">
      <c r="A6580" s="16"/>
    </row>
    <row r="6581" spans="1:1" x14ac:dyDescent="0.25">
      <c r="A6581" s="16"/>
    </row>
    <row r="6582" spans="1:1" x14ac:dyDescent="0.25">
      <c r="A6582" s="16"/>
    </row>
    <row r="6583" spans="1:1" x14ac:dyDescent="0.25">
      <c r="A6583" s="16"/>
    </row>
    <row r="6584" spans="1:1" x14ac:dyDescent="0.25">
      <c r="A6584" s="16"/>
    </row>
    <row r="6585" spans="1:1" x14ac:dyDescent="0.25">
      <c r="A6585" s="16"/>
    </row>
    <row r="6586" spans="1:1" x14ac:dyDescent="0.25">
      <c r="A6586" s="16"/>
    </row>
    <row r="6587" spans="1:1" x14ac:dyDescent="0.25">
      <c r="A6587" s="16"/>
    </row>
    <row r="6588" spans="1:1" x14ac:dyDescent="0.25">
      <c r="A6588" s="16"/>
    </row>
    <row r="6589" spans="1:1" x14ac:dyDescent="0.25">
      <c r="A6589" s="16"/>
    </row>
    <row r="6590" spans="1:1" x14ac:dyDescent="0.25">
      <c r="A6590" s="16"/>
    </row>
    <row r="6591" spans="1:1" x14ac:dyDescent="0.25">
      <c r="A6591" s="16"/>
    </row>
    <row r="6592" spans="1:1" x14ac:dyDescent="0.25">
      <c r="A6592" s="16"/>
    </row>
    <row r="6593" spans="1:1" x14ac:dyDescent="0.25">
      <c r="A6593" s="16"/>
    </row>
    <row r="6594" spans="1:1" x14ac:dyDescent="0.25">
      <c r="A6594" s="16"/>
    </row>
    <row r="6595" spans="1:1" x14ac:dyDescent="0.25">
      <c r="A6595" s="16"/>
    </row>
    <row r="6596" spans="1:1" x14ac:dyDescent="0.25">
      <c r="A6596" s="16"/>
    </row>
    <row r="6597" spans="1:1" x14ac:dyDescent="0.25">
      <c r="A6597" s="16"/>
    </row>
    <row r="6598" spans="1:1" x14ac:dyDescent="0.25">
      <c r="A6598" s="16"/>
    </row>
    <row r="6599" spans="1:1" x14ac:dyDescent="0.25">
      <c r="A6599" s="16"/>
    </row>
    <row r="6600" spans="1:1" x14ac:dyDescent="0.25">
      <c r="A6600" s="16"/>
    </row>
    <row r="6601" spans="1:1" x14ac:dyDescent="0.25">
      <c r="A6601" s="16"/>
    </row>
    <row r="6602" spans="1:1" x14ac:dyDescent="0.25">
      <c r="A6602" s="16"/>
    </row>
    <row r="6603" spans="1:1" x14ac:dyDescent="0.25">
      <c r="A6603" s="16"/>
    </row>
    <row r="6604" spans="1:1" x14ac:dyDescent="0.25">
      <c r="A6604" s="16"/>
    </row>
    <row r="6605" spans="1:1" x14ac:dyDescent="0.25">
      <c r="A6605" s="16"/>
    </row>
    <row r="6606" spans="1:1" x14ac:dyDescent="0.25">
      <c r="A6606" s="16"/>
    </row>
    <row r="6607" spans="1:1" x14ac:dyDescent="0.25">
      <c r="A6607" s="16"/>
    </row>
    <row r="6608" spans="1:1" x14ac:dyDescent="0.25">
      <c r="A6608" s="16"/>
    </row>
    <row r="6609" spans="1:1" x14ac:dyDescent="0.25">
      <c r="A6609" s="16"/>
    </row>
    <row r="6610" spans="1:1" x14ac:dyDescent="0.25">
      <c r="A6610" s="16"/>
    </row>
    <row r="6611" spans="1:1" x14ac:dyDescent="0.25">
      <c r="A6611" s="16"/>
    </row>
    <row r="6612" spans="1:1" x14ac:dyDescent="0.25">
      <c r="A6612" s="16"/>
    </row>
    <row r="6613" spans="1:1" x14ac:dyDescent="0.25">
      <c r="A6613" s="16"/>
    </row>
    <row r="6614" spans="1:1" x14ac:dyDescent="0.25">
      <c r="A6614" s="16"/>
    </row>
    <row r="6615" spans="1:1" x14ac:dyDescent="0.25">
      <c r="A6615" s="16"/>
    </row>
    <row r="6616" spans="1:1" x14ac:dyDescent="0.25">
      <c r="A6616" s="16"/>
    </row>
    <row r="6617" spans="1:1" x14ac:dyDescent="0.25">
      <c r="A6617" s="16"/>
    </row>
    <row r="6618" spans="1:1" x14ac:dyDescent="0.25">
      <c r="A6618" s="16"/>
    </row>
    <row r="6619" spans="1:1" x14ac:dyDescent="0.25">
      <c r="A6619" s="16"/>
    </row>
    <row r="6620" spans="1:1" x14ac:dyDescent="0.25">
      <c r="A6620" s="16"/>
    </row>
    <row r="6621" spans="1:1" x14ac:dyDescent="0.25">
      <c r="A6621" s="16"/>
    </row>
    <row r="6622" spans="1:1" x14ac:dyDescent="0.25">
      <c r="A6622" s="16"/>
    </row>
    <row r="6623" spans="1:1" x14ac:dyDescent="0.25">
      <c r="A6623" s="16"/>
    </row>
    <row r="6624" spans="1:1" x14ac:dyDescent="0.25">
      <c r="A6624" s="16"/>
    </row>
    <row r="6625" spans="1:1" x14ac:dyDescent="0.25">
      <c r="A6625" s="16"/>
    </row>
    <row r="6626" spans="1:1" x14ac:dyDescent="0.25">
      <c r="A6626" s="16"/>
    </row>
    <row r="6627" spans="1:1" x14ac:dyDescent="0.25">
      <c r="A6627" s="16"/>
    </row>
    <row r="6628" spans="1:1" x14ac:dyDescent="0.25">
      <c r="A6628" s="16"/>
    </row>
    <row r="6629" spans="1:1" x14ac:dyDescent="0.25">
      <c r="A6629" s="16"/>
    </row>
    <row r="6630" spans="1:1" x14ac:dyDescent="0.25">
      <c r="A6630" s="16"/>
    </row>
    <row r="6631" spans="1:1" x14ac:dyDescent="0.25">
      <c r="A6631" s="16"/>
    </row>
    <row r="6632" spans="1:1" x14ac:dyDescent="0.25">
      <c r="A6632" s="16"/>
    </row>
    <row r="6633" spans="1:1" x14ac:dyDescent="0.25">
      <c r="A6633" s="16"/>
    </row>
    <row r="6634" spans="1:1" x14ac:dyDescent="0.25">
      <c r="A6634" s="16"/>
    </row>
    <row r="6635" spans="1:1" x14ac:dyDescent="0.25">
      <c r="A6635" s="16"/>
    </row>
    <row r="6636" spans="1:1" x14ac:dyDescent="0.25">
      <c r="A6636" s="16"/>
    </row>
    <row r="6637" spans="1:1" x14ac:dyDescent="0.25">
      <c r="A6637" s="16"/>
    </row>
    <row r="6638" spans="1:1" x14ac:dyDescent="0.25">
      <c r="A6638" s="16"/>
    </row>
    <row r="6639" spans="1:1" x14ac:dyDescent="0.25">
      <c r="A6639" s="16"/>
    </row>
    <row r="6640" spans="1:1" x14ac:dyDescent="0.25">
      <c r="A6640" s="16"/>
    </row>
    <row r="6641" spans="1:1" x14ac:dyDescent="0.25">
      <c r="A6641" s="16"/>
    </row>
    <row r="6642" spans="1:1" x14ac:dyDescent="0.25">
      <c r="A6642" s="16"/>
    </row>
    <row r="6643" spans="1:1" x14ac:dyDescent="0.25">
      <c r="A6643" s="16"/>
    </row>
    <row r="6644" spans="1:1" x14ac:dyDescent="0.25">
      <c r="A6644" s="16"/>
    </row>
    <row r="6645" spans="1:1" x14ac:dyDescent="0.25">
      <c r="A6645" s="16"/>
    </row>
    <row r="6646" spans="1:1" x14ac:dyDescent="0.25">
      <c r="A6646" s="16"/>
    </row>
    <row r="6647" spans="1:1" x14ac:dyDescent="0.25">
      <c r="A6647" s="16"/>
    </row>
    <row r="6648" spans="1:1" x14ac:dyDescent="0.25">
      <c r="A6648" s="16"/>
    </row>
    <row r="6649" spans="1:1" x14ac:dyDescent="0.25">
      <c r="A6649" s="16"/>
    </row>
    <row r="6650" spans="1:1" x14ac:dyDescent="0.25">
      <c r="A6650" s="16"/>
    </row>
    <row r="6651" spans="1:1" x14ac:dyDescent="0.25">
      <c r="A6651" s="16"/>
    </row>
    <row r="6652" spans="1:1" x14ac:dyDescent="0.25">
      <c r="A6652" s="16"/>
    </row>
    <row r="6653" spans="1:1" x14ac:dyDescent="0.25">
      <c r="A6653" s="16"/>
    </row>
    <row r="6654" spans="1:1" x14ac:dyDescent="0.25">
      <c r="A6654" s="16"/>
    </row>
    <row r="6655" spans="1:1" x14ac:dyDescent="0.25">
      <c r="A6655" s="16"/>
    </row>
    <row r="6656" spans="1:1" x14ac:dyDescent="0.25">
      <c r="A6656" s="16"/>
    </row>
    <row r="6657" spans="1:1" x14ac:dyDescent="0.25">
      <c r="A6657" s="16"/>
    </row>
    <row r="6658" spans="1:1" x14ac:dyDescent="0.25">
      <c r="A6658" s="16"/>
    </row>
    <row r="6659" spans="1:1" x14ac:dyDescent="0.25">
      <c r="A6659" s="16"/>
    </row>
    <row r="6660" spans="1:1" x14ac:dyDescent="0.25">
      <c r="A6660" s="16"/>
    </row>
    <row r="6661" spans="1:1" x14ac:dyDescent="0.25">
      <c r="A6661" s="16"/>
    </row>
    <row r="6662" spans="1:1" x14ac:dyDescent="0.25">
      <c r="A6662" s="16"/>
    </row>
    <row r="6663" spans="1:1" x14ac:dyDescent="0.25">
      <c r="A6663" s="16"/>
    </row>
    <row r="6664" spans="1:1" x14ac:dyDescent="0.25">
      <c r="A6664" s="16"/>
    </row>
    <row r="6665" spans="1:1" x14ac:dyDescent="0.25">
      <c r="A6665" s="16"/>
    </row>
    <row r="6666" spans="1:1" x14ac:dyDescent="0.25">
      <c r="A6666" s="16"/>
    </row>
    <row r="6667" spans="1:1" x14ac:dyDescent="0.25">
      <c r="A6667" s="16"/>
    </row>
    <row r="6668" spans="1:1" x14ac:dyDescent="0.25">
      <c r="A6668" s="16"/>
    </row>
    <row r="6669" spans="1:1" x14ac:dyDescent="0.25">
      <c r="A6669" s="16"/>
    </row>
    <row r="6670" spans="1:1" x14ac:dyDescent="0.25">
      <c r="A6670" s="16"/>
    </row>
    <row r="6671" spans="1:1" x14ac:dyDescent="0.25">
      <c r="A6671" s="16"/>
    </row>
    <row r="6672" spans="1:1" x14ac:dyDescent="0.25">
      <c r="A6672" s="16"/>
    </row>
    <row r="6673" spans="1:1" x14ac:dyDescent="0.25">
      <c r="A6673" s="16"/>
    </row>
    <row r="6674" spans="1:1" x14ac:dyDescent="0.25">
      <c r="A6674" s="16"/>
    </row>
    <row r="6675" spans="1:1" x14ac:dyDescent="0.25">
      <c r="A6675" s="16"/>
    </row>
    <row r="6676" spans="1:1" x14ac:dyDescent="0.25">
      <c r="A6676" s="16"/>
    </row>
    <row r="6677" spans="1:1" x14ac:dyDescent="0.25">
      <c r="A6677" s="16"/>
    </row>
    <row r="6678" spans="1:1" x14ac:dyDescent="0.25">
      <c r="A6678" s="16"/>
    </row>
    <row r="6679" spans="1:1" x14ac:dyDescent="0.25">
      <c r="A6679" s="16"/>
    </row>
    <row r="6680" spans="1:1" x14ac:dyDescent="0.25">
      <c r="A6680" s="16"/>
    </row>
    <row r="6681" spans="1:1" x14ac:dyDescent="0.25">
      <c r="A6681" s="16"/>
    </row>
    <row r="6682" spans="1:1" x14ac:dyDescent="0.25">
      <c r="A6682" s="16"/>
    </row>
    <row r="6683" spans="1:1" x14ac:dyDescent="0.25">
      <c r="A6683" s="16"/>
    </row>
    <row r="6684" spans="1:1" x14ac:dyDescent="0.25">
      <c r="A6684" s="16"/>
    </row>
    <row r="6685" spans="1:1" x14ac:dyDescent="0.25">
      <c r="A6685" s="16"/>
    </row>
    <row r="6686" spans="1:1" x14ac:dyDescent="0.25">
      <c r="A6686" s="16"/>
    </row>
    <row r="6687" spans="1:1" x14ac:dyDescent="0.25">
      <c r="A6687" s="16"/>
    </row>
    <row r="6688" spans="1:1" x14ac:dyDescent="0.25">
      <c r="A6688" s="16"/>
    </row>
    <row r="6689" spans="1:1" x14ac:dyDescent="0.25">
      <c r="A6689" s="16"/>
    </row>
    <row r="6690" spans="1:1" x14ac:dyDescent="0.25">
      <c r="A6690" s="16"/>
    </row>
    <row r="6691" spans="1:1" x14ac:dyDescent="0.25">
      <c r="A6691" s="16"/>
    </row>
    <row r="6692" spans="1:1" x14ac:dyDescent="0.25">
      <c r="A6692" s="16"/>
    </row>
    <row r="6693" spans="1:1" x14ac:dyDescent="0.25">
      <c r="A6693" s="16"/>
    </row>
    <row r="6694" spans="1:1" x14ac:dyDescent="0.25">
      <c r="A6694" s="16"/>
    </row>
    <row r="6695" spans="1:1" x14ac:dyDescent="0.25">
      <c r="A6695" s="16"/>
    </row>
    <row r="6696" spans="1:1" x14ac:dyDescent="0.25">
      <c r="A6696" s="16"/>
    </row>
    <row r="6697" spans="1:1" x14ac:dyDescent="0.25">
      <c r="A6697" s="16"/>
    </row>
    <row r="6698" spans="1:1" x14ac:dyDescent="0.25">
      <c r="A6698" s="16"/>
    </row>
    <row r="6699" spans="1:1" x14ac:dyDescent="0.25">
      <c r="A6699" s="16"/>
    </row>
    <row r="6700" spans="1:1" x14ac:dyDescent="0.25">
      <c r="A6700" s="16"/>
    </row>
    <row r="6701" spans="1:1" x14ac:dyDescent="0.25">
      <c r="A6701" s="16"/>
    </row>
    <row r="6702" spans="1:1" x14ac:dyDescent="0.25">
      <c r="A6702" s="16"/>
    </row>
    <row r="6703" spans="1:1" x14ac:dyDescent="0.25">
      <c r="A6703" s="16"/>
    </row>
    <row r="6704" spans="1:1" x14ac:dyDescent="0.25">
      <c r="A6704" s="16"/>
    </row>
    <row r="6705" spans="1:1" x14ac:dyDescent="0.25">
      <c r="A6705" s="16"/>
    </row>
    <row r="6706" spans="1:1" x14ac:dyDescent="0.25">
      <c r="A6706" s="16"/>
    </row>
    <row r="6707" spans="1:1" x14ac:dyDescent="0.25">
      <c r="A6707" s="16"/>
    </row>
    <row r="6708" spans="1:1" x14ac:dyDescent="0.25">
      <c r="A6708" s="16"/>
    </row>
    <row r="6709" spans="1:1" x14ac:dyDescent="0.25">
      <c r="A6709" s="16"/>
    </row>
    <row r="6710" spans="1:1" x14ac:dyDescent="0.25">
      <c r="A6710" s="16"/>
    </row>
    <row r="6711" spans="1:1" x14ac:dyDescent="0.25">
      <c r="A6711" s="16"/>
    </row>
    <row r="6712" spans="1:1" x14ac:dyDescent="0.25">
      <c r="A6712" s="16"/>
    </row>
    <row r="6713" spans="1:1" x14ac:dyDescent="0.25">
      <c r="A6713" s="16"/>
    </row>
    <row r="6714" spans="1:1" x14ac:dyDescent="0.25">
      <c r="A6714" s="16"/>
    </row>
    <row r="6715" spans="1:1" x14ac:dyDescent="0.25">
      <c r="A6715" s="16"/>
    </row>
    <row r="6716" spans="1:1" x14ac:dyDescent="0.25">
      <c r="A6716" s="16"/>
    </row>
    <row r="6717" spans="1:1" x14ac:dyDescent="0.25">
      <c r="A6717" s="16"/>
    </row>
    <row r="6718" spans="1:1" x14ac:dyDescent="0.25">
      <c r="A6718" s="16"/>
    </row>
    <row r="6719" spans="1:1" x14ac:dyDescent="0.25">
      <c r="A6719" s="16"/>
    </row>
    <row r="6720" spans="1:1" x14ac:dyDescent="0.25">
      <c r="A6720" s="16"/>
    </row>
    <row r="6721" spans="1:1" x14ac:dyDescent="0.25">
      <c r="A6721" s="16"/>
    </row>
    <row r="6722" spans="1:1" x14ac:dyDescent="0.25">
      <c r="A6722" s="16"/>
    </row>
    <row r="6723" spans="1:1" x14ac:dyDescent="0.25">
      <c r="A6723" s="16"/>
    </row>
    <row r="6724" spans="1:1" x14ac:dyDescent="0.25">
      <c r="A6724" s="16"/>
    </row>
    <row r="6725" spans="1:1" x14ac:dyDescent="0.25">
      <c r="A6725" s="16"/>
    </row>
    <row r="6726" spans="1:1" x14ac:dyDescent="0.25">
      <c r="A6726" s="16"/>
    </row>
    <row r="6727" spans="1:1" x14ac:dyDescent="0.25">
      <c r="A6727" s="16"/>
    </row>
    <row r="6728" spans="1:1" x14ac:dyDescent="0.25">
      <c r="A6728" s="16"/>
    </row>
    <row r="6729" spans="1:1" x14ac:dyDescent="0.25">
      <c r="A6729" s="16"/>
    </row>
    <row r="6730" spans="1:1" x14ac:dyDescent="0.25">
      <c r="A6730" s="16"/>
    </row>
    <row r="6731" spans="1:1" x14ac:dyDescent="0.25">
      <c r="A6731" s="16"/>
    </row>
    <row r="6732" spans="1:1" x14ac:dyDescent="0.25">
      <c r="A6732" s="16"/>
    </row>
    <row r="6733" spans="1:1" x14ac:dyDescent="0.25">
      <c r="A6733" s="16"/>
    </row>
    <row r="6734" spans="1:1" x14ac:dyDescent="0.25">
      <c r="A6734" s="16"/>
    </row>
    <row r="6735" spans="1:1" x14ac:dyDescent="0.25">
      <c r="A6735" s="16"/>
    </row>
    <row r="6736" spans="1:1" x14ac:dyDescent="0.25">
      <c r="A6736" s="16"/>
    </row>
    <row r="6737" spans="1:1" x14ac:dyDescent="0.25">
      <c r="A6737" s="16"/>
    </row>
    <row r="6738" spans="1:1" x14ac:dyDescent="0.25">
      <c r="A6738" s="16"/>
    </row>
    <row r="6739" spans="1:1" x14ac:dyDescent="0.25">
      <c r="A6739" s="16"/>
    </row>
    <row r="6740" spans="1:1" x14ac:dyDescent="0.25">
      <c r="A6740" s="16"/>
    </row>
    <row r="6741" spans="1:1" x14ac:dyDescent="0.25">
      <c r="A6741" s="16"/>
    </row>
    <row r="6742" spans="1:1" x14ac:dyDescent="0.25">
      <c r="A6742" s="16"/>
    </row>
    <row r="6743" spans="1:1" x14ac:dyDescent="0.25">
      <c r="A6743" s="16"/>
    </row>
    <row r="6744" spans="1:1" x14ac:dyDescent="0.25">
      <c r="A6744" s="16"/>
    </row>
    <row r="6745" spans="1:1" x14ac:dyDescent="0.25">
      <c r="A6745" s="16"/>
    </row>
    <row r="6746" spans="1:1" x14ac:dyDescent="0.25">
      <c r="A6746" s="16"/>
    </row>
    <row r="6747" spans="1:1" x14ac:dyDescent="0.25">
      <c r="A6747" s="16"/>
    </row>
    <row r="6748" spans="1:1" x14ac:dyDescent="0.25">
      <c r="A6748" s="16"/>
    </row>
    <row r="6749" spans="1:1" x14ac:dyDescent="0.25">
      <c r="A6749" s="16"/>
    </row>
    <row r="6750" spans="1:1" x14ac:dyDescent="0.25">
      <c r="A6750" s="16"/>
    </row>
    <row r="6751" spans="1:1" x14ac:dyDescent="0.25">
      <c r="A6751" s="16"/>
    </row>
    <row r="6752" spans="1:1" x14ac:dyDescent="0.25">
      <c r="A6752" s="16"/>
    </row>
    <row r="6753" spans="1:1" x14ac:dyDescent="0.25">
      <c r="A6753" s="16"/>
    </row>
    <row r="6754" spans="1:1" x14ac:dyDescent="0.25">
      <c r="A6754" s="16"/>
    </row>
    <row r="6755" spans="1:1" x14ac:dyDescent="0.25">
      <c r="A6755" s="16"/>
    </row>
    <row r="6756" spans="1:1" x14ac:dyDescent="0.25">
      <c r="A6756" s="16"/>
    </row>
    <row r="6757" spans="1:1" x14ac:dyDescent="0.25">
      <c r="A6757" s="16"/>
    </row>
    <row r="6758" spans="1:1" x14ac:dyDescent="0.25">
      <c r="A6758" s="16"/>
    </row>
    <row r="6759" spans="1:1" x14ac:dyDescent="0.25">
      <c r="A6759" s="16"/>
    </row>
    <row r="6760" spans="1:1" x14ac:dyDescent="0.25">
      <c r="A6760" s="16"/>
    </row>
    <row r="6761" spans="1:1" x14ac:dyDescent="0.25">
      <c r="A6761" s="16"/>
    </row>
    <row r="6762" spans="1:1" x14ac:dyDescent="0.25">
      <c r="A6762" s="16"/>
    </row>
    <row r="6763" spans="1:1" x14ac:dyDescent="0.25">
      <c r="A6763" s="16"/>
    </row>
    <row r="6764" spans="1:1" x14ac:dyDescent="0.25">
      <c r="A6764" s="16"/>
    </row>
    <row r="6765" spans="1:1" x14ac:dyDescent="0.25">
      <c r="A6765" s="16"/>
    </row>
    <row r="6766" spans="1:1" x14ac:dyDescent="0.25">
      <c r="A6766" s="16"/>
    </row>
    <row r="6767" spans="1:1" x14ac:dyDescent="0.25">
      <c r="A6767" s="16"/>
    </row>
    <row r="6768" spans="1:1" x14ac:dyDescent="0.25">
      <c r="A6768" s="16"/>
    </row>
    <row r="6769" spans="1:1" x14ac:dyDescent="0.25">
      <c r="A6769" s="16"/>
    </row>
    <row r="6770" spans="1:1" x14ac:dyDescent="0.25">
      <c r="A6770" s="16"/>
    </row>
    <row r="6771" spans="1:1" x14ac:dyDescent="0.25">
      <c r="A6771" s="16"/>
    </row>
    <row r="6772" spans="1:1" x14ac:dyDescent="0.25">
      <c r="A6772" s="16"/>
    </row>
    <row r="6773" spans="1:1" x14ac:dyDescent="0.25">
      <c r="A6773" s="16"/>
    </row>
    <row r="6774" spans="1:1" x14ac:dyDescent="0.25">
      <c r="A6774" s="16"/>
    </row>
    <row r="6775" spans="1:1" x14ac:dyDescent="0.25">
      <c r="A6775" s="16"/>
    </row>
    <row r="6776" spans="1:1" x14ac:dyDescent="0.25">
      <c r="A6776" s="16"/>
    </row>
    <row r="6777" spans="1:1" x14ac:dyDescent="0.25">
      <c r="A6777" s="16"/>
    </row>
    <row r="6778" spans="1:1" x14ac:dyDescent="0.25">
      <c r="A6778" s="16"/>
    </row>
    <row r="6779" spans="1:1" x14ac:dyDescent="0.25">
      <c r="A6779" s="16"/>
    </row>
    <row r="6780" spans="1:1" x14ac:dyDescent="0.25">
      <c r="A6780" s="16"/>
    </row>
    <row r="6781" spans="1:1" x14ac:dyDescent="0.25">
      <c r="A6781" s="16"/>
    </row>
    <row r="6782" spans="1:1" x14ac:dyDescent="0.25">
      <c r="A6782" s="16"/>
    </row>
    <row r="6783" spans="1:1" x14ac:dyDescent="0.25">
      <c r="A6783" s="16"/>
    </row>
    <row r="6784" spans="1:1" x14ac:dyDescent="0.25">
      <c r="A6784" s="16"/>
    </row>
    <row r="6785" spans="1:1" x14ac:dyDescent="0.25">
      <c r="A6785" s="16"/>
    </row>
    <row r="6786" spans="1:1" x14ac:dyDescent="0.25">
      <c r="A6786" s="16"/>
    </row>
    <row r="6787" spans="1:1" x14ac:dyDescent="0.25">
      <c r="A6787" s="16"/>
    </row>
    <row r="6788" spans="1:1" x14ac:dyDescent="0.25">
      <c r="A6788" s="16"/>
    </row>
    <row r="6789" spans="1:1" x14ac:dyDescent="0.25">
      <c r="A6789" s="16"/>
    </row>
    <row r="6790" spans="1:1" x14ac:dyDescent="0.25">
      <c r="A6790" s="16"/>
    </row>
    <row r="6791" spans="1:1" x14ac:dyDescent="0.25">
      <c r="A6791" s="16"/>
    </row>
    <row r="6792" spans="1:1" x14ac:dyDescent="0.25">
      <c r="A6792" s="16"/>
    </row>
    <row r="6793" spans="1:1" x14ac:dyDescent="0.25">
      <c r="A6793" s="16"/>
    </row>
    <row r="6794" spans="1:1" x14ac:dyDescent="0.25">
      <c r="A6794" s="16"/>
    </row>
    <row r="6795" spans="1:1" x14ac:dyDescent="0.25">
      <c r="A6795" s="16"/>
    </row>
    <row r="6796" spans="1:1" x14ac:dyDescent="0.25">
      <c r="A6796" s="16"/>
    </row>
    <row r="6797" spans="1:1" x14ac:dyDescent="0.25">
      <c r="A6797" s="16"/>
    </row>
    <row r="6798" spans="1:1" x14ac:dyDescent="0.25">
      <c r="A6798" s="16"/>
    </row>
    <row r="6799" spans="1:1" x14ac:dyDescent="0.25">
      <c r="A6799" s="16"/>
    </row>
    <row r="6800" spans="1:1" x14ac:dyDescent="0.25">
      <c r="A6800" s="16"/>
    </row>
    <row r="6801" spans="1:1" x14ac:dyDescent="0.25">
      <c r="A6801" s="16"/>
    </row>
    <row r="6802" spans="1:1" x14ac:dyDescent="0.25">
      <c r="A6802" s="16"/>
    </row>
    <row r="6803" spans="1:1" x14ac:dyDescent="0.25">
      <c r="A6803" s="16"/>
    </row>
    <row r="6804" spans="1:1" x14ac:dyDescent="0.25">
      <c r="A6804" s="16"/>
    </row>
    <row r="6805" spans="1:1" x14ac:dyDescent="0.25">
      <c r="A6805" s="16"/>
    </row>
    <row r="6806" spans="1:1" x14ac:dyDescent="0.25">
      <c r="A6806" s="16"/>
    </row>
    <row r="6807" spans="1:1" x14ac:dyDescent="0.25">
      <c r="A6807" s="16"/>
    </row>
    <row r="6808" spans="1:1" x14ac:dyDescent="0.25">
      <c r="A6808" s="16"/>
    </row>
    <row r="6809" spans="1:1" x14ac:dyDescent="0.25">
      <c r="A6809" s="16"/>
    </row>
    <row r="6810" spans="1:1" x14ac:dyDescent="0.25">
      <c r="A6810" s="16"/>
    </row>
    <row r="6811" spans="1:1" x14ac:dyDescent="0.25">
      <c r="A6811" s="16"/>
    </row>
    <row r="6812" spans="1:1" x14ac:dyDescent="0.25">
      <c r="A6812" s="16"/>
    </row>
    <row r="6813" spans="1:1" x14ac:dyDescent="0.25">
      <c r="A6813" s="16"/>
    </row>
    <row r="6814" spans="1:1" x14ac:dyDescent="0.25">
      <c r="A6814" s="16"/>
    </row>
    <row r="6815" spans="1:1" x14ac:dyDescent="0.25">
      <c r="A6815" s="16"/>
    </row>
    <row r="6816" spans="1:1" x14ac:dyDescent="0.25">
      <c r="A6816" s="16"/>
    </row>
    <row r="6817" spans="1:1" x14ac:dyDescent="0.25">
      <c r="A6817" s="16"/>
    </row>
    <row r="6818" spans="1:1" x14ac:dyDescent="0.25">
      <c r="A6818" s="16"/>
    </row>
    <row r="6819" spans="1:1" x14ac:dyDescent="0.25">
      <c r="A6819" s="16"/>
    </row>
    <row r="6820" spans="1:1" x14ac:dyDescent="0.25">
      <c r="A6820" s="16"/>
    </row>
    <row r="6821" spans="1:1" x14ac:dyDescent="0.25">
      <c r="A6821" s="16"/>
    </row>
    <row r="6822" spans="1:1" x14ac:dyDescent="0.25">
      <c r="A6822" s="16"/>
    </row>
    <row r="6823" spans="1:1" x14ac:dyDescent="0.25">
      <c r="A6823" s="16"/>
    </row>
    <row r="6824" spans="1:1" x14ac:dyDescent="0.25">
      <c r="A6824" s="16"/>
    </row>
    <row r="6825" spans="1:1" x14ac:dyDescent="0.25">
      <c r="A6825" s="16"/>
    </row>
    <row r="6826" spans="1:1" x14ac:dyDescent="0.25">
      <c r="A6826" s="16"/>
    </row>
    <row r="6827" spans="1:1" x14ac:dyDescent="0.25">
      <c r="A6827" s="16"/>
    </row>
    <row r="6828" spans="1:1" x14ac:dyDescent="0.25">
      <c r="A6828" s="16"/>
    </row>
    <row r="6829" spans="1:1" x14ac:dyDescent="0.25">
      <c r="A6829" s="16"/>
    </row>
    <row r="6830" spans="1:1" x14ac:dyDescent="0.25">
      <c r="A6830" s="16"/>
    </row>
    <row r="6831" spans="1:1" x14ac:dyDescent="0.25">
      <c r="A6831" s="16"/>
    </row>
    <row r="6832" spans="1:1" x14ac:dyDescent="0.25">
      <c r="A6832" s="16"/>
    </row>
    <row r="6833" spans="1:1" x14ac:dyDescent="0.25">
      <c r="A6833" s="16"/>
    </row>
    <row r="6834" spans="1:1" x14ac:dyDescent="0.25">
      <c r="A6834" s="16"/>
    </row>
    <row r="6835" spans="1:1" x14ac:dyDescent="0.25">
      <c r="A6835" s="16"/>
    </row>
    <row r="6836" spans="1:1" x14ac:dyDescent="0.25">
      <c r="A6836" s="16"/>
    </row>
    <row r="6837" spans="1:1" x14ac:dyDescent="0.25">
      <c r="A6837" s="16"/>
    </row>
    <row r="6838" spans="1:1" x14ac:dyDescent="0.25">
      <c r="A6838" s="16"/>
    </row>
    <row r="6839" spans="1:1" x14ac:dyDescent="0.25">
      <c r="A6839" s="16"/>
    </row>
    <row r="6840" spans="1:1" x14ac:dyDescent="0.25">
      <c r="A6840" s="16"/>
    </row>
    <row r="6841" spans="1:1" x14ac:dyDescent="0.25">
      <c r="A6841" s="16"/>
    </row>
    <row r="6842" spans="1:1" x14ac:dyDescent="0.25">
      <c r="A6842" s="16"/>
    </row>
    <row r="6843" spans="1:1" x14ac:dyDescent="0.25">
      <c r="A6843" s="16"/>
    </row>
    <row r="6844" spans="1:1" x14ac:dyDescent="0.25">
      <c r="A6844" s="16"/>
    </row>
    <row r="6845" spans="1:1" x14ac:dyDescent="0.25">
      <c r="A6845" s="16"/>
    </row>
    <row r="6846" spans="1:1" x14ac:dyDescent="0.25">
      <c r="A6846" s="16"/>
    </row>
    <row r="6847" spans="1:1" x14ac:dyDescent="0.25">
      <c r="A6847" s="16"/>
    </row>
    <row r="6848" spans="1:1" x14ac:dyDescent="0.25">
      <c r="A6848" s="16"/>
    </row>
    <row r="6849" spans="1:1" x14ac:dyDescent="0.25">
      <c r="A6849" s="16"/>
    </row>
    <row r="6850" spans="1:1" x14ac:dyDescent="0.25">
      <c r="A6850" s="16"/>
    </row>
    <row r="6851" spans="1:1" x14ac:dyDescent="0.25">
      <c r="A6851" s="16"/>
    </row>
    <row r="6852" spans="1:1" x14ac:dyDescent="0.25">
      <c r="A6852" s="16"/>
    </row>
    <row r="6853" spans="1:1" x14ac:dyDescent="0.25">
      <c r="A6853" s="16"/>
    </row>
    <row r="6854" spans="1:1" x14ac:dyDescent="0.25">
      <c r="A6854" s="16"/>
    </row>
    <row r="6855" spans="1:1" x14ac:dyDescent="0.25">
      <c r="A6855" s="16"/>
    </row>
    <row r="6856" spans="1:1" x14ac:dyDescent="0.25">
      <c r="A6856" s="16"/>
    </row>
    <row r="6857" spans="1:1" x14ac:dyDescent="0.25">
      <c r="A6857" s="16"/>
    </row>
    <row r="6858" spans="1:1" x14ac:dyDescent="0.25">
      <c r="A6858" s="16"/>
    </row>
    <row r="6859" spans="1:1" x14ac:dyDescent="0.25">
      <c r="A6859" s="16"/>
    </row>
    <row r="6860" spans="1:1" x14ac:dyDescent="0.25">
      <c r="A6860" s="16"/>
    </row>
    <row r="6861" spans="1:1" x14ac:dyDescent="0.25">
      <c r="A6861" s="16"/>
    </row>
    <row r="6862" spans="1:1" x14ac:dyDescent="0.25">
      <c r="A6862" s="16"/>
    </row>
    <row r="6863" spans="1:1" x14ac:dyDescent="0.25">
      <c r="A6863" s="16"/>
    </row>
    <row r="6864" spans="1:1" x14ac:dyDescent="0.25">
      <c r="A6864" s="16"/>
    </row>
    <row r="6865" spans="1:1" x14ac:dyDescent="0.25">
      <c r="A6865" s="16"/>
    </row>
    <row r="6866" spans="1:1" x14ac:dyDescent="0.25">
      <c r="A6866" s="16"/>
    </row>
    <row r="6867" spans="1:1" x14ac:dyDescent="0.25">
      <c r="A6867" s="16"/>
    </row>
    <row r="6868" spans="1:1" x14ac:dyDescent="0.25">
      <c r="A6868" s="16"/>
    </row>
    <row r="6869" spans="1:1" x14ac:dyDescent="0.25">
      <c r="A6869" s="16"/>
    </row>
    <row r="6870" spans="1:1" x14ac:dyDescent="0.25">
      <c r="A6870" s="16"/>
    </row>
    <row r="6871" spans="1:1" x14ac:dyDescent="0.25">
      <c r="A6871" s="16"/>
    </row>
    <row r="6872" spans="1:1" x14ac:dyDescent="0.25">
      <c r="A6872" s="16"/>
    </row>
    <row r="6873" spans="1:1" x14ac:dyDescent="0.25">
      <c r="A6873" s="16"/>
    </row>
    <row r="6874" spans="1:1" x14ac:dyDescent="0.25">
      <c r="A6874" s="16"/>
    </row>
    <row r="6875" spans="1:1" x14ac:dyDescent="0.25">
      <c r="A6875" s="16"/>
    </row>
    <row r="6876" spans="1:1" x14ac:dyDescent="0.25">
      <c r="A6876" s="16"/>
    </row>
    <row r="6877" spans="1:1" x14ac:dyDescent="0.25">
      <c r="A6877" s="16"/>
    </row>
    <row r="6878" spans="1:1" x14ac:dyDescent="0.25">
      <c r="A6878" s="16"/>
    </row>
    <row r="6879" spans="1:1" x14ac:dyDescent="0.25">
      <c r="A6879" s="16"/>
    </row>
    <row r="6880" spans="1:1" x14ac:dyDescent="0.25">
      <c r="A6880" s="16"/>
    </row>
    <row r="6881" spans="1:1" x14ac:dyDescent="0.25">
      <c r="A6881" s="16"/>
    </row>
    <row r="6882" spans="1:1" x14ac:dyDescent="0.25">
      <c r="A6882" s="16"/>
    </row>
    <row r="6883" spans="1:1" x14ac:dyDescent="0.25">
      <c r="A6883" s="16"/>
    </row>
    <row r="6884" spans="1:1" x14ac:dyDescent="0.25">
      <c r="A6884" s="16"/>
    </row>
    <row r="6885" spans="1:1" x14ac:dyDescent="0.25">
      <c r="A6885" s="16"/>
    </row>
    <row r="6886" spans="1:1" x14ac:dyDescent="0.25">
      <c r="A6886" s="16"/>
    </row>
    <row r="6887" spans="1:1" x14ac:dyDescent="0.25">
      <c r="A6887" s="16"/>
    </row>
    <row r="6888" spans="1:1" x14ac:dyDescent="0.25">
      <c r="A6888" s="16"/>
    </row>
    <row r="6889" spans="1:1" x14ac:dyDescent="0.25">
      <c r="A6889" s="16"/>
    </row>
    <row r="6890" spans="1:1" x14ac:dyDescent="0.25">
      <c r="A6890" s="16"/>
    </row>
    <row r="6891" spans="1:1" x14ac:dyDescent="0.25">
      <c r="A6891" s="16"/>
    </row>
    <row r="6892" spans="1:1" x14ac:dyDescent="0.25">
      <c r="A6892" s="16"/>
    </row>
    <row r="6893" spans="1:1" x14ac:dyDescent="0.25">
      <c r="A6893" s="16"/>
    </row>
    <row r="6894" spans="1:1" x14ac:dyDescent="0.25">
      <c r="A6894" s="16"/>
    </row>
    <row r="6895" spans="1:1" x14ac:dyDescent="0.25">
      <c r="A6895" s="16"/>
    </row>
    <row r="6896" spans="1:1" x14ac:dyDescent="0.25">
      <c r="A6896" s="16"/>
    </row>
    <row r="6897" spans="1:1" x14ac:dyDescent="0.25">
      <c r="A6897" s="16"/>
    </row>
    <row r="6898" spans="1:1" x14ac:dyDescent="0.25">
      <c r="A6898" s="16"/>
    </row>
    <row r="6899" spans="1:1" x14ac:dyDescent="0.25">
      <c r="A6899" s="16"/>
    </row>
    <row r="6900" spans="1:1" x14ac:dyDescent="0.25">
      <c r="A6900" s="16"/>
    </row>
    <row r="6901" spans="1:1" x14ac:dyDescent="0.25">
      <c r="A6901" s="16"/>
    </row>
    <row r="6902" spans="1:1" x14ac:dyDescent="0.25">
      <c r="A6902" s="16"/>
    </row>
    <row r="6903" spans="1:1" x14ac:dyDescent="0.25">
      <c r="A6903" s="16"/>
    </row>
    <row r="6904" spans="1:1" x14ac:dyDescent="0.25">
      <c r="A6904" s="16"/>
    </row>
    <row r="6905" spans="1:1" x14ac:dyDescent="0.25">
      <c r="A6905" s="16"/>
    </row>
    <row r="6906" spans="1:1" x14ac:dyDescent="0.25">
      <c r="A6906" s="16"/>
    </row>
    <row r="6907" spans="1:1" x14ac:dyDescent="0.25">
      <c r="A6907" s="16"/>
    </row>
    <row r="6908" spans="1:1" x14ac:dyDescent="0.25">
      <c r="A6908" s="16"/>
    </row>
    <row r="6909" spans="1:1" x14ac:dyDescent="0.25">
      <c r="A6909" s="16"/>
    </row>
    <row r="6910" spans="1:1" x14ac:dyDescent="0.25">
      <c r="A6910" s="16"/>
    </row>
    <row r="6911" spans="1:1" x14ac:dyDescent="0.25">
      <c r="A6911" s="16"/>
    </row>
    <row r="6912" spans="1:1" x14ac:dyDescent="0.25">
      <c r="A6912" s="16"/>
    </row>
    <row r="6913" spans="1:1" x14ac:dyDescent="0.25">
      <c r="A6913" s="16"/>
    </row>
    <row r="6914" spans="1:1" x14ac:dyDescent="0.25">
      <c r="A6914" s="16"/>
    </row>
    <row r="6915" spans="1:1" x14ac:dyDescent="0.25">
      <c r="A6915" s="16"/>
    </row>
    <row r="6916" spans="1:1" x14ac:dyDescent="0.25">
      <c r="A6916" s="16"/>
    </row>
    <row r="6917" spans="1:1" x14ac:dyDescent="0.25">
      <c r="A6917" s="16"/>
    </row>
    <row r="6918" spans="1:1" x14ac:dyDescent="0.25">
      <c r="A6918" s="16"/>
    </row>
    <row r="6919" spans="1:1" x14ac:dyDescent="0.25">
      <c r="A6919" s="16"/>
    </row>
    <row r="6920" spans="1:1" x14ac:dyDescent="0.25">
      <c r="A6920" s="16"/>
    </row>
    <row r="6921" spans="1:1" x14ac:dyDescent="0.25">
      <c r="A6921" s="16"/>
    </row>
    <row r="6922" spans="1:1" x14ac:dyDescent="0.25">
      <c r="A6922" s="16"/>
    </row>
    <row r="6923" spans="1:1" x14ac:dyDescent="0.25">
      <c r="A6923" s="16"/>
    </row>
    <row r="6924" spans="1:1" x14ac:dyDescent="0.25">
      <c r="A6924" s="16"/>
    </row>
    <row r="6925" spans="1:1" x14ac:dyDescent="0.25">
      <c r="A6925" s="16"/>
    </row>
    <row r="6926" spans="1:1" x14ac:dyDescent="0.25">
      <c r="A6926" s="16"/>
    </row>
    <row r="6927" spans="1:1" x14ac:dyDescent="0.25">
      <c r="A6927" s="16"/>
    </row>
    <row r="6928" spans="1:1" x14ac:dyDescent="0.25">
      <c r="A6928" s="16"/>
    </row>
    <row r="6929" spans="1:1" x14ac:dyDescent="0.25">
      <c r="A6929" s="16"/>
    </row>
    <row r="6930" spans="1:1" x14ac:dyDescent="0.25">
      <c r="A6930" s="16"/>
    </row>
    <row r="6931" spans="1:1" x14ac:dyDescent="0.25">
      <c r="A6931" s="16"/>
    </row>
    <row r="6932" spans="1:1" x14ac:dyDescent="0.25">
      <c r="A6932" s="16"/>
    </row>
    <row r="6933" spans="1:1" x14ac:dyDescent="0.25">
      <c r="A6933" s="16"/>
    </row>
    <row r="6934" spans="1:1" x14ac:dyDescent="0.25">
      <c r="A6934" s="16"/>
    </row>
    <row r="6935" spans="1:1" x14ac:dyDescent="0.25">
      <c r="A6935" s="16"/>
    </row>
    <row r="6936" spans="1:1" x14ac:dyDescent="0.25">
      <c r="A6936" s="16"/>
    </row>
    <row r="6937" spans="1:1" x14ac:dyDescent="0.25">
      <c r="A6937" s="16"/>
    </row>
    <row r="6938" spans="1:1" x14ac:dyDescent="0.25">
      <c r="A6938" s="16"/>
    </row>
    <row r="6939" spans="1:1" x14ac:dyDescent="0.25">
      <c r="A6939" s="16"/>
    </row>
    <row r="6940" spans="1:1" x14ac:dyDescent="0.25">
      <c r="A6940" s="16"/>
    </row>
    <row r="6941" spans="1:1" x14ac:dyDescent="0.25">
      <c r="A6941" s="16"/>
    </row>
    <row r="6942" spans="1:1" x14ac:dyDescent="0.25">
      <c r="A6942" s="16"/>
    </row>
    <row r="6943" spans="1:1" x14ac:dyDescent="0.25">
      <c r="A6943" s="16"/>
    </row>
    <row r="6944" spans="1:1" x14ac:dyDescent="0.25">
      <c r="A6944" s="16"/>
    </row>
    <row r="6945" spans="1:1" x14ac:dyDescent="0.25">
      <c r="A6945" s="16"/>
    </row>
    <row r="6946" spans="1:1" x14ac:dyDescent="0.25">
      <c r="A6946" s="16"/>
    </row>
    <row r="6947" spans="1:1" x14ac:dyDescent="0.25">
      <c r="A6947" s="16"/>
    </row>
    <row r="6948" spans="1:1" x14ac:dyDescent="0.25">
      <c r="A6948" s="16"/>
    </row>
    <row r="6949" spans="1:1" x14ac:dyDescent="0.25">
      <c r="A6949" s="16"/>
    </row>
    <row r="6950" spans="1:1" x14ac:dyDescent="0.25">
      <c r="A6950" s="16"/>
    </row>
    <row r="6951" spans="1:1" x14ac:dyDescent="0.25">
      <c r="A6951" s="16"/>
    </row>
    <row r="6952" spans="1:1" x14ac:dyDescent="0.25">
      <c r="A6952" s="16"/>
    </row>
    <row r="6953" spans="1:1" x14ac:dyDescent="0.25">
      <c r="A6953" s="16"/>
    </row>
    <row r="6954" spans="1:1" x14ac:dyDescent="0.25">
      <c r="A6954" s="16"/>
    </row>
    <row r="6955" spans="1:1" x14ac:dyDescent="0.25">
      <c r="A6955" s="16"/>
    </row>
    <row r="6956" spans="1:1" x14ac:dyDescent="0.25">
      <c r="A6956" s="16"/>
    </row>
    <row r="6957" spans="1:1" x14ac:dyDescent="0.25">
      <c r="A6957" s="16"/>
    </row>
    <row r="6958" spans="1:1" x14ac:dyDescent="0.25">
      <c r="A6958" s="16"/>
    </row>
    <row r="6959" spans="1:1" x14ac:dyDescent="0.25">
      <c r="A6959" s="16"/>
    </row>
    <row r="6960" spans="1:1" x14ac:dyDescent="0.25">
      <c r="A6960" s="16"/>
    </row>
    <row r="6961" spans="1:1" x14ac:dyDescent="0.25">
      <c r="A6961" s="16"/>
    </row>
    <row r="6962" spans="1:1" x14ac:dyDescent="0.25">
      <c r="A6962" s="16"/>
    </row>
    <row r="6963" spans="1:1" x14ac:dyDescent="0.25">
      <c r="A6963" s="16"/>
    </row>
    <row r="6964" spans="1:1" x14ac:dyDescent="0.25">
      <c r="A6964" s="16"/>
    </row>
    <row r="6965" spans="1:1" x14ac:dyDescent="0.25">
      <c r="A6965" s="16"/>
    </row>
    <row r="6966" spans="1:1" x14ac:dyDescent="0.25">
      <c r="A6966" s="16"/>
    </row>
    <row r="6967" spans="1:1" x14ac:dyDescent="0.25">
      <c r="A6967" s="16"/>
    </row>
    <row r="6968" spans="1:1" x14ac:dyDescent="0.25">
      <c r="A6968" s="16"/>
    </row>
    <row r="6969" spans="1:1" x14ac:dyDescent="0.25">
      <c r="A6969" s="16"/>
    </row>
    <row r="6970" spans="1:1" x14ac:dyDescent="0.25">
      <c r="A6970" s="16"/>
    </row>
    <row r="6971" spans="1:1" x14ac:dyDescent="0.25">
      <c r="A6971" s="16"/>
    </row>
    <row r="6972" spans="1:1" x14ac:dyDescent="0.25">
      <c r="A6972" s="16"/>
    </row>
    <row r="6973" spans="1:1" x14ac:dyDescent="0.25">
      <c r="A6973" s="16"/>
    </row>
    <row r="6974" spans="1:1" x14ac:dyDescent="0.25">
      <c r="A6974" s="16"/>
    </row>
    <row r="6975" spans="1:1" x14ac:dyDescent="0.25">
      <c r="A6975" s="16"/>
    </row>
    <row r="6976" spans="1:1" x14ac:dyDescent="0.25">
      <c r="A6976" s="16"/>
    </row>
    <row r="6977" spans="1:1" x14ac:dyDescent="0.25">
      <c r="A6977" s="16"/>
    </row>
    <row r="6978" spans="1:1" x14ac:dyDescent="0.25">
      <c r="A6978" s="16"/>
    </row>
    <row r="6979" spans="1:1" x14ac:dyDescent="0.25">
      <c r="A6979" s="16"/>
    </row>
    <row r="6980" spans="1:1" x14ac:dyDescent="0.25">
      <c r="A6980" s="16"/>
    </row>
    <row r="6981" spans="1:1" x14ac:dyDescent="0.25">
      <c r="A6981" s="16"/>
    </row>
    <row r="6982" spans="1:1" x14ac:dyDescent="0.25">
      <c r="A6982" s="16"/>
    </row>
    <row r="6983" spans="1:1" x14ac:dyDescent="0.25">
      <c r="A6983" s="16"/>
    </row>
    <row r="6984" spans="1:1" x14ac:dyDescent="0.25">
      <c r="A6984" s="16"/>
    </row>
    <row r="6985" spans="1:1" x14ac:dyDescent="0.25">
      <c r="A6985" s="16"/>
    </row>
    <row r="6986" spans="1:1" x14ac:dyDescent="0.25">
      <c r="A6986" s="16"/>
    </row>
    <row r="6987" spans="1:1" x14ac:dyDescent="0.25">
      <c r="A6987" s="16"/>
    </row>
    <row r="6988" spans="1:1" x14ac:dyDescent="0.25">
      <c r="A6988" s="16"/>
    </row>
    <row r="6989" spans="1:1" x14ac:dyDescent="0.25">
      <c r="A6989" s="16"/>
    </row>
    <row r="6990" spans="1:1" x14ac:dyDescent="0.25">
      <c r="A6990" s="16"/>
    </row>
    <row r="6991" spans="1:1" x14ac:dyDescent="0.25">
      <c r="A6991" s="16"/>
    </row>
    <row r="6992" spans="1:1" x14ac:dyDescent="0.25">
      <c r="A6992" s="16"/>
    </row>
    <row r="6993" spans="1:1" x14ac:dyDescent="0.25">
      <c r="A6993" s="16"/>
    </row>
    <row r="6994" spans="1:1" x14ac:dyDescent="0.25">
      <c r="A6994" s="16"/>
    </row>
    <row r="6995" spans="1:1" x14ac:dyDescent="0.25">
      <c r="A6995" s="16"/>
    </row>
    <row r="6996" spans="1:1" x14ac:dyDescent="0.25">
      <c r="A6996" s="16"/>
    </row>
    <row r="6997" spans="1:1" x14ac:dyDescent="0.25">
      <c r="A6997" s="16"/>
    </row>
    <row r="6998" spans="1:1" x14ac:dyDescent="0.25">
      <c r="A6998" s="16"/>
    </row>
    <row r="6999" spans="1:1" x14ac:dyDescent="0.25">
      <c r="A6999" s="16"/>
    </row>
    <row r="7000" spans="1:1" x14ac:dyDescent="0.25">
      <c r="A7000" s="16"/>
    </row>
    <row r="7001" spans="1:1" x14ac:dyDescent="0.25">
      <c r="A7001" s="16"/>
    </row>
    <row r="7002" spans="1:1" x14ac:dyDescent="0.25">
      <c r="A7002" s="16"/>
    </row>
    <row r="7003" spans="1:1" x14ac:dyDescent="0.25">
      <c r="A7003" s="16"/>
    </row>
    <row r="7004" spans="1:1" x14ac:dyDescent="0.25">
      <c r="A7004" s="16"/>
    </row>
    <row r="7005" spans="1:1" x14ac:dyDescent="0.25">
      <c r="A7005" s="16"/>
    </row>
    <row r="7006" spans="1:1" x14ac:dyDescent="0.25">
      <c r="A7006" s="16"/>
    </row>
    <row r="7007" spans="1:1" x14ac:dyDescent="0.25">
      <c r="A7007" s="16"/>
    </row>
    <row r="7008" spans="1:1" x14ac:dyDescent="0.25">
      <c r="A7008" s="16"/>
    </row>
    <row r="7009" spans="1:1" x14ac:dyDescent="0.25">
      <c r="A7009" s="16"/>
    </row>
    <row r="7010" spans="1:1" x14ac:dyDescent="0.25">
      <c r="A7010" s="16"/>
    </row>
    <row r="7011" spans="1:1" x14ac:dyDescent="0.25">
      <c r="A7011" s="16"/>
    </row>
    <row r="7012" spans="1:1" x14ac:dyDescent="0.25">
      <c r="A7012" s="16"/>
    </row>
    <row r="7013" spans="1:1" x14ac:dyDescent="0.25">
      <c r="A7013" s="16"/>
    </row>
    <row r="7014" spans="1:1" x14ac:dyDescent="0.25">
      <c r="A7014" s="16"/>
    </row>
    <row r="7015" spans="1:1" x14ac:dyDescent="0.25">
      <c r="A7015" s="16"/>
    </row>
    <row r="7016" spans="1:1" x14ac:dyDescent="0.25">
      <c r="A7016" s="16"/>
    </row>
    <row r="7017" spans="1:1" x14ac:dyDescent="0.25">
      <c r="A7017" s="16"/>
    </row>
    <row r="7018" spans="1:1" x14ac:dyDescent="0.25">
      <c r="A7018" s="16"/>
    </row>
    <row r="7019" spans="1:1" x14ac:dyDescent="0.25">
      <c r="A7019" s="16"/>
    </row>
    <row r="7020" spans="1:1" x14ac:dyDescent="0.25">
      <c r="A7020" s="16"/>
    </row>
    <row r="7021" spans="1:1" x14ac:dyDescent="0.25">
      <c r="A7021" s="16"/>
    </row>
    <row r="7022" spans="1:1" x14ac:dyDescent="0.25">
      <c r="A7022" s="16"/>
    </row>
    <row r="7023" spans="1:1" x14ac:dyDescent="0.25">
      <c r="A7023" s="16"/>
    </row>
    <row r="7024" spans="1:1" x14ac:dyDescent="0.25">
      <c r="A7024" s="16"/>
    </row>
    <row r="7025" spans="1:1" x14ac:dyDescent="0.25">
      <c r="A7025" s="16"/>
    </row>
    <row r="7026" spans="1:1" x14ac:dyDescent="0.25">
      <c r="A7026" s="16"/>
    </row>
    <row r="7027" spans="1:1" x14ac:dyDescent="0.25">
      <c r="A7027" s="16"/>
    </row>
    <row r="7028" spans="1:1" x14ac:dyDescent="0.25">
      <c r="A7028" s="16"/>
    </row>
    <row r="7029" spans="1:1" x14ac:dyDescent="0.25">
      <c r="A7029" s="16"/>
    </row>
    <row r="7030" spans="1:1" x14ac:dyDescent="0.25">
      <c r="A7030" s="16"/>
    </row>
    <row r="7031" spans="1:1" x14ac:dyDescent="0.25">
      <c r="A7031" s="16"/>
    </row>
    <row r="7032" spans="1:1" x14ac:dyDescent="0.25">
      <c r="A7032" s="16"/>
    </row>
    <row r="7033" spans="1:1" x14ac:dyDescent="0.25">
      <c r="A7033" s="16"/>
    </row>
    <row r="7034" spans="1:1" x14ac:dyDescent="0.25">
      <c r="A7034" s="16"/>
    </row>
    <row r="7035" spans="1:1" x14ac:dyDescent="0.25">
      <c r="A7035" s="16"/>
    </row>
    <row r="7036" spans="1:1" x14ac:dyDescent="0.25">
      <c r="A7036" s="16"/>
    </row>
    <row r="7037" spans="1:1" x14ac:dyDescent="0.25">
      <c r="A7037" s="16"/>
    </row>
    <row r="7038" spans="1:1" x14ac:dyDescent="0.25">
      <c r="A7038" s="16"/>
    </row>
    <row r="7039" spans="1:1" x14ac:dyDescent="0.25">
      <c r="A7039" s="16"/>
    </row>
    <row r="7040" spans="1:1" x14ac:dyDescent="0.25">
      <c r="A7040" s="16"/>
    </row>
    <row r="7041" spans="1:1" x14ac:dyDescent="0.25">
      <c r="A7041" s="16"/>
    </row>
    <row r="7042" spans="1:1" x14ac:dyDescent="0.25">
      <c r="A7042" s="16"/>
    </row>
    <row r="7043" spans="1:1" x14ac:dyDescent="0.25">
      <c r="A7043" s="16"/>
    </row>
    <row r="7044" spans="1:1" x14ac:dyDescent="0.25">
      <c r="A7044" s="16"/>
    </row>
    <row r="7045" spans="1:1" x14ac:dyDescent="0.25">
      <c r="A7045" s="16"/>
    </row>
    <row r="7046" spans="1:1" x14ac:dyDescent="0.25">
      <c r="A7046" s="16"/>
    </row>
    <row r="7047" spans="1:1" x14ac:dyDescent="0.25">
      <c r="A7047" s="16"/>
    </row>
    <row r="7048" spans="1:1" x14ac:dyDescent="0.25">
      <c r="A7048" s="16"/>
    </row>
    <row r="7049" spans="1:1" x14ac:dyDescent="0.25">
      <c r="A7049" s="16"/>
    </row>
    <row r="7050" spans="1:1" x14ac:dyDescent="0.25">
      <c r="A7050" s="16"/>
    </row>
    <row r="7051" spans="1:1" x14ac:dyDescent="0.25">
      <c r="A7051" s="16"/>
    </row>
    <row r="7052" spans="1:1" x14ac:dyDescent="0.25">
      <c r="A7052" s="16"/>
    </row>
    <row r="7053" spans="1:1" x14ac:dyDescent="0.25">
      <c r="A7053" s="16"/>
    </row>
    <row r="7054" spans="1:1" x14ac:dyDescent="0.25">
      <c r="A7054" s="16"/>
    </row>
    <row r="7055" spans="1:1" x14ac:dyDescent="0.25">
      <c r="A7055" s="16"/>
    </row>
    <row r="7056" spans="1:1" x14ac:dyDescent="0.25">
      <c r="A7056" s="16"/>
    </row>
    <row r="7057" spans="1:1" x14ac:dyDescent="0.25">
      <c r="A7057" s="16"/>
    </row>
    <row r="7058" spans="1:1" x14ac:dyDescent="0.25">
      <c r="A7058" s="16"/>
    </row>
    <row r="7059" spans="1:1" x14ac:dyDescent="0.25">
      <c r="A7059" s="16"/>
    </row>
    <row r="7060" spans="1:1" x14ac:dyDescent="0.25">
      <c r="A7060" s="16"/>
    </row>
    <row r="7061" spans="1:1" x14ac:dyDescent="0.25">
      <c r="A7061" s="16"/>
    </row>
    <row r="7062" spans="1:1" x14ac:dyDescent="0.25">
      <c r="A7062" s="16"/>
    </row>
    <row r="7063" spans="1:1" x14ac:dyDescent="0.25">
      <c r="A7063" s="16"/>
    </row>
    <row r="7064" spans="1:1" x14ac:dyDescent="0.25">
      <c r="A7064" s="16"/>
    </row>
    <row r="7065" spans="1:1" x14ac:dyDescent="0.25">
      <c r="A7065" s="16"/>
    </row>
    <row r="7066" spans="1:1" x14ac:dyDescent="0.25">
      <c r="A7066" s="16"/>
    </row>
    <row r="7067" spans="1:1" x14ac:dyDescent="0.25">
      <c r="A7067" s="16"/>
    </row>
    <row r="7068" spans="1:1" x14ac:dyDescent="0.25">
      <c r="A7068" s="16"/>
    </row>
    <row r="7069" spans="1:1" x14ac:dyDescent="0.25">
      <c r="A7069" s="16"/>
    </row>
    <row r="7070" spans="1:1" x14ac:dyDescent="0.25">
      <c r="A7070" s="16"/>
    </row>
    <row r="7071" spans="1:1" x14ac:dyDescent="0.25">
      <c r="A7071" s="16"/>
    </row>
    <row r="7072" spans="1:1" x14ac:dyDescent="0.25">
      <c r="A7072" s="16"/>
    </row>
    <row r="7073" spans="1:1" x14ac:dyDescent="0.25">
      <c r="A7073" s="16"/>
    </row>
    <row r="7074" spans="1:1" x14ac:dyDescent="0.25">
      <c r="A7074" s="16"/>
    </row>
    <row r="7075" spans="1:1" x14ac:dyDescent="0.25">
      <c r="A7075" s="16"/>
    </row>
    <row r="7076" spans="1:1" x14ac:dyDescent="0.25">
      <c r="A7076" s="16"/>
    </row>
    <row r="7077" spans="1:1" x14ac:dyDescent="0.25">
      <c r="A7077" s="16"/>
    </row>
    <row r="7078" spans="1:1" x14ac:dyDescent="0.25">
      <c r="A7078" s="16"/>
    </row>
    <row r="7079" spans="1:1" x14ac:dyDescent="0.25">
      <c r="A7079" s="16"/>
    </row>
    <row r="7080" spans="1:1" x14ac:dyDescent="0.25">
      <c r="A7080" s="16"/>
    </row>
    <row r="7081" spans="1:1" x14ac:dyDescent="0.25">
      <c r="A7081" s="16"/>
    </row>
    <row r="7082" spans="1:1" x14ac:dyDescent="0.25">
      <c r="A7082" s="16"/>
    </row>
    <row r="7083" spans="1:1" x14ac:dyDescent="0.25">
      <c r="A7083" s="16"/>
    </row>
    <row r="7084" spans="1:1" x14ac:dyDescent="0.25">
      <c r="A7084" s="16"/>
    </row>
    <row r="7085" spans="1:1" x14ac:dyDescent="0.25">
      <c r="A7085" s="16"/>
    </row>
    <row r="7086" spans="1:1" x14ac:dyDescent="0.25">
      <c r="A7086" s="16"/>
    </row>
    <row r="7087" spans="1:1" x14ac:dyDescent="0.25">
      <c r="A7087" s="16"/>
    </row>
    <row r="7088" spans="1:1" x14ac:dyDescent="0.25">
      <c r="A7088" s="16"/>
    </row>
    <row r="7089" spans="1:1" x14ac:dyDescent="0.25">
      <c r="A7089" s="16"/>
    </row>
    <row r="7090" spans="1:1" x14ac:dyDescent="0.25">
      <c r="A7090" s="16"/>
    </row>
    <row r="7091" spans="1:1" x14ac:dyDescent="0.25">
      <c r="A7091" s="16"/>
    </row>
    <row r="7092" spans="1:1" x14ac:dyDescent="0.25">
      <c r="A7092" s="16"/>
    </row>
    <row r="7093" spans="1:1" x14ac:dyDescent="0.25">
      <c r="A7093" s="16"/>
    </row>
    <row r="7094" spans="1:1" x14ac:dyDescent="0.25">
      <c r="A7094" s="16"/>
    </row>
    <row r="7095" spans="1:1" x14ac:dyDescent="0.25">
      <c r="A7095" s="16"/>
    </row>
    <row r="7096" spans="1:1" x14ac:dyDescent="0.25">
      <c r="A7096" s="16"/>
    </row>
    <row r="7097" spans="1:1" x14ac:dyDescent="0.25">
      <c r="A7097" s="16"/>
    </row>
    <row r="7098" spans="1:1" x14ac:dyDescent="0.25">
      <c r="A7098" s="16"/>
    </row>
    <row r="7099" spans="1:1" x14ac:dyDescent="0.25">
      <c r="A7099" s="16"/>
    </row>
    <row r="7100" spans="1:1" x14ac:dyDescent="0.25">
      <c r="A7100" s="16"/>
    </row>
    <row r="7101" spans="1:1" x14ac:dyDescent="0.25">
      <c r="A7101" s="16"/>
    </row>
    <row r="7102" spans="1:1" x14ac:dyDescent="0.25">
      <c r="A7102" s="16"/>
    </row>
    <row r="7103" spans="1:1" x14ac:dyDescent="0.25">
      <c r="A7103" s="16"/>
    </row>
    <row r="7104" spans="1:1" x14ac:dyDescent="0.25">
      <c r="A7104" s="16"/>
    </row>
    <row r="7105" spans="1:1" x14ac:dyDescent="0.25">
      <c r="A7105" s="16"/>
    </row>
    <row r="7106" spans="1:1" x14ac:dyDescent="0.25">
      <c r="A7106" s="16"/>
    </row>
    <row r="7107" spans="1:1" x14ac:dyDescent="0.25">
      <c r="A7107" s="16"/>
    </row>
    <row r="7108" spans="1:1" x14ac:dyDescent="0.25">
      <c r="A7108" s="16"/>
    </row>
    <row r="7109" spans="1:1" x14ac:dyDescent="0.25">
      <c r="A7109" s="16"/>
    </row>
    <row r="7110" spans="1:1" x14ac:dyDescent="0.25">
      <c r="A7110" s="16"/>
    </row>
    <row r="7111" spans="1:1" x14ac:dyDescent="0.25">
      <c r="A7111" s="16"/>
    </row>
    <row r="7112" spans="1:1" x14ac:dyDescent="0.25">
      <c r="A7112" s="16"/>
    </row>
    <row r="7113" spans="1:1" x14ac:dyDescent="0.25">
      <c r="A7113" s="16"/>
    </row>
    <row r="7114" spans="1:1" x14ac:dyDescent="0.25">
      <c r="A7114" s="16"/>
    </row>
    <row r="7115" spans="1:1" x14ac:dyDescent="0.25">
      <c r="A7115" s="16"/>
    </row>
    <row r="7116" spans="1:1" x14ac:dyDescent="0.25">
      <c r="A7116" s="16"/>
    </row>
    <row r="7117" spans="1:1" x14ac:dyDescent="0.25">
      <c r="A7117" s="16"/>
    </row>
    <row r="7118" spans="1:1" x14ac:dyDescent="0.25">
      <c r="A7118" s="16"/>
    </row>
    <row r="7119" spans="1:1" x14ac:dyDescent="0.25">
      <c r="A7119" s="16"/>
    </row>
    <row r="7120" spans="1:1" x14ac:dyDescent="0.25">
      <c r="A7120" s="16"/>
    </row>
    <row r="7121" spans="1:1" x14ac:dyDescent="0.25">
      <c r="A7121" s="16"/>
    </row>
    <row r="7122" spans="1:1" x14ac:dyDescent="0.25">
      <c r="A7122" s="16"/>
    </row>
    <row r="7123" spans="1:1" x14ac:dyDescent="0.25">
      <c r="A7123" s="16"/>
    </row>
    <row r="7124" spans="1:1" x14ac:dyDescent="0.25">
      <c r="A7124" s="16"/>
    </row>
    <row r="7125" spans="1:1" x14ac:dyDescent="0.25">
      <c r="A7125" s="16"/>
    </row>
    <row r="7126" spans="1:1" x14ac:dyDescent="0.25">
      <c r="A7126" s="16"/>
    </row>
    <row r="7127" spans="1:1" x14ac:dyDescent="0.25">
      <c r="A7127" s="16"/>
    </row>
    <row r="7128" spans="1:1" x14ac:dyDescent="0.25">
      <c r="A7128" s="16"/>
    </row>
    <row r="7129" spans="1:1" x14ac:dyDescent="0.25">
      <c r="A7129" s="16"/>
    </row>
    <row r="7130" spans="1:1" x14ac:dyDescent="0.25">
      <c r="A7130" s="16"/>
    </row>
    <row r="7131" spans="1:1" x14ac:dyDescent="0.25">
      <c r="A7131" s="16"/>
    </row>
    <row r="7132" spans="1:1" x14ac:dyDescent="0.25">
      <c r="A7132" s="16"/>
    </row>
    <row r="7133" spans="1:1" x14ac:dyDescent="0.25">
      <c r="A7133" s="16"/>
    </row>
    <row r="7134" spans="1:1" x14ac:dyDescent="0.25">
      <c r="A7134" s="16"/>
    </row>
    <row r="7135" spans="1:1" x14ac:dyDescent="0.25">
      <c r="A7135" s="16"/>
    </row>
    <row r="7136" spans="1:1" x14ac:dyDescent="0.25">
      <c r="A7136" s="16"/>
    </row>
    <row r="7137" spans="1:1" x14ac:dyDescent="0.25">
      <c r="A7137" s="16"/>
    </row>
    <row r="7138" spans="1:1" x14ac:dyDescent="0.25">
      <c r="A7138" s="16"/>
    </row>
    <row r="7139" spans="1:1" x14ac:dyDescent="0.25">
      <c r="A7139" s="16"/>
    </row>
    <row r="7140" spans="1:1" x14ac:dyDescent="0.25">
      <c r="A7140" s="16"/>
    </row>
    <row r="7141" spans="1:1" x14ac:dyDescent="0.25">
      <c r="A7141" s="16"/>
    </row>
    <row r="7142" spans="1:1" x14ac:dyDescent="0.25">
      <c r="A7142" s="16"/>
    </row>
    <row r="7143" spans="1:1" x14ac:dyDescent="0.25">
      <c r="A7143" s="16"/>
    </row>
    <row r="7144" spans="1:1" x14ac:dyDescent="0.25">
      <c r="A7144" s="16"/>
    </row>
    <row r="7145" spans="1:1" x14ac:dyDescent="0.25">
      <c r="A7145" s="16"/>
    </row>
    <row r="7146" spans="1:1" x14ac:dyDescent="0.25">
      <c r="A7146" s="16"/>
    </row>
    <row r="7147" spans="1:1" x14ac:dyDescent="0.25">
      <c r="A7147" s="16"/>
    </row>
    <row r="7148" spans="1:1" x14ac:dyDescent="0.25">
      <c r="A7148" s="16"/>
    </row>
    <row r="7149" spans="1:1" x14ac:dyDescent="0.25">
      <c r="A7149" s="16"/>
    </row>
    <row r="7150" spans="1:1" x14ac:dyDescent="0.25">
      <c r="A7150" s="16"/>
    </row>
    <row r="7151" spans="1:1" x14ac:dyDescent="0.25">
      <c r="A7151" s="16"/>
    </row>
    <row r="7152" spans="1:1" x14ac:dyDescent="0.25">
      <c r="A7152" s="16"/>
    </row>
    <row r="7153" spans="1:1" x14ac:dyDescent="0.25">
      <c r="A7153" s="16"/>
    </row>
    <row r="7154" spans="1:1" x14ac:dyDescent="0.25">
      <c r="A7154" s="16"/>
    </row>
    <row r="7155" spans="1:1" x14ac:dyDescent="0.25">
      <c r="A7155" s="16"/>
    </row>
    <row r="7156" spans="1:1" x14ac:dyDescent="0.25">
      <c r="A7156" s="16"/>
    </row>
    <row r="7157" spans="1:1" x14ac:dyDescent="0.25">
      <c r="A7157" s="16"/>
    </row>
    <row r="7158" spans="1:1" x14ac:dyDescent="0.25">
      <c r="A7158" s="16"/>
    </row>
    <row r="7159" spans="1:1" x14ac:dyDescent="0.25">
      <c r="A7159" s="16"/>
    </row>
    <row r="7160" spans="1:1" x14ac:dyDescent="0.25">
      <c r="A7160" s="16"/>
    </row>
    <row r="7161" spans="1:1" x14ac:dyDescent="0.25">
      <c r="A7161" s="16"/>
    </row>
    <row r="7162" spans="1:1" x14ac:dyDescent="0.25">
      <c r="A7162" s="16"/>
    </row>
    <row r="7163" spans="1:1" x14ac:dyDescent="0.25">
      <c r="A7163" s="16"/>
    </row>
    <row r="7164" spans="1:1" x14ac:dyDescent="0.25">
      <c r="A7164" s="16"/>
    </row>
    <row r="7165" spans="1:1" x14ac:dyDescent="0.25">
      <c r="A7165" s="16"/>
    </row>
    <row r="7166" spans="1:1" x14ac:dyDescent="0.25">
      <c r="A7166" s="16"/>
    </row>
    <row r="7167" spans="1:1" x14ac:dyDescent="0.25">
      <c r="A7167" s="16"/>
    </row>
    <row r="7168" spans="1:1" x14ac:dyDescent="0.25">
      <c r="A7168" s="16"/>
    </row>
    <row r="7169" spans="1:1" x14ac:dyDescent="0.25">
      <c r="A7169" s="16"/>
    </row>
    <row r="7170" spans="1:1" x14ac:dyDescent="0.25">
      <c r="A7170" s="16"/>
    </row>
    <row r="7171" spans="1:1" x14ac:dyDescent="0.25">
      <c r="A7171" s="16"/>
    </row>
    <row r="7172" spans="1:1" x14ac:dyDescent="0.25">
      <c r="A7172" s="16"/>
    </row>
    <row r="7173" spans="1:1" x14ac:dyDescent="0.25">
      <c r="A7173" s="16"/>
    </row>
    <row r="7174" spans="1:1" x14ac:dyDescent="0.25">
      <c r="A7174" s="16"/>
    </row>
    <row r="7175" spans="1:1" x14ac:dyDescent="0.25">
      <c r="A7175" s="16"/>
    </row>
    <row r="7176" spans="1:1" x14ac:dyDescent="0.25">
      <c r="A7176" s="16"/>
    </row>
    <row r="7177" spans="1:1" x14ac:dyDescent="0.25">
      <c r="A7177" s="16"/>
    </row>
    <row r="7178" spans="1:1" x14ac:dyDescent="0.25">
      <c r="A7178" s="16"/>
    </row>
    <row r="7179" spans="1:1" x14ac:dyDescent="0.25">
      <c r="A7179" s="16"/>
    </row>
    <row r="7180" spans="1:1" x14ac:dyDescent="0.25">
      <c r="A7180" s="16"/>
    </row>
    <row r="7181" spans="1:1" x14ac:dyDescent="0.25">
      <c r="A7181" s="16"/>
    </row>
    <row r="7182" spans="1:1" x14ac:dyDescent="0.25">
      <c r="A7182" s="16"/>
    </row>
    <row r="7183" spans="1:1" x14ac:dyDescent="0.25">
      <c r="A7183" s="16"/>
    </row>
    <row r="7184" spans="1:1" x14ac:dyDescent="0.25">
      <c r="A7184" s="16"/>
    </row>
    <row r="7185" spans="1:1" x14ac:dyDescent="0.25">
      <c r="A7185" s="16"/>
    </row>
    <row r="7186" spans="1:1" x14ac:dyDescent="0.25">
      <c r="A7186" s="16"/>
    </row>
    <row r="7187" spans="1:1" x14ac:dyDescent="0.25">
      <c r="A7187" s="16"/>
    </row>
    <row r="7188" spans="1:1" x14ac:dyDescent="0.25">
      <c r="A7188" s="16"/>
    </row>
    <row r="7189" spans="1:1" x14ac:dyDescent="0.25">
      <c r="A7189" s="16"/>
    </row>
    <row r="7190" spans="1:1" x14ac:dyDescent="0.25">
      <c r="A7190" s="16"/>
    </row>
    <row r="7191" spans="1:1" x14ac:dyDescent="0.25">
      <c r="A7191" s="16"/>
    </row>
    <row r="7192" spans="1:1" x14ac:dyDescent="0.25">
      <c r="A7192" s="16"/>
    </row>
    <row r="7193" spans="1:1" x14ac:dyDescent="0.25">
      <c r="A7193" s="16"/>
    </row>
    <row r="7194" spans="1:1" x14ac:dyDescent="0.25">
      <c r="A7194" s="16"/>
    </row>
    <row r="7195" spans="1:1" x14ac:dyDescent="0.25">
      <c r="A7195" s="16"/>
    </row>
    <row r="7196" spans="1:1" x14ac:dyDescent="0.25">
      <c r="A7196" s="16"/>
    </row>
    <row r="7197" spans="1:1" x14ac:dyDescent="0.25">
      <c r="A7197" s="16"/>
    </row>
    <row r="7198" spans="1:1" x14ac:dyDescent="0.25">
      <c r="A7198" s="16"/>
    </row>
    <row r="7199" spans="1:1" x14ac:dyDescent="0.25">
      <c r="A7199" s="16"/>
    </row>
    <row r="7200" spans="1:1" x14ac:dyDescent="0.25">
      <c r="A7200" s="16"/>
    </row>
    <row r="7201" spans="1:1" x14ac:dyDescent="0.25">
      <c r="A7201" s="16"/>
    </row>
    <row r="7202" spans="1:1" x14ac:dyDescent="0.25">
      <c r="A7202" s="16"/>
    </row>
    <row r="7203" spans="1:1" x14ac:dyDescent="0.25">
      <c r="A7203" s="16"/>
    </row>
    <row r="7204" spans="1:1" x14ac:dyDescent="0.25">
      <c r="A7204" s="16"/>
    </row>
    <row r="7205" spans="1:1" x14ac:dyDescent="0.25">
      <c r="A7205" s="16"/>
    </row>
    <row r="7206" spans="1:1" x14ac:dyDescent="0.25">
      <c r="A7206" s="16"/>
    </row>
    <row r="7207" spans="1:1" x14ac:dyDescent="0.25">
      <c r="A7207" s="16"/>
    </row>
    <row r="7208" spans="1:1" x14ac:dyDescent="0.25">
      <c r="A7208" s="16"/>
    </row>
    <row r="7209" spans="1:1" x14ac:dyDescent="0.25">
      <c r="A7209" s="16"/>
    </row>
    <row r="7210" spans="1:1" x14ac:dyDescent="0.25">
      <c r="A7210" s="16"/>
    </row>
    <row r="7211" spans="1:1" x14ac:dyDescent="0.25">
      <c r="A7211" s="16"/>
    </row>
    <row r="7212" spans="1:1" x14ac:dyDescent="0.25">
      <c r="A7212" s="16"/>
    </row>
    <row r="7213" spans="1:1" x14ac:dyDescent="0.25">
      <c r="A7213" s="16"/>
    </row>
    <row r="7214" spans="1:1" x14ac:dyDescent="0.25">
      <c r="A7214" s="16"/>
    </row>
    <row r="7215" spans="1:1" x14ac:dyDescent="0.25">
      <c r="A7215" s="16"/>
    </row>
    <row r="7216" spans="1:1" x14ac:dyDescent="0.25">
      <c r="A7216" s="16"/>
    </row>
    <row r="7217" spans="1:1" x14ac:dyDescent="0.25">
      <c r="A7217" s="16"/>
    </row>
    <row r="7218" spans="1:1" x14ac:dyDescent="0.25">
      <c r="A7218" s="16"/>
    </row>
    <row r="7219" spans="1:1" x14ac:dyDescent="0.25">
      <c r="A7219" s="16"/>
    </row>
    <row r="7220" spans="1:1" x14ac:dyDescent="0.25">
      <c r="A7220" s="16"/>
    </row>
    <row r="7221" spans="1:1" x14ac:dyDescent="0.25">
      <c r="A7221" s="16"/>
    </row>
    <row r="7222" spans="1:1" x14ac:dyDescent="0.25">
      <c r="A7222" s="16"/>
    </row>
    <row r="7223" spans="1:1" x14ac:dyDescent="0.25">
      <c r="A7223" s="16"/>
    </row>
    <row r="7224" spans="1:1" x14ac:dyDescent="0.25">
      <c r="A7224" s="16"/>
    </row>
    <row r="7225" spans="1:1" x14ac:dyDescent="0.25">
      <c r="A7225" s="16"/>
    </row>
    <row r="7226" spans="1:1" x14ac:dyDescent="0.25">
      <c r="A7226" s="16"/>
    </row>
    <row r="7227" spans="1:1" x14ac:dyDescent="0.25">
      <c r="A7227" s="16"/>
    </row>
    <row r="7228" spans="1:1" x14ac:dyDescent="0.25">
      <c r="A7228" s="16"/>
    </row>
    <row r="7229" spans="1:1" x14ac:dyDescent="0.25">
      <c r="A7229" s="16"/>
    </row>
    <row r="7230" spans="1:1" x14ac:dyDescent="0.25">
      <c r="A7230" s="16"/>
    </row>
    <row r="7231" spans="1:1" x14ac:dyDescent="0.25">
      <c r="A7231" s="16"/>
    </row>
    <row r="7232" spans="1:1" x14ac:dyDescent="0.25">
      <c r="A7232" s="16"/>
    </row>
    <row r="7233" spans="1:1" x14ac:dyDescent="0.25">
      <c r="A7233" s="16"/>
    </row>
    <row r="7234" spans="1:1" x14ac:dyDescent="0.25">
      <c r="A7234" s="16"/>
    </row>
    <row r="7235" spans="1:1" x14ac:dyDescent="0.25">
      <c r="A7235" s="16"/>
    </row>
    <row r="7236" spans="1:1" x14ac:dyDescent="0.25">
      <c r="A7236" s="16"/>
    </row>
    <row r="7237" spans="1:1" x14ac:dyDescent="0.25">
      <c r="A7237" s="16"/>
    </row>
    <row r="7238" spans="1:1" x14ac:dyDescent="0.25">
      <c r="A7238" s="16"/>
    </row>
    <row r="7239" spans="1:1" x14ac:dyDescent="0.25">
      <c r="A7239" s="16"/>
    </row>
    <row r="7240" spans="1:1" x14ac:dyDescent="0.25">
      <c r="A7240" s="16"/>
    </row>
    <row r="7241" spans="1:1" x14ac:dyDescent="0.25">
      <c r="A7241" s="16"/>
    </row>
    <row r="7242" spans="1:1" x14ac:dyDescent="0.25">
      <c r="A7242" s="16"/>
    </row>
    <row r="7243" spans="1:1" x14ac:dyDescent="0.25">
      <c r="A7243" s="16"/>
    </row>
    <row r="7244" spans="1:1" x14ac:dyDescent="0.25">
      <c r="A7244" s="16"/>
    </row>
    <row r="7245" spans="1:1" x14ac:dyDescent="0.25">
      <c r="A7245" s="16"/>
    </row>
    <row r="7246" spans="1:1" x14ac:dyDescent="0.25">
      <c r="A7246" s="16"/>
    </row>
    <row r="7247" spans="1:1" x14ac:dyDescent="0.25">
      <c r="A7247" s="16"/>
    </row>
    <row r="7248" spans="1:1" x14ac:dyDescent="0.25">
      <c r="A7248" s="16"/>
    </row>
    <row r="7249" spans="1:1" x14ac:dyDescent="0.25">
      <c r="A7249" s="16"/>
    </row>
    <row r="7250" spans="1:1" x14ac:dyDescent="0.25">
      <c r="A7250" s="16"/>
    </row>
    <row r="7251" spans="1:1" x14ac:dyDescent="0.25">
      <c r="A7251" s="16"/>
    </row>
    <row r="7252" spans="1:1" x14ac:dyDescent="0.25">
      <c r="A7252" s="16"/>
    </row>
    <row r="7253" spans="1:1" x14ac:dyDescent="0.25">
      <c r="A7253" s="16"/>
    </row>
    <row r="7254" spans="1:1" x14ac:dyDescent="0.25">
      <c r="A7254" s="16"/>
    </row>
    <row r="7255" spans="1:1" x14ac:dyDescent="0.25">
      <c r="A7255" s="16"/>
    </row>
    <row r="7256" spans="1:1" x14ac:dyDescent="0.25">
      <c r="A7256" s="16"/>
    </row>
    <row r="7257" spans="1:1" x14ac:dyDescent="0.25">
      <c r="A7257" s="16"/>
    </row>
    <row r="7258" spans="1:1" x14ac:dyDescent="0.25">
      <c r="A7258" s="16"/>
    </row>
    <row r="7259" spans="1:1" x14ac:dyDescent="0.25">
      <c r="A7259" s="16"/>
    </row>
    <row r="7260" spans="1:1" x14ac:dyDescent="0.25">
      <c r="A7260" s="16"/>
    </row>
    <row r="7261" spans="1:1" x14ac:dyDescent="0.25">
      <c r="A7261" s="16"/>
    </row>
    <row r="7262" spans="1:1" x14ac:dyDescent="0.25">
      <c r="A7262" s="16"/>
    </row>
    <row r="7263" spans="1:1" x14ac:dyDescent="0.25">
      <c r="A7263" s="16"/>
    </row>
    <row r="7264" spans="1:1" x14ac:dyDescent="0.25">
      <c r="A7264" s="16"/>
    </row>
    <row r="7265" spans="1:1" x14ac:dyDescent="0.25">
      <c r="A7265" s="16"/>
    </row>
    <row r="7266" spans="1:1" x14ac:dyDescent="0.25">
      <c r="A7266" s="16"/>
    </row>
    <row r="7267" spans="1:1" x14ac:dyDescent="0.25">
      <c r="A7267" s="16"/>
    </row>
    <row r="7268" spans="1:1" x14ac:dyDescent="0.25">
      <c r="A7268" s="16"/>
    </row>
    <row r="7269" spans="1:1" x14ac:dyDescent="0.25">
      <c r="A7269" s="16"/>
    </row>
    <row r="7270" spans="1:1" x14ac:dyDescent="0.25">
      <c r="A7270" s="16"/>
    </row>
    <row r="7271" spans="1:1" x14ac:dyDescent="0.25">
      <c r="A7271" s="16"/>
    </row>
    <row r="7272" spans="1:1" x14ac:dyDescent="0.25">
      <c r="A7272" s="16"/>
    </row>
    <row r="7273" spans="1:1" x14ac:dyDescent="0.25">
      <c r="A7273" s="16"/>
    </row>
    <row r="7274" spans="1:1" x14ac:dyDescent="0.25">
      <c r="A7274" s="16"/>
    </row>
    <row r="7275" spans="1:1" x14ac:dyDescent="0.25">
      <c r="A7275" s="16"/>
    </row>
    <row r="7276" spans="1:1" x14ac:dyDescent="0.25">
      <c r="A7276" s="16"/>
    </row>
    <row r="7277" spans="1:1" x14ac:dyDescent="0.25">
      <c r="A7277" s="16"/>
    </row>
    <row r="7278" spans="1:1" x14ac:dyDescent="0.25">
      <c r="A7278" s="16"/>
    </row>
    <row r="7279" spans="1:1" x14ac:dyDescent="0.25">
      <c r="A7279" s="16"/>
    </row>
    <row r="7280" spans="1:1" x14ac:dyDescent="0.25">
      <c r="A7280" s="16"/>
    </row>
    <row r="7281" spans="1:1" x14ac:dyDescent="0.25">
      <c r="A7281" s="16"/>
    </row>
    <row r="7282" spans="1:1" x14ac:dyDescent="0.25">
      <c r="A7282" s="16"/>
    </row>
    <row r="7283" spans="1:1" x14ac:dyDescent="0.25">
      <c r="A7283" s="16"/>
    </row>
    <row r="7284" spans="1:1" x14ac:dyDescent="0.25">
      <c r="A7284" s="16"/>
    </row>
    <row r="7285" spans="1:1" x14ac:dyDescent="0.25">
      <c r="A7285" s="16"/>
    </row>
    <row r="7286" spans="1:1" x14ac:dyDescent="0.25">
      <c r="A7286" s="16"/>
    </row>
    <row r="7287" spans="1:1" x14ac:dyDescent="0.25">
      <c r="A7287" s="16"/>
    </row>
    <row r="7288" spans="1:1" x14ac:dyDescent="0.25">
      <c r="A7288" s="16"/>
    </row>
    <row r="7289" spans="1:1" x14ac:dyDescent="0.25">
      <c r="A7289" s="16"/>
    </row>
    <row r="7290" spans="1:1" x14ac:dyDescent="0.25">
      <c r="A7290" s="16"/>
    </row>
    <row r="7291" spans="1:1" x14ac:dyDescent="0.25">
      <c r="A7291" s="16"/>
    </row>
    <row r="7292" spans="1:1" x14ac:dyDescent="0.25">
      <c r="A7292" s="16"/>
    </row>
    <row r="7293" spans="1:1" x14ac:dyDescent="0.25">
      <c r="A7293" s="16"/>
    </row>
    <row r="7294" spans="1:1" x14ac:dyDescent="0.25">
      <c r="A7294" s="16"/>
    </row>
    <row r="7295" spans="1:1" x14ac:dyDescent="0.25">
      <c r="A7295" s="16"/>
    </row>
    <row r="7296" spans="1:1" x14ac:dyDescent="0.25">
      <c r="A7296" s="16"/>
    </row>
    <row r="7297" spans="1:1" x14ac:dyDescent="0.25">
      <c r="A7297" s="16"/>
    </row>
    <row r="7298" spans="1:1" x14ac:dyDescent="0.25">
      <c r="A7298" s="16"/>
    </row>
    <row r="7299" spans="1:1" x14ac:dyDescent="0.25">
      <c r="A7299" s="16"/>
    </row>
    <row r="7300" spans="1:1" x14ac:dyDescent="0.25">
      <c r="A7300" s="16"/>
    </row>
    <row r="7301" spans="1:1" x14ac:dyDescent="0.25">
      <c r="A7301" s="16"/>
    </row>
    <row r="7302" spans="1:1" x14ac:dyDescent="0.25">
      <c r="A7302" s="16"/>
    </row>
    <row r="7303" spans="1:1" x14ac:dyDescent="0.25">
      <c r="A7303" s="16"/>
    </row>
    <row r="7304" spans="1:1" x14ac:dyDescent="0.25">
      <c r="A7304" s="16"/>
    </row>
    <row r="7305" spans="1:1" x14ac:dyDescent="0.25">
      <c r="A7305" s="16"/>
    </row>
    <row r="7306" spans="1:1" x14ac:dyDescent="0.25">
      <c r="A7306" s="16"/>
    </row>
    <row r="7307" spans="1:1" x14ac:dyDescent="0.25">
      <c r="A7307" s="16"/>
    </row>
    <row r="7308" spans="1:1" x14ac:dyDescent="0.25">
      <c r="A7308" s="16"/>
    </row>
    <row r="7309" spans="1:1" x14ac:dyDescent="0.25">
      <c r="A7309" s="16"/>
    </row>
    <row r="7310" spans="1:1" x14ac:dyDescent="0.25">
      <c r="A7310" s="16"/>
    </row>
    <row r="7311" spans="1:1" x14ac:dyDescent="0.25">
      <c r="A7311" s="16"/>
    </row>
    <row r="7312" spans="1:1" x14ac:dyDescent="0.25">
      <c r="A7312" s="16"/>
    </row>
    <row r="7313" spans="1:1" x14ac:dyDescent="0.25">
      <c r="A7313" s="16"/>
    </row>
    <row r="7314" spans="1:1" x14ac:dyDescent="0.25">
      <c r="A7314" s="16"/>
    </row>
    <row r="7315" spans="1:1" x14ac:dyDescent="0.25">
      <c r="A7315" s="16"/>
    </row>
    <row r="7316" spans="1:1" x14ac:dyDescent="0.25">
      <c r="A7316" s="16"/>
    </row>
    <row r="7317" spans="1:1" x14ac:dyDescent="0.25">
      <c r="A7317" s="16"/>
    </row>
    <row r="7318" spans="1:1" x14ac:dyDescent="0.25">
      <c r="A7318" s="16"/>
    </row>
    <row r="7319" spans="1:1" x14ac:dyDescent="0.25">
      <c r="A7319" s="16"/>
    </row>
    <row r="7320" spans="1:1" x14ac:dyDescent="0.25">
      <c r="A7320" s="16"/>
    </row>
    <row r="7321" spans="1:1" x14ac:dyDescent="0.25">
      <c r="A7321" s="16"/>
    </row>
    <row r="7322" spans="1:1" x14ac:dyDescent="0.25">
      <c r="A7322" s="16"/>
    </row>
    <row r="7323" spans="1:1" x14ac:dyDescent="0.25">
      <c r="A7323" s="16"/>
    </row>
    <row r="7324" spans="1:1" x14ac:dyDescent="0.25">
      <c r="A7324" s="16"/>
    </row>
    <row r="7325" spans="1:1" x14ac:dyDescent="0.25">
      <c r="A7325" s="16"/>
    </row>
    <row r="7326" spans="1:1" x14ac:dyDescent="0.25">
      <c r="A7326" s="16"/>
    </row>
    <row r="7327" spans="1:1" x14ac:dyDescent="0.25">
      <c r="A7327" s="16"/>
    </row>
    <row r="7328" spans="1:1" x14ac:dyDescent="0.25">
      <c r="A7328" s="16"/>
    </row>
    <row r="7329" spans="1:1" x14ac:dyDescent="0.25">
      <c r="A7329" s="16"/>
    </row>
    <row r="7330" spans="1:1" x14ac:dyDescent="0.25">
      <c r="A7330" s="16"/>
    </row>
    <row r="7331" spans="1:1" x14ac:dyDescent="0.25">
      <c r="A7331" s="16"/>
    </row>
    <row r="7332" spans="1:1" x14ac:dyDescent="0.25">
      <c r="A7332" s="16"/>
    </row>
    <row r="7333" spans="1:1" x14ac:dyDescent="0.25">
      <c r="A7333" s="16"/>
    </row>
    <row r="7334" spans="1:1" x14ac:dyDescent="0.25">
      <c r="A7334" s="16"/>
    </row>
    <row r="7335" spans="1:1" x14ac:dyDescent="0.25">
      <c r="A7335" s="16"/>
    </row>
    <row r="7336" spans="1:1" x14ac:dyDescent="0.25">
      <c r="A7336" s="16"/>
    </row>
    <row r="7337" spans="1:1" x14ac:dyDescent="0.25">
      <c r="A7337" s="16"/>
    </row>
    <row r="7338" spans="1:1" x14ac:dyDescent="0.25">
      <c r="A7338" s="16"/>
    </row>
    <row r="7339" spans="1:1" x14ac:dyDescent="0.25">
      <c r="A7339" s="16"/>
    </row>
    <row r="7340" spans="1:1" x14ac:dyDescent="0.25">
      <c r="A7340" s="16"/>
    </row>
    <row r="7341" spans="1:1" x14ac:dyDescent="0.25">
      <c r="A7341" s="16"/>
    </row>
    <row r="7342" spans="1:1" x14ac:dyDescent="0.25">
      <c r="A7342" s="16"/>
    </row>
    <row r="7343" spans="1:1" x14ac:dyDescent="0.25">
      <c r="A7343" s="16"/>
    </row>
    <row r="7344" spans="1:1" x14ac:dyDescent="0.25">
      <c r="A7344" s="16"/>
    </row>
    <row r="7345" spans="1:1" x14ac:dyDescent="0.25">
      <c r="A7345" s="16"/>
    </row>
    <row r="7346" spans="1:1" x14ac:dyDescent="0.25">
      <c r="A7346" s="16"/>
    </row>
    <row r="7347" spans="1:1" x14ac:dyDescent="0.25">
      <c r="A7347" s="16"/>
    </row>
    <row r="7348" spans="1:1" x14ac:dyDescent="0.25">
      <c r="A7348" s="16"/>
    </row>
    <row r="7349" spans="1:1" x14ac:dyDescent="0.25">
      <c r="A7349" s="16"/>
    </row>
    <row r="7350" spans="1:1" x14ac:dyDescent="0.25">
      <c r="A7350" s="16"/>
    </row>
    <row r="7351" spans="1:1" x14ac:dyDescent="0.25">
      <c r="A7351" s="16"/>
    </row>
    <row r="7352" spans="1:1" x14ac:dyDescent="0.25">
      <c r="A7352" s="16"/>
    </row>
    <row r="7353" spans="1:1" x14ac:dyDescent="0.25">
      <c r="A7353" s="16"/>
    </row>
    <row r="7354" spans="1:1" x14ac:dyDescent="0.25">
      <c r="A7354" s="16"/>
    </row>
    <row r="7355" spans="1:1" x14ac:dyDescent="0.25">
      <c r="A7355" s="16"/>
    </row>
    <row r="7356" spans="1:1" x14ac:dyDescent="0.25">
      <c r="A7356" s="16"/>
    </row>
    <row r="7357" spans="1:1" x14ac:dyDescent="0.25">
      <c r="A7357" s="16"/>
    </row>
    <row r="7358" spans="1:1" x14ac:dyDescent="0.25">
      <c r="A7358" s="16"/>
    </row>
    <row r="7359" spans="1:1" x14ac:dyDescent="0.25">
      <c r="A7359" s="16"/>
    </row>
    <row r="7360" spans="1:1" x14ac:dyDescent="0.25">
      <c r="A7360" s="16"/>
    </row>
    <row r="7361" spans="1:1" x14ac:dyDescent="0.25">
      <c r="A7361" s="16"/>
    </row>
    <row r="7362" spans="1:1" x14ac:dyDescent="0.25">
      <c r="A7362" s="16"/>
    </row>
    <row r="7363" spans="1:1" x14ac:dyDescent="0.25">
      <c r="A7363" s="16"/>
    </row>
    <row r="7364" spans="1:1" x14ac:dyDescent="0.25">
      <c r="A7364" s="16"/>
    </row>
    <row r="7365" spans="1:1" x14ac:dyDescent="0.25">
      <c r="A7365" s="16"/>
    </row>
    <row r="7366" spans="1:1" x14ac:dyDescent="0.25">
      <c r="A7366" s="16"/>
    </row>
    <row r="7367" spans="1:1" x14ac:dyDescent="0.25">
      <c r="A7367" s="16"/>
    </row>
    <row r="7368" spans="1:1" x14ac:dyDescent="0.25">
      <c r="A7368" s="16"/>
    </row>
    <row r="7369" spans="1:1" x14ac:dyDescent="0.25">
      <c r="A7369" s="16"/>
    </row>
    <row r="7370" spans="1:1" x14ac:dyDescent="0.25">
      <c r="A7370" s="16"/>
    </row>
    <row r="7371" spans="1:1" x14ac:dyDescent="0.25">
      <c r="A7371" s="16"/>
    </row>
    <row r="7372" spans="1:1" x14ac:dyDescent="0.25">
      <c r="A7372" s="16"/>
    </row>
    <row r="7373" spans="1:1" x14ac:dyDescent="0.25">
      <c r="A7373" s="16"/>
    </row>
    <row r="7374" spans="1:1" x14ac:dyDescent="0.25">
      <c r="A7374" s="16"/>
    </row>
    <row r="7375" spans="1:1" x14ac:dyDescent="0.25">
      <c r="A7375" s="16"/>
    </row>
    <row r="7376" spans="1:1" x14ac:dyDescent="0.25">
      <c r="A7376" s="16"/>
    </row>
    <row r="7377" spans="1:1" x14ac:dyDescent="0.25">
      <c r="A7377" s="16"/>
    </row>
    <row r="7378" spans="1:1" x14ac:dyDescent="0.25">
      <c r="A7378" s="16"/>
    </row>
    <row r="7379" spans="1:1" x14ac:dyDescent="0.25">
      <c r="A7379" s="16"/>
    </row>
    <row r="7380" spans="1:1" x14ac:dyDescent="0.25">
      <c r="A7380" s="16"/>
    </row>
    <row r="7381" spans="1:1" x14ac:dyDescent="0.25">
      <c r="A7381" s="16"/>
    </row>
    <row r="7382" spans="1:1" x14ac:dyDescent="0.25">
      <c r="A7382" s="16"/>
    </row>
    <row r="7383" spans="1:1" x14ac:dyDescent="0.25">
      <c r="A7383" s="16"/>
    </row>
    <row r="7384" spans="1:1" x14ac:dyDescent="0.25">
      <c r="A7384" s="16"/>
    </row>
    <row r="7385" spans="1:1" x14ac:dyDescent="0.25">
      <c r="A7385" s="16"/>
    </row>
    <row r="7386" spans="1:1" x14ac:dyDescent="0.25">
      <c r="A7386" s="16"/>
    </row>
    <row r="7387" spans="1:1" x14ac:dyDescent="0.25">
      <c r="A7387" s="16"/>
    </row>
    <row r="7388" spans="1:1" x14ac:dyDescent="0.25">
      <c r="A7388" s="16"/>
    </row>
    <row r="7389" spans="1:1" x14ac:dyDescent="0.25">
      <c r="A7389" s="16"/>
    </row>
    <row r="7390" spans="1:1" x14ac:dyDescent="0.25">
      <c r="A7390" s="16"/>
    </row>
    <row r="7391" spans="1:1" x14ac:dyDescent="0.25">
      <c r="A7391" s="16"/>
    </row>
    <row r="7392" spans="1:1" x14ac:dyDescent="0.25">
      <c r="A7392" s="16"/>
    </row>
    <row r="7393" spans="1:1" x14ac:dyDescent="0.25">
      <c r="A7393" s="16"/>
    </row>
    <row r="7394" spans="1:1" x14ac:dyDescent="0.25">
      <c r="A7394" s="16"/>
    </row>
    <row r="7395" spans="1:1" x14ac:dyDescent="0.25">
      <c r="A7395" s="16"/>
    </row>
    <row r="7396" spans="1:1" x14ac:dyDescent="0.25">
      <c r="A7396" s="16"/>
    </row>
    <row r="7397" spans="1:1" x14ac:dyDescent="0.25">
      <c r="A7397" s="16"/>
    </row>
    <row r="7398" spans="1:1" x14ac:dyDescent="0.25">
      <c r="A7398" s="16"/>
    </row>
    <row r="7399" spans="1:1" x14ac:dyDescent="0.25">
      <c r="A7399" s="16"/>
    </row>
    <row r="7400" spans="1:1" x14ac:dyDescent="0.25">
      <c r="A7400" s="16"/>
    </row>
    <row r="7401" spans="1:1" x14ac:dyDescent="0.25">
      <c r="A7401" s="16"/>
    </row>
    <row r="7402" spans="1:1" x14ac:dyDescent="0.25">
      <c r="A7402" s="16"/>
    </row>
    <row r="7403" spans="1:1" x14ac:dyDescent="0.25">
      <c r="A7403" s="16"/>
    </row>
    <row r="7404" spans="1:1" x14ac:dyDescent="0.25">
      <c r="A7404" s="16"/>
    </row>
    <row r="7405" spans="1:1" x14ac:dyDescent="0.25">
      <c r="A7405" s="16"/>
    </row>
    <row r="7406" spans="1:1" x14ac:dyDescent="0.25">
      <c r="A7406" s="16"/>
    </row>
    <row r="7407" spans="1:1" x14ac:dyDescent="0.25">
      <c r="A7407" s="16"/>
    </row>
    <row r="7408" spans="1:1" x14ac:dyDescent="0.25">
      <c r="A7408" s="16"/>
    </row>
    <row r="7409" spans="1:1" x14ac:dyDescent="0.25">
      <c r="A7409" s="16"/>
    </row>
    <row r="7410" spans="1:1" x14ac:dyDescent="0.25">
      <c r="A7410" s="16"/>
    </row>
    <row r="7411" spans="1:1" x14ac:dyDescent="0.25">
      <c r="A7411" s="16"/>
    </row>
    <row r="7412" spans="1:1" x14ac:dyDescent="0.25">
      <c r="A7412" s="16"/>
    </row>
    <row r="7413" spans="1:1" x14ac:dyDescent="0.25">
      <c r="A7413" s="16"/>
    </row>
    <row r="7414" spans="1:1" x14ac:dyDescent="0.25">
      <c r="A7414" s="16"/>
    </row>
    <row r="7415" spans="1:1" x14ac:dyDescent="0.25">
      <c r="A7415" s="16"/>
    </row>
    <row r="7416" spans="1:1" x14ac:dyDescent="0.25">
      <c r="A7416" s="16"/>
    </row>
    <row r="7417" spans="1:1" x14ac:dyDescent="0.25">
      <c r="A7417" s="16"/>
    </row>
    <row r="7418" spans="1:1" x14ac:dyDescent="0.25">
      <c r="A7418" s="16"/>
    </row>
    <row r="7419" spans="1:1" x14ac:dyDescent="0.25">
      <c r="A7419" s="16"/>
    </row>
    <row r="7420" spans="1:1" x14ac:dyDescent="0.25">
      <c r="A7420" s="16"/>
    </row>
    <row r="7421" spans="1:1" x14ac:dyDescent="0.25">
      <c r="A7421" s="16"/>
    </row>
    <row r="7422" spans="1:1" x14ac:dyDescent="0.25">
      <c r="A7422" s="16"/>
    </row>
    <row r="7423" spans="1:1" x14ac:dyDescent="0.25">
      <c r="A7423" s="16"/>
    </row>
    <row r="7424" spans="1:1" x14ac:dyDescent="0.25">
      <c r="A7424" s="16"/>
    </row>
    <row r="7425" spans="1:1" x14ac:dyDescent="0.25">
      <c r="A7425" s="16"/>
    </row>
    <row r="7426" spans="1:1" x14ac:dyDescent="0.25">
      <c r="A7426" s="16"/>
    </row>
    <row r="7427" spans="1:1" x14ac:dyDescent="0.25">
      <c r="A7427" s="16"/>
    </row>
    <row r="7428" spans="1:1" x14ac:dyDescent="0.25">
      <c r="A7428" s="16"/>
    </row>
    <row r="7429" spans="1:1" x14ac:dyDescent="0.25">
      <c r="A7429" s="16"/>
    </row>
    <row r="7430" spans="1:1" x14ac:dyDescent="0.25">
      <c r="A7430" s="16"/>
    </row>
    <row r="7431" spans="1:1" x14ac:dyDescent="0.25">
      <c r="A7431" s="16"/>
    </row>
    <row r="7432" spans="1:1" x14ac:dyDescent="0.25">
      <c r="A7432" s="16"/>
    </row>
    <row r="7433" spans="1:1" x14ac:dyDescent="0.25">
      <c r="A7433" s="16"/>
    </row>
    <row r="7434" spans="1:1" x14ac:dyDescent="0.25">
      <c r="A7434" s="16"/>
    </row>
    <row r="7435" spans="1:1" x14ac:dyDescent="0.25">
      <c r="A7435" s="16"/>
    </row>
    <row r="7436" spans="1:1" x14ac:dyDescent="0.25">
      <c r="A7436" s="16"/>
    </row>
    <row r="7437" spans="1:1" x14ac:dyDescent="0.25">
      <c r="A7437" s="16"/>
    </row>
    <row r="7438" spans="1:1" x14ac:dyDescent="0.25">
      <c r="A7438" s="16"/>
    </row>
    <row r="7439" spans="1:1" x14ac:dyDescent="0.25">
      <c r="A7439" s="16"/>
    </row>
    <row r="7440" spans="1:1" x14ac:dyDescent="0.25">
      <c r="A7440" s="16"/>
    </row>
    <row r="7441" spans="1:1" x14ac:dyDescent="0.25">
      <c r="A7441" s="16"/>
    </row>
    <row r="7442" spans="1:1" x14ac:dyDescent="0.25">
      <c r="A7442" s="16"/>
    </row>
    <row r="7443" spans="1:1" x14ac:dyDescent="0.25">
      <c r="A7443" s="16"/>
    </row>
    <row r="7444" spans="1:1" x14ac:dyDescent="0.25">
      <c r="A7444" s="16"/>
    </row>
    <row r="7445" spans="1:1" x14ac:dyDescent="0.25">
      <c r="A7445" s="16"/>
    </row>
    <row r="7446" spans="1:1" x14ac:dyDescent="0.25">
      <c r="A7446" s="16"/>
    </row>
    <row r="7447" spans="1:1" x14ac:dyDescent="0.25">
      <c r="A7447" s="16"/>
    </row>
    <row r="7448" spans="1:1" x14ac:dyDescent="0.25">
      <c r="A7448" s="16"/>
    </row>
    <row r="7449" spans="1:1" x14ac:dyDescent="0.25">
      <c r="A7449" s="16"/>
    </row>
    <row r="7450" spans="1:1" x14ac:dyDescent="0.25">
      <c r="A7450" s="16"/>
    </row>
    <row r="7451" spans="1:1" x14ac:dyDescent="0.25">
      <c r="A7451" s="16"/>
    </row>
    <row r="7452" spans="1:1" x14ac:dyDescent="0.25">
      <c r="A7452" s="16"/>
    </row>
    <row r="7453" spans="1:1" x14ac:dyDescent="0.25">
      <c r="A7453" s="16"/>
    </row>
    <row r="7454" spans="1:1" x14ac:dyDescent="0.25">
      <c r="A7454" s="16"/>
    </row>
    <row r="7455" spans="1:1" x14ac:dyDescent="0.25">
      <c r="A7455" s="16"/>
    </row>
    <row r="7456" spans="1:1" x14ac:dyDescent="0.25">
      <c r="A7456" s="16"/>
    </row>
    <row r="7457" spans="1:1" x14ac:dyDescent="0.25">
      <c r="A7457" s="16"/>
    </row>
    <row r="7458" spans="1:1" x14ac:dyDescent="0.25">
      <c r="A7458" s="16"/>
    </row>
    <row r="7459" spans="1:1" x14ac:dyDescent="0.25">
      <c r="A7459" s="16"/>
    </row>
    <row r="7460" spans="1:1" x14ac:dyDescent="0.25">
      <c r="A7460" s="16"/>
    </row>
    <row r="7461" spans="1:1" x14ac:dyDescent="0.25">
      <c r="A7461" s="16"/>
    </row>
    <row r="7462" spans="1:1" x14ac:dyDescent="0.25">
      <c r="A7462" s="16"/>
    </row>
    <row r="7463" spans="1:1" x14ac:dyDescent="0.25">
      <c r="A7463" s="16"/>
    </row>
    <row r="7464" spans="1:1" x14ac:dyDescent="0.25">
      <c r="A7464" s="16"/>
    </row>
    <row r="7465" spans="1:1" x14ac:dyDescent="0.25">
      <c r="A7465" s="16"/>
    </row>
    <row r="7466" spans="1:1" x14ac:dyDescent="0.25">
      <c r="A7466" s="16"/>
    </row>
    <row r="7467" spans="1:1" x14ac:dyDescent="0.25">
      <c r="A7467" s="16"/>
    </row>
    <row r="7468" spans="1:1" x14ac:dyDescent="0.25">
      <c r="A7468" s="16"/>
    </row>
    <row r="7469" spans="1:1" x14ac:dyDescent="0.25">
      <c r="A7469" s="16"/>
    </row>
    <row r="7470" spans="1:1" x14ac:dyDescent="0.25">
      <c r="A7470" s="16"/>
    </row>
    <row r="7471" spans="1:1" x14ac:dyDescent="0.25">
      <c r="A7471" s="16"/>
    </row>
    <row r="7472" spans="1:1" x14ac:dyDescent="0.25">
      <c r="A7472" s="16"/>
    </row>
    <row r="7473" spans="1:1" x14ac:dyDescent="0.25">
      <c r="A7473" s="16"/>
    </row>
    <row r="7474" spans="1:1" x14ac:dyDescent="0.25">
      <c r="A7474" s="16"/>
    </row>
    <row r="7475" spans="1:1" x14ac:dyDescent="0.25">
      <c r="A7475" s="16"/>
    </row>
    <row r="7476" spans="1:1" x14ac:dyDescent="0.25">
      <c r="A7476" s="16"/>
    </row>
    <row r="7477" spans="1:1" x14ac:dyDescent="0.25">
      <c r="A7477" s="16"/>
    </row>
    <row r="7478" spans="1:1" x14ac:dyDescent="0.25">
      <c r="A7478" s="16"/>
    </row>
    <row r="7479" spans="1:1" x14ac:dyDescent="0.25">
      <c r="A7479" s="16"/>
    </row>
    <row r="7480" spans="1:1" x14ac:dyDescent="0.25">
      <c r="A7480" s="16"/>
    </row>
    <row r="7481" spans="1:1" x14ac:dyDescent="0.25">
      <c r="A7481" s="16"/>
    </row>
    <row r="7482" spans="1:1" x14ac:dyDescent="0.25">
      <c r="A7482" s="16"/>
    </row>
    <row r="7483" spans="1:1" x14ac:dyDescent="0.25">
      <c r="A7483" s="16"/>
    </row>
    <row r="7484" spans="1:1" x14ac:dyDescent="0.25">
      <c r="A7484" s="16"/>
    </row>
    <row r="7485" spans="1:1" x14ac:dyDescent="0.25">
      <c r="A7485" s="16"/>
    </row>
    <row r="7486" spans="1:1" x14ac:dyDescent="0.25">
      <c r="A7486" s="16"/>
    </row>
    <row r="7487" spans="1:1" x14ac:dyDescent="0.25">
      <c r="A7487" s="16"/>
    </row>
    <row r="7488" spans="1:1" x14ac:dyDescent="0.25">
      <c r="A7488" s="16"/>
    </row>
    <row r="7489" spans="1:1" x14ac:dyDescent="0.25">
      <c r="A7489" s="16"/>
    </row>
    <row r="7490" spans="1:1" x14ac:dyDescent="0.25">
      <c r="A7490" s="16"/>
    </row>
    <row r="7491" spans="1:1" x14ac:dyDescent="0.25">
      <c r="A7491" s="16"/>
    </row>
    <row r="7492" spans="1:1" x14ac:dyDescent="0.25">
      <c r="A7492" s="16"/>
    </row>
    <row r="7493" spans="1:1" x14ac:dyDescent="0.25">
      <c r="A7493" s="16"/>
    </row>
    <row r="7494" spans="1:1" x14ac:dyDescent="0.25">
      <c r="A7494" s="16"/>
    </row>
    <row r="7495" spans="1:1" x14ac:dyDescent="0.25">
      <c r="A7495" s="16"/>
    </row>
    <row r="7496" spans="1:1" x14ac:dyDescent="0.25">
      <c r="A7496" s="16"/>
    </row>
    <row r="7497" spans="1:1" x14ac:dyDescent="0.25">
      <c r="A7497" s="16"/>
    </row>
    <row r="7498" spans="1:1" x14ac:dyDescent="0.25">
      <c r="A7498" s="16"/>
    </row>
    <row r="7499" spans="1:1" x14ac:dyDescent="0.25">
      <c r="A7499" s="16"/>
    </row>
    <row r="7500" spans="1:1" x14ac:dyDescent="0.25">
      <c r="A7500" s="16"/>
    </row>
    <row r="7501" spans="1:1" x14ac:dyDescent="0.25">
      <c r="A7501" s="16"/>
    </row>
    <row r="7502" spans="1:1" x14ac:dyDescent="0.25">
      <c r="A7502" s="16"/>
    </row>
    <row r="7503" spans="1:1" x14ac:dyDescent="0.25">
      <c r="A7503" s="16"/>
    </row>
    <row r="7504" spans="1:1" x14ac:dyDescent="0.25">
      <c r="A7504" s="16"/>
    </row>
    <row r="7505" spans="1:1" x14ac:dyDescent="0.25">
      <c r="A7505" s="16"/>
    </row>
    <row r="7506" spans="1:1" x14ac:dyDescent="0.25">
      <c r="A7506" s="16"/>
    </row>
    <row r="7507" spans="1:1" x14ac:dyDescent="0.25">
      <c r="A7507" s="16"/>
    </row>
    <row r="7508" spans="1:1" x14ac:dyDescent="0.25">
      <c r="A7508" s="16"/>
    </row>
    <row r="7509" spans="1:1" x14ac:dyDescent="0.25">
      <c r="A7509" s="16"/>
    </row>
    <row r="7510" spans="1:1" x14ac:dyDescent="0.25">
      <c r="A7510" s="16"/>
    </row>
    <row r="7511" spans="1:1" x14ac:dyDescent="0.25">
      <c r="A7511" s="16"/>
    </row>
    <row r="7512" spans="1:1" x14ac:dyDescent="0.25">
      <c r="A7512" s="16"/>
    </row>
    <row r="7513" spans="1:1" x14ac:dyDescent="0.25">
      <c r="A7513" s="16"/>
    </row>
    <row r="7514" spans="1:1" x14ac:dyDescent="0.25">
      <c r="A7514" s="16"/>
    </row>
    <row r="7515" spans="1:1" x14ac:dyDescent="0.25">
      <c r="A7515" s="16"/>
    </row>
    <row r="7516" spans="1:1" x14ac:dyDescent="0.25">
      <c r="A7516" s="16"/>
    </row>
    <row r="7517" spans="1:1" x14ac:dyDescent="0.25">
      <c r="A7517" s="16"/>
    </row>
    <row r="7518" spans="1:1" x14ac:dyDescent="0.25">
      <c r="A7518" s="16"/>
    </row>
    <row r="7519" spans="1:1" x14ac:dyDescent="0.25">
      <c r="A7519" s="16"/>
    </row>
    <row r="7520" spans="1:1" x14ac:dyDescent="0.25">
      <c r="A7520" s="16"/>
    </row>
    <row r="7521" spans="1:1" x14ac:dyDescent="0.25">
      <c r="A7521" s="16"/>
    </row>
    <row r="7522" spans="1:1" x14ac:dyDescent="0.25">
      <c r="A7522" s="16"/>
    </row>
    <row r="7523" spans="1:1" x14ac:dyDescent="0.25">
      <c r="A7523" s="16"/>
    </row>
    <row r="7524" spans="1:1" x14ac:dyDescent="0.25">
      <c r="A7524" s="16"/>
    </row>
    <row r="7525" spans="1:1" x14ac:dyDescent="0.25">
      <c r="A7525" s="16"/>
    </row>
    <row r="7526" spans="1:1" x14ac:dyDescent="0.25">
      <c r="A7526" s="16"/>
    </row>
    <row r="7527" spans="1:1" x14ac:dyDescent="0.25">
      <c r="A7527" s="16"/>
    </row>
    <row r="7528" spans="1:1" x14ac:dyDescent="0.25">
      <c r="A7528" s="16"/>
    </row>
    <row r="7529" spans="1:1" x14ac:dyDescent="0.25">
      <c r="A7529" s="16"/>
    </row>
    <row r="7530" spans="1:1" x14ac:dyDescent="0.25">
      <c r="A7530" s="16"/>
    </row>
    <row r="7531" spans="1:1" x14ac:dyDescent="0.25">
      <c r="A7531" s="16"/>
    </row>
    <row r="7532" spans="1:1" x14ac:dyDescent="0.25">
      <c r="A7532" s="16"/>
    </row>
    <row r="7533" spans="1:1" x14ac:dyDescent="0.25">
      <c r="A7533" s="16"/>
    </row>
    <row r="7534" spans="1:1" x14ac:dyDescent="0.25">
      <c r="A7534" s="16"/>
    </row>
    <row r="7535" spans="1:1" x14ac:dyDescent="0.25">
      <c r="A7535" s="16"/>
    </row>
    <row r="7536" spans="1:1" x14ac:dyDescent="0.25">
      <c r="A7536" s="16"/>
    </row>
    <row r="7537" spans="1:1" x14ac:dyDescent="0.25">
      <c r="A7537" s="16"/>
    </row>
    <row r="7538" spans="1:1" x14ac:dyDescent="0.25">
      <c r="A7538" s="16"/>
    </row>
    <row r="7539" spans="1:1" x14ac:dyDescent="0.25">
      <c r="A7539" s="16"/>
    </row>
    <row r="7540" spans="1:1" x14ac:dyDescent="0.25">
      <c r="A7540" s="16"/>
    </row>
    <row r="7541" spans="1:1" x14ac:dyDescent="0.25">
      <c r="A7541" s="16"/>
    </row>
    <row r="7542" spans="1:1" x14ac:dyDescent="0.25">
      <c r="A7542" s="16"/>
    </row>
    <row r="7543" spans="1:1" x14ac:dyDescent="0.25">
      <c r="A7543" s="16"/>
    </row>
    <row r="7544" spans="1:1" x14ac:dyDescent="0.25">
      <c r="A7544" s="16"/>
    </row>
    <row r="7545" spans="1:1" x14ac:dyDescent="0.25">
      <c r="A7545" s="16"/>
    </row>
    <row r="7546" spans="1:1" x14ac:dyDescent="0.25">
      <c r="A7546" s="16"/>
    </row>
    <row r="7547" spans="1:1" x14ac:dyDescent="0.25">
      <c r="A7547" s="16"/>
    </row>
    <row r="7548" spans="1:1" x14ac:dyDescent="0.25">
      <c r="A7548" s="16"/>
    </row>
    <row r="7549" spans="1:1" x14ac:dyDescent="0.25">
      <c r="A7549" s="16"/>
    </row>
    <row r="7550" spans="1:1" x14ac:dyDescent="0.25">
      <c r="A7550" s="16"/>
    </row>
    <row r="7551" spans="1:1" x14ac:dyDescent="0.25">
      <c r="A7551" s="16"/>
    </row>
    <row r="7552" spans="1:1" x14ac:dyDescent="0.25">
      <c r="A7552" s="16"/>
    </row>
    <row r="7553" spans="1:1" x14ac:dyDescent="0.25">
      <c r="A7553" s="16"/>
    </row>
    <row r="7554" spans="1:1" x14ac:dyDescent="0.25">
      <c r="A7554" s="16"/>
    </row>
    <row r="7555" spans="1:1" x14ac:dyDescent="0.25">
      <c r="A7555" s="16"/>
    </row>
    <row r="7556" spans="1:1" x14ac:dyDescent="0.25">
      <c r="A7556" s="16"/>
    </row>
    <row r="7557" spans="1:1" x14ac:dyDescent="0.25">
      <c r="A7557" s="16"/>
    </row>
    <row r="7558" spans="1:1" x14ac:dyDescent="0.25">
      <c r="A7558" s="16"/>
    </row>
    <row r="7559" spans="1:1" x14ac:dyDescent="0.25">
      <c r="A7559" s="16"/>
    </row>
    <row r="7560" spans="1:1" x14ac:dyDescent="0.25">
      <c r="A7560" s="16"/>
    </row>
    <row r="7561" spans="1:1" x14ac:dyDescent="0.25">
      <c r="A7561" s="16"/>
    </row>
    <row r="7562" spans="1:1" x14ac:dyDescent="0.25">
      <c r="A7562" s="16"/>
    </row>
    <row r="7563" spans="1:1" x14ac:dyDescent="0.25">
      <c r="A7563" s="16"/>
    </row>
    <row r="7564" spans="1:1" x14ac:dyDescent="0.25">
      <c r="A7564" s="16"/>
    </row>
    <row r="7565" spans="1:1" x14ac:dyDescent="0.25">
      <c r="A7565" s="16"/>
    </row>
    <row r="7566" spans="1:1" x14ac:dyDescent="0.25">
      <c r="A7566" s="16"/>
    </row>
    <row r="7567" spans="1:1" x14ac:dyDescent="0.25">
      <c r="A7567" s="16"/>
    </row>
    <row r="7568" spans="1:1" x14ac:dyDescent="0.25">
      <c r="A7568" s="16"/>
    </row>
    <row r="7569" spans="1:1" x14ac:dyDescent="0.25">
      <c r="A7569" s="16"/>
    </row>
    <row r="7570" spans="1:1" x14ac:dyDescent="0.25">
      <c r="A7570" s="16"/>
    </row>
    <row r="7571" spans="1:1" x14ac:dyDescent="0.25">
      <c r="A7571" s="16"/>
    </row>
    <row r="7572" spans="1:1" x14ac:dyDescent="0.25">
      <c r="A7572" s="16"/>
    </row>
    <row r="7573" spans="1:1" x14ac:dyDescent="0.25">
      <c r="A7573" s="16"/>
    </row>
    <row r="7574" spans="1:1" x14ac:dyDescent="0.25">
      <c r="A7574" s="16"/>
    </row>
    <row r="7575" spans="1:1" x14ac:dyDescent="0.25">
      <c r="A7575" s="16"/>
    </row>
    <row r="7576" spans="1:1" x14ac:dyDescent="0.25">
      <c r="A7576" s="16"/>
    </row>
    <row r="7577" spans="1:1" x14ac:dyDescent="0.25">
      <c r="A7577" s="16"/>
    </row>
    <row r="7578" spans="1:1" x14ac:dyDescent="0.25">
      <c r="A7578" s="16"/>
    </row>
    <row r="7579" spans="1:1" x14ac:dyDescent="0.25">
      <c r="A7579" s="16"/>
    </row>
    <row r="7580" spans="1:1" x14ac:dyDescent="0.25">
      <c r="A7580" s="16"/>
    </row>
    <row r="7581" spans="1:1" x14ac:dyDescent="0.25">
      <c r="A7581" s="16"/>
    </row>
    <row r="7582" spans="1:1" x14ac:dyDescent="0.25">
      <c r="A7582" s="16"/>
    </row>
    <row r="7583" spans="1:1" x14ac:dyDescent="0.25">
      <c r="A7583" s="16"/>
    </row>
    <row r="7584" spans="1:1" x14ac:dyDescent="0.25">
      <c r="A7584" s="16"/>
    </row>
    <row r="7585" spans="1:1" x14ac:dyDescent="0.25">
      <c r="A7585" s="16"/>
    </row>
    <row r="7586" spans="1:1" x14ac:dyDescent="0.25">
      <c r="A7586" s="16"/>
    </row>
    <row r="7587" spans="1:1" x14ac:dyDescent="0.25">
      <c r="A7587" s="16"/>
    </row>
    <row r="7588" spans="1:1" x14ac:dyDescent="0.25">
      <c r="A7588" s="16"/>
    </row>
    <row r="7589" spans="1:1" x14ac:dyDescent="0.25">
      <c r="A7589" s="16"/>
    </row>
    <row r="7590" spans="1:1" x14ac:dyDescent="0.25">
      <c r="A7590" s="16"/>
    </row>
    <row r="7591" spans="1:1" x14ac:dyDescent="0.25">
      <c r="A7591" s="16"/>
    </row>
    <row r="7592" spans="1:1" x14ac:dyDescent="0.25">
      <c r="A7592" s="16"/>
    </row>
    <row r="7593" spans="1:1" x14ac:dyDescent="0.25">
      <c r="A7593" s="16"/>
    </row>
    <row r="7594" spans="1:1" x14ac:dyDescent="0.25">
      <c r="A7594" s="16"/>
    </row>
    <row r="7595" spans="1:1" x14ac:dyDescent="0.25">
      <c r="A7595" s="16"/>
    </row>
    <row r="7596" spans="1:1" x14ac:dyDescent="0.25">
      <c r="A7596" s="16"/>
    </row>
    <row r="7597" spans="1:1" x14ac:dyDescent="0.25">
      <c r="A7597" s="16"/>
    </row>
    <row r="7598" spans="1:1" x14ac:dyDescent="0.25">
      <c r="A7598" s="16"/>
    </row>
    <row r="7599" spans="1:1" x14ac:dyDescent="0.25">
      <c r="A7599" s="16"/>
    </row>
    <row r="7600" spans="1:1" x14ac:dyDescent="0.25">
      <c r="A7600" s="16"/>
    </row>
    <row r="7601" spans="1:1" x14ac:dyDescent="0.25">
      <c r="A7601" s="16"/>
    </row>
    <row r="7602" spans="1:1" x14ac:dyDescent="0.25">
      <c r="A7602" s="16"/>
    </row>
    <row r="7603" spans="1:1" x14ac:dyDescent="0.25">
      <c r="A7603" s="16"/>
    </row>
    <row r="7604" spans="1:1" x14ac:dyDescent="0.25">
      <c r="A7604" s="16"/>
    </row>
    <row r="7605" spans="1:1" x14ac:dyDescent="0.25">
      <c r="A7605" s="16"/>
    </row>
    <row r="7606" spans="1:1" x14ac:dyDescent="0.25">
      <c r="A7606" s="16"/>
    </row>
    <row r="7607" spans="1:1" x14ac:dyDescent="0.25">
      <c r="A7607" s="16"/>
    </row>
    <row r="7608" spans="1:1" x14ac:dyDescent="0.25">
      <c r="A7608" s="16"/>
    </row>
    <row r="7609" spans="1:1" x14ac:dyDescent="0.25">
      <c r="A7609" s="16"/>
    </row>
    <row r="7610" spans="1:1" x14ac:dyDescent="0.25">
      <c r="A7610" s="16"/>
    </row>
    <row r="7611" spans="1:1" x14ac:dyDescent="0.25">
      <c r="A7611" s="16"/>
    </row>
    <row r="7612" spans="1:1" x14ac:dyDescent="0.25">
      <c r="A7612" s="16"/>
    </row>
    <row r="7613" spans="1:1" x14ac:dyDescent="0.25">
      <c r="A7613" s="16"/>
    </row>
    <row r="7614" spans="1:1" x14ac:dyDescent="0.25">
      <c r="A7614" s="16"/>
    </row>
    <row r="7615" spans="1:1" x14ac:dyDescent="0.25">
      <c r="A7615" s="16"/>
    </row>
    <row r="7616" spans="1:1" x14ac:dyDescent="0.25">
      <c r="A7616" s="16"/>
    </row>
    <row r="7617" spans="1:1" x14ac:dyDescent="0.25">
      <c r="A7617" s="16"/>
    </row>
    <row r="7618" spans="1:1" x14ac:dyDescent="0.25">
      <c r="A7618" s="16"/>
    </row>
    <row r="7619" spans="1:1" x14ac:dyDescent="0.25">
      <c r="A7619" s="16"/>
    </row>
    <row r="7620" spans="1:1" x14ac:dyDescent="0.25">
      <c r="A7620" s="16"/>
    </row>
    <row r="7621" spans="1:1" x14ac:dyDescent="0.25">
      <c r="A7621" s="16"/>
    </row>
    <row r="7622" spans="1:1" x14ac:dyDescent="0.25">
      <c r="A7622" s="16"/>
    </row>
    <row r="7623" spans="1:1" x14ac:dyDescent="0.25">
      <c r="A7623" s="16"/>
    </row>
    <row r="7624" spans="1:1" x14ac:dyDescent="0.25">
      <c r="A7624" s="16"/>
    </row>
    <row r="7625" spans="1:1" x14ac:dyDescent="0.25">
      <c r="A7625" s="16"/>
    </row>
    <row r="7626" spans="1:1" x14ac:dyDescent="0.25">
      <c r="A7626" s="16"/>
    </row>
    <row r="7627" spans="1:1" x14ac:dyDescent="0.25">
      <c r="A7627" s="16"/>
    </row>
    <row r="7628" spans="1:1" x14ac:dyDescent="0.25">
      <c r="A7628" s="16"/>
    </row>
    <row r="7629" spans="1:1" x14ac:dyDescent="0.25">
      <c r="A7629" s="16"/>
    </row>
    <row r="7630" spans="1:1" x14ac:dyDescent="0.25">
      <c r="A7630" s="16"/>
    </row>
    <row r="7631" spans="1:1" x14ac:dyDescent="0.25">
      <c r="A7631" s="16"/>
    </row>
    <row r="7632" spans="1:1" x14ac:dyDescent="0.25">
      <c r="A7632" s="16"/>
    </row>
    <row r="7633" spans="1:1" x14ac:dyDescent="0.25">
      <c r="A7633" s="16"/>
    </row>
    <row r="7634" spans="1:1" x14ac:dyDescent="0.25">
      <c r="A7634" s="16"/>
    </row>
    <row r="7635" spans="1:1" x14ac:dyDescent="0.25">
      <c r="A7635" s="16"/>
    </row>
    <row r="7636" spans="1:1" x14ac:dyDescent="0.25">
      <c r="A7636" s="16"/>
    </row>
    <row r="7637" spans="1:1" x14ac:dyDescent="0.25">
      <c r="A7637" s="16"/>
    </row>
    <row r="7638" spans="1:1" x14ac:dyDescent="0.25">
      <c r="A7638" s="16"/>
    </row>
    <row r="7639" spans="1:1" x14ac:dyDescent="0.25">
      <c r="A7639" s="16"/>
    </row>
    <row r="7640" spans="1:1" x14ac:dyDescent="0.25">
      <c r="A7640" s="16"/>
    </row>
    <row r="7641" spans="1:1" x14ac:dyDescent="0.25">
      <c r="A7641" s="16"/>
    </row>
    <row r="7642" spans="1:1" x14ac:dyDescent="0.25">
      <c r="A7642" s="16"/>
    </row>
    <row r="7643" spans="1:1" x14ac:dyDescent="0.25">
      <c r="A7643" s="16"/>
    </row>
    <row r="7644" spans="1:1" x14ac:dyDescent="0.25">
      <c r="A7644" s="16"/>
    </row>
    <row r="7645" spans="1:1" x14ac:dyDescent="0.25">
      <c r="A7645" s="16"/>
    </row>
    <row r="7646" spans="1:1" x14ac:dyDescent="0.25">
      <c r="A7646" s="16"/>
    </row>
    <row r="7647" spans="1:1" x14ac:dyDescent="0.25">
      <c r="A7647" s="16"/>
    </row>
    <row r="7648" spans="1:1" x14ac:dyDescent="0.25">
      <c r="A7648" s="16"/>
    </row>
    <row r="7649" spans="1:1" x14ac:dyDescent="0.25">
      <c r="A7649" s="16"/>
    </row>
    <row r="7650" spans="1:1" x14ac:dyDescent="0.25">
      <c r="A7650" s="16"/>
    </row>
    <row r="7651" spans="1:1" x14ac:dyDescent="0.25">
      <c r="A7651" s="16"/>
    </row>
    <row r="7652" spans="1:1" x14ac:dyDescent="0.25">
      <c r="A7652" s="16"/>
    </row>
    <row r="7653" spans="1:1" x14ac:dyDescent="0.25">
      <c r="A7653" s="16"/>
    </row>
    <row r="7654" spans="1:1" x14ac:dyDescent="0.25">
      <c r="A7654" s="16"/>
    </row>
    <row r="7655" spans="1:1" x14ac:dyDescent="0.25">
      <c r="A7655" s="16"/>
    </row>
    <row r="7656" spans="1:1" x14ac:dyDescent="0.25">
      <c r="A7656" s="16"/>
    </row>
    <row r="7657" spans="1:1" x14ac:dyDescent="0.25">
      <c r="A7657" s="16"/>
    </row>
    <row r="7658" spans="1:1" x14ac:dyDescent="0.25">
      <c r="A7658" s="16"/>
    </row>
    <row r="7659" spans="1:1" x14ac:dyDescent="0.25">
      <c r="A7659" s="16"/>
    </row>
    <row r="7660" spans="1:1" x14ac:dyDescent="0.25">
      <c r="A7660" s="16"/>
    </row>
    <row r="7661" spans="1:1" x14ac:dyDescent="0.25">
      <c r="A7661" s="16"/>
    </row>
    <row r="7662" spans="1:1" x14ac:dyDescent="0.25">
      <c r="A7662" s="16"/>
    </row>
    <row r="7663" spans="1:1" x14ac:dyDescent="0.25">
      <c r="A7663" s="16"/>
    </row>
    <row r="7664" spans="1:1" x14ac:dyDescent="0.25">
      <c r="A7664" s="16"/>
    </row>
    <row r="7665" spans="1:1" x14ac:dyDescent="0.25">
      <c r="A7665" s="16"/>
    </row>
    <row r="7666" spans="1:1" x14ac:dyDescent="0.25">
      <c r="A7666" s="16"/>
    </row>
    <row r="7667" spans="1:1" x14ac:dyDescent="0.25">
      <c r="A7667" s="16"/>
    </row>
    <row r="7668" spans="1:1" x14ac:dyDescent="0.25">
      <c r="A7668" s="16"/>
    </row>
    <row r="7669" spans="1:1" x14ac:dyDescent="0.25">
      <c r="A7669" s="16"/>
    </row>
    <row r="7670" spans="1:1" x14ac:dyDescent="0.25">
      <c r="A7670" s="16"/>
    </row>
    <row r="7671" spans="1:1" x14ac:dyDescent="0.25">
      <c r="A7671" s="16"/>
    </row>
    <row r="7672" spans="1:1" x14ac:dyDescent="0.25">
      <c r="A7672" s="16"/>
    </row>
    <row r="7673" spans="1:1" x14ac:dyDescent="0.25">
      <c r="A7673" s="16"/>
    </row>
    <row r="7674" spans="1:1" x14ac:dyDescent="0.25">
      <c r="A7674" s="16"/>
    </row>
    <row r="7675" spans="1:1" x14ac:dyDescent="0.25">
      <c r="A7675" s="16"/>
    </row>
    <row r="7676" spans="1:1" x14ac:dyDescent="0.25">
      <c r="A7676" s="16"/>
    </row>
    <row r="7677" spans="1:1" x14ac:dyDescent="0.25">
      <c r="A7677" s="16"/>
    </row>
    <row r="7678" spans="1:1" x14ac:dyDescent="0.25">
      <c r="A7678" s="16"/>
    </row>
    <row r="7679" spans="1:1" x14ac:dyDescent="0.25">
      <c r="A7679" s="16"/>
    </row>
    <row r="7680" spans="1:1" x14ac:dyDescent="0.25">
      <c r="A7680" s="16"/>
    </row>
    <row r="7681" spans="1:1" x14ac:dyDescent="0.25">
      <c r="A7681" s="16"/>
    </row>
    <row r="7682" spans="1:1" x14ac:dyDescent="0.25">
      <c r="A7682" s="16"/>
    </row>
    <row r="7683" spans="1:1" x14ac:dyDescent="0.25">
      <c r="A7683" s="16"/>
    </row>
    <row r="7684" spans="1:1" x14ac:dyDescent="0.25">
      <c r="A7684" s="16"/>
    </row>
    <row r="7685" spans="1:1" x14ac:dyDescent="0.25">
      <c r="A7685" s="16"/>
    </row>
    <row r="7686" spans="1:1" x14ac:dyDescent="0.25">
      <c r="A7686" s="16"/>
    </row>
    <row r="7687" spans="1:1" x14ac:dyDescent="0.25">
      <c r="A7687" s="16"/>
    </row>
    <row r="7688" spans="1:1" x14ac:dyDescent="0.25">
      <c r="A7688" s="16"/>
    </row>
    <row r="7689" spans="1:1" x14ac:dyDescent="0.25">
      <c r="A7689" s="16"/>
    </row>
    <row r="7690" spans="1:1" x14ac:dyDescent="0.25">
      <c r="A7690" s="16"/>
    </row>
    <row r="7691" spans="1:1" x14ac:dyDescent="0.25">
      <c r="A7691" s="16"/>
    </row>
    <row r="7692" spans="1:1" x14ac:dyDescent="0.25">
      <c r="A7692" s="16"/>
    </row>
    <row r="7693" spans="1:1" x14ac:dyDescent="0.25">
      <c r="A7693" s="16"/>
    </row>
    <row r="7694" spans="1:1" x14ac:dyDescent="0.25">
      <c r="A7694" s="16"/>
    </row>
    <row r="7695" spans="1:1" x14ac:dyDescent="0.25">
      <c r="A7695" s="16"/>
    </row>
    <row r="7696" spans="1:1" x14ac:dyDescent="0.25">
      <c r="A7696" s="16"/>
    </row>
    <row r="7697" spans="1:1" x14ac:dyDescent="0.25">
      <c r="A7697" s="16"/>
    </row>
    <row r="7698" spans="1:1" x14ac:dyDescent="0.25">
      <c r="A7698" s="16"/>
    </row>
    <row r="7699" spans="1:1" x14ac:dyDescent="0.25">
      <c r="A7699" s="16"/>
    </row>
    <row r="7700" spans="1:1" x14ac:dyDescent="0.25">
      <c r="A7700" s="16"/>
    </row>
    <row r="7701" spans="1:1" x14ac:dyDescent="0.25">
      <c r="A7701" s="16"/>
    </row>
    <row r="7702" spans="1:1" x14ac:dyDescent="0.25">
      <c r="A7702" s="16"/>
    </row>
    <row r="7703" spans="1:1" x14ac:dyDescent="0.25">
      <c r="A7703" s="16"/>
    </row>
    <row r="7704" spans="1:1" x14ac:dyDescent="0.25">
      <c r="A7704" s="16"/>
    </row>
    <row r="7705" spans="1:1" x14ac:dyDescent="0.25">
      <c r="A7705" s="16"/>
    </row>
    <row r="7706" spans="1:1" x14ac:dyDescent="0.25">
      <c r="A7706" s="16"/>
    </row>
    <row r="7707" spans="1:1" x14ac:dyDescent="0.25">
      <c r="A7707" s="16"/>
    </row>
    <row r="7708" spans="1:1" x14ac:dyDescent="0.25">
      <c r="A7708" s="16"/>
    </row>
    <row r="7709" spans="1:1" x14ac:dyDescent="0.25">
      <c r="A7709" s="16"/>
    </row>
    <row r="7710" spans="1:1" x14ac:dyDescent="0.25">
      <c r="A7710" s="16"/>
    </row>
    <row r="7711" spans="1:1" x14ac:dyDescent="0.25">
      <c r="A7711" s="16"/>
    </row>
    <row r="7712" spans="1:1" x14ac:dyDescent="0.25">
      <c r="A7712" s="16"/>
    </row>
    <row r="7713" spans="1:1" x14ac:dyDescent="0.25">
      <c r="A7713" s="16"/>
    </row>
    <row r="7714" spans="1:1" x14ac:dyDescent="0.25">
      <c r="A7714" s="16"/>
    </row>
    <row r="7715" spans="1:1" x14ac:dyDescent="0.25">
      <c r="A7715" s="16"/>
    </row>
    <row r="7716" spans="1:1" x14ac:dyDescent="0.25">
      <c r="A7716" s="16"/>
    </row>
    <row r="7717" spans="1:1" x14ac:dyDescent="0.25">
      <c r="A7717" s="16"/>
    </row>
    <row r="7718" spans="1:1" x14ac:dyDescent="0.25">
      <c r="A7718" s="16"/>
    </row>
    <row r="7719" spans="1:1" x14ac:dyDescent="0.25">
      <c r="A7719" s="16"/>
    </row>
    <row r="7720" spans="1:1" x14ac:dyDescent="0.25">
      <c r="A7720" s="16"/>
    </row>
    <row r="7721" spans="1:1" x14ac:dyDescent="0.25">
      <c r="A7721" s="16"/>
    </row>
    <row r="7722" spans="1:1" x14ac:dyDescent="0.25">
      <c r="A7722" s="16"/>
    </row>
    <row r="7723" spans="1:1" x14ac:dyDescent="0.25">
      <c r="A7723" s="16"/>
    </row>
    <row r="7724" spans="1:1" x14ac:dyDescent="0.25">
      <c r="A7724" s="16"/>
    </row>
    <row r="7725" spans="1:1" x14ac:dyDescent="0.25">
      <c r="A7725" s="16"/>
    </row>
    <row r="7726" spans="1:1" x14ac:dyDescent="0.25">
      <c r="A7726" s="16"/>
    </row>
    <row r="7727" spans="1:1" x14ac:dyDescent="0.25">
      <c r="A7727" s="16"/>
    </row>
    <row r="7728" spans="1:1" x14ac:dyDescent="0.25">
      <c r="A7728" s="16"/>
    </row>
    <row r="7729" spans="1:1" x14ac:dyDescent="0.25">
      <c r="A7729" s="16"/>
    </row>
    <row r="7730" spans="1:1" x14ac:dyDescent="0.25">
      <c r="A7730" s="16"/>
    </row>
    <row r="7731" spans="1:1" x14ac:dyDescent="0.25">
      <c r="A7731" s="16"/>
    </row>
    <row r="7732" spans="1:1" x14ac:dyDescent="0.25">
      <c r="A7732" s="16"/>
    </row>
    <row r="7733" spans="1:1" x14ac:dyDescent="0.25">
      <c r="A7733" s="16"/>
    </row>
    <row r="7734" spans="1:1" x14ac:dyDescent="0.25">
      <c r="A7734" s="16"/>
    </row>
    <row r="7735" spans="1:1" x14ac:dyDescent="0.25">
      <c r="A7735" s="16"/>
    </row>
    <row r="7736" spans="1:1" x14ac:dyDescent="0.25">
      <c r="A7736" s="16"/>
    </row>
    <row r="7737" spans="1:1" x14ac:dyDescent="0.25">
      <c r="A7737" s="16"/>
    </row>
    <row r="7738" spans="1:1" x14ac:dyDescent="0.25">
      <c r="A7738" s="16"/>
    </row>
    <row r="7739" spans="1:1" x14ac:dyDescent="0.25">
      <c r="A7739" s="16"/>
    </row>
    <row r="7740" spans="1:1" x14ac:dyDescent="0.25">
      <c r="A7740" s="16"/>
    </row>
    <row r="7741" spans="1:1" x14ac:dyDescent="0.25">
      <c r="A7741" s="16"/>
    </row>
    <row r="7742" spans="1:1" x14ac:dyDescent="0.25">
      <c r="A7742" s="16"/>
    </row>
    <row r="7743" spans="1:1" x14ac:dyDescent="0.25">
      <c r="A7743" s="16"/>
    </row>
    <row r="7744" spans="1:1" x14ac:dyDescent="0.25">
      <c r="A7744" s="16"/>
    </row>
    <row r="7745" spans="1:1" x14ac:dyDescent="0.25">
      <c r="A7745" s="16"/>
    </row>
    <row r="7746" spans="1:1" x14ac:dyDescent="0.25">
      <c r="A7746" s="16"/>
    </row>
    <row r="7747" spans="1:1" x14ac:dyDescent="0.25">
      <c r="A7747" s="16"/>
    </row>
    <row r="7748" spans="1:1" x14ac:dyDescent="0.25">
      <c r="A7748" s="16"/>
    </row>
    <row r="7749" spans="1:1" x14ac:dyDescent="0.25">
      <c r="A7749" s="16"/>
    </row>
    <row r="7750" spans="1:1" x14ac:dyDescent="0.25">
      <c r="A7750" s="16"/>
    </row>
    <row r="7751" spans="1:1" x14ac:dyDescent="0.25">
      <c r="A7751" s="16"/>
    </row>
    <row r="7752" spans="1:1" x14ac:dyDescent="0.25">
      <c r="A7752" s="16"/>
    </row>
    <row r="7753" spans="1:1" x14ac:dyDescent="0.25">
      <c r="A7753" s="16"/>
    </row>
    <row r="7754" spans="1:1" x14ac:dyDescent="0.25">
      <c r="A7754" s="16"/>
    </row>
    <row r="7755" spans="1:1" x14ac:dyDescent="0.25">
      <c r="A7755" s="16"/>
    </row>
    <row r="7756" spans="1:1" x14ac:dyDescent="0.25">
      <c r="A7756" s="16"/>
    </row>
    <row r="7757" spans="1:1" x14ac:dyDescent="0.25">
      <c r="A7757" s="16"/>
    </row>
    <row r="7758" spans="1:1" x14ac:dyDescent="0.25">
      <c r="A7758" s="16"/>
    </row>
    <row r="7759" spans="1:1" x14ac:dyDescent="0.25">
      <c r="A7759" s="16"/>
    </row>
    <row r="7760" spans="1:1" x14ac:dyDescent="0.25">
      <c r="A7760" s="16"/>
    </row>
    <row r="7761" spans="1:1" x14ac:dyDescent="0.25">
      <c r="A7761" s="16"/>
    </row>
    <row r="7762" spans="1:1" x14ac:dyDescent="0.25">
      <c r="A7762" s="16"/>
    </row>
    <row r="7763" spans="1:1" x14ac:dyDescent="0.25">
      <c r="A7763" s="16"/>
    </row>
    <row r="7764" spans="1:1" x14ac:dyDescent="0.25">
      <c r="A7764" s="16"/>
    </row>
    <row r="7765" spans="1:1" x14ac:dyDescent="0.25">
      <c r="A7765" s="16"/>
    </row>
    <row r="7766" spans="1:1" x14ac:dyDescent="0.25">
      <c r="A7766" s="16"/>
    </row>
    <row r="7767" spans="1:1" x14ac:dyDescent="0.25">
      <c r="A7767" s="16"/>
    </row>
    <row r="7768" spans="1:1" x14ac:dyDescent="0.25">
      <c r="A7768" s="16"/>
    </row>
    <row r="7769" spans="1:1" x14ac:dyDescent="0.25">
      <c r="A7769" s="16"/>
    </row>
    <row r="7770" spans="1:1" x14ac:dyDescent="0.25">
      <c r="A7770" s="16"/>
    </row>
    <row r="7771" spans="1:1" x14ac:dyDescent="0.25">
      <c r="A7771" s="16"/>
    </row>
    <row r="7772" spans="1:1" x14ac:dyDescent="0.25">
      <c r="A7772" s="16"/>
    </row>
    <row r="7773" spans="1:1" x14ac:dyDescent="0.25">
      <c r="A7773" s="16"/>
    </row>
    <row r="7774" spans="1:1" x14ac:dyDescent="0.25">
      <c r="A7774" s="16"/>
    </row>
    <row r="7775" spans="1:1" x14ac:dyDescent="0.25">
      <c r="A7775" s="16"/>
    </row>
    <row r="7776" spans="1:1" x14ac:dyDescent="0.25">
      <c r="A7776" s="16"/>
    </row>
    <row r="7777" spans="1:1" x14ac:dyDescent="0.25">
      <c r="A7777" s="16"/>
    </row>
    <row r="7778" spans="1:1" x14ac:dyDescent="0.25">
      <c r="A7778" s="16"/>
    </row>
    <row r="7779" spans="1:1" x14ac:dyDescent="0.25">
      <c r="A7779" s="16"/>
    </row>
    <row r="7780" spans="1:1" x14ac:dyDescent="0.25">
      <c r="A7780" s="16"/>
    </row>
    <row r="7781" spans="1:1" x14ac:dyDescent="0.25">
      <c r="A7781" s="16"/>
    </row>
    <row r="7782" spans="1:1" x14ac:dyDescent="0.25">
      <c r="A7782" s="16"/>
    </row>
    <row r="7783" spans="1:1" x14ac:dyDescent="0.25">
      <c r="A7783" s="16"/>
    </row>
    <row r="7784" spans="1:1" x14ac:dyDescent="0.25">
      <c r="A7784" s="16"/>
    </row>
    <row r="7785" spans="1:1" x14ac:dyDescent="0.25">
      <c r="A7785" s="16"/>
    </row>
    <row r="7786" spans="1:1" x14ac:dyDescent="0.25">
      <c r="A7786" s="16"/>
    </row>
    <row r="7787" spans="1:1" x14ac:dyDescent="0.25">
      <c r="A7787" s="16"/>
    </row>
    <row r="7788" spans="1:1" x14ac:dyDescent="0.25">
      <c r="A7788" s="16"/>
    </row>
    <row r="7789" spans="1:1" x14ac:dyDescent="0.25">
      <c r="A7789" s="16"/>
    </row>
    <row r="7790" spans="1:1" x14ac:dyDescent="0.25">
      <c r="A7790" s="16"/>
    </row>
    <row r="7791" spans="1:1" x14ac:dyDescent="0.25">
      <c r="A7791" s="16"/>
    </row>
    <row r="7792" spans="1:1" x14ac:dyDescent="0.25">
      <c r="A7792" s="16"/>
    </row>
    <row r="7793" spans="1:1" x14ac:dyDescent="0.25">
      <c r="A7793" s="16"/>
    </row>
    <row r="7794" spans="1:1" x14ac:dyDescent="0.25">
      <c r="A7794" s="16"/>
    </row>
    <row r="7795" spans="1:1" x14ac:dyDescent="0.25">
      <c r="A7795" s="16"/>
    </row>
    <row r="7796" spans="1:1" x14ac:dyDescent="0.25">
      <c r="A7796" s="16"/>
    </row>
    <row r="7797" spans="1:1" x14ac:dyDescent="0.25">
      <c r="A7797" s="16"/>
    </row>
    <row r="7798" spans="1:1" x14ac:dyDescent="0.25">
      <c r="A7798" s="16"/>
    </row>
    <row r="7799" spans="1:1" x14ac:dyDescent="0.25">
      <c r="A7799" s="16"/>
    </row>
    <row r="7800" spans="1:1" x14ac:dyDescent="0.25">
      <c r="A7800" s="16"/>
    </row>
    <row r="7801" spans="1:1" x14ac:dyDescent="0.25">
      <c r="A7801" s="16"/>
    </row>
    <row r="7802" spans="1:1" x14ac:dyDescent="0.25">
      <c r="A7802" s="16"/>
    </row>
    <row r="7803" spans="1:1" x14ac:dyDescent="0.25">
      <c r="A7803" s="16"/>
    </row>
    <row r="7804" spans="1:1" x14ac:dyDescent="0.25">
      <c r="A7804" s="16"/>
    </row>
    <row r="7805" spans="1:1" x14ac:dyDescent="0.25">
      <c r="A7805" s="16"/>
    </row>
    <row r="7806" spans="1:1" x14ac:dyDescent="0.25">
      <c r="A7806" s="16"/>
    </row>
    <row r="7807" spans="1:1" x14ac:dyDescent="0.25">
      <c r="A7807" s="16"/>
    </row>
    <row r="7808" spans="1:1" x14ac:dyDescent="0.25">
      <c r="A7808" s="16"/>
    </row>
    <row r="7809" spans="1:1" x14ac:dyDescent="0.25">
      <c r="A7809" s="16"/>
    </row>
    <row r="7810" spans="1:1" x14ac:dyDescent="0.25">
      <c r="A7810" s="16"/>
    </row>
    <row r="7811" spans="1:1" x14ac:dyDescent="0.25">
      <c r="A7811" s="16"/>
    </row>
    <row r="7812" spans="1:1" x14ac:dyDescent="0.25">
      <c r="A7812" s="16"/>
    </row>
    <row r="7813" spans="1:1" x14ac:dyDescent="0.25">
      <c r="A7813" s="16"/>
    </row>
    <row r="7814" spans="1:1" x14ac:dyDescent="0.25">
      <c r="A7814" s="16"/>
    </row>
    <row r="7815" spans="1:1" x14ac:dyDescent="0.25">
      <c r="A7815" s="16"/>
    </row>
    <row r="7816" spans="1:1" x14ac:dyDescent="0.25">
      <c r="A7816" s="16"/>
    </row>
    <row r="7817" spans="1:1" x14ac:dyDescent="0.25">
      <c r="A7817" s="16"/>
    </row>
    <row r="7818" spans="1:1" x14ac:dyDescent="0.25">
      <c r="A7818" s="16"/>
    </row>
    <row r="7819" spans="1:1" x14ac:dyDescent="0.25">
      <c r="A7819" s="16"/>
    </row>
    <row r="7820" spans="1:1" x14ac:dyDescent="0.25">
      <c r="A7820" s="16"/>
    </row>
    <row r="7821" spans="1:1" x14ac:dyDescent="0.25">
      <c r="A7821" s="16"/>
    </row>
    <row r="7822" spans="1:1" x14ac:dyDescent="0.25">
      <c r="A7822" s="16"/>
    </row>
    <row r="7823" spans="1:1" x14ac:dyDescent="0.25">
      <c r="A7823" s="16"/>
    </row>
    <row r="7824" spans="1:1" x14ac:dyDescent="0.25">
      <c r="A7824" s="16"/>
    </row>
    <row r="7825" spans="1:1" x14ac:dyDescent="0.25">
      <c r="A7825" s="16"/>
    </row>
    <row r="7826" spans="1:1" x14ac:dyDescent="0.25">
      <c r="A7826" s="16"/>
    </row>
    <row r="7827" spans="1:1" x14ac:dyDescent="0.25">
      <c r="A7827" s="16"/>
    </row>
    <row r="7828" spans="1:1" x14ac:dyDescent="0.25">
      <c r="A7828" s="16"/>
    </row>
    <row r="7829" spans="1:1" x14ac:dyDescent="0.25">
      <c r="A7829" s="16"/>
    </row>
    <row r="7830" spans="1:1" x14ac:dyDescent="0.25">
      <c r="A7830" s="16"/>
    </row>
    <row r="7831" spans="1:1" x14ac:dyDescent="0.25">
      <c r="A7831" s="16"/>
    </row>
    <row r="7832" spans="1:1" x14ac:dyDescent="0.25">
      <c r="A7832" s="16"/>
    </row>
    <row r="7833" spans="1:1" x14ac:dyDescent="0.25">
      <c r="A7833" s="16"/>
    </row>
    <row r="7834" spans="1:1" x14ac:dyDescent="0.25">
      <c r="A7834" s="16"/>
    </row>
    <row r="7835" spans="1:1" x14ac:dyDescent="0.25">
      <c r="A7835" s="16"/>
    </row>
    <row r="7836" spans="1:1" x14ac:dyDescent="0.25">
      <c r="A7836" s="16"/>
    </row>
    <row r="7837" spans="1:1" x14ac:dyDescent="0.25">
      <c r="A7837" s="16"/>
    </row>
    <row r="7838" spans="1:1" x14ac:dyDescent="0.25">
      <c r="A7838" s="16"/>
    </row>
    <row r="7839" spans="1:1" x14ac:dyDescent="0.25">
      <c r="A7839" s="16"/>
    </row>
    <row r="7840" spans="1:1" x14ac:dyDescent="0.25">
      <c r="A7840" s="16"/>
    </row>
    <row r="7841" spans="1:1" x14ac:dyDescent="0.25">
      <c r="A7841" s="16"/>
    </row>
    <row r="7842" spans="1:1" x14ac:dyDescent="0.25">
      <c r="A7842" s="16"/>
    </row>
    <row r="7843" spans="1:1" x14ac:dyDescent="0.25">
      <c r="A7843" s="16"/>
    </row>
    <row r="7844" spans="1:1" x14ac:dyDescent="0.25">
      <c r="A7844" s="16"/>
    </row>
    <row r="7845" spans="1:1" x14ac:dyDescent="0.25">
      <c r="A7845" s="16"/>
    </row>
    <row r="7846" spans="1:1" x14ac:dyDescent="0.25">
      <c r="A7846" s="16"/>
    </row>
    <row r="7847" spans="1:1" x14ac:dyDescent="0.25">
      <c r="A7847" s="16"/>
    </row>
    <row r="7848" spans="1:1" x14ac:dyDescent="0.25">
      <c r="A7848" s="16"/>
    </row>
    <row r="7849" spans="1:1" x14ac:dyDescent="0.25">
      <c r="A7849" s="16"/>
    </row>
    <row r="7850" spans="1:1" x14ac:dyDescent="0.25">
      <c r="A7850" s="16"/>
    </row>
    <row r="7851" spans="1:1" x14ac:dyDescent="0.25">
      <c r="A7851" s="16"/>
    </row>
    <row r="7852" spans="1:1" x14ac:dyDescent="0.25">
      <c r="A7852" s="16"/>
    </row>
    <row r="7853" spans="1:1" x14ac:dyDescent="0.25">
      <c r="A7853" s="16"/>
    </row>
    <row r="7854" spans="1:1" x14ac:dyDescent="0.25">
      <c r="A7854" s="16"/>
    </row>
    <row r="7855" spans="1:1" x14ac:dyDescent="0.25">
      <c r="A7855" s="16"/>
    </row>
    <row r="7856" spans="1:1" x14ac:dyDescent="0.25">
      <c r="A7856" s="16"/>
    </row>
    <row r="7857" spans="1:1" x14ac:dyDescent="0.25">
      <c r="A7857" s="16"/>
    </row>
    <row r="7858" spans="1:1" x14ac:dyDescent="0.25">
      <c r="A7858" s="16"/>
    </row>
    <row r="7859" spans="1:1" x14ac:dyDescent="0.25">
      <c r="A7859" s="16"/>
    </row>
    <row r="7860" spans="1:1" x14ac:dyDescent="0.25">
      <c r="A7860" s="16"/>
    </row>
    <row r="7861" spans="1:1" x14ac:dyDescent="0.25">
      <c r="A7861" s="16"/>
    </row>
    <row r="7862" spans="1:1" x14ac:dyDescent="0.25">
      <c r="A7862" s="16"/>
    </row>
    <row r="7863" spans="1:1" x14ac:dyDescent="0.25">
      <c r="A7863" s="16"/>
    </row>
    <row r="7864" spans="1:1" x14ac:dyDescent="0.25">
      <c r="A7864" s="16"/>
    </row>
    <row r="7865" spans="1:1" x14ac:dyDescent="0.25">
      <c r="A7865" s="16"/>
    </row>
    <row r="7866" spans="1:1" x14ac:dyDescent="0.25">
      <c r="A7866" s="16"/>
    </row>
    <row r="7867" spans="1:1" x14ac:dyDescent="0.25">
      <c r="A7867" s="16"/>
    </row>
    <row r="7868" spans="1:1" x14ac:dyDescent="0.25">
      <c r="A7868" s="16"/>
    </row>
    <row r="7869" spans="1:1" x14ac:dyDescent="0.25">
      <c r="A7869" s="16"/>
    </row>
    <row r="7870" spans="1:1" x14ac:dyDescent="0.25">
      <c r="A7870" s="16"/>
    </row>
    <row r="7871" spans="1:1" x14ac:dyDescent="0.25">
      <c r="A7871" s="16"/>
    </row>
    <row r="7872" spans="1:1" x14ac:dyDescent="0.25">
      <c r="A7872" s="16"/>
    </row>
    <row r="7873" spans="1:1" x14ac:dyDescent="0.25">
      <c r="A7873" s="16"/>
    </row>
    <row r="7874" spans="1:1" x14ac:dyDescent="0.25">
      <c r="A7874" s="16"/>
    </row>
    <row r="7875" spans="1:1" x14ac:dyDescent="0.25">
      <c r="A7875" s="16"/>
    </row>
    <row r="7876" spans="1:1" x14ac:dyDescent="0.25">
      <c r="A7876" s="16"/>
    </row>
    <row r="7877" spans="1:1" x14ac:dyDescent="0.25">
      <c r="A7877" s="16"/>
    </row>
    <row r="7878" spans="1:1" x14ac:dyDescent="0.25">
      <c r="A7878" s="16"/>
    </row>
    <row r="7879" spans="1:1" x14ac:dyDescent="0.25">
      <c r="A7879" s="16"/>
    </row>
    <row r="7880" spans="1:1" x14ac:dyDescent="0.25">
      <c r="A7880" s="16"/>
    </row>
    <row r="7881" spans="1:1" x14ac:dyDescent="0.25">
      <c r="A7881" s="16"/>
    </row>
    <row r="7882" spans="1:1" x14ac:dyDescent="0.25">
      <c r="A7882" s="16"/>
    </row>
    <row r="7883" spans="1:1" x14ac:dyDescent="0.25">
      <c r="A7883" s="16"/>
    </row>
    <row r="7884" spans="1:1" x14ac:dyDescent="0.25">
      <c r="A7884" s="16"/>
    </row>
    <row r="7885" spans="1:1" x14ac:dyDescent="0.25">
      <c r="A7885" s="16"/>
    </row>
    <row r="7886" spans="1:1" x14ac:dyDescent="0.25">
      <c r="A7886" s="16"/>
    </row>
    <row r="7887" spans="1:1" x14ac:dyDescent="0.25">
      <c r="A7887" s="16"/>
    </row>
    <row r="7888" spans="1:1" x14ac:dyDescent="0.25">
      <c r="A7888" s="16"/>
    </row>
    <row r="7889" spans="1:1" x14ac:dyDescent="0.25">
      <c r="A7889" s="16"/>
    </row>
    <row r="7890" spans="1:1" x14ac:dyDescent="0.25">
      <c r="A7890" s="16"/>
    </row>
    <row r="7891" spans="1:1" x14ac:dyDescent="0.25">
      <c r="A7891" s="16"/>
    </row>
    <row r="7892" spans="1:1" x14ac:dyDescent="0.25">
      <c r="A7892" s="16"/>
    </row>
    <row r="7893" spans="1:1" x14ac:dyDescent="0.25">
      <c r="A7893" s="16"/>
    </row>
    <row r="7894" spans="1:1" x14ac:dyDescent="0.25">
      <c r="A7894" s="16"/>
    </row>
    <row r="7895" spans="1:1" x14ac:dyDescent="0.25">
      <c r="A7895" s="16"/>
    </row>
    <row r="7896" spans="1:1" x14ac:dyDescent="0.25">
      <c r="A7896" s="16"/>
    </row>
    <row r="7897" spans="1:1" x14ac:dyDescent="0.25">
      <c r="A7897" s="16"/>
    </row>
    <row r="7898" spans="1:1" x14ac:dyDescent="0.25">
      <c r="A7898" s="16"/>
    </row>
    <row r="7899" spans="1:1" x14ac:dyDescent="0.25">
      <c r="A7899" s="16"/>
    </row>
    <row r="7900" spans="1:1" x14ac:dyDescent="0.25">
      <c r="A7900" s="16"/>
    </row>
    <row r="7901" spans="1:1" x14ac:dyDescent="0.25">
      <c r="A7901" s="16"/>
    </row>
    <row r="7902" spans="1:1" x14ac:dyDescent="0.25">
      <c r="A7902" s="16"/>
    </row>
    <row r="7903" spans="1:1" x14ac:dyDescent="0.25">
      <c r="A7903" s="16"/>
    </row>
    <row r="7904" spans="1:1" x14ac:dyDescent="0.25">
      <c r="A7904" s="16"/>
    </row>
    <row r="7905" spans="1:1" x14ac:dyDescent="0.25">
      <c r="A7905" s="16"/>
    </row>
    <row r="7906" spans="1:1" x14ac:dyDescent="0.25">
      <c r="A7906" s="16"/>
    </row>
    <row r="7907" spans="1:1" x14ac:dyDescent="0.25">
      <c r="A7907" s="16"/>
    </row>
    <row r="7908" spans="1:1" x14ac:dyDescent="0.25">
      <c r="A7908" s="16"/>
    </row>
    <row r="7909" spans="1:1" x14ac:dyDescent="0.25">
      <c r="A7909" s="16"/>
    </row>
    <row r="7910" spans="1:1" x14ac:dyDescent="0.25">
      <c r="A7910" s="16"/>
    </row>
    <row r="7911" spans="1:1" x14ac:dyDescent="0.25">
      <c r="A7911" s="16"/>
    </row>
    <row r="7912" spans="1:1" x14ac:dyDescent="0.25">
      <c r="A7912" s="16"/>
    </row>
    <row r="7913" spans="1:1" x14ac:dyDescent="0.25">
      <c r="A7913" s="16"/>
    </row>
    <row r="7914" spans="1:1" x14ac:dyDescent="0.25">
      <c r="A7914" s="16"/>
    </row>
    <row r="7915" spans="1:1" x14ac:dyDescent="0.25">
      <c r="A7915" s="16"/>
    </row>
    <row r="7916" spans="1:1" x14ac:dyDescent="0.25">
      <c r="A7916" s="16"/>
    </row>
    <row r="7917" spans="1:1" x14ac:dyDescent="0.25">
      <c r="A7917" s="16"/>
    </row>
    <row r="7918" spans="1:1" x14ac:dyDescent="0.25">
      <c r="A7918" s="16"/>
    </row>
    <row r="7919" spans="1:1" x14ac:dyDescent="0.25">
      <c r="A7919" s="16"/>
    </row>
    <row r="7920" spans="1:1" x14ac:dyDescent="0.25">
      <c r="A7920" s="16"/>
    </row>
    <row r="7921" spans="1:1" x14ac:dyDescent="0.25">
      <c r="A7921" s="16"/>
    </row>
    <row r="7922" spans="1:1" x14ac:dyDescent="0.25">
      <c r="A7922" s="16"/>
    </row>
    <row r="7923" spans="1:1" x14ac:dyDescent="0.25">
      <c r="A7923" s="16"/>
    </row>
    <row r="7924" spans="1:1" x14ac:dyDescent="0.25">
      <c r="A7924" s="16"/>
    </row>
    <row r="7925" spans="1:1" x14ac:dyDescent="0.25">
      <c r="A7925" s="16"/>
    </row>
    <row r="7926" spans="1:1" x14ac:dyDescent="0.25">
      <c r="A7926" s="16"/>
    </row>
    <row r="7927" spans="1:1" x14ac:dyDescent="0.25">
      <c r="A7927" s="16"/>
    </row>
    <row r="7928" spans="1:1" x14ac:dyDescent="0.25">
      <c r="A7928" s="16"/>
    </row>
    <row r="7929" spans="1:1" x14ac:dyDescent="0.25">
      <c r="A7929" s="16"/>
    </row>
    <row r="7930" spans="1:1" x14ac:dyDescent="0.25">
      <c r="A7930" s="16"/>
    </row>
    <row r="7931" spans="1:1" x14ac:dyDescent="0.25">
      <c r="A7931" s="16"/>
    </row>
    <row r="7932" spans="1:1" x14ac:dyDescent="0.25">
      <c r="A7932" s="16"/>
    </row>
    <row r="7933" spans="1:1" x14ac:dyDescent="0.25">
      <c r="A7933" s="16"/>
    </row>
    <row r="7934" spans="1:1" x14ac:dyDescent="0.25">
      <c r="A7934" s="16"/>
    </row>
    <row r="7935" spans="1:1" x14ac:dyDescent="0.25">
      <c r="A7935" s="16"/>
    </row>
    <row r="7936" spans="1:1" x14ac:dyDescent="0.25">
      <c r="A7936" s="16"/>
    </row>
    <row r="7937" spans="1:1" x14ac:dyDescent="0.25">
      <c r="A7937" s="16"/>
    </row>
    <row r="7938" spans="1:1" x14ac:dyDescent="0.25">
      <c r="A7938" s="16"/>
    </row>
    <row r="7939" spans="1:1" x14ac:dyDescent="0.25">
      <c r="A7939" s="16"/>
    </row>
    <row r="7940" spans="1:1" x14ac:dyDescent="0.25">
      <c r="A7940" s="16"/>
    </row>
    <row r="7941" spans="1:1" x14ac:dyDescent="0.25">
      <c r="A7941" s="16"/>
    </row>
    <row r="7942" spans="1:1" x14ac:dyDescent="0.25">
      <c r="A7942" s="16"/>
    </row>
    <row r="7943" spans="1:1" x14ac:dyDescent="0.25">
      <c r="A7943" s="16"/>
    </row>
    <row r="7944" spans="1:1" x14ac:dyDescent="0.25">
      <c r="A7944" s="16"/>
    </row>
    <row r="7945" spans="1:1" x14ac:dyDescent="0.25">
      <c r="A7945" s="16"/>
    </row>
    <row r="7946" spans="1:1" x14ac:dyDescent="0.25">
      <c r="A7946" s="16"/>
    </row>
    <row r="7947" spans="1:1" x14ac:dyDescent="0.25">
      <c r="A7947" s="16"/>
    </row>
    <row r="7948" spans="1:1" x14ac:dyDescent="0.25">
      <c r="A7948" s="16"/>
    </row>
    <row r="7949" spans="1:1" x14ac:dyDescent="0.25">
      <c r="A7949" s="16"/>
    </row>
    <row r="7950" spans="1:1" x14ac:dyDescent="0.25">
      <c r="A7950" s="16"/>
    </row>
    <row r="7951" spans="1:1" x14ac:dyDescent="0.25">
      <c r="A7951" s="16"/>
    </row>
    <row r="7952" spans="1:1" x14ac:dyDescent="0.25">
      <c r="A7952" s="16"/>
    </row>
    <row r="7953" spans="1:1" x14ac:dyDescent="0.25">
      <c r="A7953" s="16"/>
    </row>
    <row r="7954" spans="1:1" x14ac:dyDescent="0.25">
      <c r="A7954" s="16"/>
    </row>
    <row r="7955" spans="1:1" x14ac:dyDescent="0.25">
      <c r="A7955" s="16"/>
    </row>
    <row r="7956" spans="1:1" x14ac:dyDescent="0.25">
      <c r="A7956" s="16"/>
    </row>
    <row r="7957" spans="1:1" x14ac:dyDescent="0.25">
      <c r="A7957" s="16"/>
    </row>
    <row r="7958" spans="1:1" x14ac:dyDescent="0.25">
      <c r="A7958" s="16"/>
    </row>
    <row r="7959" spans="1:1" x14ac:dyDescent="0.25">
      <c r="A7959" s="16"/>
    </row>
    <row r="7960" spans="1:1" x14ac:dyDescent="0.25">
      <c r="A7960" s="16"/>
    </row>
    <row r="7961" spans="1:1" x14ac:dyDescent="0.25">
      <c r="A7961" s="16"/>
    </row>
    <row r="7962" spans="1:1" x14ac:dyDescent="0.25">
      <c r="A7962" s="16"/>
    </row>
    <row r="7963" spans="1:1" x14ac:dyDescent="0.25">
      <c r="A7963" s="16"/>
    </row>
    <row r="7964" spans="1:1" x14ac:dyDescent="0.25">
      <c r="A7964" s="16"/>
    </row>
    <row r="7965" spans="1:1" x14ac:dyDescent="0.25">
      <c r="A7965" s="16"/>
    </row>
    <row r="7966" spans="1:1" x14ac:dyDescent="0.25">
      <c r="A7966" s="16"/>
    </row>
    <row r="7967" spans="1:1" x14ac:dyDescent="0.25">
      <c r="A7967" s="16"/>
    </row>
    <row r="7968" spans="1:1" x14ac:dyDescent="0.25">
      <c r="A7968" s="16"/>
    </row>
    <row r="7969" spans="1:1" x14ac:dyDescent="0.25">
      <c r="A7969" s="16"/>
    </row>
    <row r="7970" spans="1:1" x14ac:dyDescent="0.25">
      <c r="A7970" s="16"/>
    </row>
    <row r="7971" spans="1:1" x14ac:dyDescent="0.25">
      <c r="A7971" s="16"/>
    </row>
    <row r="7972" spans="1:1" x14ac:dyDescent="0.25">
      <c r="A7972" s="16"/>
    </row>
    <row r="7973" spans="1:1" x14ac:dyDescent="0.25">
      <c r="A7973" s="16"/>
    </row>
    <row r="7974" spans="1:1" x14ac:dyDescent="0.25">
      <c r="A7974" s="16"/>
    </row>
    <row r="7975" spans="1:1" x14ac:dyDescent="0.25">
      <c r="A7975" s="16"/>
    </row>
    <row r="7976" spans="1:1" x14ac:dyDescent="0.25">
      <c r="A7976" s="16"/>
    </row>
    <row r="7977" spans="1:1" x14ac:dyDescent="0.25">
      <c r="A7977" s="16"/>
    </row>
    <row r="7978" spans="1:1" x14ac:dyDescent="0.25">
      <c r="A7978" s="16"/>
    </row>
    <row r="7979" spans="1:1" x14ac:dyDescent="0.25">
      <c r="A7979" s="16"/>
    </row>
    <row r="7980" spans="1:1" x14ac:dyDescent="0.25">
      <c r="A7980" s="16"/>
    </row>
    <row r="7981" spans="1:1" x14ac:dyDescent="0.25">
      <c r="A7981" s="16"/>
    </row>
    <row r="7982" spans="1:1" x14ac:dyDescent="0.25">
      <c r="A7982" s="16"/>
    </row>
    <row r="7983" spans="1:1" x14ac:dyDescent="0.25">
      <c r="A7983" s="16"/>
    </row>
    <row r="7984" spans="1:1" x14ac:dyDescent="0.25">
      <c r="A7984" s="16"/>
    </row>
    <row r="7985" spans="1:1" x14ac:dyDescent="0.25">
      <c r="A7985" s="16"/>
    </row>
    <row r="7986" spans="1:1" x14ac:dyDescent="0.25">
      <c r="A7986" s="16"/>
    </row>
    <row r="7987" spans="1:1" x14ac:dyDescent="0.25">
      <c r="A7987" s="16"/>
    </row>
    <row r="7988" spans="1:1" x14ac:dyDescent="0.25">
      <c r="A7988" s="16"/>
    </row>
    <row r="7989" spans="1:1" x14ac:dyDescent="0.25">
      <c r="A7989" s="16"/>
    </row>
    <row r="7990" spans="1:1" x14ac:dyDescent="0.25">
      <c r="A7990" s="16"/>
    </row>
    <row r="7991" spans="1:1" x14ac:dyDescent="0.25">
      <c r="A7991" s="16"/>
    </row>
    <row r="7992" spans="1:1" x14ac:dyDescent="0.25">
      <c r="A7992" s="16"/>
    </row>
    <row r="7993" spans="1:1" x14ac:dyDescent="0.25">
      <c r="A7993" s="16"/>
    </row>
    <row r="7994" spans="1:1" x14ac:dyDescent="0.25">
      <c r="A7994" s="16"/>
    </row>
    <row r="7995" spans="1:1" x14ac:dyDescent="0.25">
      <c r="A7995" s="16"/>
    </row>
    <row r="7996" spans="1:1" x14ac:dyDescent="0.25">
      <c r="A7996" s="16"/>
    </row>
    <row r="7997" spans="1:1" x14ac:dyDescent="0.25">
      <c r="A7997" s="16"/>
    </row>
    <row r="7998" spans="1:1" x14ac:dyDescent="0.25">
      <c r="A7998" s="16"/>
    </row>
    <row r="7999" spans="1:1" x14ac:dyDescent="0.25">
      <c r="A7999" s="16"/>
    </row>
    <row r="8000" spans="1:1" x14ac:dyDescent="0.25">
      <c r="A8000" s="16"/>
    </row>
    <row r="8001" spans="1:1" x14ac:dyDescent="0.25">
      <c r="A8001" s="16"/>
    </row>
    <row r="8002" spans="1:1" x14ac:dyDescent="0.25">
      <c r="A8002" s="16"/>
    </row>
    <row r="8003" spans="1:1" x14ac:dyDescent="0.25">
      <c r="A8003" s="16"/>
    </row>
    <row r="8004" spans="1:1" x14ac:dyDescent="0.25">
      <c r="A8004" s="16"/>
    </row>
    <row r="8005" spans="1:1" x14ac:dyDescent="0.25">
      <c r="A8005" s="16"/>
    </row>
    <row r="8006" spans="1:1" x14ac:dyDescent="0.25">
      <c r="A8006" s="16"/>
    </row>
    <row r="8007" spans="1:1" x14ac:dyDescent="0.25">
      <c r="A8007" s="16"/>
    </row>
    <row r="8008" spans="1:1" x14ac:dyDescent="0.25">
      <c r="A8008" s="16"/>
    </row>
    <row r="8009" spans="1:1" x14ac:dyDescent="0.25">
      <c r="A8009" s="16"/>
    </row>
    <row r="8010" spans="1:1" x14ac:dyDescent="0.25">
      <c r="A8010" s="16"/>
    </row>
    <row r="8011" spans="1:1" x14ac:dyDescent="0.25">
      <c r="A8011" s="16"/>
    </row>
    <row r="8012" spans="1:1" x14ac:dyDescent="0.25">
      <c r="A8012" s="16"/>
    </row>
    <row r="8013" spans="1:1" x14ac:dyDescent="0.25">
      <c r="A8013" s="16"/>
    </row>
    <row r="8014" spans="1:1" x14ac:dyDescent="0.25">
      <c r="A8014" s="16"/>
    </row>
    <row r="8015" spans="1:1" x14ac:dyDescent="0.25">
      <c r="A8015" s="16"/>
    </row>
    <row r="8016" spans="1:1" x14ac:dyDescent="0.25">
      <c r="A8016" s="16"/>
    </row>
    <row r="8017" spans="1:1" x14ac:dyDescent="0.25">
      <c r="A8017" s="16"/>
    </row>
    <row r="8018" spans="1:1" x14ac:dyDescent="0.25">
      <c r="A8018" s="16"/>
    </row>
    <row r="8019" spans="1:1" x14ac:dyDescent="0.25">
      <c r="A8019" s="16"/>
    </row>
    <row r="8020" spans="1:1" x14ac:dyDescent="0.25">
      <c r="A8020" s="16"/>
    </row>
    <row r="8021" spans="1:1" x14ac:dyDescent="0.25">
      <c r="A8021" s="16"/>
    </row>
    <row r="8022" spans="1:1" x14ac:dyDescent="0.25">
      <c r="A8022" s="16"/>
    </row>
    <row r="8023" spans="1:1" x14ac:dyDescent="0.25">
      <c r="A8023" s="16"/>
    </row>
    <row r="8024" spans="1:1" x14ac:dyDescent="0.25">
      <c r="A8024" s="16"/>
    </row>
    <row r="8025" spans="1:1" x14ac:dyDescent="0.25">
      <c r="A8025" s="16"/>
    </row>
    <row r="8026" spans="1:1" x14ac:dyDescent="0.25">
      <c r="A8026" s="16"/>
    </row>
    <row r="8027" spans="1:1" x14ac:dyDescent="0.25">
      <c r="A8027" s="16"/>
    </row>
    <row r="8028" spans="1:1" x14ac:dyDescent="0.25">
      <c r="A8028" s="16"/>
    </row>
    <row r="8029" spans="1:1" x14ac:dyDescent="0.25">
      <c r="A8029" s="16"/>
    </row>
    <row r="8030" spans="1:1" x14ac:dyDescent="0.25">
      <c r="A8030" s="16"/>
    </row>
    <row r="8031" spans="1:1" x14ac:dyDescent="0.25">
      <c r="A8031" s="16"/>
    </row>
    <row r="8032" spans="1:1" x14ac:dyDescent="0.25">
      <c r="A8032" s="16"/>
    </row>
    <row r="8033" spans="1:1" x14ac:dyDescent="0.25">
      <c r="A8033" s="16"/>
    </row>
    <row r="8034" spans="1:1" x14ac:dyDescent="0.25">
      <c r="A8034" s="16"/>
    </row>
    <row r="8035" spans="1:1" x14ac:dyDescent="0.25">
      <c r="A8035" s="16"/>
    </row>
    <row r="8036" spans="1:1" x14ac:dyDescent="0.25">
      <c r="A8036" s="16"/>
    </row>
    <row r="8037" spans="1:1" x14ac:dyDescent="0.25">
      <c r="A8037" s="16"/>
    </row>
    <row r="8038" spans="1:1" x14ac:dyDescent="0.25">
      <c r="A8038" s="16"/>
    </row>
    <row r="8039" spans="1:1" x14ac:dyDescent="0.25">
      <c r="A8039" s="16"/>
    </row>
    <row r="8040" spans="1:1" x14ac:dyDescent="0.25">
      <c r="A8040" s="16"/>
    </row>
    <row r="8041" spans="1:1" x14ac:dyDescent="0.25">
      <c r="A8041" s="16"/>
    </row>
    <row r="8042" spans="1:1" x14ac:dyDescent="0.25">
      <c r="A8042" s="16"/>
    </row>
    <row r="8043" spans="1:1" x14ac:dyDescent="0.25">
      <c r="A8043" s="16"/>
    </row>
    <row r="8044" spans="1:1" x14ac:dyDescent="0.25">
      <c r="A8044" s="16"/>
    </row>
    <row r="8045" spans="1:1" x14ac:dyDescent="0.25">
      <c r="A8045" s="16"/>
    </row>
    <row r="8046" spans="1:1" x14ac:dyDescent="0.25">
      <c r="A8046" s="16"/>
    </row>
    <row r="8047" spans="1:1" x14ac:dyDescent="0.25">
      <c r="A8047" s="16"/>
    </row>
    <row r="8048" spans="1:1" x14ac:dyDescent="0.25">
      <c r="A8048" s="16"/>
    </row>
    <row r="8049" spans="1:1" x14ac:dyDescent="0.25">
      <c r="A8049" s="16"/>
    </row>
    <row r="8050" spans="1:1" x14ac:dyDescent="0.25">
      <c r="A8050" s="16"/>
    </row>
    <row r="8051" spans="1:1" x14ac:dyDescent="0.25">
      <c r="A8051" s="16"/>
    </row>
    <row r="8052" spans="1:1" x14ac:dyDescent="0.25">
      <c r="A8052" s="16"/>
    </row>
    <row r="8053" spans="1:1" x14ac:dyDescent="0.25">
      <c r="A8053" s="16"/>
    </row>
    <row r="8054" spans="1:1" x14ac:dyDescent="0.25">
      <c r="A8054" s="16"/>
    </row>
    <row r="8055" spans="1:1" x14ac:dyDescent="0.25">
      <c r="A8055" s="16"/>
    </row>
    <row r="8056" spans="1:1" x14ac:dyDescent="0.25">
      <c r="A8056" s="16"/>
    </row>
    <row r="8057" spans="1:1" x14ac:dyDescent="0.25">
      <c r="A8057" s="16"/>
    </row>
    <row r="8058" spans="1:1" x14ac:dyDescent="0.25">
      <c r="A8058" s="16"/>
    </row>
    <row r="8059" spans="1:1" x14ac:dyDescent="0.25">
      <c r="A8059" s="16"/>
    </row>
    <row r="8060" spans="1:1" x14ac:dyDescent="0.25">
      <c r="A8060" s="16"/>
    </row>
    <row r="8061" spans="1:1" x14ac:dyDescent="0.25">
      <c r="A8061" s="16"/>
    </row>
    <row r="8062" spans="1:1" x14ac:dyDescent="0.25">
      <c r="A8062" s="16"/>
    </row>
    <row r="8063" spans="1:1" x14ac:dyDescent="0.25">
      <c r="A8063" s="16"/>
    </row>
    <row r="8064" spans="1:1" x14ac:dyDescent="0.25">
      <c r="A8064" s="16"/>
    </row>
    <row r="8065" spans="1:1" x14ac:dyDescent="0.25">
      <c r="A8065" s="16"/>
    </row>
    <row r="8066" spans="1:1" x14ac:dyDescent="0.25">
      <c r="A8066" s="16"/>
    </row>
    <row r="8067" spans="1:1" x14ac:dyDescent="0.25">
      <c r="A8067" s="16"/>
    </row>
    <row r="8068" spans="1:1" x14ac:dyDescent="0.25">
      <c r="A8068" s="16"/>
    </row>
    <row r="8069" spans="1:1" x14ac:dyDescent="0.25">
      <c r="A8069" s="16"/>
    </row>
    <row r="8070" spans="1:1" x14ac:dyDescent="0.25">
      <c r="A8070" s="16"/>
    </row>
    <row r="8071" spans="1:1" x14ac:dyDescent="0.25">
      <c r="A8071" s="16"/>
    </row>
    <row r="8072" spans="1:1" x14ac:dyDescent="0.25">
      <c r="A8072" s="16"/>
    </row>
    <row r="8073" spans="1:1" x14ac:dyDescent="0.25">
      <c r="A8073" s="16"/>
    </row>
    <row r="8074" spans="1:1" x14ac:dyDescent="0.25">
      <c r="A8074" s="16"/>
    </row>
    <row r="8075" spans="1:1" x14ac:dyDescent="0.25">
      <c r="A8075" s="16"/>
    </row>
    <row r="8076" spans="1:1" x14ac:dyDescent="0.25">
      <c r="A8076" s="16"/>
    </row>
    <row r="8077" spans="1:1" x14ac:dyDescent="0.25">
      <c r="A8077" s="16"/>
    </row>
    <row r="8078" spans="1:1" x14ac:dyDescent="0.25">
      <c r="A8078" s="16"/>
    </row>
    <row r="8079" spans="1:1" x14ac:dyDescent="0.25">
      <c r="A8079" s="16"/>
    </row>
    <row r="8080" spans="1:1" x14ac:dyDescent="0.25">
      <c r="A8080" s="16"/>
    </row>
    <row r="8081" spans="1:1" x14ac:dyDescent="0.25">
      <c r="A8081" s="16"/>
    </row>
    <row r="8082" spans="1:1" x14ac:dyDescent="0.25">
      <c r="A8082" s="16"/>
    </row>
    <row r="8083" spans="1:1" x14ac:dyDescent="0.25">
      <c r="A8083" s="16"/>
    </row>
    <row r="8084" spans="1:1" x14ac:dyDescent="0.25">
      <c r="A8084" s="16"/>
    </row>
    <row r="8085" spans="1:1" x14ac:dyDescent="0.25">
      <c r="A8085" s="16"/>
    </row>
    <row r="8086" spans="1:1" x14ac:dyDescent="0.25">
      <c r="A8086" s="16"/>
    </row>
    <row r="8087" spans="1:1" x14ac:dyDescent="0.25">
      <c r="A8087" s="16"/>
    </row>
    <row r="8088" spans="1:1" x14ac:dyDescent="0.25">
      <c r="A8088" s="16"/>
    </row>
    <row r="8089" spans="1:1" x14ac:dyDescent="0.25">
      <c r="A8089" s="16"/>
    </row>
    <row r="8090" spans="1:1" x14ac:dyDescent="0.25">
      <c r="A8090" s="16"/>
    </row>
    <row r="8091" spans="1:1" x14ac:dyDescent="0.25">
      <c r="A8091" s="16"/>
    </row>
    <row r="8092" spans="1:1" x14ac:dyDescent="0.25">
      <c r="A8092" s="16"/>
    </row>
    <row r="8093" spans="1:1" x14ac:dyDescent="0.25">
      <c r="A8093" s="16"/>
    </row>
    <row r="8094" spans="1:1" x14ac:dyDescent="0.25">
      <c r="A8094" s="16"/>
    </row>
    <row r="8095" spans="1:1" x14ac:dyDescent="0.25">
      <c r="A8095" s="16"/>
    </row>
    <row r="8096" spans="1:1" x14ac:dyDescent="0.25">
      <c r="A8096" s="16"/>
    </row>
    <row r="8097" spans="1:1" x14ac:dyDescent="0.25">
      <c r="A8097" s="16"/>
    </row>
    <row r="8098" spans="1:1" x14ac:dyDescent="0.25">
      <c r="A8098" s="16"/>
    </row>
    <row r="8099" spans="1:1" x14ac:dyDescent="0.25">
      <c r="A8099" s="16"/>
    </row>
    <row r="8100" spans="1:1" x14ac:dyDescent="0.25">
      <c r="A8100" s="16"/>
    </row>
    <row r="8101" spans="1:1" x14ac:dyDescent="0.25">
      <c r="A8101" s="16"/>
    </row>
    <row r="8102" spans="1:1" x14ac:dyDescent="0.25">
      <c r="A8102" s="16"/>
    </row>
    <row r="8103" spans="1:1" x14ac:dyDescent="0.25">
      <c r="A8103" s="16"/>
    </row>
    <row r="8104" spans="1:1" x14ac:dyDescent="0.25">
      <c r="A8104" s="16"/>
    </row>
    <row r="8105" spans="1:1" x14ac:dyDescent="0.25">
      <c r="A8105" s="16"/>
    </row>
    <row r="8106" spans="1:1" x14ac:dyDescent="0.25">
      <c r="A8106" s="16"/>
    </row>
    <row r="8107" spans="1:1" x14ac:dyDescent="0.25">
      <c r="A8107" s="16"/>
    </row>
    <row r="8108" spans="1:1" x14ac:dyDescent="0.25">
      <c r="A8108" s="16"/>
    </row>
    <row r="8109" spans="1:1" x14ac:dyDescent="0.25">
      <c r="A8109" s="16"/>
    </row>
    <row r="8110" spans="1:1" x14ac:dyDescent="0.25">
      <c r="A8110" s="16"/>
    </row>
    <row r="8111" spans="1:1" x14ac:dyDescent="0.25">
      <c r="A8111" s="16"/>
    </row>
    <row r="8112" spans="1:1" x14ac:dyDescent="0.25">
      <c r="A8112" s="16"/>
    </row>
    <row r="8113" spans="1:1" x14ac:dyDescent="0.25">
      <c r="A8113" s="16"/>
    </row>
    <row r="8114" spans="1:1" x14ac:dyDescent="0.25">
      <c r="A8114" s="16"/>
    </row>
    <row r="8115" spans="1:1" x14ac:dyDescent="0.25">
      <c r="A8115" s="16"/>
    </row>
    <row r="8116" spans="1:1" x14ac:dyDescent="0.25">
      <c r="A8116" s="16"/>
    </row>
    <row r="8117" spans="1:1" x14ac:dyDescent="0.25">
      <c r="A8117" s="16"/>
    </row>
    <row r="8118" spans="1:1" x14ac:dyDescent="0.25">
      <c r="A8118" s="16"/>
    </row>
    <row r="8119" spans="1:1" x14ac:dyDescent="0.25">
      <c r="A8119" s="16"/>
    </row>
    <row r="8120" spans="1:1" x14ac:dyDescent="0.25">
      <c r="A8120" s="16"/>
    </row>
    <row r="8121" spans="1:1" x14ac:dyDescent="0.25">
      <c r="A8121" s="16"/>
    </row>
    <row r="8122" spans="1:1" x14ac:dyDescent="0.25">
      <c r="A8122" s="16"/>
    </row>
    <row r="8123" spans="1:1" x14ac:dyDescent="0.25">
      <c r="A8123" s="16"/>
    </row>
    <row r="8124" spans="1:1" x14ac:dyDescent="0.25">
      <c r="A8124" s="16"/>
    </row>
    <row r="8125" spans="1:1" x14ac:dyDescent="0.25">
      <c r="A8125" s="16"/>
    </row>
    <row r="8126" spans="1:1" x14ac:dyDescent="0.25">
      <c r="A8126" s="16"/>
    </row>
    <row r="8127" spans="1:1" x14ac:dyDescent="0.25">
      <c r="A8127" s="16"/>
    </row>
    <row r="8128" spans="1:1" x14ac:dyDescent="0.25">
      <c r="A8128" s="16"/>
    </row>
    <row r="8129" spans="1:1" x14ac:dyDescent="0.25">
      <c r="A8129" s="16"/>
    </row>
    <row r="8130" spans="1:1" x14ac:dyDescent="0.25">
      <c r="A8130" s="16"/>
    </row>
    <row r="8131" spans="1:1" x14ac:dyDescent="0.25">
      <c r="A8131" s="16"/>
    </row>
    <row r="8132" spans="1:1" x14ac:dyDescent="0.25">
      <c r="A8132" s="16"/>
    </row>
    <row r="8133" spans="1:1" x14ac:dyDescent="0.25">
      <c r="A8133" s="16"/>
    </row>
    <row r="8134" spans="1:1" x14ac:dyDescent="0.25">
      <c r="A8134" s="16"/>
    </row>
    <row r="8135" spans="1:1" x14ac:dyDescent="0.25">
      <c r="A8135" s="16"/>
    </row>
    <row r="8136" spans="1:1" x14ac:dyDescent="0.25">
      <c r="A8136" s="16"/>
    </row>
    <row r="8137" spans="1:1" x14ac:dyDescent="0.25">
      <c r="A8137" s="16"/>
    </row>
    <row r="8138" spans="1:1" x14ac:dyDescent="0.25">
      <c r="A8138" s="16"/>
    </row>
    <row r="8139" spans="1:1" x14ac:dyDescent="0.25">
      <c r="A8139" s="16"/>
    </row>
    <row r="8140" spans="1:1" x14ac:dyDescent="0.25">
      <c r="A8140" s="16"/>
    </row>
    <row r="8141" spans="1:1" x14ac:dyDescent="0.25">
      <c r="A8141" s="16"/>
    </row>
    <row r="8142" spans="1:1" x14ac:dyDescent="0.25">
      <c r="A8142" s="16"/>
    </row>
    <row r="8143" spans="1:1" x14ac:dyDescent="0.25">
      <c r="A8143" s="16"/>
    </row>
    <row r="8144" spans="1:1" x14ac:dyDescent="0.25">
      <c r="A8144" s="16"/>
    </row>
    <row r="8145" spans="1:1" x14ac:dyDescent="0.25">
      <c r="A8145" s="16"/>
    </row>
    <row r="8146" spans="1:1" x14ac:dyDescent="0.25">
      <c r="A8146" s="16"/>
    </row>
    <row r="8147" spans="1:1" x14ac:dyDescent="0.25">
      <c r="A8147" s="16"/>
    </row>
    <row r="8148" spans="1:1" x14ac:dyDescent="0.25">
      <c r="A8148" s="16"/>
    </row>
    <row r="8149" spans="1:1" x14ac:dyDescent="0.25">
      <c r="A8149" s="16"/>
    </row>
    <row r="8150" spans="1:1" x14ac:dyDescent="0.25">
      <c r="A8150" s="16"/>
    </row>
    <row r="8151" spans="1:1" x14ac:dyDescent="0.25">
      <c r="A8151" s="16"/>
    </row>
    <row r="8152" spans="1:1" x14ac:dyDescent="0.25">
      <c r="A8152" s="16"/>
    </row>
    <row r="8153" spans="1:1" x14ac:dyDescent="0.25">
      <c r="A8153" s="16"/>
    </row>
    <row r="8154" spans="1:1" x14ac:dyDescent="0.25">
      <c r="A8154" s="16"/>
    </row>
    <row r="8155" spans="1:1" x14ac:dyDescent="0.25">
      <c r="A8155" s="16"/>
    </row>
    <row r="8156" spans="1:1" x14ac:dyDescent="0.25">
      <c r="A8156" s="16"/>
    </row>
    <row r="8157" spans="1:1" x14ac:dyDescent="0.25">
      <c r="A8157" s="16"/>
    </row>
    <row r="8158" spans="1:1" x14ac:dyDescent="0.25">
      <c r="A8158" s="16"/>
    </row>
    <row r="8159" spans="1:1" x14ac:dyDescent="0.25">
      <c r="A8159" s="16"/>
    </row>
    <row r="8160" spans="1:1" x14ac:dyDescent="0.25">
      <c r="A8160" s="16"/>
    </row>
    <row r="8161" spans="1:1" x14ac:dyDescent="0.25">
      <c r="A8161" s="16"/>
    </row>
    <row r="8162" spans="1:1" x14ac:dyDescent="0.25">
      <c r="A8162" s="16"/>
    </row>
    <row r="8163" spans="1:1" x14ac:dyDescent="0.25">
      <c r="A8163" s="16"/>
    </row>
    <row r="8164" spans="1:1" x14ac:dyDescent="0.25">
      <c r="A8164" s="16"/>
    </row>
    <row r="8165" spans="1:1" x14ac:dyDescent="0.25">
      <c r="A8165" s="16"/>
    </row>
    <row r="8166" spans="1:1" x14ac:dyDescent="0.25">
      <c r="A8166" s="16"/>
    </row>
    <row r="8167" spans="1:1" x14ac:dyDescent="0.25">
      <c r="A8167" s="16"/>
    </row>
    <row r="8168" spans="1:1" x14ac:dyDescent="0.25">
      <c r="A8168" s="16"/>
    </row>
    <row r="8169" spans="1:1" x14ac:dyDescent="0.25">
      <c r="A8169" s="16"/>
    </row>
    <row r="8170" spans="1:1" x14ac:dyDescent="0.25">
      <c r="A8170" s="16"/>
    </row>
    <row r="8171" spans="1:1" x14ac:dyDescent="0.25">
      <c r="A8171" s="16"/>
    </row>
    <row r="8172" spans="1:1" x14ac:dyDescent="0.25">
      <c r="A8172" s="16"/>
    </row>
    <row r="8173" spans="1:1" x14ac:dyDescent="0.25">
      <c r="A8173" s="16"/>
    </row>
    <row r="8174" spans="1:1" x14ac:dyDescent="0.25">
      <c r="A8174" s="16"/>
    </row>
    <row r="8175" spans="1:1" x14ac:dyDescent="0.25">
      <c r="A8175" s="16"/>
    </row>
    <row r="8176" spans="1:1" x14ac:dyDescent="0.25">
      <c r="A8176" s="16"/>
    </row>
    <row r="8177" spans="1:1" x14ac:dyDescent="0.25">
      <c r="A8177" s="16"/>
    </row>
    <row r="8178" spans="1:1" x14ac:dyDescent="0.25">
      <c r="A8178" s="16"/>
    </row>
    <row r="8179" spans="1:1" x14ac:dyDescent="0.25">
      <c r="A8179" s="16"/>
    </row>
    <row r="8180" spans="1:1" x14ac:dyDescent="0.25">
      <c r="A8180" s="16"/>
    </row>
    <row r="8181" spans="1:1" x14ac:dyDescent="0.25">
      <c r="A8181" s="16"/>
    </row>
    <row r="8182" spans="1:1" x14ac:dyDescent="0.25">
      <c r="A8182" s="16"/>
    </row>
    <row r="8183" spans="1:1" x14ac:dyDescent="0.25">
      <c r="A8183" s="16"/>
    </row>
    <row r="8184" spans="1:1" x14ac:dyDescent="0.25">
      <c r="A8184" s="16"/>
    </row>
    <row r="8185" spans="1:1" x14ac:dyDescent="0.25">
      <c r="A8185" s="16"/>
    </row>
    <row r="8186" spans="1:1" x14ac:dyDescent="0.25">
      <c r="A8186" s="16"/>
    </row>
    <row r="8187" spans="1:1" x14ac:dyDescent="0.25">
      <c r="A8187" s="16"/>
    </row>
    <row r="8188" spans="1:1" x14ac:dyDescent="0.25">
      <c r="A8188" s="16"/>
    </row>
    <row r="8189" spans="1:1" x14ac:dyDescent="0.25">
      <c r="A8189" s="16"/>
    </row>
    <row r="8190" spans="1:1" x14ac:dyDescent="0.25">
      <c r="A8190" s="16"/>
    </row>
    <row r="8191" spans="1:1" x14ac:dyDescent="0.25">
      <c r="A8191" s="16"/>
    </row>
    <row r="8192" spans="1:1" x14ac:dyDescent="0.25">
      <c r="A8192" s="16"/>
    </row>
    <row r="8193" spans="1:1" x14ac:dyDescent="0.25">
      <c r="A8193" s="16"/>
    </row>
    <row r="8194" spans="1:1" x14ac:dyDescent="0.25">
      <c r="A8194" s="16"/>
    </row>
    <row r="8195" spans="1:1" x14ac:dyDescent="0.25">
      <c r="A8195" s="16"/>
    </row>
    <row r="8196" spans="1:1" x14ac:dyDescent="0.25">
      <c r="A8196" s="16"/>
    </row>
    <row r="8197" spans="1:1" x14ac:dyDescent="0.25">
      <c r="A8197" s="16"/>
    </row>
    <row r="8198" spans="1:1" x14ac:dyDescent="0.25">
      <c r="A8198" s="16"/>
    </row>
    <row r="8199" spans="1:1" x14ac:dyDescent="0.25">
      <c r="A8199" s="16"/>
    </row>
    <row r="8200" spans="1:1" x14ac:dyDescent="0.25">
      <c r="A8200" s="16"/>
    </row>
    <row r="8201" spans="1:1" x14ac:dyDescent="0.25">
      <c r="A8201" s="16"/>
    </row>
    <row r="8202" spans="1:1" x14ac:dyDescent="0.25">
      <c r="A8202" s="16"/>
    </row>
    <row r="8203" spans="1:1" x14ac:dyDescent="0.25">
      <c r="A8203" s="16"/>
    </row>
    <row r="8204" spans="1:1" x14ac:dyDescent="0.25">
      <c r="A8204" s="16"/>
    </row>
    <row r="8205" spans="1:1" x14ac:dyDescent="0.25">
      <c r="A8205" s="16"/>
    </row>
    <row r="8206" spans="1:1" x14ac:dyDescent="0.25">
      <c r="A8206" s="16"/>
    </row>
    <row r="8207" spans="1:1" x14ac:dyDescent="0.25">
      <c r="A8207" s="16"/>
    </row>
    <row r="8208" spans="1:1" x14ac:dyDescent="0.25">
      <c r="A8208" s="16"/>
    </row>
    <row r="8209" spans="1:1" x14ac:dyDescent="0.25">
      <c r="A8209" s="16"/>
    </row>
    <row r="8210" spans="1:1" x14ac:dyDescent="0.25">
      <c r="A8210" s="16"/>
    </row>
    <row r="8211" spans="1:1" x14ac:dyDescent="0.25">
      <c r="A8211" s="16"/>
    </row>
    <row r="8212" spans="1:1" x14ac:dyDescent="0.25">
      <c r="A8212" s="16"/>
    </row>
    <row r="8213" spans="1:1" x14ac:dyDescent="0.25">
      <c r="A8213" s="16"/>
    </row>
    <row r="8214" spans="1:1" x14ac:dyDescent="0.25">
      <c r="A8214" s="16"/>
    </row>
    <row r="8215" spans="1:1" x14ac:dyDescent="0.25">
      <c r="A8215" s="16"/>
    </row>
    <row r="8216" spans="1:1" x14ac:dyDescent="0.25">
      <c r="A8216" s="16"/>
    </row>
    <row r="8217" spans="1:1" x14ac:dyDescent="0.25">
      <c r="A8217" s="16"/>
    </row>
    <row r="8218" spans="1:1" x14ac:dyDescent="0.25">
      <c r="A8218" s="16"/>
    </row>
    <row r="8219" spans="1:1" x14ac:dyDescent="0.25">
      <c r="A8219" s="16"/>
    </row>
    <row r="8220" spans="1:1" x14ac:dyDescent="0.25">
      <c r="A8220" s="16"/>
    </row>
    <row r="8221" spans="1:1" x14ac:dyDescent="0.25">
      <c r="A8221" s="16"/>
    </row>
    <row r="8222" spans="1:1" x14ac:dyDescent="0.25">
      <c r="A8222" s="16"/>
    </row>
    <row r="8223" spans="1:1" x14ac:dyDescent="0.25">
      <c r="A8223" s="16"/>
    </row>
    <row r="8224" spans="1:1" x14ac:dyDescent="0.25">
      <c r="A8224" s="16"/>
    </row>
    <row r="8225" spans="1:1" x14ac:dyDescent="0.25">
      <c r="A8225" s="16"/>
    </row>
    <row r="8226" spans="1:1" x14ac:dyDescent="0.25">
      <c r="A8226" s="16"/>
    </row>
    <row r="8227" spans="1:1" x14ac:dyDescent="0.25">
      <c r="A8227" s="16"/>
    </row>
    <row r="8228" spans="1:1" x14ac:dyDescent="0.25">
      <c r="A8228" s="16"/>
    </row>
    <row r="8229" spans="1:1" x14ac:dyDescent="0.25">
      <c r="A8229" s="16"/>
    </row>
    <row r="8230" spans="1:1" x14ac:dyDescent="0.25">
      <c r="A8230" s="16"/>
    </row>
    <row r="8231" spans="1:1" x14ac:dyDescent="0.25">
      <c r="A8231" s="16"/>
    </row>
    <row r="8232" spans="1:1" x14ac:dyDescent="0.25">
      <c r="A8232" s="16"/>
    </row>
    <row r="8233" spans="1:1" x14ac:dyDescent="0.25">
      <c r="A8233" s="16"/>
    </row>
    <row r="8234" spans="1:1" x14ac:dyDescent="0.25">
      <c r="A8234" s="16"/>
    </row>
    <row r="8235" spans="1:1" x14ac:dyDescent="0.25">
      <c r="A8235" s="16"/>
    </row>
    <row r="8236" spans="1:1" x14ac:dyDescent="0.25">
      <c r="A8236" s="16"/>
    </row>
    <row r="8237" spans="1:1" x14ac:dyDescent="0.25">
      <c r="A8237" s="16"/>
    </row>
    <row r="8238" spans="1:1" x14ac:dyDescent="0.25">
      <c r="A8238" s="16"/>
    </row>
    <row r="8239" spans="1:1" x14ac:dyDescent="0.25">
      <c r="A8239" s="16"/>
    </row>
    <row r="8240" spans="1:1" x14ac:dyDescent="0.25">
      <c r="A8240" s="16"/>
    </row>
    <row r="8241" spans="1:1" x14ac:dyDescent="0.25">
      <c r="A8241" s="16"/>
    </row>
    <row r="8242" spans="1:1" x14ac:dyDescent="0.25">
      <c r="A8242" s="16"/>
    </row>
    <row r="8243" spans="1:1" x14ac:dyDescent="0.25">
      <c r="A8243" s="16"/>
    </row>
    <row r="8244" spans="1:1" x14ac:dyDescent="0.25">
      <c r="A8244" s="16"/>
    </row>
    <row r="8245" spans="1:1" x14ac:dyDescent="0.25">
      <c r="A8245" s="16"/>
    </row>
    <row r="8246" spans="1:1" x14ac:dyDescent="0.25">
      <c r="A8246" s="16"/>
    </row>
    <row r="8247" spans="1:1" x14ac:dyDescent="0.25">
      <c r="A8247" s="16"/>
    </row>
    <row r="8248" spans="1:1" x14ac:dyDescent="0.25">
      <c r="A8248" s="16"/>
    </row>
    <row r="8249" spans="1:1" x14ac:dyDescent="0.25">
      <c r="A8249" s="16"/>
    </row>
    <row r="8250" spans="1:1" x14ac:dyDescent="0.25">
      <c r="A8250" s="16"/>
    </row>
    <row r="8251" spans="1:1" x14ac:dyDescent="0.25">
      <c r="A8251" s="16"/>
    </row>
    <row r="8252" spans="1:1" x14ac:dyDescent="0.25">
      <c r="A8252" s="16"/>
    </row>
    <row r="8253" spans="1:1" x14ac:dyDescent="0.25">
      <c r="A8253" s="16"/>
    </row>
    <row r="8254" spans="1:1" x14ac:dyDescent="0.25">
      <c r="A8254" s="16"/>
    </row>
    <row r="8255" spans="1:1" x14ac:dyDescent="0.25">
      <c r="A8255" s="16"/>
    </row>
    <row r="8256" spans="1:1" x14ac:dyDescent="0.25">
      <c r="A8256" s="16"/>
    </row>
    <row r="8257" spans="1:1" x14ac:dyDescent="0.25">
      <c r="A8257" s="16"/>
    </row>
    <row r="8258" spans="1:1" x14ac:dyDescent="0.25">
      <c r="A8258" s="16"/>
    </row>
    <row r="8259" spans="1:1" x14ac:dyDescent="0.25">
      <c r="A8259" s="16"/>
    </row>
    <row r="8260" spans="1:1" x14ac:dyDescent="0.25">
      <c r="A8260" s="16"/>
    </row>
    <row r="8261" spans="1:1" x14ac:dyDescent="0.25">
      <c r="A8261" s="16"/>
    </row>
    <row r="8262" spans="1:1" x14ac:dyDescent="0.25">
      <c r="A8262" s="16"/>
    </row>
    <row r="8263" spans="1:1" x14ac:dyDescent="0.25">
      <c r="A8263" s="16"/>
    </row>
    <row r="8264" spans="1:1" x14ac:dyDescent="0.25">
      <c r="A8264" s="16"/>
    </row>
    <row r="8265" spans="1:1" x14ac:dyDescent="0.25">
      <c r="A8265" s="16"/>
    </row>
    <row r="8266" spans="1:1" x14ac:dyDescent="0.25">
      <c r="A8266" s="16"/>
    </row>
    <row r="8267" spans="1:1" x14ac:dyDescent="0.25">
      <c r="A8267" s="16"/>
    </row>
    <row r="8268" spans="1:1" x14ac:dyDescent="0.25">
      <c r="A8268" s="16"/>
    </row>
    <row r="8269" spans="1:1" x14ac:dyDescent="0.25">
      <c r="A8269" s="16"/>
    </row>
    <row r="8270" spans="1:1" x14ac:dyDescent="0.25">
      <c r="A8270" s="16"/>
    </row>
    <row r="8271" spans="1:1" x14ac:dyDescent="0.25">
      <c r="A8271" s="16"/>
    </row>
    <row r="8272" spans="1:1" x14ac:dyDescent="0.25">
      <c r="A8272" s="16"/>
    </row>
    <row r="8273" spans="1:1" x14ac:dyDescent="0.25">
      <c r="A8273" s="16"/>
    </row>
    <row r="8274" spans="1:1" x14ac:dyDescent="0.25">
      <c r="A8274" s="16"/>
    </row>
    <row r="8275" spans="1:1" x14ac:dyDescent="0.25">
      <c r="A8275" s="16"/>
    </row>
    <row r="8276" spans="1:1" x14ac:dyDescent="0.25">
      <c r="A8276" s="16"/>
    </row>
    <row r="8277" spans="1:1" x14ac:dyDescent="0.25">
      <c r="A8277" s="16"/>
    </row>
    <row r="8278" spans="1:1" x14ac:dyDescent="0.25">
      <c r="A8278" s="16"/>
    </row>
    <row r="8279" spans="1:1" x14ac:dyDescent="0.25">
      <c r="A8279" s="16"/>
    </row>
    <row r="8280" spans="1:1" x14ac:dyDescent="0.25">
      <c r="A8280" s="16"/>
    </row>
    <row r="8281" spans="1:1" x14ac:dyDescent="0.25">
      <c r="A8281" s="16"/>
    </row>
    <row r="8282" spans="1:1" x14ac:dyDescent="0.25">
      <c r="A8282" s="16"/>
    </row>
    <row r="8283" spans="1:1" x14ac:dyDescent="0.25">
      <c r="A8283" s="16"/>
    </row>
    <row r="8284" spans="1:1" x14ac:dyDescent="0.25">
      <c r="A8284" s="16"/>
    </row>
    <row r="8285" spans="1:1" x14ac:dyDescent="0.25">
      <c r="A8285" s="16"/>
    </row>
    <row r="8286" spans="1:1" x14ac:dyDescent="0.25">
      <c r="A8286" s="16"/>
    </row>
    <row r="8287" spans="1:1" x14ac:dyDescent="0.25">
      <c r="A8287" s="16"/>
    </row>
    <row r="8288" spans="1:1" x14ac:dyDescent="0.25">
      <c r="A8288" s="16"/>
    </row>
    <row r="8289" spans="1:1" x14ac:dyDescent="0.25">
      <c r="A8289" s="16"/>
    </row>
    <row r="8290" spans="1:1" x14ac:dyDescent="0.25">
      <c r="A8290" s="16"/>
    </row>
    <row r="8291" spans="1:1" x14ac:dyDescent="0.25">
      <c r="A8291" s="16"/>
    </row>
    <row r="8292" spans="1:1" x14ac:dyDescent="0.25">
      <c r="A8292" s="16"/>
    </row>
    <row r="8293" spans="1:1" x14ac:dyDescent="0.25">
      <c r="A8293" s="16"/>
    </row>
    <row r="8294" spans="1:1" x14ac:dyDescent="0.25">
      <c r="A8294" s="16"/>
    </row>
    <row r="8295" spans="1:1" x14ac:dyDescent="0.25">
      <c r="A8295" s="16"/>
    </row>
    <row r="8296" spans="1:1" x14ac:dyDescent="0.25">
      <c r="A8296" s="16"/>
    </row>
    <row r="8297" spans="1:1" x14ac:dyDescent="0.25">
      <c r="A8297" s="16"/>
    </row>
    <row r="8298" spans="1:1" x14ac:dyDescent="0.25">
      <c r="A8298" s="16"/>
    </row>
    <row r="8299" spans="1:1" x14ac:dyDescent="0.25">
      <c r="A8299" s="16"/>
    </row>
    <row r="8300" spans="1:1" x14ac:dyDescent="0.25">
      <c r="A8300" s="16"/>
    </row>
    <row r="8301" spans="1:1" x14ac:dyDescent="0.25">
      <c r="A8301" s="16"/>
    </row>
    <row r="8302" spans="1:1" x14ac:dyDescent="0.25">
      <c r="A8302" s="16"/>
    </row>
    <row r="8303" spans="1:1" x14ac:dyDescent="0.25">
      <c r="A8303" s="16"/>
    </row>
    <row r="8304" spans="1:1" x14ac:dyDescent="0.25">
      <c r="A8304" s="16"/>
    </row>
    <row r="8305" spans="1:1" x14ac:dyDescent="0.25">
      <c r="A8305" s="16"/>
    </row>
    <row r="8306" spans="1:1" x14ac:dyDescent="0.25">
      <c r="A8306" s="16"/>
    </row>
    <row r="8307" spans="1:1" x14ac:dyDescent="0.25">
      <c r="A8307" s="16"/>
    </row>
    <row r="8308" spans="1:1" x14ac:dyDescent="0.25">
      <c r="A8308" s="16"/>
    </row>
    <row r="8309" spans="1:1" x14ac:dyDescent="0.25">
      <c r="A8309" s="16"/>
    </row>
    <row r="8310" spans="1:1" x14ac:dyDescent="0.25">
      <c r="A8310" s="16"/>
    </row>
    <row r="8311" spans="1:1" x14ac:dyDescent="0.25">
      <c r="A8311" s="16"/>
    </row>
    <row r="8312" spans="1:1" x14ac:dyDescent="0.25">
      <c r="A8312" s="16"/>
    </row>
    <row r="8313" spans="1:1" x14ac:dyDescent="0.25">
      <c r="A8313" s="16"/>
    </row>
    <row r="8314" spans="1:1" x14ac:dyDescent="0.25">
      <c r="A8314" s="16"/>
    </row>
    <row r="8315" spans="1:1" x14ac:dyDescent="0.25">
      <c r="A8315" s="16"/>
    </row>
    <row r="8316" spans="1:1" x14ac:dyDescent="0.25">
      <c r="A8316" s="16"/>
    </row>
    <row r="8317" spans="1:1" x14ac:dyDescent="0.25">
      <c r="A8317" s="16"/>
    </row>
    <row r="8318" spans="1:1" x14ac:dyDescent="0.25">
      <c r="A8318" s="16"/>
    </row>
    <row r="8319" spans="1:1" x14ac:dyDescent="0.25">
      <c r="A8319" s="16"/>
    </row>
    <row r="8320" spans="1:1" x14ac:dyDescent="0.25">
      <c r="A8320" s="16"/>
    </row>
    <row r="8321" spans="1:1" x14ac:dyDescent="0.25">
      <c r="A8321" s="16"/>
    </row>
    <row r="8322" spans="1:1" x14ac:dyDescent="0.25">
      <c r="A8322" s="16"/>
    </row>
    <row r="8323" spans="1:1" x14ac:dyDescent="0.25">
      <c r="A8323" s="16"/>
    </row>
    <row r="8324" spans="1:1" x14ac:dyDescent="0.25">
      <c r="A8324" s="16"/>
    </row>
    <row r="8325" spans="1:1" x14ac:dyDescent="0.25">
      <c r="A8325" s="16"/>
    </row>
    <row r="8326" spans="1:1" x14ac:dyDescent="0.25">
      <c r="A8326" s="16"/>
    </row>
    <row r="8327" spans="1:1" x14ac:dyDescent="0.25">
      <c r="A8327" s="16"/>
    </row>
    <row r="8328" spans="1:1" x14ac:dyDescent="0.25">
      <c r="A8328" s="16"/>
    </row>
    <row r="8329" spans="1:1" x14ac:dyDescent="0.25">
      <c r="A8329" s="16"/>
    </row>
    <row r="8330" spans="1:1" x14ac:dyDescent="0.25">
      <c r="A8330" s="16"/>
    </row>
    <row r="8331" spans="1:1" x14ac:dyDescent="0.25">
      <c r="A8331" s="16"/>
    </row>
    <row r="8332" spans="1:1" x14ac:dyDescent="0.25">
      <c r="A8332" s="16"/>
    </row>
    <row r="8333" spans="1:1" x14ac:dyDescent="0.25">
      <c r="A8333" s="16"/>
    </row>
    <row r="8334" spans="1:1" x14ac:dyDescent="0.25">
      <c r="A8334" s="16"/>
    </row>
    <row r="8335" spans="1:1" x14ac:dyDescent="0.25">
      <c r="A8335" s="16"/>
    </row>
    <row r="8336" spans="1:1" x14ac:dyDescent="0.25">
      <c r="A8336" s="16"/>
    </row>
    <row r="8337" spans="1:1" x14ac:dyDescent="0.25">
      <c r="A8337" s="16"/>
    </row>
    <row r="8338" spans="1:1" x14ac:dyDescent="0.25">
      <c r="A8338" s="16"/>
    </row>
    <row r="8339" spans="1:1" x14ac:dyDescent="0.25">
      <c r="A8339" s="16"/>
    </row>
    <row r="8340" spans="1:1" x14ac:dyDescent="0.25">
      <c r="A8340" s="16"/>
    </row>
    <row r="8341" spans="1:1" x14ac:dyDescent="0.25">
      <c r="A8341" s="16"/>
    </row>
    <row r="8342" spans="1:1" x14ac:dyDescent="0.25">
      <c r="A8342" s="16"/>
    </row>
    <row r="8343" spans="1:1" x14ac:dyDescent="0.25">
      <c r="A8343" s="16"/>
    </row>
    <row r="8344" spans="1:1" x14ac:dyDescent="0.25">
      <c r="A8344" s="16"/>
    </row>
    <row r="8345" spans="1:1" x14ac:dyDescent="0.25">
      <c r="A8345" s="16"/>
    </row>
    <row r="8346" spans="1:1" x14ac:dyDescent="0.25">
      <c r="A8346" s="16"/>
    </row>
    <row r="8347" spans="1:1" x14ac:dyDescent="0.25">
      <c r="A8347" s="16"/>
    </row>
    <row r="8348" spans="1:1" x14ac:dyDescent="0.25">
      <c r="A8348" s="16"/>
    </row>
    <row r="8349" spans="1:1" x14ac:dyDescent="0.25">
      <c r="A8349" s="16"/>
    </row>
    <row r="8350" spans="1:1" x14ac:dyDescent="0.25">
      <c r="A8350" s="16"/>
    </row>
    <row r="8351" spans="1:1" x14ac:dyDescent="0.25">
      <c r="A8351" s="16"/>
    </row>
    <row r="8352" spans="1:1" x14ac:dyDescent="0.25">
      <c r="A8352" s="16"/>
    </row>
    <row r="8353" spans="1:1" x14ac:dyDescent="0.25">
      <c r="A8353" s="16"/>
    </row>
    <row r="8354" spans="1:1" x14ac:dyDescent="0.25">
      <c r="A8354" s="16"/>
    </row>
    <row r="8355" spans="1:1" x14ac:dyDescent="0.25">
      <c r="A8355" s="16"/>
    </row>
    <row r="8356" spans="1:1" x14ac:dyDescent="0.25">
      <c r="A8356" s="16"/>
    </row>
    <row r="8357" spans="1:1" x14ac:dyDescent="0.25">
      <c r="A8357" s="16"/>
    </row>
    <row r="8358" spans="1:1" x14ac:dyDescent="0.25">
      <c r="A8358" s="16"/>
    </row>
    <row r="8359" spans="1:1" x14ac:dyDescent="0.25">
      <c r="A8359" s="16"/>
    </row>
    <row r="8360" spans="1:1" x14ac:dyDescent="0.25">
      <c r="A8360" s="16"/>
    </row>
    <row r="8361" spans="1:1" x14ac:dyDescent="0.25">
      <c r="A8361" s="16"/>
    </row>
    <row r="8362" spans="1:1" x14ac:dyDescent="0.25">
      <c r="A8362" s="16"/>
    </row>
    <row r="8363" spans="1:1" x14ac:dyDescent="0.25">
      <c r="A8363" s="16"/>
    </row>
    <row r="8364" spans="1:1" x14ac:dyDescent="0.25">
      <c r="A8364" s="16"/>
    </row>
    <row r="8365" spans="1:1" x14ac:dyDescent="0.25">
      <c r="A8365" s="16"/>
    </row>
    <row r="8366" spans="1:1" x14ac:dyDescent="0.25">
      <c r="A8366" s="16"/>
    </row>
    <row r="8367" spans="1:1" x14ac:dyDescent="0.25">
      <c r="A8367" s="16"/>
    </row>
    <row r="8368" spans="1:1" x14ac:dyDescent="0.25">
      <c r="A8368" s="16"/>
    </row>
    <row r="8369" spans="1:1" x14ac:dyDescent="0.25">
      <c r="A8369" s="16"/>
    </row>
    <row r="8370" spans="1:1" x14ac:dyDescent="0.25">
      <c r="A8370" s="16"/>
    </row>
    <row r="8371" spans="1:1" x14ac:dyDescent="0.25">
      <c r="A8371" s="16"/>
    </row>
    <row r="8372" spans="1:1" x14ac:dyDescent="0.25">
      <c r="A8372" s="16"/>
    </row>
    <row r="8373" spans="1:1" x14ac:dyDescent="0.25">
      <c r="A8373" s="16"/>
    </row>
    <row r="8374" spans="1:1" x14ac:dyDescent="0.25">
      <c r="A8374" s="16"/>
    </row>
    <row r="8375" spans="1:1" x14ac:dyDescent="0.25">
      <c r="A8375" s="16"/>
    </row>
    <row r="8376" spans="1:1" x14ac:dyDescent="0.25">
      <c r="A8376" s="16"/>
    </row>
    <row r="8377" spans="1:1" x14ac:dyDescent="0.25">
      <c r="A8377" s="16"/>
    </row>
    <row r="8378" spans="1:1" x14ac:dyDescent="0.25">
      <c r="A8378" s="16"/>
    </row>
    <row r="8379" spans="1:1" x14ac:dyDescent="0.25">
      <c r="A8379" s="16"/>
    </row>
    <row r="8380" spans="1:1" x14ac:dyDescent="0.25">
      <c r="A8380" s="16"/>
    </row>
    <row r="8381" spans="1:1" x14ac:dyDescent="0.25">
      <c r="A8381" s="16"/>
    </row>
    <row r="8382" spans="1:1" x14ac:dyDescent="0.25">
      <c r="A8382" s="16"/>
    </row>
    <row r="8383" spans="1:1" x14ac:dyDescent="0.25">
      <c r="A8383" s="16"/>
    </row>
    <row r="8384" spans="1:1" x14ac:dyDescent="0.25">
      <c r="A8384" s="16"/>
    </row>
    <row r="8385" spans="1:1" x14ac:dyDescent="0.25">
      <c r="A8385" s="16"/>
    </row>
    <row r="8386" spans="1:1" x14ac:dyDescent="0.25">
      <c r="A8386" s="16"/>
    </row>
    <row r="8387" spans="1:1" x14ac:dyDescent="0.25">
      <c r="A8387" s="16"/>
    </row>
    <row r="8388" spans="1:1" x14ac:dyDescent="0.25">
      <c r="A8388" s="16"/>
    </row>
    <row r="8389" spans="1:1" x14ac:dyDescent="0.25">
      <c r="A8389" s="16"/>
    </row>
    <row r="8390" spans="1:1" x14ac:dyDescent="0.25">
      <c r="A8390" s="16"/>
    </row>
    <row r="8391" spans="1:1" x14ac:dyDescent="0.25">
      <c r="A8391" s="16"/>
    </row>
    <row r="8392" spans="1:1" x14ac:dyDescent="0.25">
      <c r="A8392" s="16"/>
    </row>
    <row r="8393" spans="1:1" x14ac:dyDescent="0.25">
      <c r="A8393" s="16"/>
    </row>
    <row r="8394" spans="1:1" x14ac:dyDescent="0.25">
      <c r="A8394" s="16"/>
    </row>
    <row r="8395" spans="1:1" x14ac:dyDescent="0.25">
      <c r="A8395" s="16"/>
    </row>
    <row r="8396" spans="1:1" x14ac:dyDescent="0.25">
      <c r="A8396" s="16"/>
    </row>
    <row r="8397" spans="1:1" x14ac:dyDescent="0.25">
      <c r="A8397" s="16"/>
    </row>
    <row r="8398" spans="1:1" x14ac:dyDescent="0.25">
      <c r="A8398" s="16"/>
    </row>
    <row r="8399" spans="1:1" x14ac:dyDescent="0.25">
      <c r="A8399" s="16"/>
    </row>
    <row r="8400" spans="1:1" x14ac:dyDescent="0.25">
      <c r="A8400" s="16"/>
    </row>
    <row r="8401" spans="1:1" x14ac:dyDescent="0.25">
      <c r="A8401" s="16"/>
    </row>
    <row r="8402" spans="1:1" x14ac:dyDescent="0.25">
      <c r="A8402" s="16"/>
    </row>
    <row r="8403" spans="1:1" x14ac:dyDescent="0.25">
      <c r="A8403" s="16"/>
    </row>
    <row r="8404" spans="1:1" x14ac:dyDescent="0.25">
      <c r="A8404" s="16"/>
    </row>
    <row r="8405" spans="1:1" x14ac:dyDescent="0.25">
      <c r="A8405" s="16"/>
    </row>
    <row r="8406" spans="1:1" x14ac:dyDescent="0.25">
      <c r="A8406" s="16"/>
    </row>
    <row r="8407" spans="1:1" x14ac:dyDescent="0.25">
      <c r="A8407" s="16"/>
    </row>
    <row r="8408" spans="1:1" x14ac:dyDescent="0.25">
      <c r="A8408" s="16"/>
    </row>
    <row r="8409" spans="1:1" x14ac:dyDescent="0.25">
      <c r="A8409" s="16"/>
    </row>
    <row r="8410" spans="1:1" x14ac:dyDescent="0.25">
      <c r="A8410" s="16"/>
    </row>
    <row r="8411" spans="1:1" x14ac:dyDescent="0.25">
      <c r="A8411" s="16"/>
    </row>
    <row r="8412" spans="1:1" x14ac:dyDescent="0.25">
      <c r="A8412" s="16"/>
    </row>
    <row r="8413" spans="1:1" x14ac:dyDescent="0.25">
      <c r="A8413" s="16"/>
    </row>
    <row r="8414" spans="1:1" x14ac:dyDescent="0.25">
      <c r="A8414" s="16"/>
    </row>
    <row r="8415" spans="1:1" x14ac:dyDescent="0.25">
      <c r="A8415" s="16"/>
    </row>
    <row r="8416" spans="1:1" x14ac:dyDescent="0.25">
      <c r="A8416" s="16"/>
    </row>
    <row r="8417" spans="1:1" x14ac:dyDescent="0.25">
      <c r="A8417" s="16"/>
    </row>
    <row r="8418" spans="1:1" x14ac:dyDescent="0.25">
      <c r="A8418" s="16"/>
    </row>
    <row r="8419" spans="1:1" x14ac:dyDescent="0.25">
      <c r="A8419" s="16"/>
    </row>
    <row r="8420" spans="1:1" x14ac:dyDescent="0.25">
      <c r="A8420" s="16"/>
    </row>
    <row r="8421" spans="1:1" x14ac:dyDescent="0.25">
      <c r="A8421" s="16"/>
    </row>
    <row r="8422" spans="1:1" x14ac:dyDescent="0.25">
      <c r="A8422" s="16"/>
    </row>
    <row r="8423" spans="1:1" x14ac:dyDescent="0.25">
      <c r="A8423" s="16"/>
    </row>
    <row r="8424" spans="1:1" x14ac:dyDescent="0.25">
      <c r="A8424" s="16"/>
    </row>
    <row r="8425" spans="1:1" x14ac:dyDescent="0.25">
      <c r="A8425" s="16"/>
    </row>
    <row r="8426" spans="1:1" x14ac:dyDescent="0.25">
      <c r="A8426" s="16"/>
    </row>
    <row r="8427" spans="1:1" x14ac:dyDescent="0.25">
      <c r="A8427" s="16"/>
    </row>
    <row r="8428" spans="1:1" x14ac:dyDescent="0.25">
      <c r="A8428" s="16"/>
    </row>
    <row r="8429" spans="1:1" x14ac:dyDescent="0.25">
      <c r="A8429" s="16"/>
    </row>
    <row r="8430" spans="1:1" x14ac:dyDescent="0.25">
      <c r="A8430" s="16"/>
    </row>
    <row r="8431" spans="1:1" x14ac:dyDescent="0.25">
      <c r="A8431" s="16"/>
    </row>
    <row r="8432" spans="1:1" x14ac:dyDescent="0.25">
      <c r="A8432" s="16"/>
    </row>
    <row r="8433" spans="1:1" x14ac:dyDescent="0.25">
      <c r="A8433" s="16"/>
    </row>
    <row r="8434" spans="1:1" x14ac:dyDescent="0.25">
      <c r="A8434" s="16"/>
    </row>
    <row r="8435" spans="1:1" x14ac:dyDescent="0.25">
      <c r="A8435" s="16"/>
    </row>
    <row r="8436" spans="1:1" x14ac:dyDescent="0.25">
      <c r="A8436" s="16"/>
    </row>
    <row r="8437" spans="1:1" x14ac:dyDescent="0.25">
      <c r="A8437" s="16"/>
    </row>
    <row r="8438" spans="1:1" x14ac:dyDescent="0.25">
      <c r="A8438" s="16"/>
    </row>
    <row r="8439" spans="1:1" x14ac:dyDescent="0.25">
      <c r="A8439" s="16"/>
    </row>
    <row r="8440" spans="1:1" x14ac:dyDescent="0.25">
      <c r="A8440" s="16"/>
    </row>
    <row r="8441" spans="1:1" x14ac:dyDescent="0.25">
      <c r="A8441" s="16"/>
    </row>
    <row r="8442" spans="1:1" x14ac:dyDescent="0.25">
      <c r="A8442" s="16"/>
    </row>
    <row r="8443" spans="1:1" x14ac:dyDescent="0.25">
      <c r="A8443" s="16"/>
    </row>
    <row r="8444" spans="1:1" x14ac:dyDescent="0.25">
      <c r="A8444" s="16"/>
    </row>
    <row r="8445" spans="1:1" x14ac:dyDescent="0.25">
      <c r="A8445" s="16"/>
    </row>
    <row r="8446" spans="1:1" x14ac:dyDescent="0.25">
      <c r="A8446" s="16"/>
    </row>
    <row r="8447" spans="1:1" x14ac:dyDescent="0.25">
      <c r="A8447" s="16"/>
    </row>
    <row r="8448" spans="1:1" x14ac:dyDescent="0.25">
      <c r="A8448" s="16"/>
    </row>
    <row r="8449" spans="1:1" x14ac:dyDescent="0.25">
      <c r="A8449" s="16"/>
    </row>
    <row r="8450" spans="1:1" x14ac:dyDescent="0.25">
      <c r="A8450" s="16"/>
    </row>
    <row r="8451" spans="1:1" x14ac:dyDescent="0.25">
      <c r="A8451" s="16"/>
    </row>
    <row r="8452" spans="1:1" x14ac:dyDescent="0.25">
      <c r="A8452" s="16"/>
    </row>
    <row r="8453" spans="1:1" x14ac:dyDescent="0.25">
      <c r="A8453" s="16"/>
    </row>
    <row r="8454" spans="1:1" x14ac:dyDescent="0.25">
      <c r="A8454" s="16"/>
    </row>
    <row r="8455" spans="1:1" x14ac:dyDescent="0.25">
      <c r="A8455" s="16"/>
    </row>
    <row r="8456" spans="1:1" x14ac:dyDescent="0.25">
      <c r="A8456" s="16"/>
    </row>
    <row r="8457" spans="1:1" x14ac:dyDescent="0.25">
      <c r="A8457" s="16"/>
    </row>
    <row r="8458" spans="1:1" x14ac:dyDescent="0.25">
      <c r="A8458" s="16"/>
    </row>
    <row r="8459" spans="1:1" x14ac:dyDescent="0.25">
      <c r="A8459" s="16"/>
    </row>
    <row r="8460" spans="1:1" x14ac:dyDescent="0.25">
      <c r="A8460" s="16"/>
    </row>
    <row r="8461" spans="1:1" x14ac:dyDescent="0.25">
      <c r="A8461" s="16"/>
    </row>
    <row r="8462" spans="1:1" x14ac:dyDescent="0.25">
      <c r="A8462" s="16"/>
    </row>
    <row r="8463" spans="1:1" x14ac:dyDescent="0.25">
      <c r="A8463" s="16"/>
    </row>
    <row r="8464" spans="1:1" x14ac:dyDescent="0.25">
      <c r="A8464" s="16"/>
    </row>
    <row r="8465" spans="1:1" x14ac:dyDescent="0.25">
      <c r="A8465" s="16"/>
    </row>
    <row r="8466" spans="1:1" x14ac:dyDescent="0.25">
      <c r="A8466" s="16"/>
    </row>
    <row r="8467" spans="1:1" x14ac:dyDescent="0.25">
      <c r="A8467" s="16"/>
    </row>
    <row r="8468" spans="1:1" x14ac:dyDescent="0.25">
      <c r="A8468" s="16"/>
    </row>
    <row r="8469" spans="1:1" x14ac:dyDescent="0.25">
      <c r="A8469" s="16"/>
    </row>
    <row r="8470" spans="1:1" x14ac:dyDescent="0.25">
      <c r="A8470" s="16"/>
    </row>
    <row r="8471" spans="1:1" x14ac:dyDescent="0.25">
      <c r="A8471" s="16"/>
    </row>
    <row r="8472" spans="1:1" x14ac:dyDescent="0.25">
      <c r="A8472" s="16"/>
    </row>
    <row r="8473" spans="1:1" x14ac:dyDescent="0.25">
      <c r="A8473" s="16"/>
    </row>
    <row r="8474" spans="1:1" x14ac:dyDescent="0.25">
      <c r="A8474" s="16"/>
    </row>
    <row r="8475" spans="1:1" x14ac:dyDescent="0.25">
      <c r="A8475" s="16"/>
    </row>
    <row r="8476" spans="1:1" x14ac:dyDescent="0.25">
      <c r="A8476" s="16"/>
    </row>
    <row r="8477" spans="1:1" x14ac:dyDescent="0.25">
      <c r="A8477" s="16"/>
    </row>
    <row r="8478" spans="1:1" x14ac:dyDescent="0.25">
      <c r="A8478" s="16"/>
    </row>
    <row r="8479" spans="1:1" x14ac:dyDescent="0.25">
      <c r="A8479" s="16"/>
    </row>
    <row r="8480" spans="1:1" x14ac:dyDescent="0.25">
      <c r="A8480" s="16"/>
    </row>
    <row r="8481" spans="1:1" x14ac:dyDescent="0.25">
      <c r="A8481" s="16"/>
    </row>
    <row r="8482" spans="1:1" x14ac:dyDescent="0.25">
      <c r="A8482" s="16"/>
    </row>
    <row r="8483" spans="1:1" x14ac:dyDescent="0.25">
      <c r="A8483" s="16"/>
    </row>
    <row r="8484" spans="1:1" x14ac:dyDescent="0.25">
      <c r="A8484" s="16"/>
    </row>
    <row r="8485" spans="1:1" x14ac:dyDescent="0.25">
      <c r="A8485" s="16"/>
    </row>
    <row r="8486" spans="1:1" x14ac:dyDescent="0.25">
      <c r="A8486" s="16"/>
    </row>
    <row r="8487" spans="1:1" x14ac:dyDescent="0.25">
      <c r="A8487" s="16"/>
    </row>
    <row r="8488" spans="1:1" x14ac:dyDescent="0.25">
      <c r="A8488" s="16"/>
    </row>
    <row r="8489" spans="1:1" x14ac:dyDescent="0.25">
      <c r="A8489" s="16"/>
    </row>
    <row r="8490" spans="1:1" x14ac:dyDescent="0.25">
      <c r="A8490" s="16"/>
    </row>
    <row r="8491" spans="1:1" x14ac:dyDescent="0.25">
      <c r="A8491" s="16"/>
    </row>
    <row r="8492" spans="1:1" x14ac:dyDescent="0.25">
      <c r="A8492" s="16"/>
    </row>
    <row r="8493" spans="1:1" x14ac:dyDescent="0.25">
      <c r="A8493" s="16"/>
    </row>
    <row r="8494" spans="1:1" x14ac:dyDescent="0.25">
      <c r="A8494" s="16"/>
    </row>
    <row r="8495" spans="1:1" x14ac:dyDescent="0.25">
      <c r="A8495" s="16"/>
    </row>
    <row r="8496" spans="1:1" x14ac:dyDescent="0.25">
      <c r="A8496" s="16"/>
    </row>
    <row r="8497" spans="1:1" x14ac:dyDescent="0.25">
      <c r="A8497" s="16"/>
    </row>
    <row r="8498" spans="1:1" x14ac:dyDescent="0.25">
      <c r="A8498" s="16"/>
    </row>
    <row r="8499" spans="1:1" x14ac:dyDescent="0.25">
      <c r="A8499" s="16"/>
    </row>
    <row r="8500" spans="1:1" x14ac:dyDescent="0.25">
      <c r="A8500" s="16"/>
    </row>
    <row r="8501" spans="1:1" x14ac:dyDescent="0.25">
      <c r="A8501" s="16"/>
    </row>
    <row r="8502" spans="1:1" x14ac:dyDescent="0.25">
      <c r="A8502" s="16"/>
    </row>
    <row r="8503" spans="1:1" x14ac:dyDescent="0.25">
      <c r="A8503" s="16"/>
    </row>
    <row r="8504" spans="1:1" x14ac:dyDescent="0.25">
      <c r="A8504" s="16"/>
    </row>
    <row r="8505" spans="1:1" x14ac:dyDescent="0.25">
      <c r="A8505" s="16"/>
    </row>
    <row r="8506" spans="1:1" x14ac:dyDescent="0.25">
      <c r="A8506" s="16"/>
    </row>
    <row r="8507" spans="1:1" x14ac:dyDescent="0.25">
      <c r="A8507" s="16"/>
    </row>
    <row r="8508" spans="1:1" x14ac:dyDescent="0.25">
      <c r="A8508" s="16"/>
    </row>
    <row r="8509" spans="1:1" x14ac:dyDescent="0.25">
      <c r="A8509" s="16"/>
    </row>
    <row r="8510" spans="1:1" x14ac:dyDescent="0.25">
      <c r="A8510" s="16"/>
    </row>
    <row r="8511" spans="1:1" x14ac:dyDescent="0.25">
      <c r="A8511" s="16"/>
    </row>
    <row r="8512" spans="1:1" x14ac:dyDescent="0.25">
      <c r="A8512" s="16"/>
    </row>
    <row r="8513" spans="1:1" x14ac:dyDescent="0.25">
      <c r="A8513" s="16"/>
    </row>
    <row r="8514" spans="1:1" x14ac:dyDescent="0.25">
      <c r="A8514" s="16"/>
    </row>
    <row r="8515" spans="1:1" x14ac:dyDescent="0.25">
      <c r="A8515" s="16"/>
    </row>
    <row r="8516" spans="1:1" x14ac:dyDescent="0.25">
      <c r="A8516" s="16"/>
    </row>
    <row r="8517" spans="1:1" x14ac:dyDescent="0.25">
      <c r="A8517" s="16"/>
    </row>
    <row r="8518" spans="1:1" x14ac:dyDescent="0.25">
      <c r="A8518" s="16"/>
    </row>
    <row r="8519" spans="1:1" x14ac:dyDescent="0.25">
      <c r="A8519" s="16"/>
    </row>
    <row r="8520" spans="1:1" x14ac:dyDescent="0.25">
      <c r="A8520" s="16"/>
    </row>
    <row r="8521" spans="1:1" x14ac:dyDescent="0.25">
      <c r="A8521" s="16"/>
    </row>
    <row r="8522" spans="1:1" x14ac:dyDescent="0.25">
      <c r="A8522" s="16"/>
    </row>
    <row r="8523" spans="1:1" x14ac:dyDescent="0.25">
      <c r="A8523" s="16"/>
    </row>
    <row r="8524" spans="1:1" x14ac:dyDescent="0.25">
      <c r="A8524" s="16"/>
    </row>
    <row r="8525" spans="1:1" x14ac:dyDescent="0.25">
      <c r="A8525" s="16"/>
    </row>
    <row r="8526" spans="1:1" x14ac:dyDescent="0.25">
      <c r="A8526" s="16"/>
    </row>
    <row r="8527" spans="1:1" x14ac:dyDescent="0.25">
      <c r="A8527" s="16"/>
    </row>
    <row r="8528" spans="1:1" x14ac:dyDescent="0.25">
      <c r="A8528" s="16"/>
    </row>
    <row r="8529" spans="1:1" x14ac:dyDescent="0.25">
      <c r="A8529" s="16"/>
    </row>
    <row r="8530" spans="1:1" x14ac:dyDescent="0.25">
      <c r="A8530" s="16"/>
    </row>
    <row r="8531" spans="1:1" x14ac:dyDescent="0.25">
      <c r="A8531" s="16"/>
    </row>
    <row r="8532" spans="1:1" x14ac:dyDescent="0.25">
      <c r="A8532" s="16"/>
    </row>
    <row r="8533" spans="1:1" x14ac:dyDescent="0.25">
      <c r="A8533" s="16"/>
    </row>
    <row r="8534" spans="1:1" x14ac:dyDescent="0.25">
      <c r="A8534" s="16"/>
    </row>
    <row r="8535" spans="1:1" x14ac:dyDescent="0.25">
      <c r="A8535" s="16"/>
    </row>
    <row r="8536" spans="1:1" x14ac:dyDescent="0.25">
      <c r="A8536" s="16"/>
    </row>
    <row r="8537" spans="1:1" x14ac:dyDescent="0.25">
      <c r="A8537" s="16"/>
    </row>
    <row r="8538" spans="1:1" x14ac:dyDescent="0.25">
      <c r="A8538" s="16"/>
    </row>
    <row r="8539" spans="1:1" x14ac:dyDescent="0.25">
      <c r="A8539" s="16"/>
    </row>
    <row r="8540" spans="1:1" x14ac:dyDescent="0.25">
      <c r="A8540" s="16"/>
    </row>
    <row r="8541" spans="1:1" x14ac:dyDescent="0.25">
      <c r="A8541" s="16"/>
    </row>
    <row r="8542" spans="1:1" x14ac:dyDescent="0.25">
      <c r="A8542" s="16"/>
    </row>
    <row r="8543" spans="1:1" x14ac:dyDescent="0.25">
      <c r="A8543" s="16"/>
    </row>
    <row r="8544" spans="1:1" x14ac:dyDescent="0.25">
      <c r="A8544" s="16"/>
    </row>
    <row r="8545" spans="1:1" x14ac:dyDescent="0.25">
      <c r="A8545" s="16"/>
    </row>
    <row r="8546" spans="1:1" x14ac:dyDescent="0.25">
      <c r="A8546" s="16"/>
    </row>
    <row r="8547" spans="1:1" x14ac:dyDescent="0.25">
      <c r="A8547" s="16"/>
    </row>
    <row r="8548" spans="1:1" x14ac:dyDescent="0.25">
      <c r="A8548" s="16"/>
    </row>
    <row r="8549" spans="1:1" x14ac:dyDescent="0.25">
      <c r="A8549" s="16"/>
    </row>
    <row r="8550" spans="1:1" x14ac:dyDescent="0.25">
      <c r="A8550" s="16"/>
    </row>
    <row r="8551" spans="1:1" x14ac:dyDescent="0.25">
      <c r="A8551" s="16"/>
    </row>
    <row r="8552" spans="1:1" x14ac:dyDescent="0.25">
      <c r="A8552" s="16"/>
    </row>
    <row r="8553" spans="1:1" x14ac:dyDescent="0.25">
      <c r="A8553" s="16"/>
    </row>
    <row r="8554" spans="1:1" x14ac:dyDescent="0.25">
      <c r="A8554" s="16"/>
    </row>
    <row r="8555" spans="1:1" x14ac:dyDescent="0.25">
      <c r="A8555" s="16"/>
    </row>
    <row r="8556" spans="1:1" x14ac:dyDescent="0.25">
      <c r="A8556" s="16"/>
    </row>
    <row r="8557" spans="1:1" x14ac:dyDescent="0.25">
      <c r="A8557" s="16"/>
    </row>
    <row r="8558" spans="1:1" x14ac:dyDescent="0.25">
      <c r="A8558" s="16"/>
    </row>
    <row r="8559" spans="1:1" x14ac:dyDescent="0.25">
      <c r="A8559" s="16"/>
    </row>
    <row r="8560" spans="1:1" x14ac:dyDescent="0.25">
      <c r="A8560" s="16"/>
    </row>
    <row r="8561" spans="1:1" x14ac:dyDescent="0.25">
      <c r="A8561" s="16"/>
    </row>
    <row r="8562" spans="1:1" x14ac:dyDescent="0.25">
      <c r="A8562" s="16"/>
    </row>
    <row r="8563" spans="1:1" x14ac:dyDescent="0.25">
      <c r="A8563" s="16"/>
    </row>
    <row r="8564" spans="1:1" x14ac:dyDescent="0.25">
      <c r="A8564" s="16"/>
    </row>
    <row r="8565" spans="1:1" x14ac:dyDescent="0.25">
      <c r="A8565" s="16"/>
    </row>
    <row r="8566" spans="1:1" x14ac:dyDescent="0.25">
      <c r="A8566" s="16"/>
    </row>
    <row r="8567" spans="1:1" x14ac:dyDescent="0.25">
      <c r="A8567" s="16"/>
    </row>
    <row r="8568" spans="1:1" x14ac:dyDescent="0.25">
      <c r="A8568" s="16"/>
    </row>
    <row r="8569" spans="1:1" x14ac:dyDescent="0.25">
      <c r="A8569" s="16"/>
    </row>
    <row r="8570" spans="1:1" x14ac:dyDescent="0.25">
      <c r="A8570" s="16"/>
    </row>
    <row r="8571" spans="1:1" x14ac:dyDescent="0.25">
      <c r="A8571" s="16"/>
    </row>
    <row r="8572" spans="1:1" x14ac:dyDescent="0.25">
      <c r="A8572" s="16"/>
    </row>
    <row r="8573" spans="1:1" x14ac:dyDescent="0.25">
      <c r="A8573" s="16"/>
    </row>
    <row r="8574" spans="1:1" x14ac:dyDescent="0.25">
      <c r="A8574" s="16"/>
    </row>
    <row r="8575" spans="1:1" x14ac:dyDescent="0.25">
      <c r="A8575" s="16"/>
    </row>
    <row r="8576" spans="1:1" x14ac:dyDescent="0.25">
      <c r="A8576" s="16"/>
    </row>
    <row r="8577" spans="1:1" x14ac:dyDescent="0.25">
      <c r="A8577" s="16"/>
    </row>
    <row r="8578" spans="1:1" x14ac:dyDescent="0.25">
      <c r="A8578" s="16"/>
    </row>
    <row r="8579" spans="1:1" x14ac:dyDescent="0.25">
      <c r="A8579" s="16"/>
    </row>
    <row r="8580" spans="1:1" x14ac:dyDescent="0.25">
      <c r="A8580" s="16"/>
    </row>
    <row r="8581" spans="1:1" x14ac:dyDescent="0.25">
      <c r="A8581" s="16"/>
    </row>
    <row r="8582" spans="1:1" x14ac:dyDescent="0.25">
      <c r="A8582" s="16"/>
    </row>
    <row r="8583" spans="1:1" x14ac:dyDescent="0.25">
      <c r="A8583" s="16"/>
    </row>
    <row r="8584" spans="1:1" x14ac:dyDescent="0.25">
      <c r="A8584" s="16"/>
    </row>
    <row r="8585" spans="1:1" x14ac:dyDescent="0.25">
      <c r="A8585" s="16"/>
    </row>
    <row r="8586" spans="1:1" x14ac:dyDescent="0.25">
      <c r="A8586" s="16"/>
    </row>
    <row r="8587" spans="1:1" x14ac:dyDescent="0.25">
      <c r="A8587" s="16"/>
    </row>
    <row r="8588" spans="1:1" x14ac:dyDescent="0.25">
      <c r="A8588" s="16"/>
    </row>
    <row r="8589" spans="1:1" x14ac:dyDescent="0.25">
      <c r="A8589" s="16"/>
    </row>
    <row r="8590" spans="1:1" x14ac:dyDescent="0.25">
      <c r="A8590" s="16"/>
    </row>
    <row r="8591" spans="1:1" x14ac:dyDescent="0.25">
      <c r="A8591" s="16"/>
    </row>
    <row r="8592" spans="1:1" x14ac:dyDescent="0.25">
      <c r="A8592" s="16"/>
    </row>
    <row r="8593" spans="1:1" x14ac:dyDescent="0.25">
      <c r="A8593" s="16"/>
    </row>
    <row r="8594" spans="1:1" x14ac:dyDescent="0.25">
      <c r="A8594" s="16"/>
    </row>
    <row r="8595" spans="1:1" x14ac:dyDescent="0.25">
      <c r="A8595" s="16"/>
    </row>
    <row r="8596" spans="1:1" x14ac:dyDescent="0.25">
      <c r="A8596" s="16"/>
    </row>
    <row r="8597" spans="1:1" x14ac:dyDescent="0.25">
      <c r="A8597" s="16"/>
    </row>
    <row r="8598" spans="1:1" x14ac:dyDescent="0.25">
      <c r="A8598" s="16"/>
    </row>
    <row r="8599" spans="1:1" x14ac:dyDescent="0.25">
      <c r="A8599" s="16"/>
    </row>
    <row r="8600" spans="1:1" x14ac:dyDescent="0.25">
      <c r="A8600" s="16"/>
    </row>
    <row r="8601" spans="1:1" x14ac:dyDescent="0.25">
      <c r="A8601" s="16"/>
    </row>
    <row r="8602" spans="1:1" x14ac:dyDescent="0.25">
      <c r="A8602" s="16"/>
    </row>
    <row r="8603" spans="1:1" x14ac:dyDescent="0.25">
      <c r="A8603" s="16"/>
    </row>
    <row r="8604" spans="1:1" x14ac:dyDescent="0.25">
      <c r="A8604" s="16"/>
    </row>
    <row r="8605" spans="1:1" x14ac:dyDescent="0.25">
      <c r="A8605" s="16"/>
    </row>
    <row r="8606" spans="1:1" x14ac:dyDescent="0.25">
      <c r="A8606" s="16"/>
    </row>
    <row r="8607" spans="1:1" x14ac:dyDescent="0.25">
      <c r="A8607" s="16"/>
    </row>
    <row r="8608" spans="1:1" x14ac:dyDescent="0.25">
      <c r="A8608" s="16"/>
    </row>
    <row r="8609" spans="1:1" x14ac:dyDescent="0.25">
      <c r="A8609" s="16"/>
    </row>
    <row r="8610" spans="1:1" x14ac:dyDescent="0.25">
      <c r="A8610" s="16"/>
    </row>
    <row r="8611" spans="1:1" x14ac:dyDescent="0.25">
      <c r="A8611" s="16"/>
    </row>
    <row r="8612" spans="1:1" x14ac:dyDescent="0.25">
      <c r="A8612" s="16"/>
    </row>
    <row r="8613" spans="1:1" x14ac:dyDescent="0.25">
      <c r="A8613" s="16"/>
    </row>
    <row r="8614" spans="1:1" x14ac:dyDescent="0.25">
      <c r="A8614" s="16"/>
    </row>
    <row r="8615" spans="1:1" x14ac:dyDescent="0.25">
      <c r="A8615" s="16"/>
    </row>
    <row r="8616" spans="1:1" x14ac:dyDescent="0.25">
      <c r="A8616" s="16"/>
    </row>
    <row r="8617" spans="1:1" x14ac:dyDescent="0.25">
      <c r="A8617" s="16"/>
    </row>
    <row r="8618" spans="1:1" x14ac:dyDescent="0.25">
      <c r="A8618" s="16"/>
    </row>
    <row r="8619" spans="1:1" x14ac:dyDescent="0.25">
      <c r="A8619" s="16"/>
    </row>
    <row r="8620" spans="1:1" x14ac:dyDescent="0.25">
      <c r="A8620" s="16"/>
    </row>
    <row r="8621" spans="1:1" x14ac:dyDescent="0.25">
      <c r="A8621" s="16"/>
    </row>
    <row r="8622" spans="1:1" x14ac:dyDescent="0.25">
      <c r="A8622" s="16"/>
    </row>
    <row r="8623" spans="1:1" x14ac:dyDescent="0.25">
      <c r="A8623" s="16"/>
    </row>
    <row r="8624" spans="1:1" x14ac:dyDescent="0.25">
      <c r="A8624" s="16"/>
    </row>
    <row r="8625" spans="1:1" x14ac:dyDescent="0.25">
      <c r="A8625" s="16"/>
    </row>
    <row r="8626" spans="1:1" x14ac:dyDescent="0.25">
      <c r="A8626" s="16"/>
    </row>
    <row r="8627" spans="1:1" x14ac:dyDescent="0.25">
      <c r="A8627" s="16"/>
    </row>
    <row r="8628" spans="1:1" x14ac:dyDescent="0.25">
      <c r="A8628" s="16"/>
    </row>
    <row r="8629" spans="1:1" x14ac:dyDescent="0.25">
      <c r="A8629" s="16"/>
    </row>
    <row r="8630" spans="1:1" x14ac:dyDescent="0.25">
      <c r="A8630" s="16"/>
    </row>
    <row r="8631" spans="1:1" x14ac:dyDescent="0.25">
      <c r="A8631" s="16"/>
    </row>
    <row r="8632" spans="1:1" x14ac:dyDescent="0.25">
      <c r="A8632" s="16"/>
    </row>
    <row r="8633" spans="1:1" x14ac:dyDescent="0.25">
      <c r="A8633" s="16"/>
    </row>
    <row r="8634" spans="1:1" x14ac:dyDescent="0.25">
      <c r="A8634" s="16"/>
    </row>
    <row r="8635" spans="1:1" x14ac:dyDescent="0.25">
      <c r="A8635" s="16"/>
    </row>
    <row r="8636" spans="1:1" x14ac:dyDescent="0.25">
      <c r="A8636" s="16"/>
    </row>
    <row r="8637" spans="1:1" x14ac:dyDescent="0.25">
      <c r="A8637" s="16"/>
    </row>
    <row r="8638" spans="1:1" x14ac:dyDescent="0.25">
      <c r="A8638" s="16"/>
    </row>
    <row r="8639" spans="1:1" x14ac:dyDescent="0.25">
      <c r="A8639" s="16"/>
    </row>
    <row r="8640" spans="1:1" x14ac:dyDescent="0.25">
      <c r="A8640" s="16"/>
    </row>
    <row r="8641" spans="1:1" x14ac:dyDescent="0.25">
      <c r="A8641" s="16"/>
    </row>
    <row r="8642" spans="1:1" x14ac:dyDescent="0.25">
      <c r="A8642" s="16"/>
    </row>
    <row r="8643" spans="1:1" x14ac:dyDescent="0.25">
      <c r="A8643" s="16"/>
    </row>
    <row r="8644" spans="1:1" x14ac:dyDescent="0.25">
      <c r="A8644" s="16"/>
    </row>
    <row r="8645" spans="1:1" x14ac:dyDescent="0.25">
      <c r="A8645" s="16"/>
    </row>
    <row r="8646" spans="1:1" x14ac:dyDescent="0.25">
      <c r="A8646" s="16"/>
    </row>
    <row r="8647" spans="1:1" x14ac:dyDescent="0.25">
      <c r="A8647" s="16"/>
    </row>
    <row r="8648" spans="1:1" x14ac:dyDescent="0.25">
      <c r="A8648" s="16"/>
    </row>
    <row r="8649" spans="1:1" x14ac:dyDescent="0.25">
      <c r="A8649" s="16"/>
    </row>
    <row r="8650" spans="1:1" x14ac:dyDescent="0.25">
      <c r="A8650" s="16"/>
    </row>
    <row r="8651" spans="1:1" x14ac:dyDescent="0.25">
      <c r="A8651" s="16"/>
    </row>
    <row r="8652" spans="1:1" x14ac:dyDescent="0.25">
      <c r="A8652" s="16"/>
    </row>
    <row r="8653" spans="1:1" x14ac:dyDescent="0.25">
      <c r="A8653" s="16"/>
    </row>
    <row r="8654" spans="1:1" x14ac:dyDescent="0.25">
      <c r="A8654" s="16"/>
    </row>
    <row r="8655" spans="1:1" x14ac:dyDescent="0.25">
      <c r="A8655" s="16"/>
    </row>
    <row r="8656" spans="1:1" x14ac:dyDescent="0.25">
      <c r="A8656" s="16"/>
    </row>
    <row r="8657" spans="1:1" x14ac:dyDescent="0.25">
      <c r="A8657" s="16"/>
    </row>
    <row r="8658" spans="1:1" x14ac:dyDescent="0.25">
      <c r="A8658" s="16"/>
    </row>
    <row r="8659" spans="1:1" x14ac:dyDescent="0.25">
      <c r="A8659" s="16"/>
    </row>
    <row r="8660" spans="1:1" x14ac:dyDescent="0.25">
      <c r="A8660" s="16"/>
    </row>
    <row r="8661" spans="1:1" x14ac:dyDescent="0.25">
      <c r="A8661" s="16"/>
    </row>
    <row r="8662" spans="1:1" x14ac:dyDescent="0.25">
      <c r="A8662" s="16"/>
    </row>
    <row r="8663" spans="1:1" x14ac:dyDescent="0.25">
      <c r="A8663" s="16"/>
    </row>
    <row r="8664" spans="1:1" x14ac:dyDescent="0.25">
      <c r="A8664" s="16"/>
    </row>
    <row r="8665" spans="1:1" x14ac:dyDescent="0.25">
      <c r="A8665" s="16"/>
    </row>
    <row r="8666" spans="1:1" x14ac:dyDescent="0.25">
      <c r="A8666" s="16"/>
    </row>
    <row r="8667" spans="1:1" x14ac:dyDescent="0.25">
      <c r="A8667" s="16"/>
    </row>
    <row r="8668" spans="1:1" x14ac:dyDescent="0.25">
      <c r="A8668" s="16"/>
    </row>
    <row r="8669" spans="1:1" x14ac:dyDescent="0.25">
      <c r="A8669" s="16"/>
    </row>
    <row r="8670" spans="1:1" x14ac:dyDescent="0.25">
      <c r="A8670" s="16"/>
    </row>
    <row r="8671" spans="1:1" x14ac:dyDescent="0.25">
      <c r="A8671" s="16"/>
    </row>
    <row r="8672" spans="1:1" x14ac:dyDescent="0.25">
      <c r="A8672" s="16"/>
    </row>
    <row r="8673" spans="1:1" x14ac:dyDescent="0.25">
      <c r="A8673" s="16"/>
    </row>
    <row r="8674" spans="1:1" x14ac:dyDescent="0.25">
      <c r="A8674" s="16"/>
    </row>
    <row r="8675" spans="1:1" x14ac:dyDescent="0.25">
      <c r="A8675" s="16"/>
    </row>
    <row r="8676" spans="1:1" x14ac:dyDescent="0.25">
      <c r="A8676" s="16"/>
    </row>
    <row r="8677" spans="1:1" x14ac:dyDescent="0.25">
      <c r="A8677" s="16"/>
    </row>
    <row r="8678" spans="1:1" x14ac:dyDescent="0.25">
      <c r="A8678" s="16"/>
    </row>
    <row r="8679" spans="1:1" x14ac:dyDescent="0.25">
      <c r="A8679" s="16"/>
    </row>
    <row r="8680" spans="1:1" x14ac:dyDescent="0.25">
      <c r="A8680" s="16"/>
    </row>
    <row r="8681" spans="1:1" x14ac:dyDescent="0.25">
      <c r="A8681" s="16"/>
    </row>
    <row r="8682" spans="1:1" x14ac:dyDescent="0.25">
      <c r="A8682" s="16"/>
    </row>
    <row r="8683" spans="1:1" x14ac:dyDescent="0.25">
      <c r="A8683" s="16"/>
    </row>
    <row r="8684" spans="1:1" x14ac:dyDescent="0.25">
      <c r="A8684" s="16"/>
    </row>
    <row r="8685" spans="1:1" x14ac:dyDescent="0.25">
      <c r="A8685" s="16"/>
    </row>
    <row r="8686" spans="1:1" x14ac:dyDescent="0.25">
      <c r="A8686" s="16"/>
    </row>
    <row r="8687" spans="1:1" x14ac:dyDescent="0.25">
      <c r="A8687" s="16"/>
    </row>
    <row r="8688" spans="1:1" x14ac:dyDescent="0.25">
      <c r="A8688" s="16"/>
    </row>
    <row r="8689" spans="1:1" x14ac:dyDescent="0.25">
      <c r="A8689" s="16"/>
    </row>
    <row r="8690" spans="1:1" x14ac:dyDescent="0.25">
      <c r="A8690" s="16"/>
    </row>
    <row r="8691" spans="1:1" x14ac:dyDescent="0.25">
      <c r="A8691" s="16"/>
    </row>
    <row r="8692" spans="1:1" x14ac:dyDescent="0.25">
      <c r="A8692" s="16"/>
    </row>
    <row r="8693" spans="1:1" x14ac:dyDescent="0.25">
      <c r="A8693" s="16"/>
    </row>
    <row r="8694" spans="1:1" x14ac:dyDescent="0.25">
      <c r="A8694" s="16"/>
    </row>
    <row r="8695" spans="1:1" x14ac:dyDescent="0.25">
      <c r="A8695" s="16"/>
    </row>
    <row r="8696" spans="1:1" x14ac:dyDescent="0.25">
      <c r="A8696" s="16"/>
    </row>
    <row r="8697" spans="1:1" x14ac:dyDescent="0.25">
      <c r="A8697" s="16"/>
    </row>
    <row r="8698" spans="1:1" x14ac:dyDescent="0.25">
      <c r="A8698" s="16"/>
    </row>
    <row r="8699" spans="1:1" x14ac:dyDescent="0.25">
      <c r="A8699" s="16"/>
    </row>
    <row r="8700" spans="1:1" x14ac:dyDescent="0.25">
      <c r="A8700" s="16"/>
    </row>
    <row r="8701" spans="1:1" x14ac:dyDescent="0.25">
      <c r="A8701" s="16"/>
    </row>
    <row r="8702" spans="1:1" x14ac:dyDescent="0.25">
      <c r="A8702" s="16"/>
    </row>
    <row r="8703" spans="1:1" x14ac:dyDescent="0.25">
      <c r="A8703" s="16"/>
    </row>
    <row r="8704" spans="1:1" x14ac:dyDescent="0.25">
      <c r="A8704" s="16"/>
    </row>
    <row r="8705" spans="1:1" x14ac:dyDescent="0.25">
      <c r="A8705" s="16"/>
    </row>
    <row r="8706" spans="1:1" x14ac:dyDescent="0.25">
      <c r="A8706" s="16"/>
    </row>
    <row r="8707" spans="1:1" x14ac:dyDescent="0.25">
      <c r="A8707" s="16"/>
    </row>
    <row r="8708" spans="1:1" x14ac:dyDescent="0.25">
      <c r="A8708" s="16"/>
    </row>
    <row r="8709" spans="1:1" x14ac:dyDescent="0.25">
      <c r="A8709" s="16"/>
    </row>
    <row r="8710" spans="1:1" x14ac:dyDescent="0.25">
      <c r="A8710" s="16"/>
    </row>
    <row r="8711" spans="1:1" x14ac:dyDescent="0.25">
      <c r="A8711" s="16"/>
    </row>
    <row r="8712" spans="1:1" x14ac:dyDescent="0.25">
      <c r="A8712" s="16"/>
    </row>
    <row r="8713" spans="1:1" x14ac:dyDescent="0.25">
      <c r="A8713" s="16"/>
    </row>
    <row r="8714" spans="1:1" x14ac:dyDescent="0.25">
      <c r="A8714" s="16"/>
    </row>
    <row r="8715" spans="1:1" x14ac:dyDescent="0.25">
      <c r="A8715" s="16"/>
    </row>
    <row r="8716" spans="1:1" x14ac:dyDescent="0.25">
      <c r="A8716" s="16"/>
    </row>
    <row r="8717" spans="1:1" x14ac:dyDescent="0.25">
      <c r="A8717" s="16"/>
    </row>
    <row r="8718" spans="1:1" x14ac:dyDescent="0.25">
      <c r="A8718" s="16"/>
    </row>
    <row r="8719" spans="1:1" x14ac:dyDescent="0.25">
      <c r="A8719" s="16"/>
    </row>
    <row r="8720" spans="1:1" x14ac:dyDescent="0.25">
      <c r="A8720" s="16"/>
    </row>
    <row r="8721" spans="1:1" x14ac:dyDescent="0.25">
      <c r="A8721" s="16"/>
    </row>
    <row r="8722" spans="1:1" x14ac:dyDescent="0.25">
      <c r="A8722" s="16"/>
    </row>
    <row r="8723" spans="1:1" x14ac:dyDescent="0.25">
      <c r="A8723" s="16"/>
    </row>
    <row r="8724" spans="1:1" x14ac:dyDescent="0.25">
      <c r="A8724" s="16"/>
    </row>
    <row r="8725" spans="1:1" x14ac:dyDescent="0.25">
      <c r="A8725" s="16"/>
    </row>
    <row r="8726" spans="1:1" x14ac:dyDescent="0.25">
      <c r="A8726" s="16"/>
    </row>
    <row r="8727" spans="1:1" x14ac:dyDescent="0.25">
      <c r="A8727" s="16"/>
    </row>
    <row r="8728" spans="1:1" x14ac:dyDescent="0.25">
      <c r="A8728" s="16"/>
    </row>
    <row r="8729" spans="1:1" x14ac:dyDescent="0.25">
      <c r="A8729" s="16"/>
    </row>
    <row r="8730" spans="1:1" x14ac:dyDescent="0.25">
      <c r="A8730" s="16"/>
    </row>
    <row r="8731" spans="1:1" x14ac:dyDescent="0.25">
      <c r="A8731" s="16"/>
    </row>
    <row r="8732" spans="1:1" x14ac:dyDescent="0.25">
      <c r="A8732" s="16"/>
    </row>
    <row r="8733" spans="1:1" x14ac:dyDescent="0.25">
      <c r="A8733" s="16"/>
    </row>
    <row r="8734" spans="1:1" x14ac:dyDescent="0.25">
      <c r="A8734" s="16"/>
    </row>
    <row r="8735" spans="1:1" x14ac:dyDescent="0.25">
      <c r="A8735" s="16"/>
    </row>
    <row r="8736" spans="1:1" x14ac:dyDescent="0.25">
      <c r="A8736" s="16"/>
    </row>
    <row r="8737" spans="1:1" x14ac:dyDescent="0.25">
      <c r="A8737" s="16"/>
    </row>
    <row r="8738" spans="1:1" x14ac:dyDescent="0.25">
      <c r="A8738" s="16"/>
    </row>
    <row r="8739" spans="1:1" x14ac:dyDescent="0.25">
      <c r="A8739" s="16"/>
    </row>
    <row r="8740" spans="1:1" x14ac:dyDescent="0.25">
      <c r="A8740" s="16"/>
    </row>
    <row r="8741" spans="1:1" x14ac:dyDescent="0.25">
      <c r="A8741" s="16"/>
    </row>
    <row r="8742" spans="1:1" x14ac:dyDescent="0.25">
      <c r="A8742" s="16"/>
    </row>
    <row r="8743" spans="1:1" x14ac:dyDescent="0.25">
      <c r="A8743" s="16"/>
    </row>
    <row r="8744" spans="1:1" x14ac:dyDescent="0.25">
      <c r="A8744" s="16"/>
    </row>
    <row r="8745" spans="1:1" x14ac:dyDescent="0.25">
      <c r="A8745" s="16"/>
    </row>
    <row r="8746" spans="1:1" x14ac:dyDescent="0.25">
      <c r="A8746" s="16"/>
    </row>
    <row r="8747" spans="1:1" x14ac:dyDescent="0.25">
      <c r="A8747" s="16"/>
    </row>
    <row r="8748" spans="1:1" x14ac:dyDescent="0.25">
      <c r="A8748" s="16"/>
    </row>
    <row r="8749" spans="1:1" x14ac:dyDescent="0.25">
      <c r="A8749" s="16"/>
    </row>
    <row r="8750" spans="1:1" x14ac:dyDescent="0.25">
      <c r="A8750" s="16"/>
    </row>
    <row r="8751" spans="1:1" x14ac:dyDescent="0.25">
      <c r="A8751" s="16"/>
    </row>
    <row r="8752" spans="1:1" x14ac:dyDescent="0.25">
      <c r="A8752" s="16"/>
    </row>
    <row r="8753" spans="1:1" x14ac:dyDescent="0.25">
      <c r="A8753" s="16"/>
    </row>
    <row r="8754" spans="1:1" x14ac:dyDescent="0.25">
      <c r="A8754" s="16"/>
    </row>
    <row r="8755" spans="1:1" x14ac:dyDescent="0.25">
      <c r="A8755" s="16"/>
    </row>
    <row r="8756" spans="1:1" x14ac:dyDescent="0.25">
      <c r="A8756" s="16"/>
    </row>
    <row r="8757" spans="1:1" x14ac:dyDescent="0.25">
      <c r="A8757" s="16"/>
    </row>
    <row r="8758" spans="1:1" x14ac:dyDescent="0.25">
      <c r="A8758" s="16"/>
    </row>
    <row r="8759" spans="1:1" x14ac:dyDescent="0.25">
      <c r="A8759" s="16"/>
    </row>
    <row r="8760" spans="1:1" x14ac:dyDescent="0.25">
      <c r="A8760" s="16"/>
    </row>
    <row r="8761" spans="1:1" x14ac:dyDescent="0.25">
      <c r="A8761" s="16"/>
    </row>
    <row r="8762" spans="1:1" x14ac:dyDescent="0.25">
      <c r="A8762" s="16"/>
    </row>
    <row r="8763" spans="1:1" x14ac:dyDescent="0.25">
      <c r="A8763" s="16"/>
    </row>
    <row r="8764" spans="1:1" x14ac:dyDescent="0.25">
      <c r="A8764" s="16"/>
    </row>
    <row r="8765" spans="1:1" x14ac:dyDescent="0.25">
      <c r="A8765" s="16"/>
    </row>
    <row r="8766" spans="1:1" x14ac:dyDescent="0.25">
      <c r="A8766" s="16"/>
    </row>
    <row r="8767" spans="1:1" x14ac:dyDescent="0.25">
      <c r="A8767" s="16"/>
    </row>
    <row r="8768" spans="1:1" x14ac:dyDescent="0.25">
      <c r="A8768" s="16"/>
    </row>
    <row r="8769" spans="1:1" x14ac:dyDescent="0.25">
      <c r="A8769" s="16"/>
    </row>
    <row r="8770" spans="1:1" x14ac:dyDescent="0.25">
      <c r="A8770" s="16"/>
    </row>
    <row r="8771" spans="1:1" x14ac:dyDescent="0.25">
      <c r="A8771" s="16"/>
    </row>
    <row r="8772" spans="1:1" x14ac:dyDescent="0.25">
      <c r="A8772" s="16"/>
    </row>
    <row r="8773" spans="1:1" x14ac:dyDescent="0.25">
      <c r="A8773" s="16"/>
    </row>
    <row r="8774" spans="1:1" x14ac:dyDescent="0.25">
      <c r="A8774" s="16"/>
    </row>
    <row r="8775" spans="1:1" x14ac:dyDescent="0.25">
      <c r="A8775" s="16"/>
    </row>
    <row r="8776" spans="1:1" x14ac:dyDescent="0.25">
      <c r="A8776" s="16"/>
    </row>
    <row r="8777" spans="1:1" x14ac:dyDescent="0.25">
      <c r="A8777" s="16"/>
    </row>
    <row r="8778" spans="1:1" x14ac:dyDescent="0.25">
      <c r="A8778" s="16"/>
    </row>
    <row r="8779" spans="1:1" x14ac:dyDescent="0.25">
      <c r="A8779" s="16"/>
    </row>
    <row r="8780" spans="1:1" x14ac:dyDescent="0.25">
      <c r="A8780" s="16"/>
    </row>
    <row r="8781" spans="1:1" x14ac:dyDescent="0.25">
      <c r="A8781" s="16"/>
    </row>
    <row r="8782" spans="1:1" x14ac:dyDescent="0.25">
      <c r="A8782" s="16"/>
    </row>
    <row r="8783" spans="1:1" x14ac:dyDescent="0.25">
      <c r="A8783" s="16"/>
    </row>
    <row r="8784" spans="1:1" x14ac:dyDescent="0.25">
      <c r="A8784" s="16"/>
    </row>
    <row r="8785" spans="1:1" x14ac:dyDescent="0.25">
      <c r="A8785" s="16"/>
    </row>
    <row r="8786" spans="1:1" x14ac:dyDescent="0.25">
      <c r="A8786" s="16"/>
    </row>
    <row r="8787" spans="1:1" x14ac:dyDescent="0.25">
      <c r="A8787" s="16"/>
    </row>
    <row r="8788" spans="1:1" x14ac:dyDescent="0.25">
      <c r="A8788" s="16"/>
    </row>
    <row r="8789" spans="1:1" x14ac:dyDescent="0.25">
      <c r="A8789" s="16"/>
    </row>
    <row r="8790" spans="1:1" x14ac:dyDescent="0.25">
      <c r="A8790" s="16"/>
    </row>
    <row r="8791" spans="1:1" x14ac:dyDescent="0.25">
      <c r="A8791" s="16"/>
    </row>
    <row r="8792" spans="1:1" x14ac:dyDescent="0.25">
      <c r="A8792" s="16"/>
    </row>
    <row r="8793" spans="1:1" x14ac:dyDescent="0.25">
      <c r="A8793" s="16"/>
    </row>
    <row r="8794" spans="1:1" x14ac:dyDescent="0.25">
      <c r="A8794" s="16"/>
    </row>
    <row r="8795" spans="1:1" x14ac:dyDescent="0.25">
      <c r="A8795" s="16"/>
    </row>
    <row r="8796" spans="1:1" x14ac:dyDescent="0.25">
      <c r="A8796" s="16"/>
    </row>
    <row r="8797" spans="1:1" x14ac:dyDescent="0.25">
      <c r="A8797" s="16"/>
    </row>
    <row r="8798" spans="1:1" x14ac:dyDescent="0.25">
      <c r="A8798" s="16"/>
    </row>
    <row r="8799" spans="1:1" x14ac:dyDescent="0.25">
      <c r="A8799" s="16"/>
    </row>
    <row r="8800" spans="1:1" x14ac:dyDescent="0.25">
      <c r="A8800" s="16"/>
    </row>
    <row r="8801" spans="1:1" x14ac:dyDescent="0.25">
      <c r="A8801" s="16"/>
    </row>
    <row r="8802" spans="1:1" x14ac:dyDescent="0.25">
      <c r="A8802" s="16"/>
    </row>
    <row r="8803" spans="1:1" x14ac:dyDescent="0.25">
      <c r="A8803" s="16"/>
    </row>
    <row r="8804" spans="1:1" x14ac:dyDescent="0.25">
      <c r="A8804" s="16"/>
    </row>
    <row r="8805" spans="1:1" x14ac:dyDescent="0.25">
      <c r="A8805" s="16"/>
    </row>
    <row r="8806" spans="1:1" x14ac:dyDescent="0.25">
      <c r="A8806" s="16"/>
    </row>
    <row r="8807" spans="1:1" x14ac:dyDescent="0.25">
      <c r="A8807" s="16"/>
    </row>
    <row r="8808" spans="1:1" x14ac:dyDescent="0.25">
      <c r="A8808" s="16"/>
    </row>
    <row r="8809" spans="1:1" x14ac:dyDescent="0.25">
      <c r="A8809" s="16"/>
    </row>
    <row r="8810" spans="1:1" x14ac:dyDescent="0.25">
      <c r="A8810" s="16"/>
    </row>
    <row r="8811" spans="1:1" x14ac:dyDescent="0.25">
      <c r="A8811" s="16"/>
    </row>
    <row r="8812" spans="1:1" x14ac:dyDescent="0.25">
      <c r="A8812" s="16"/>
    </row>
    <row r="8813" spans="1:1" x14ac:dyDescent="0.25">
      <c r="A8813" s="16"/>
    </row>
    <row r="8814" spans="1:1" x14ac:dyDescent="0.25">
      <c r="A8814" s="16"/>
    </row>
    <row r="8815" spans="1:1" x14ac:dyDescent="0.25">
      <c r="A8815" s="16"/>
    </row>
    <row r="8816" spans="1:1" x14ac:dyDescent="0.25">
      <c r="A8816" s="16"/>
    </row>
    <row r="8817" spans="1:1" x14ac:dyDescent="0.25">
      <c r="A8817" s="16"/>
    </row>
    <row r="8818" spans="1:1" x14ac:dyDescent="0.25">
      <c r="A8818" s="16"/>
    </row>
    <row r="8819" spans="1:1" x14ac:dyDescent="0.25">
      <c r="A8819" s="16"/>
    </row>
    <row r="8820" spans="1:1" x14ac:dyDescent="0.25">
      <c r="A8820" s="16"/>
    </row>
    <row r="8821" spans="1:1" x14ac:dyDescent="0.25">
      <c r="A8821" s="16"/>
    </row>
    <row r="8822" spans="1:1" x14ac:dyDescent="0.25">
      <c r="A8822" s="16"/>
    </row>
    <row r="8823" spans="1:1" x14ac:dyDescent="0.25">
      <c r="A8823" s="16"/>
    </row>
    <row r="8824" spans="1:1" x14ac:dyDescent="0.25">
      <c r="A8824" s="16"/>
    </row>
    <row r="8825" spans="1:1" x14ac:dyDescent="0.25">
      <c r="A8825" s="16"/>
    </row>
    <row r="8826" spans="1:1" x14ac:dyDescent="0.25">
      <c r="A8826" s="16"/>
    </row>
    <row r="8827" spans="1:1" x14ac:dyDescent="0.25">
      <c r="A8827" s="16"/>
    </row>
    <row r="8828" spans="1:1" x14ac:dyDescent="0.25">
      <c r="A8828" s="16"/>
    </row>
    <row r="8829" spans="1:1" x14ac:dyDescent="0.25">
      <c r="A8829" s="16"/>
    </row>
    <row r="8830" spans="1:1" x14ac:dyDescent="0.25">
      <c r="A8830" s="16"/>
    </row>
    <row r="8831" spans="1:1" x14ac:dyDescent="0.25">
      <c r="A8831" s="16"/>
    </row>
    <row r="8832" spans="1:1" x14ac:dyDescent="0.25">
      <c r="A8832" s="16"/>
    </row>
    <row r="8833" spans="1:1" x14ac:dyDescent="0.25">
      <c r="A8833" s="16"/>
    </row>
    <row r="8834" spans="1:1" x14ac:dyDescent="0.25">
      <c r="A8834" s="16"/>
    </row>
    <row r="8835" spans="1:1" x14ac:dyDescent="0.25">
      <c r="A8835" s="16"/>
    </row>
    <row r="8836" spans="1:1" x14ac:dyDescent="0.25">
      <c r="A8836" s="16"/>
    </row>
    <row r="8837" spans="1:1" x14ac:dyDescent="0.25">
      <c r="A8837" s="16"/>
    </row>
    <row r="8838" spans="1:1" x14ac:dyDescent="0.25">
      <c r="A8838" s="16"/>
    </row>
    <row r="8839" spans="1:1" x14ac:dyDescent="0.25">
      <c r="A8839" s="16"/>
    </row>
    <row r="8840" spans="1:1" x14ac:dyDescent="0.25">
      <c r="A8840" s="16"/>
    </row>
    <row r="8841" spans="1:1" x14ac:dyDescent="0.25">
      <c r="A8841" s="16"/>
    </row>
    <row r="8842" spans="1:1" x14ac:dyDescent="0.25">
      <c r="A8842" s="16"/>
    </row>
    <row r="8843" spans="1:1" x14ac:dyDescent="0.25">
      <c r="A8843" s="16"/>
    </row>
    <row r="8844" spans="1:1" x14ac:dyDescent="0.25">
      <c r="A8844" s="16"/>
    </row>
    <row r="8845" spans="1:1" x14ac:dyDescent="0.25">
      <c r="A8845" s="16"/>
    </row>
    <row r="8846" spans="1:1" x14ac:dyDescent="0.25">
      <c r="A8846" s="16"/>
    </row>
    <row r="8847" spans="1:1" x14ac:dyDescent="0.25">
      <c r="A8847" s="16"/>
    </row>
    <row r="8848" spans="1:1" x14ac:dyDescent="0.25">
      <c r="A8848" s="16"/>
    </row>
    <row r="8849" spans="1:1" x14ac:dyDescent="0.25">
      <c r="A8849" s="16"/>
    </row>
    <row r="8850" spans="1:1" x14ac:dyDescent="0.25">
      <c r="A8850" s="16"/>
    </row>
    <row r="8851" spans="1:1" x14ac:dyDescent="0.25">
      <c r="A8851" s="16"/>
    </row>
    <row r="8852" spans="1:1" x14ac:dyDescent="0.25">
      <c r="A8852" s="16"/>
    </row>
    <row r="8853" spans="1:1" x14ac:dyDescent="0.25">
      <c r="A8853" s="16"/>
    </row>
    <row r="8854" spans="1:1" x14ac:dyDescent="0.25">
      <c r="A8854" s="16"/>
    </row>
    <row r="8855" spans="1:1" x14ac:dyDescent="0.25">
      <c r="A8855" s="16"/>
    </row>
    <row r="8856" spans="1:1" x14ac:dyDescent="0.25">
      <c r="A8856" s="16"/>
    </row>
    <row r="8857" spans="1:1" x14ac:dyDescent="0.25">
      <c r="A8857" s="16"/>
    </row>
    <row r="8858" spans="1:1" x14ac:dyDescent="0.25">
      <c r="A8858" s="16"/>
    </row>
    <row r="8859" spans="1:1" x14ac:dyDescent="0.25">
      <c r="A8859" s="16"/>
    </row>
    <row r="8860" spans="1:1" x14ac:dyDescent="0.25">
      <c r="A8860" s="16"/>
    </row>
    <row r="8861" spans="1:1" x14ac:dyDescent="0.25">
      <c r="A8861" s="16"/>
    </row>
    <row r="8862" spans="1:1" x14ac:dyDescent="0.25">
      <c r="A8862" s="16"/>
    </row>
    <row r="8863" spans="1:1" x14ac:dyDescent="0.25">
      <c r="A8863" s="16"/>
    </row>
    <row r="8864" spans="1:1" x14ac:dyDescent="0.25">
      <c r="A8864" s="16"/>
    </row>
    <row r="8865" spans="1:1" x14ac:dyDescent="0.25">
      <c r="A8865" s="16"/>
    </row>
    <row r="8866" spans="1:1" x14ac:dyDescent="0.25">
      <c r="A8866" s="16"/>
    </row>
    <row r="8867" spans="1:1" x14ac:dyDescent="0.25">
      <c r="A8867" s="16"/>
    </row>
    <row r="8868" spans="1:1" x14ac:dyDescent="0.25">
      <c r="A8868" s="16"/>
    </row>
    <row r="8869" spans="1:1" x14ac:dyDescent="0.25">
      <c r="A8869" s="16"/>
    </row>
    <row r="8870" spans="1:1" x14ac:dyDescent="0.25">
      <c r="A8870" s="16"/>
    </row>
    <row r="8871" spans="1:1" x14ac:dyDescent="0.25">
      <c r="A8871" s="16"/>
    </row>
    <row r="8872" spans="1:1" x14ac:dyDescent="0.25">
      <c r="A8872" s="16"/>
    </row>
    <row r="8873" spans="1:1" x14ac:dyDescent="0.25">
      <c r="A8873" s="16"/>
    </row>
    <row r="8874" spans="1:1" x14ac:dyDescent="0.25">
      <c r="A8874" s="16"/>
    </row>
    <row r="8875" spans="1:1" x14ac:dyDescent="0.25">
      <c r="A8875" s="16"/>
    </row>
    <row r="8876" spans="1:1" x14ac:dyDescent="0.25">
      <c r="A8876" s="16"/>
    </row>
    <row r="8877" spans="1:1" x14ac:dyDescent="0.25">
      <c r="A8877" s="16"/>
    </row>
    <row r="8878" spans="1:1" x14ac:dyDescent="0.25">
      <c r="A8878" s="16"/>
    </row>
    <row r="8879" spans="1:1" x14ac:dyDescent="0.25">
      <c r="A8879" s="16"/>
    </row>
    <row r="8880" spans="1:1" x14ac:dyDescent="0.25">
      <c r="A8880" s="16"/>
    </row>
    <row r="8881" spans="1:1" x14ac:dyDescent="0.25">
      <c r="A8881" s="16"/>
    </row>
    <row r="8882" spans="1:1" x14ac:dyDescent="0.25">
      <c r="A8882" s="16"/>
    </row>
    <row r="8883" spans="1:1" x14ac:dyDescent="0.25">
      <c r="A8883" s="16"/>
    </row>
    <row r="8884" spans="1:1" x14ac:dyDescent="0.25">
      <c r="A8884" s="16"/>
    </row>
    <row r="8885" spans="1:1" x14ac:dyDescent="0.25">
      <c r="A8885" s="16"/>
    </row>
    <row r="8886" spans="1:1" x14ac:dyDescent="0.25">
      <c r="A8886" s="16"/>
    </row>
    <row r="8887" spans="1:1" x14ac:dyDescent="0.25">
      <c r="A8887" s="16"/>
    </row>
    <row r="8888" spans="1:1" x14ac:dyDescent="0.25">
      <c r="A8888" s="16"/>
    </row>
    <row r="8889" spans="1:1" x14ac:dyDescent="0.25">
      <c r="A8889" s="16"/>
    </row>
    <row r="8890" spans="1:1" x14ac:dyDescent="0.25">
      <c r="A8890" s="16"/>
    </row>
    <row r="8891" spans="1:1" x14ac:dyDescent="0.25">
      <c r="A8891" s="16"/>
    </row>
    <row r="8892" spans="1:1" x14ac:dyDescent="0.25">
      <c r="A8892" s="16"/>
    </row>
    <row r="8893" spans="1:1" x14ac:dyDescent="0.25">
      <c r="A8893" s="16"/>
    </row>
    <row r="8894" spans="1:1" x14ac:dyDescent="0.25">
      <c r="A8894" s="16"/>
    </row>
    <row r="8895" spans="1:1" x14ac:dyDescent="0.25">
      <c r="A8895" s="16"/>
    </row>
    <row r="8896" spans="1:1" x14ac:dyDescent="0.25">
      <c r="A8896" s="16"/>
    </row>
    <row r="8897" spans="1:1" x14ac:dyDescent="0.25">
      <c r="A8897" s="16"/>
    </row>
    <row r="8898" spans="1:1" x14ac:dyDescent="0.25">
      <c r="A8898" s="16"/>
    </row>
    <row r="8899" spans="1:1" x14ac:dyDescent="0.25">
      <c r="A8899" s="16"/>
    </row>
    <row r="8900" spans="1:1" x14ac:dyDescent="0.25">
      <c r="A8900" s="16"/>
    </row>
    <row r="8901" spans="1:1" x14ac:dyDescent="0.25">
      <c r="A8901" s="16"/>
    </row>
    <row r="8902" spans="1:1" x14ac:dyDescent="0.25">
      <c r="A8902" s="16"/>
    </row>
    <row r="8903" spans="1:1" x14ac:dyDescent="0.25">
      <c r="A8903" s="16"/>
    </row>
    <row r="8904" spans="1:1" x14ac:dyDescent="0.25">
      <c r="A8904" s="16"/>
    </row>
    <row r="8905" spans="1:1" x14ac:dyDescent="0.25">
      <c r="A8905" s="16"/>
    </row>
    <row r="8906" spans="1:1" x14ac:dyDescent="0.25">
      <c r="A8906" s="16"/>
    </row>
    <row r="8907" spans="1:1" x14ac:dyDescent="0.25">
      <c r="A8907" s="16"/>
    </row>
    <row r="8908" spans="1:1" x14ac:dyDescent="0.25">
      <c r="A8908" s="16"/>
    </row>
    <row r="8909" spans="1:1" x14ac:dyDescent="0.25">
      <c r="A8909" s="16"/>
    </row>
    <row r="8910" spans="1:1" x14ac:dyDescent="0.25">
      <c r="A8910" s="16"/>
    </row>
    <row r="8911" spans="1:1" x14ac:dyDescent="0.25">
      <c r="A8911" s="16"/>
    </row>
    <row r="8912" spans="1:1" x14ac:dyDescent="0.25">
      <c r="A8912" s="16"/>
    </row>
    <row r="8913" spans="1:1" x14ac:dyDescent="0.25">
      <c r="A8913" s="16"/>
    </row>
    <row r="8914" spans="1:1" x14ac:dyDescent="0.25">
      <c r="A8914" s="16"/>
    </row>
    <row r="8915" spans="1:1" x14ac:dyDescent="0.25">
      <c r="A8915" s="16"/>
    </row>
    <row r="8916" spans="1:1" x14ac:dyDescent="0.25">
      <c r="A8916" s="16"/>
    </row>
    <row r="8917" spans="1:1" x14ac:dyDescent="0.25">
      <c r="A8917" s="16"/>
    </row>
    <row r="8918" spans="1:1" x14ac:dyDescent="0.25">
      <c r="A8918" s="16"/>
    </row>
    <row r="8919" spans="1:1" x14ac:dyDescent="0.25">
      <c r="A8919" s="16"/>
    </row>
    <row r="8920" spans="1:1" x14ac:dyDescent="0.25">
      <c r="A8920" s="16"/>
    </row>
    <row r="8921" spans="1:1" x14ac:dyDescent="0.25">
      <c r="A8921" s="16"/>
    </row>
    <row r="8922" spans="1:1" x14ac:dyDescent="0.25">
      <c r="A8922" s="16"/>
    </row>
    <row r="8923" spans="1:1" x14ac:dyDescent="0.25">
      <c r="A8923" s="16"/>
    </row>
    <row r="8924" spans="1:1" x14ac:dyDescent="0.25">
      <c r="A8924" s="16"/>
    </row>
    <row r="8925" spans="1:1" x14ac:dyDescent="0.25">
      <c r="A8925" s="16"/>
    </row>
    <row r="8926" spans="1:1" x14ac:dyDescent="0.25">
      <c r="A8926" s="16"/>
    </row>
    <row r="8927" spans="1:1" x14ac:dyDescent="0.25">
      <c r="A8927" s="16"/>
    </row>
    <row r="8928" spans="1:1" x14ac:dyDescent="0.25">
      <c r="A8928" s="16"/>
    </row>
    <row r="8929" spans="1:1" x14ac:dyDescent="0.25">
      <c r="A8929" s="16"/>
    </row>
    <row r="8930" spans="1:1" x14ac:dyDescent="0.25">
      <c r="A8930" s="16"/>
    </row>
    <row r="8931" spans="1:1" x14ac:dyDescent="0.25">
      <c r="A8931" s="16"/>
    </row>
    <row r="8932" spans="1:1" x14ac:dyDescent="0.25">
      <c r="A8932" s="16"/>
    </row>
    <row r="8933" spans="1:1" x14ac:dyDescent="0.25">
      <c r="A8933" s="16"/>
    </row>
    <row r="8934" spans="1:1" x14ac:dyDescent="0.25">
      <c r="A8934" s="16"/>
    </row>
    <row r="8935" spans="1:1" x14ac:dyDescent="0.25">
      <c r="A8935" s="16"/>
    </row>
    <row r="8936" spans="1:1" x14ac:dyDescent="0.25">
      <c r="A8936" s="16"/>
    </row>
    <row r="8937" spans="1:1" x14ac:dyDescent="0.25">
      <c r="A8937" s="16"/>
    </row>
    <row r="8938" spans="1:1" x14ac:dyDescent="0.25">
      <c r="A8938" s="16"/>
    </row>
    <row r="8939" spans="1:1" x14ac:dyDescent="0.25">
      <c r="A8939" s="16"/>
    </row>
    <row r="8940" spans="1:1" x14ac:dyDescent="0.25">
      <c r="A8940" s="16"/>
    </row>
    <row r="8941" spans="1:1" x14ac:dyDescent="0.25">
      <c r="A8941" s="16"/>
    </row>
    <row r="8942" spans="1:1" x14ac:dyDescent="0.25">
      <c r="A8942" s="16"/>
    </row>
    <row r="8943" spans="1:1" x14ac:dyDescent="0.25">
      <c r="A8943" s="16"/>
    </row>
    <row r="8944" spans="1:1" x14ac:dyDescent="0.25">
      <c r="A8944" s="16"/>
    </row>
    <row r="8945" spans="1:1" x14ac:dyDescent="0.25">
      <c r="A8945" s="16"/>
    </row>
    <row r="8946" spans="1:1" x14ac:dyDescent="0.25">
      <c r="A8946" s="16"/>
    </row>
    <row r="8947" spans="1:1" x14ac:dyDescent="0.25">
      <c r="A8947" s="16"/>
    </row>
    <row r="8948" spans="1:1" x14ac:dyDescent="0.25">
      <c r="A8948" s="16"/>
    </row>
    <row r="8949" spans="1:1" x14ac:dyDescent="0.25">
      <c r="A8949" s="16"/>
    </row>
    <row r="8950" spans="1:1" x14ac:dyDescent="0.25">
      <c r="A8950" s="16"/>
    </row>
    <row r="8951" spans="1:1" x14ac:dyDescent="0.25">
      <c r="A8951" s="16"/>
    </row>
    <row r="8952" spans="1:1" x14ac:dyDescent="0.25">
      <c r="A8952" s="16"/>
    </row>
    <row r="8953" spans="1:1" x14ac:dyDescent="0.25">
      <c r="A8953" s="16"/>
    </row>
    <row r="8954" spans="1:1" x14ac:dyDescent="0.25">
      <c r="A8954" s="16"/>
    </row>
    <row r="8955" spans="1:1" x14ac:dyDescent="0.25">
      <c r="A8955" s="16"/>
    </row>
    <row r="8956" spans="1:1" x14ac:dyDescent="0.25">
      <c r="A8956" s="16"/>
    </row>
    <row r="8957" spans="1:1" x14ac:dyDescent="0.25">
      <c r="A8957" s="16"/>
    </row>
    <row r="8958" spans="1:1" x14ac:dyDescent="0.25">
      <c r="A8958" s="16"/>
    </row>
    <row r="8959" spans="1:1" x14ac:dyDescent="0.25">
      <c r="A8959" s="16"/>
    </row>
    <row r="8960" spans="1:1" x14ac:dyDescent="0.25">
      <c r="A8960" s="16"/>
    </row>
    <row r="8961" spans="1:1" x14ac:dyDescent="0.25">
      <c r="A8961" s="16"/>
    </row>
    <row r="8962" spans="1:1" x14ac:dyDescent="0.25">
      <c r="A8962" s="16"/>
    </row>
    <row r="8963" spans="1:1" x14ac:dyDescent="0.25">
      <c r="A8963" s="16"/>
    </row>
    <row r="8964" spans="1:1" x14ac:dyDescent="0.25">
      <c r="A8964" s="16"/>
    </row>
    <row r="8965" spans="1:1" x14ac:dyDescent="0.25">
      <c r="A8965" s="16"/>
    </row>
    <row r="8966" spans="1:1" x14ac:dyDescent="0.25">
      <c r="A8966" s="16"/>
    </row>
    <row r="8967" spans="1:1" x14ac:dyDescent="0.25">
      <c r="A8967" s="16"/>
    </row>
    <row r="8968" spans="1:1" x14ac:dyDescent="0.25">
      <c r="A8968" s="16"/>
    </row>
    <row r="8969" spans="1:1" x14ac:dyDescent="0.25">
      <c r="A8969" s="16"/>
    </row>
    <row r="8970" spans="1:1" x14ac:dyDescent="0.25">
      <c r="A8970" s="16"/>
    </row>
    <row r="8971" spans="1:1" x14ac:dyDescent="0.25">
      <c r="A8971" s="16"/>
    </row>
    <row r="8972" spans="1:1" x14ac:dyDescent="0.25">
      <c r="A8972" s="16"/>
    </row>
    <row r="8973" spans="1:1" x14ac:dyDescent="0.25">
      <c r="A8973" s="16"/>
    </row>
    <row r="8974" spans="1:1" x14ac:dyDescent="0.25">
      <c r="A8974" s="16"/>
    </row>
    <row r="8975" spans="1:1" x14ac:dyDescent="0.25">
      <c r="A8975" s="16"/>
    </row>
    <row r="8976" spans="1:1" x14ac:dyDescent="0.25">
      <c r="A8976" s="16"/>
    </row>
    <row r="8977" spans="1:1" x14ac:dyDescent="0.25">
      <c r="A8977" s="16"/>
    </row>
    <row r="8978" spans="1:1" x14ac:dyDescent="0.25">
      <c r="A8978" s="16"/>
    </row>
    <row r="8979" spans="1:1" x14ac:dyDescent="0.25">
      <c r="A8979" s="16"/>
    </row>
    <row r="8980" spans="1:1" x14ac:dyDescent="0.25">
      <c r="A8980" s="16"/>
    </row>
    <row r="8981" spans="1:1" x14ac:dyDescent="0.25">
      <c r="A8981" s="16"/>
    </row>
    <row r="8982" spans="1:1" x14ac:dyDescent="0.25">
      <c r="A8982" s="16"/>
    </row>
    <row r="8983" spans="1:1" x14ac:dyDescent="0.25">
      <c r="A8983" s="16"/>
    </row>
    <row r="8984" spans="1:1" x14ac:dyDescent="0.25">
      <c r="A8984" s="16"/>
    </row>
    <row r="8985" spans="1:1" x14ac:dyDescent="0.25">
      <c r="A8985" s="16"/>
    </row>
    <row r="8986" spans="1:1" x14ac:dyDescent="0.25">
      <c r="A8986" s="16"/>
    </row>
    <row r="8987" spans="1:1" x14ac:dyDescent="0.25">
      <c r="A8987" s="16"/>
    </row>
    <row r="8988" spans="1:1" x14ac:dyDescent="0.25">
      <c r="A8988" s="16"/>
    </row>
    <row r="8989" spans="1:1" x14ac:dyDescent="0.25">
      <c r="A8989" s="16"/>
    </row>
    <row r="8990" spans="1:1" x14ac:dyDescent="0.25">
      <c r="A8990" s="16"/>
    </row>
    <row r="8991" spans="1:1" x14ac:dyDescent="0.25">
      <c r="A8991" s="16"/>
    </row>
    <row r="8992" spans="1:1" x14ac:dyDescent="0.25">
      <c r="A8992" s="16"/>
    </row>
    <row r="8993" spans="1:1" x14ac:dyDescent="0.25">
      <c r="A8993" s="16"/>
    </row>
    <row r="8994" spans="1:1" x14ac:dyDescent="0.25">
      <c r="A8994" s="16"/>
    </row>
    <row r="8995" spans="1:1" x14ac:dyDescent="0.25">
      <c r="A8995" s="16"/>
    </row>
    <row r="8996" spans="1:1" x14ac:dyDescent="0.25">
      <c r="A8996" s="16"/>
    </row>
    <row r="8997" spans="1:1" x14ac:dyDescent="0.25">
      <c r="A8997" s="16"/>
    </row>
    <row r="8998" spans="1:1" x14ac:dyDescent="0.25">
      <c r="A8998" s="16"/>
    </row>
    <row r="8999" spans="1:1" x14ac:dyDescent="0.25">
      <c r="A8999" s="16"/>
    </row>
    <row r="9000" spans="1:1" x14ac:dyDescent="0.25">
      <c r="A9000" s="16"/>
    </row>
    <row r="9001" spans="1:1" x14ac:dyDescent="0.25">
      <c r="A9001" s="16"/>
    </row>
    <row r="9002" spans="1:1" x14ac:dyDescent="0.25">
      <c r="A9002" s="16"/>
    </row>
    <row r="9003" spans="1:1" x14ac:dyDescent="0.25">
      <c r="A9003" s="16"/>
    </row>
    <row r="9004" spans="1:1" x14ac:dyDescent="0.25">
      <c r="A9004" s="16"/>
    </row>
    <row r="9005" spans="1:1" x14ac:dyDescent="0.25">
      <c r="A9005" s="16"/>
    </row>
    <row r="9006" spans="1:1" x14ac:dyDescent="0.25">
      <c r="A9006" s="16"/>
    </row>
    <row r="9007" spans="1:1" x14ac:dyDescent="0.25">
      <c r="A9007" s="16"/>
    </row>
    <row r="9008" spans="1:1" x14ac:dyDescent="0.25">
      <c r="A9008" s="16"/>
    </row>
    <row r="9009" spans="1:1" x14ac:dyDescent="0.25">
      <c r="A9009" s="16"/>
    </row>
    <row r="9010" spans="1:1" x14ac:dyDescent="0.25">
      <c r="A9010" s="16"/>
    </row>
    <row r="9011" spans="1:1" x14ac:dyDescent="0.25">
      <c r="A9011" s="16"/>
    </row>
    <row r="9012" spans="1:1" x14ac:dyDescent="0.25">
      <c r="A9012" s="16"/>
    </row>
    <row r="9013" spans="1:1" x14ac:dyDescent="0.25">
      <c r="A9013" s="16"/>
    </row>
    <row r="9014" spans="1:1" x14ac:dyDescent="0.25">
      <c r="A9014" s="16"/>
    </row>
    <row r="9015" spans="1:1" x14ac:dyDescent="0.25">
      <c r="A9015" s="16"/>
    </row>
    <row r="9016" spans="1:1" x14ac:dyDescent="0.25">
      <c r="A9016" s="16"/>
    </row>
    <row r="9017" spans="1:1" x14ac:dyDescent="0.25">
      <c r="A9017" s="16"/>
    </row>
    <row r="9018" spans="1:1" x14ac:dyDescent="0.25">
      <c r="A9018" s="16"/>
    </row>
    <row r="9019" spans="1:1" x14ac:dyDescent="0.25">
      <c r="A9019" s="16"/>
    </row>
    <row r="9020" spans="1:1" x14ac:dyDescent="0.25">
      <c r="A9020" s="16"/>
    </row>
    <row r="9021" spans="1:1" x14ac:dyDescent="0.25">
      <c r="A9021" s="16"/>
    </row>
    <row r="9022" spans="1:1" x14ac:dyDescent="0.25">
      <c r="A9022" s="16"/>
    </row>
    <row r="9023" spans="1:1" x14ac:dyDescent="0.25">
      <c r="A9023" s="16"/>
    </row>
    <row r="9024" spans="1:1" x14ac:dyDescent="0.25">
      <c r="A9024" s="16"/>
    </row>
    <row r="9025" spans="1:1" x14ac:dyDescent="0.25">
      <c r="A9025" s="16"/>
    </row>
    <row r="9026" spans="1:1" x14ac:dyDescent="0.25">
      <c r="A9026" s="16"/>
    </row>
    <row r="9027" spans="1:1" x14ac:dyDescent="0.25">
      <c r="A9027" s="16"/>
    </row>
    <row r="9028" spans="1:1" x14ac:dyDescent="0.25">
      <c r="A9028" s="16"/>
    </row>
    <row r="9029" spans="1:1" x14ac:dyDescent="0.25">
      <c r="A9029" s="16"/>
    </row>
    <row r="9030" spans="1:1" x14ac:dyDescent="0.25">
      <c r="A9030" s="16"/>
    </row>
    <row r="9031" spans="1:1" x14ac:dyDescent="0.25">
      <c r="A9031" s="16"/>
    </row>
    <row r="9032" spans="1:1" x14ac:dyDescent="0.25">
      <c r="A9032" s="16"/>
    </row>
    <row r="9033" spans="1:1" x14ac:dyDescent="0.25">
      <c r="A9033" s="16"/>
    </row>
    <row r="9034" spans="1:1" x14ac:dyDescent="0.25">
      <c r="A9034" s="16"/>
    </row>
    <row r="9035" spans="1:1" x14ac:dyDescent="0.25">
      <c r="A9035" s="16"/>
    </row>
    <row r="9036" spans="1:1" x14ac:dyDescent="0.25">
      <c r="A9036" s="16"/>
    </row>
    <row r="9037" spans="1:1" x14ac:dyDescent="0.25">
      <c r="A9037" s="16"/>
    </row>
    <row r="9038" spans="1:1" x14ac:dyDescent="0.25">
      <c r="A9038" s="16"/>
    </row>
    <row r="9039" spans="1:1" x14ac:dyDescent="0.25">
      <c r="A9039" s="16"/>
    </row>
    <row r="9040" spans="1:1" x14ac:dyDescent="0.25">
      <c r="A9040" s="16"/>
    </row>
    <row r="9041" spans="1:1" x14ac:dyDescent="0.25">
      <c r="A9041" s="16"/>
    </row>
    <row r="9042" spans="1:1" x14ac:dyDescent="0.25">
      <c r="A9042" s="16"/>
    </row>
    <row r="9043" spans="1:1" x14ac:dyDescent="0.25">
      <c r="A9043" s="16"/>
    </row>
    <row r="9044" spans="1:1" x14ac:dyDescent="0.25">
      <c r="A9044" s="16"/>
    </row>
    <row r="9045" spans="1:1" x14ac:dyDescent="0.25">
      <c r="A9045" s="16"/>
    </row>
    <row r="9046" spans="1:1" x14ac:dyDescent="0.25">
      <c r="A9046" s="16"/>
    </row>
    <row r="9047" spans="1:1" x14ac:dyDescent="0.25">
      <c r="A9047" s="16"/>
    </row>
    <row r="9048" spans="1:1" x14ac:dyDescent="0.25">
      <c r="A9048" s="16"/>
    </row>
    <row r="9049" spans="1:1" x14ac:dyDescent="0.25">
      <c r="A9049" s="16"/>
    </row>
    <row r="9050" spans="1:1" x14ac:dyDescent="0.25">
      <c r="A9050" s="16"/>
    </row>
    <row r="9051" spans="1:1" x14ac:dyDescent="0.25">
      <c r="A9051" s="16"/>
    </row>
    <row r="9052" spans="1:1" x14ac:dyDescent="0.25">
      <c r="A9052" s="16"/>
    </row>
    <row r="9053" spans="1:1" x14ac:dyDescent="0.25">
      <c r="A9053" s="16"/>
    </row>
    <row r="9054" spans="1:1" x14ac:dyDescent="0.25">
      <c r="A9054" s="16"/>
    </row>
    <row r="9055" spans="1:1" x14ac:dyDescent="0.25">
      <c r="A9055" s="16"/>
    </row>
    <row r="9056" spans="1:1" x14ac:dyDescent="0.25">
      <c r="A9056" s="16"/>
    </row>
    <row r="9057" spans="1:1" x14ac:dyDescent="0.25">
      <c r="A9057" s="16"/>
    </row>
    <row r="9058" spans="1:1" x14ac:dyDescent="0.25">
      <c r="A9058" s="16"/>
    </row>
    <row r="9059" spans="1:1" x14ac:dyDescent="0.25">
      <c r="A9059" s="16"/>
    </row>
    <row r="9060" spans="1:1" x14ac:dyDescent="0.25">
      <c r="A9060" s="16"/>
    </row>
    <row r="9061" spans="1:1" x14ac:dyDescent="0.25">
      <c r="A9061" s="16"/>
    </row>
    <row r="9062" spans="1:1" x14ac:dyDescent="0.25">
      <c r="A9062" s="16"/>
    </row>
    <row r="9063" spans="1:1" x14ac:dyDescent="0.25">
      <c r="A9063" s="16"/>
    </row>
    <row r="9064" spans="1:1" x14ac:dyDescent="0.25">
      <c r="A9064" s="16"/>
    </row>
    <row r="9065" spans="1:1" x14ac:dyDescent="0.25">
      <c r="A9065" s="16"/>
    </row>
    <row r="9066" spans="1:1" x14ac:dyDescent="0.25">
      <c r="A9066" s="16"/>
    </row>
    <row r="9067" spans="1:1" x14ac:dyDescent="0.25">
      <c r="A9067" s="16"/>
    </row>
    <row r="9068" spans="1:1" x14ac:dyDescent="0.25">
      <c r="A9068" s="16"/>
    </row>
    <row r="9069" spans="1:1" x14ac:dyDescent="0.25">
      <c r="A9069" s="16"/>
    </row>
    <row r="9070" spans="1:1" x14ac:dyDescent="0.25">
      <c r="A9070" s="16"/>
    </row>
    <row r="9071" spans="1:1" x14ac:dyDescent="0.25">
      <c r="A9071" s="16"/>
    </row>
    <row r="9072" spans="1:1" x14ac:dyDescent="0.25">
      <c r="A9072" s="16"/>
    </row>
    <row r="9073" spans="1:1" x14ac:dyDescent="0.25">
      <c r="A9073" s="16"/>
    </row>
    <row r="9074" spans="1:1" x14ac:dyDescent="0.25">
      <c r="A9074" s="16"/>
    </row>
    <row r="9075" spans="1:1" x14ac:dyDescent="0.25">
      <c r="A9075" s="16"/>
    </row>
    <row r="9076" spans="1:1" x14ac:dyDescent="0.25">
      <c r="A9076" s="16"/>
    </row>
    <row r="9077" spans="1:1" x14ac:dyDescent="0.25">
      <c r="A9077" s="16"/>
    </row>
    <row r="9078" spans="1:1" x14ac:dyDescent="0.25">
      <c r="A9078" s="16"/>
    </row>
    <row r="9079" spans="1:1" x14ac:dyDescent="0.25">
      <c r="A9079" s="16"/>
    </row>
    <row r="9080" spans="1:1" x14ac:dyDescent="0.25">
      <c r="A9080" s="16"/>
    </row>
    <row r="9081" spans="1:1" x14ac:dyDescent="0.25">
      <c r="A9081" s="16"/>
    </row>
    <row r="9082" spans="1:1" x14ac:dyDescent="0.25">
      <c r="A9082" s="16"/>
    </row>
    <row r="9083" spans="1:1" x14ac:dyDescent="0.25">
      <c r="A9083" s="16"/>
    </row>
    <row r="9084" spans="1:1" x14ac:dyDescent="0.25">
      <c r="A9084" s="16"/>
    </row>
    <row r="9085" spans="1:1" x14ac:dyDescent="0.25">
      <c r="A9085" s="16"/>
    </row>
    <row r="9086" spans="1:1" x14ac:dyDescent="0.25">
      <c r="A9086" s="16"/>
    </row>
    <row r="9087" spans="1:1" x14ac:dyDescent="0.25">
      <c r="A9087" s="16"/>
    </row>
    <row r="9088" spans="1:1" x14ac:dyDescent="0.25">
      <c r="A9088" s="16"/>
    </row>
    <row r="9089" spans="1:1" x14ac:dyDescent="0.25">
      <c r="A9089" s="16"/>
    </row>
    <row r="9090" spans="1:1" x14ac:dyDescent="0.25">
      <c r="A9090" s="16"/>
    </row>
    <row r="9091" spans="1:1" x14ac:dyDescent="0.25">
      <c r="A9091" s="16"/>
    </row>
    <row r="9092" spans="1:1" x14ac:dyDescent="0.25">
      <c r="A9092" s="16"/>
    </row>
    <row r="9093" spans="1:1" x14ac:dyDescent="0.25">
      <c r="A9093" s="16"/>
    </row>
    <row r="9094" spans="1:1" x14ac:dyDescent="0.25">
      <c r="A9094" s="16"/>
    </row>
    <row r="9095" spans="1:1" x14ac:dyDescent="0.25">
      <c r="A9095" s="16"/>
    </row>
    <row r="9096" spans="1:1" x14ac:dyDescent="0.25">
      <c r="A9096" s="16"/>
    </row>
    <row r="9097" spans="1:1" x14ac:dyDescent="0.25">
      <c r="A9097" s="16"/>
    </row>
    <row r="9098" spans="1:1" x14ac:dyDescent="0.25">
      <c r="A9098" s="16"/>
    </row>
    <row r="9099" spans="1:1" x14ac:dyDescent="0.25">
      <c r="A9099" s="16"/>
    </row>
    <row r="9100" spans="1:1" x14ac:dyDescent="0.25">
      <c r="A9100" s="16"/>
    </row>
    <row r="9101" spans="1:1" x14ac:dyDescent="0.25">
      <c r="A9101" s="16"/>
    </row>
    <row r="9102" spans="1:1" x14ac:dyDescent="0.25">
      <c r="A9102" s="16"/>
    </row>
    <row r="9103" spans="1:1" x14ac:dyDescent="0.25">
      <c r="A9103" s="16"/>
    </row>
    <row r="9104" spans="1:1" x14ac:dyDescent="0.25">
      <c r="A9104" s="16"/>
    </row>
    <row r="9105" spans="1:1" x14ac:dyDescent="0.25">
      <c r="A9105" s="16"/>
    </row>
    <row r="9106" spans="1:1" x14ac:dyDescent="0.25">
      <c r="A9106" s="16"/>
    </row>
    <row r="9107" spans="1:1" x14ac:dyDescent="0.25">
      <c r="A9107" s="16"/>
    </row>
    <row r="9108" spans="1:1" x14ac:dyDescent="0.25">
      <c r="A9108" s="16"/>
    </row>
    <row r="9109" spans="1:1" x14ac:dyDescent="0.25">
      <c r="A9109" s="16"/>
    </row>
    <row r="9110" spans="1:1" x14ac:dyDescent="0.25">
      <c r="A9110" s="16"/>
    </row>
    <row r="9111" spans="1:1" x14ac:dyDescent="0.25">
      <c r="A9111" s="16"/>
    </row>
    <row r="9112" spans="1:1" x14ac:dyDescent="0.25">
      <c r="A9112" s="16"/>
    </row>
    <row r="9113" spans="1:1" x14ac:dyDescent="0.25">
      <c r="A9113" s="16"/>
    </row>
    <row r="9114" spans="1:1" x14ac:dyDescent="0.25">
      <c r="A9114" s="16"/>
    </row>
    <row r="9115" spans="1:1" x14ac:dyDescent="0.25">
      <c r="A9115" s="16"/>
    </row>
    <row r="9116" spans="1:1" x14ac:dyDescent="0.25">
      <c r="A9116" s="16"/>
    </row>
    <row r="9117" spans="1:1" x14ac:dyDescent="0.25">
      <c r="A9117" s="16"/>
    </row>
    <row r="9118" spans="1:1" x14ac:dyDescent="0.25">
      <c r="A9118" s="16"/>
    </row>
    <row r="9119" spans="1:1" x14ac:dyDescent="0.25">
      <c r="A9119" s="16"/>
    </row>
    <row r="9120" spans="1:1" x14ac:dyDescent="0.25">
      <c r="A9120" s="16"/>
    </row>
    <row r="9121" spans="1:1" x14ac:dyDescent="0.25">
      <c r="A9121" s="16"/>
    </row>
    <row r="9122" spans="1:1" x14ac:dyDescent="0.25">
      <c r="A9122" s="16"/>
    </row>
    <row r="9123" spans="1:1" x14ac:dyDescent="0.25">
      <c r="A9123" s="16"/>
    </row>
    <row r="9124" spans="1:1" x14ac:dyDescent="0.25">
      <c r="A9124" s="16"/>
    </row>
    <row r="9125" spans="1:1" x14ac:dyDescent="0.25">
      <c r="A9125" s="16"/>
    </row>
    <row r="9126" spans="1:1" x14ac:dyDescent="0.25">
      <c r="A9126" s="16"/>
    </row>
    <row r="9127" spans="1:1" x14ac:dyDescent="0.25">
      <c r="A9127" s="16"/>
    </row>
    <row r="9128" spans="1:1" x14ac:dyDescent="0.25">
      <c r="A9128" s="16"/>
    </row>
    <row r="9129" spans="1:1" x14ac:dyDescent="0.25">
      <c r="A9129" s="16"/>
    </row>
    <row r="9130" spans="1:1" x14ac:dyDescent="0.25">
      <c r="A9130" s="16"/>
    </row>
    <row r="9131" spans="1:1" x14ac:dyDescent="0.25">
      <c r="A9131" s="16"/>
    </row>
    <row r="9132" spans="1:1" x14ac:dyDescent="0.25">
      <c r="A9132" s="16"/>
    </row>
    <row r="9133" spans="1:1" x14ac:dyDescent="0.25">
      <c r="A9133" s="16"/>
    </row>
    <row r="9134" spans="1:1" x14ac:dyDescent="0.25">
      <c r="A9134" s="16"/>
    </row>
    <row r="9135" spans="1:1" x14ac:dyDescent="0.25">
      <c r="A9135" s="16"/>
    </row>
    <row r="9136" spans="1:1" x14ac:dyDescent="0.25">
      <c r="A9136" s="16"/>
    </row>
    <row r="9137" spans="1:1" x14ac:dyDescent="0.25">
      <c r="A9137" s="16"/>
    </row>
    <row r="9138" spans="1:1" x14ac:dyDescent="0.25">
      <c r="A9138" s="16"/>
    </row>
    <row r="9139" spans="1:1" x14ac:dyDescent="0.25">
      <c r="A9139" s="16"/>
    </row>
    <row r="9140" spans="1:1" x14ac:dyDescent="0.25">
      <c r="A9140" s="16"/>
    </row>
    <row r="9141" spans="1:1" x14ac:dyDescent="0.25">
      <c r="A9141" s="16"/>
    </row>
    <row r="9142" spans="1:1" x14ac:dyDescent="0.25">
      <c r="A9142" s="16"/>
    </row>
    <row r="9143" spans="1:1" x14ac:dyDescent="0.25">
      <c r="A9143" s="16"/>
    </row>
    <row r="9144" spans="1:1" x14ac:dyDescent="0.25">
      <c r="A9144" s="16"/>
    </row>
    <row r="9145" spans="1:1" x14ac:dyDescent="0.25">
      <c r="A9145" s="16"/>
    </row>
    <row r="9146" spans="1:1" x14ac:dyDescent="0.25">
      <c r="A9146" s="16"/>
    </row>
    <row r="9147" spans="1:1" x14ac:dyDescent="0.25">
      <c r="A9147" s="16"/>
    </row>
    <row r="9148" spans="1:1" x14ac:dyDescent="0.25">
      <c r="A9148" s="16"/>
    </row>
    <row r="9149" spans="1:1" x14ac:dyDescent="0.25">
      <c r="A9149" s="16"/>
    </row>
    <row r="9150" spans="1:1" x14ac:dyDescent="0.25">
      <c r="A9150" s="16"/>
    </row>
    <row r="9151" spans="1:1" x14ac:dyDescent="0.25">
      <c r="A9151" s="16"/>
    </row>
    <row r="9152" spans="1:1" x14ac:dyDescent="0.25">
      <c r="A9152" s="16"/>
    </row>
    <row r="9153" spans="1:1" x14ac:dyDescent="0.25">
      <c r="A9153" s="16"/>
    </row>
    <row r="9154" spans="1:1" x14ac:dyDescent="0.25">
      <c r="A9154" s="16"/>
    </row>
    <row r="9155" spans="1:1" x14ac:dyDescent="0.25">
      <c r="A9155" s="16"/>
    </row>
    <row r="9156" spans="1:1" x14ac:dyDescent="0.25">
      <c r="A9156" s="16"/>
    </row>
    <row r="9157" spans="1:1" x14ac:dyDescent="0.25">
      <c r="A9157" s="16"/>
    </row>
    <row r="9158" spans="1:1" x14ac:dyDescent="0.25">
      <c r="A9158" s="16"/>
    </row>
    <row r="9159" spans="1:1" x14ac:dyDescent="0.25">
      <c r="A9159" s="16"/>
    </row>
    <row r="9160" spans="1:1" x14ac:dyDescent="0.25">
      <c r="A9160" s="16"/>
    </row>
    <row r="9161" spans="1:1" x14ac:dyDescent="0.25">
      <c r="A9161" s="16"/>
    </row>
    <row r="9162" spans="1:1" x14ac:dyDescent="0.25">
      <c r="A9162" s="16"/>
    </row>
    <row r="9163" spans="1:1" x14ac:dyDescent="0.25">
      <c r="A9163" s="16"/>
    </row>
    <row r="9164" spans="1:1" x14ac:dyDescent="0.25">
      <c r="A9164" s="16"/>
    </row>
    <row r="9165" spans="1:1" x14ac:dyDescent="0.25">
      <c r="A9165" s="16"/>
    </row>
    <row r="9166" spans="1:1" x14ac:dyDescent="0.25">
      <c r="A9166" s="16"/>
    </row>
    <row r="9167" spans="1:1" x14ac:dyDescent="0.25">
      <c r="A9167" s="16"/>
    </row>
    <row r="9168" spans="1:1" x14ac:dyDescent="0.25">
      <c r="A9168" s="16"/>
    </row>
    <row r="9169" spans="1:1" x14ac:dyDescent="0.25">
      <c r="A9169" s="16"/>
    </row>
    <row r="9170" spans="1:1" x14ac:dyDescent="0.25">
      <c r="A9170" s="16"/>
    </row>
    <row r="9171" spans="1:1" x14ac:dyDescent="0.25">
      <c r="A9171" s="16"/>
    </row>
    <row r="9172" spans="1:1" x14ac:dyDescent="0.25">
      <c r="A9172" s="16"/>
    </row>
    <row r="9173" spans="1:1" x14ac:dyDescent="0.25">
      <c r="A9173" s="16"/>
    </row>
    <row r="9174" spans="1:1" x14ac:dyDescent="0.25">
      <c r="A9174" s="16"/>
    </row>
    <row r="9175" spans="1:1" x14ac:dyDescent="0.25">
      <c r="A9175" s="16"/>
    </row>
    <row r="9176" spans="1:1" x14ac:dyDescent="0.25">
      <c r="A9176" s="16"/>
    </row>
    <row r="9177" spans="1:1" x14ac:dyDescent="0.25">
      <c r="A9177" s="16"/>
    </row>
    <row r="9178" spans="1:1" x14ac:dyDescent="0.25">
      <c r="A9178" s="16"/>
    </row>
    <row r="9179" spans="1:1" x14ac:dyDescent="0.25">
      <c r="A9179" s="16"/>
    </row>
    <row r="9180" spans="1:1" x14ac:dyDescent="0.25">
      <c r="A9180" s="16"/>
    </row>
    <row r="9181" spans="1:1" x14ac:dyDescent="0.25">
      <c r="A9181" s="16"/>
    </row>
    <row r="9182" spans="1:1" x14ac:dyDescent="0.25">
      <c r="A9182" s="16"/>
    </row>
    <row r="9183" spans="1:1" x14ac:dyDescent="0.25">
      <c r="A9183" s="16"/>
    </row>
    <row r="9184" spans="1:1" x14ac:dyDescent="0.25">
      <c r="A9184" s="16"/>
    </row>
    <row r="9185" spans="1:1" x14ac:dyDescent="0.25">
      <c r="A9185" s="16"/>
    </row>
    <row r="9186" spans="1:1" x14ac:dyDescent="0.25">
      <c r="A9186" s="16"/>
    </row>
    <row r="9187" spans="1:1" x14ac:dyDescent="0.25">
      <c r="A9187" s="16"/>
    </row>
    <row r="9188" spans="1:1" x14ac:dyDescent="0.25">
      <c r="A9188" s="16"/>
    </row>
    <row r="9189" spans="1:1" x14ac:dyDescent="0.25">
      <c r="A9189" s="16"/>
    </row>
    <row r="9190" spans="1:1" x14ac:dyDescent="0.25">
      <c r="A9190" s="16"/>
    </row>
    <row r="9191" spans="1:1" x14ac:dyDescent="0.25">
      <c r="A9191" s="16"/>
    </row>
    <row r="9192" spans="1:1" x14ac:dyDescent="0.25">
      <c r="A9192" s="16"/>
    </row>
    <row r="9193" spans="1:1" x14ac:dyDescent="0.25">
      <c r="A9193" s="16"/>
    </row>
    <row r="9194" spans="1:1" x14ac:dyDescent="0.25">
      <c r="A9194" s="16"/>
    </row>
    <row r="9195" spans="1:1" x14ac:dyDescent="0.25">
      <c r="A9195" s="16"/>
    </row>
    <row r="9196" spans="1:1" x14ac:dyDescent="0.25">
      <c r="A9196" s="16"/>
    </row>
    <row r="9197" spans="1:1" x14ac:dyDescent="0.25">
      <c r="A9197" s="16"/>
    </row>
    <row r="9198" spans="1:1" x14ac:dyDescent="0.25">
      <c r="A9198" s="16"/>
    </row>
    <row r="9199" spans="1:1" x14ac:dyDescent="0.25">
      <c r="A9199" s="16"/>
    </row>
    <row r="9200" spans="1:1" x14ac:dyDescent="0.25">
      <c r="A9200" s="16"/>
    </row>
    <row r="9201" spans="1:1" x14ac:dyDescent="0.25">
      <c r="A9201" s="16"/>
    </row>
    <row r="9202" spans="1:1" x14ac:dyDescent="0.25">
      <c r="A9202" s="16"/>
    </row>
    <row r="9203" spans="1:1" x14ac:dyDescent="0.25">
      <c r="A9203" s="16"/>
    </row>
    <row r="9204" spans="1:1" x14ac:dyDescent="0.25">
      <c r="A9204" s="16"/>
    </row>
    <row r="9205" spans="1:1" x14ac:dyDescent="0.25">
      <c r="A9205" s="16"/>
    </row>
    <row r="9206" spans="1:1" x14ac:dyDescent="0.25">
      <c r="A9206" s="16"/>
    </row>
    <row r="9207" spans="1:1" x14ac:dyDescent="0.25">
      <c r="A9207" s="16"/>
    </row>
    <row r="9208" spans="1:1" x14ac:dyDescent="0.25">
      <c r="A9208" s="16"/>
    </row>
    <row r="9209" spans="1:1" x14ac:dyDescent="0.25">
      <c r="A9209" s="16"/>
    </row>
    <row r="9210" spans="1:1" x14ac:dyDescent="0.25">
      <c r="A9210" s="16"/>
    </row>
    <row r="9211" spans="1:1" x14ac:dyDescent="0.25">
      <c r="A9211" s="16"/>
    </row>
    <row r="9212" spans="1:1" x14ac:dyDescent="0.25">
      <c r="A9212" s="16"/>
    </row>
    <row r="9213" spans="1:1" x14ac:dyDescent="0.25">
      <c r="A9213" s="16"/>
    </row>
    <row r="9214" spans="1:1" x14ac:dyDescent="0.25">
      <c r="A9214" s="16"/>
    </row>
    <row r="9215" spans="1:1" x14ac:dyDescent="0.25">
      <c r="A9215" s="16"/>
    </row>
    <row r="9216" spans="1:1" x14ac:dyDescent="0.25">
      <c r="A9216" s="16"/>
    </row>
    <row r="9217" spans="1:1" x14ac:dyDescent="0.25">
      <c r="A9217" s="16"/>
    </row>
    <row r="9218" spans="1:1" x14ac:dyDescent="0.25">
      <c r="A9218" s="16"/>
    </row>
    <row r="9219" spans="1:1" x14ac:dyDescent="0.25">
      <c r="A9219" s="16"/>
    </row>
    <row r="9220" spans="1:1" x14ac:dyDescent="0.25">
      <c r="A9220" s="16"/>
    </row>
    <row r="9221" spans="1:1" x14ac:dyDescent="0.25">
      <c r="A9221" s="16"/>
    </row>
    <row r="9222" spans="1:1" x14ac:dyDescent="0.25">
      <c r="A9222" s="16"/>
    </row>
    <row r="9223" spans="1:1" x14ac:dyDescent="0.25">
      <c r="A9223" s="16"/>
    </row>
    <row r="9224" spans="1:1" x14ac:dyDescent="0.25">
      <c r="A9224" s="16"/>
    </row>
    <row r="9225" spans="1:1" x14ac:dyDescent="0.25">
      <c r="A9225" s="16"/>
    </row>
    <row r="9226" spans="1:1" x14ac:dyDescent="0.25">
      <c r="A9226" s="16"/>
    </row>
    <row r="9227" spans="1:1" x14ac:dyDescent="0.25">
      <c r="A9227" s="16"/>
    </row>
    <row r="9228" spans="1:1" x14ac:dyDescent="0.25">
      <c r="A9228" s="16"/>
    </row>
    <row r="9229" spans="1:1" x14ac:dyDescent="0.25">
      <c r="A9229" s="16"/>
    </row>
    <row r="9230" spans="1:1" x14ac:dyDescent="0.25">
      <c r="A9230" s="16"/>
    </row>
    <row r="9231" spans="1:1" x14ac:dyDescent="0.25">
      <c r="A9231" s="16"/>
    </row>
    <row r="9232" spans="1:1" x14ac:dyDescent="0.25">
      <c r="A9232" s="16"/>
    </row>
    <row r="9233" spans="1:1" x14ac:dyDescent="0.25">
      <c r="A9233" s="16"/>
    </row>
    <row r="9234" spans="1:1" x14ac:dyDescent="0.25">
      <c r="A9234" s="16"/>
    </row>
    <row r="9235" spans="1:1" x14ac:dyDescent="0.25">
      <c r="A9235" s="16"/>
    </row>
    <row r="9236" spans="1:1" x14ac:dyDescent="0.25">
      <c r="A9236" s="16"/>
    </row>
    <row r="9237" spans="1:1" x14ac:dyDescent="0.25">
      <c r="A9237" s="16"/>
    </row>
    <row r="9238" spans="1:1" x14ac:dyDescent="0.25">
      <c r="A9238" s="16"/>
    </row>
    <row r="9239" spans="1:1" x14ac:dyDescent="0.25">
      <c r="A9239" s="16"/>
    </row>
    <row r="9240" spans="1:1" x14ac:dyDescent="0.25">
      <c r="A9240" s="16"/>
    </row>
    <row r="9241" spans="1:1" x14ac:dyDescent="0.25">
      <c r="A9241" s="16"/>
    </row>
    <row r="9242" spans="1:1" x14ac:dyDescent="0.25">
      <c r="A9242" s="16"/>
    </row>
    <row r="9243" spans="1:1" x14ac:dyDescent="0.25">
      <c r="A9243" s="16"/>
    </row>
    <row r="9244" spans="1:1" x14ac:dyDescent="0.25">
      <c r="A9244" s="16"/>
    </row>
    <row r="9245" spans="1:1" x14ac:dyDescent="0.25">
      <c r="A9245" s="16"/>
    </row>
    <row r="9246" spans="1:1" x14ac:dyDescent="0.25">
      <c r="A9246" s="16"/>
    </row>
    <row r="9247" spans="1:1" x14ac:dyDescent="0.25">
      <c r="A9247" s="16"/>
    </row>
    <row r="9248" spans="1:1" x14ac:dyDescent="0.25">
      <c r="A9248" s="16"/>
    </row>
    <row r="9249" spans="1:1" x14ac:dyDescent="0.25">
      <c r="A9249" s="16"/>
    </row>
    <row r="9250" spans="1:1" x14ac:dyDescent="0.25">
      <c r="A9250" s="16"/>
    </row>
    <row r="9251" spans="1:1" x14ac:dyDescent="0.25">
      <c r="A9251" s="16"/>
    </row>
    <row r="9252" spans="1:1" x14ac:dyDescent="0.25">
      <c r="A9252" s="16"/>
    </row>
    <row r="9253" spans="1:1" x14ac:dyDescent="0.25">
      <c r="A9253" s="16"/>
    </row>
    <row r="9254" spans="1:1" x14ac:dyDescent="0.25">
      <c r="A9254" s="16"/>
    </row>
    <row r="9255" spans="1:1" x14ac:dyDescent="0.25">
      <c r="A9255" s="16"/>
    </row>
    <row r="9256" spans="1:1" x14ac:dyDescent="0.25">
      <c r="A9256" s="16"/>
    </row>
    <row r="9257" spans="1:1" x14ac:dyDescent="0.25">
      <c r="A9257" s="16"/>
    </row>
    <row r="9258" spans="1:1" x14ac:dyDescent="0.25">
      <c r="A9258" s="16"/>
    </row>
    <row r="9259" spans="1:1" x14ac:dyDescent="0.25">
      <c r="A9259" s="16"/>
    </row>
    <row r="9260" spans="1:1" x14ac:dyDescent="0.25">
      <c r="A9260" s="16"/>
    </row>
    <row r="9261" spans="1:1" x14ac:dyDescent="0.25">
      <c r="A9261" s="16"/>
    </row>
    <row r="9262" spans="1:1" x14ac:dyDescent="0.25">
      <c r="A9262" s="16"/>
    </row>
    <row r="9263" spans="1:1" x14ac:dyDescent="0.25">
      <c r="A9263" s="16"/>
    </row>
    <row r="9264" spans="1:1" x14ac:dyDescent="0.25">
      <c r="A9264" s="16"/>
    </row>
    <row r="9265" spans="1:1" x14ac:dyDescent="0.25">
      <c r="A9265" s="16"/>
    </row>
    <row r="9266" spans="1:1" x14ac:dyDescent="0.25">
      <c r="A9266" s="16"/>
    </row>
    <row r="9267" spans="1:1" x14ac:dyDescent="0.25">
      <c r="A9267" s="16"/>
    </row>
    <row r="9268" spans="1:1" x14ac:dyDescent="0.25">
      <c r="A9268" s="16"/>
    </row>
    <row r="9269" spans="1:1" x14ac:dyDescent="0.25">
      <c r="A9269" s="16"/>
    </row>
    <row r="9270" spans="1:1" x14ac:dyDescent="0.25">
      <c r="A9270" s="16"/>
    </row>
    <row r="9271" spans="1:1" x14ac:dyDescent="0.25">
      <c r="A9271" s="16"/>
    </row>
    <row r="9272" spans="1:1" x14ac:dyDescent="0.25">
      <c r="A9272" s="16"/>
    </row>
    <row r="9273" spans="1:1" x14ac:dyDescent="0.25">
      <c r="A9273" s="16"/>
    </row>
    <row r="9274" spans="1:1" x14ac:dyDescent="0.25">
      <c r="A9274" s="16"/>
    </row>
    <row r="9275" spans="1:1" x14ac:dyDescent="0.25">
      <c r="A9275" s="16"/>
    </row>
    <row r="9276" spans="1:1" x14ac:dyDescent="0.25">
      <c r="A9276" s="16"/>
    </row>
    <row r="9277" spans="1:1" x14ac:dyDescent="0.25">
      <c r="A9277" s="16"/>
    </row>
    <row r="9278" spans="1:1" x14ac:dyDescent="0.25">
      <c r="A9278" s="16"/>
    </row>
    <row r="9279" spans="1:1" x14ac:dyDescent="0.25">
      <c r="A9279" s="16"/>
    </row>
    <row r="9280" spans="1:1" x14ac:dyDescent="0.25">
      <c r="A9280" s="16"/>
    </row>
    <row r="9281" spans="1:1" x14ac:dyDescent="0.25">
      <c r="A9281" s="16"/>
    </row>
    <row r="9282" spans="1:1" x14ac:dyDescent="0.25">
      <c r="A9282" s="16"/>
    </row>
    <row r="9283" spans="1:1" x14ac:dyDescent="0.25">
      <c r="A9283" s="16"/>
    </row>
    <row r="9284" spans="1:1" x14ac:dyDescent="0.25">
      <c r="A9284" s="16"/>
    </row>
    <row r="9285" spans="1:1" x14ac:dyDescent="0.25">
      <c r="A9285" s="16"/>
    </row>
    <row r="9286" spans="1:1" x14ac:dyDescent="0.25">
      <c r="A9286" s="16"/>
    </row>
    <row r="9287" spans="1:1" x14ac:dyDescent="0.25">
      <c r="A9287" s="16"/>
    </row>
    <row r="9288" spans="1:1" x14ac:dyDescent="0.25">
      <c r="A9288" s="16"/>
    </row>
    <row r="9289" spans="1:1" x14ac:dyDescent="0.25">
      <c r="A9289" s="16"/>
    </row>
    <row r="9290" spans="1:1" x14ac:dyDescent="0.25">
      <c r="A9290" s="16"/>
    </row>
    <row r="9291" spans="1:1" x14ac:dyDescent="0.25">
      <c r="A9291" s="16"/>
    </row>
    <row r="9292" spans="1:1" x14ac:dyDescent="0.25">
      <c r="A9292" s="16"/>
    </row>
    <row r="9293" spans="1:1" x14ac:dyDescent="0.25">
      <c r="A9293" s="16"/>
    </row>
    <row r="9294" spans="1:1" x14ac:dyDescent="0.25">
      <c r="A9294" s="16"/>
    </row>
    <row r="9295" spans="1:1" x14ac:dyDescent="0.25">
      <c r="A9295" s="16"/>
    </row>
    <row r="9296" spans="1:1" x14ac:dyDescent="0.25">
      <c r="A9296" s="16"/>
    </row>
    <row r="9297" spans="1:1" x14ac:dyDescent="0.25">
      <c r="A9297" s="16"/>
    </row>
    <row r="9298" spans="1:1" x14ac:dyDescent="0.25">
      <c r="A9298" s="16"/>
    </row>
    <row r="9299" spans="1:1" x14ac:dyDescent="0.25">
      <c r="A9299" s="16"/>
    </row>
    <row r="9300" spans="1:1" x14ac:dyDescent="0.25">
      <c r="A9300" s="16"/>
    </row>
    <row r="9301" spans="1:1" x14ac:dyDescent="0.25">
      <c r="A9301" s="16"/>
    </row>
    <row r="9302" spans="1:1" x14ac:dyDescent="0.25">
      <c r="A9302" s="16"/>
    </row>
    <row r="9303" spans="1:1" x14ac:dyDescent="0.25">
      <c r="A9303" s="16"/>
    </row>
    <row r="9304" spans="1:1" x14ac:dyDescent="0.25">
      <c r="A9304" s="16"/>
    </row>
    <row r="9305" spans="1:1" x14ac:dyDescent="0.25">
      <c r="A9305" s="16"/>
    </row>
    <row r="9306" spans="1:1" x14ac:dyDescent="0.25">
      <c r="A9306" s="16"/>
    </row>
    <row r="9307" spans="1:1" x14ac:dyDescent="0.25">
      <c r="A9307" s="16"/>
    </row>
    <row r="9308" spans="1:1" x14ac:dyDescent="0.25">
      <c r="A9308" s="16"/>
    </row>
    <row r="9309" spans="1:1" x14ac:dyDescent="0.25">
      <c r="A9309" s="16"/>
    </row>
    <row r="9310" spans="1:1" x14ac:dyDescent="0.25">
      <c r="A9310" s="16"/>
    </row>
    <row r="9311" spans="1:1" x14ac:dyDescent="0.25">
      <c r="A9311" s="16"/>
    </row>
    <row r="9312" spans="1:1" x14ac:dyDescent="0.25">
      <c r="A9312" s="16"/>
    </row>
    <row r="9313" spans="1:1" x14ac:dyDescent="0.25">
      <c r="A9313" s="16"/>
    </row>
    <row r="9314" spans="1:1" x14ac:dyDescent="0.25">
      <c r="A9314" s="16"/>
    </row>
    <row r="9315" spans="1:1" x14ac:dyDescent="0.25">
      <c r="A9315" s="16"/>
    </row>
    <row r="9316" spans="1:1" x14ac:dyDescent="0.25">
      <c r="A9316" s="16"/>
    </row>
    <row r="9317" spans="1:1" x14ac:dyDescent="0.25">
      <c r="A9317" s="16"/>
    </row>
    <row r="9318" spans="1:1" x14ac:dyDescent="0.25">
      <c r="A9318" s="16"/>
    </row>
    <row r="9319" spans="1:1" x14ac:dyDescent="0.25">
      <c r="A9319" s="16"/>
    </row>
    <row r="9320" spans="1:1" x14ac:dyDescent="0.25">
      <c r="A9320" s="16"/>
    </row>
    <row r="9321" spans="1:1" x14ac:dyDescent="0.25">
      <c r="A9321" s="16"/>
    </row>
    <row r="9322" spans="1:1" x14ac:dyDescent="0.25">
      <c r="A9322" s="16"/>
    </row>
    <row r="9323" spans="1:1" x14ac:dyDescent="0.25">
      <c r="A9323" s="16"/>
    </row>
    <row r="9324" spans="1:1" x14ac:dyDescent="0.25">
      <c r="A9324" s="16"/>
    </row>
    <row r="9325" spans="1:1" x14ac:dyDescent="0.25">
      <c r="A9325" s="16"/>
    </row>
    <row r="9326" spans="1:1" x14ac:dyDescent="0.25">
      <c r="A9326" s="16"/>
    </row>
    <row r="9327" spans="1:1" x14ac:dyDescent="0.25">
      <c r="A9327" s="16"/>
    </row>
    <row r="9328" spans="1:1" x14ac:dyDescent="0.25">
      <c r="A9328" s="16"/>
    </row>
    <row r="9329" spans="1:1" x14ac:dyDescent="0.25">
      <c r="A9329" s="16"/>
    </row>
    <row r="9330" spans="1:1" x14ac:dyDescent="0.25">
      <c r="A9330" s="16"/>
    </row>
    <row r="9331" spans="1:1" x14ac:dyDescent="0.25">
      <c r="A9331" s="16"/>
    </row>
    <row r="9332" spans="1:1" x14ac:dyDescent="0.25">
      <c r="A9332" s="16"/>
    </row>
    <row r="9333" spans="1:1" x14ac:dyDescent="0.25">
      <c r="A9333" s="16"/>
    </row>
    <row r="9334" spans="1:1" x14ac:dyDescent="0.25">
      <c r="A9334" s="16"/>
    </row>
    <row r="9335" spans="1:1" x14ac:dyDescent="0.25">
      <c r="A9335" s="16"/>
    </row>
    <row r="9336" spans="1:1" x14ac:dyDescent="0.25">
      <c r="A9336" s="16"/>
    </row>
    <row r="9337" spans="1:1" x14ac:dyDescent="0.25">
      <c r="A9337" s="16"/>
    </row>
    <row r="9338" spans="1:1" x14ac:dyDescent="0.25">
      <c r="A9338" s="16"/>
    </row>
    <row r="9339" spans="1:1" x14ac:dyDescent="0.25">
      <c r="A9339" s="16"/>
    </row>
    <row r="9340" spans="1:1" x14ac:dyDescent="0.25">
      <c r="A9340" s="16"/>
    </row>
    <row r="9341" spans="1:1" x14ac:dyDescent="0.25">
      <c r="A9341" s="16"/>
    </row>
    <row r="9342" spans="1:1" x14ac:dyDescent="0.25">
      <c r="A9342" s="16"/>
    </row>
    <row r="9343" spans="1:1" x14ac:dyDescent="0.25">
      <c r="A9343" s="16"/>
    </row>
    <row r="9344" spans="1:1" x14ac:dyDescent="0.25">
      <c r="A9344" s="16"/>
    </row>
    <row r="9345" spans="1:1" x14ac:dyDescent="0.25">
      <c r="A9345" s="16"/>
    </row>
    <row r="9346" spans="1:1" x14ac:dyDescent="0.25">
      <c r="A9346" s="16"/>
    </row>
    <row r="9347" spans="1:1" x14ac:dyDescent="0.25">
      <c r="A9347" s="16"/>
    </row>
    <row r="9348" spans="1:1" x14ac:dyDescent="0.25">
      <c r="A9348" s="16"/>
    </row>
    <row r="9349" spans="1:1" x14ac:dyDescent="0.25">
      <c r="A9349" s="16"/>
    </row>
    <row r="9350" spans="1:1" x14ac:dyDescent="0.25">
      <c r="A9350" s="16"/>
    </row>
    <row r="9351" spans="1:1" x14ac:dyDescent="0.25">
      <c r="A9351" s="16"/>
    </row>
    <row r="9352" spans="1:1" x14ac:dyDescent="0.25">
      <c r="A9352" s="16"/>
    </row>
    <row r="9353" spans="1:1" x14ac:dyDescent="0.25">
      <c r="A9353" s="16"/>
    </row>
    <row r="9354" spans="1:1" x14ac:dyDescent="0.25">
      <c r="A9354" s="16"/>
    </row>
    <row r="9355" spans="1:1" x14ac:dyDescent="0.25">
      <c r="A9355" s="16"/>
    </row>
    <row r="9356" spans="1:1" x14ac:dyDescent="0.25">
      <c r="A9356" s="16"/>
    </row>
    <row r="9357" spans="1:1" x14ac:dyDescent="0.25">
      <c r="A9357" s="16"/>
    </row>
    <row r="9358" spans="1:1" x14ac:dyDescent="0.25">
      <c r="A9358" s="16"/>
    </row>
    <row r="9359" spans="1:1" x14ac:dyDescent="0.25">
      <c r="A9359" s="16"/>
    </row>
    <row r="9360" spans="1:1" x14ac:dyDescent="0.25">
      <c r="A9360" s="16"/>
    </row>
    <row r="9361" spans="1:1" x14ac:dyDescent="0.25">
      <c r="A9361" s="16"/>
    </row>
    <row r="9362" spans="1:1" x14ac:dyDescent="0.25">
      <c r="A9362" s="16"/>
    </row>
    <row r="9363" spans="1:1" x14ac:dyDescent="0.25">
      <c r="A9363" s="16"/>
    </row>
    <row r="9364" spans="1:1" x14ac:dyDescent="0.25">
      <c r="A9364" s="16"/>
    </row>
    <row r="9365" spans="1:1" x14ac:dyDescent="0.25">
      <c r="A9365" s="16"/>
    </row>
    <row r="9366" spans="1:1" x14ac:dyDescent="0.25">
      <c r="A9366" s="16"/>
    </row>
    <row r="9367" spans="1:1" x14ac:dyDescent="0.25">
      <c r="A9367" s="16"/>
    </row>
    <row r="9368" spans="1:1" x14ac:dyDescent="0.25">
      <c r="A9368" s="16"/>
    </row>
    <row r="9369" spans="1:1" x14ac:dyDescent="0.25">
      <c r="A9369" s="16"/>
    </row>
    <row r="9370" spans="1:1" x14ac:dyDescent="0.25">
      <c r="A9370" s="16"/>
    </row>
    <row r="9371" spans="1:1" x14ac:dyDescent="0.25">
      <c r="A9371" s="16"/>
    </row>
    <row r="9372" spans="1:1" x14ac:dyDescent="0.25">
      <c r="A9372" s="16"/>
    </row>
    <row r="9373" spans="1:1" x14ac:dyDescent="0.25">
      <c r="A9373" s="16"/>
    </row>
    <row r="9374" spans="1:1" x14ac:dyDescent="0.25">
      <c r="A9374" s="16"/>
    </row>
    <row r="9375" spans="1:1" x14ac:dyDescent="0.25">
      <c r="A9375" s="16"/>
    </row>
    <row r="9376" spans="1:1" x14ac:dyDescent="0.25">
      <c r="A9376" s="16"/>
    </row>
    <row r="9377" spans="1:1" x14ac:dyDescent="0.25">
      <c r="A9377" s="16"/>
    </row>
    <row r="9378" spans="1:1" x14ac:dyDescent="0.25">
      <c r="A9378" s="16"/>
    </row>
    <row r="9379" spans="1:1" x14ac:dyDescent="0.25">
      <c r="A9379" s="16"/>
    </row>
    <row r="9380" spans="1:1" x14ac:dyDescent="0.25">
      <c r="A9380" s="16"/>
    </row>
    <row r="9381" spans="1:1" x14ac:dyDescent="0.25">
      <c r="A9381" s="16"/>
    </row>
    <row r="9382" spans="1:1" x14ac:dyDescent="0.25">
      <c r="A9382" s="16"/>
    </row>
    <row r="9383" spans="1:1" x14ac:dyDescent="0.25">
      <c r="A9383" s="16"/>
    </row>
    <row r="9384" spans="1:1" x14ac:dyDescent="0.25">
      <c r="A9384" s="16"/>
    </row>
    <row r="9385" spans="1:1" x14ac:dyDescent="0.25">
      <c r="A9385" s="16"/>
    </row>
    <row r="9386" spans="1:1" x14ac:dyDescent="0.25">
      <c r="A9386" s="16"/>
    </row>
    <row r="9387" spans="1:1" x14ac:dyDescent="0.25">
      <c r="A9387" s="16"/>
    </row>
    <row r="9388" spans="1:1" x14ac:dyDescent="0.25">
      <c r="A9388" s="16"/>
    </row>
    <row r="9389" spans="1:1" x14ac:dyDescent="0.25">
      <c r="A9389" s="16"/>
    </row>
    <row r="9390" spans="1:1" x14ac:dyDescent="0.25">
      <c r="A9390" s="16"/>
    </row>
    <row r="9391" spans="1:1" x14ac:dyDescent="0.25">
      <c r="A9391" s="16"/>
    </row>
    <row r="9392" spans="1:1" x14ac:dyDescent="0.25">
      <c r="A9392" s="16"/>
    </row>
    <row r="9393" spans="1:1" x14ac:dyDescent="0.25">
      <c r="A9393" s="16"/>
    </row>
    <row r="9394" spans="1:1" x14ac:dyDescent="0.25">
      <c r="A9394" s="16"/>
    </row>
    <row r="9395" spans="1:1" x14ac:dyDescent="0.25">
      <c r="A9395" s="16"/>
    </row>
    <row r="9396" spans="1:1" x14ac:dyDescent="0.25">
      <c r="A9396" s="16"/>
    </row>
    <row r="9397" spans="1:1" x14ac:dyDescent="0.25">
      <c r="A9397" s="16"/>
    </row>
    <row r="9398" spans="1:1" x14ac:dyDescent="0.25">
      <c r="A9398" s="16"/>
    </row>
    <row r="9399" spans="1:1" x14ac:dyDescent="0.25">
      <c r="A9399" s="16"/>
    </row>
    <row r="9400" spans="1:1" x14ac:dyDescent="0.25">
      <c r="A9400" s="16"/>
    </row>
    <row r="9401" spans="1:1" x14ac:dyDescent="0.25">
      <c r="A9401" s="16"/>
    </row>
    <row r="9402" spans="1:1" x14ac:dyDescent="0.25">
      <c r="A9402" s="16"/>
    </row>
    <row r="9403" spans="1:1" x14ac:dyDescent="0.25">
      <c r="A9403" s="16"/>
    </row>
    <row r="9404" spans="1:1" x14ac:dyDescent="0.25">
      <c r="A9404" s="16"/>
    </row>
    <row r="9405" spans="1:1" x14ac:dyDescent="0.25">
      <c r="A9405" s="16"/>
    </row>
    <row r="9406" spans="1:1" x14ac:dyDescent="0.25">
      <c r="A9406" s="16"/>
    </row>
    <row r="9407" spans="1:1" x14ac:dyDescent="0.25">
      <c r="A9407" s="16"/>
    </row>
    <row r="9408" spans="1:1" x14ac:dyDescent="0.25">
      <c r="A9408" s="16"/>
    </row>
    <row r="9409" spans="1:1" x14ac:dyDescent="0.25">
      <c r="A9409" s="16"/>
    </row>
    <row r="9410" spans="1:1" x14ac:dyDescent="0.25">
      <c r="A9410" s="16"/>
    </row>
    <row r="9411" spans="1:1" x14ac:dyDescent="0.25">
      <c r="A9411" s="16"/>
    </row>
    <row r="9412" spans="1:1" x14ac:dyDescent="0.25">
      <c r="A9412" s="16"/>
    </row>
    <row r="9413" spans="1:1" x14ac:dyDescent="0.25">
      <c r="A9413" s="16"/>
    </row>
    <row r="9414" spans="1:1" x14ac:dyDescent="0.25">
      <c r="A9414" s="16"/>
    </row>
    <row r="9415" spans="1:1" x14ac:dyDescent="0.25">
      <c r="A9415" s="16"/>
    </row>
    <row r="9416" spans="1:1" x14ac:dyDescent="0.25">
      <c r="A9416" s="16"/>
    </row>
    <row r="9417" spans="1:1" x14ac:dyDescent="0.25">
      <c r="A9417" s="16"/>
    </row>
    <row r="9418" spans="1:1" x14ac:dyDescent="0.25">
      <c r="A9418" s="16"/>
    </row>
    <row r="9419" spans="1:1" x14ac:dyDescent="0.25">
      <c r="A9419" s="16"/>
    </row>
    <row r="9420" spans="1:1" x14ac:dyDescent="0.25">
      <c r="A9420" s="16"/>
    </row>
    <row r="9421" spans="1:1" x14ac:dyDescent="0.25">
      <c r="A9421" s="16"/>
    </row>
    <row r="9422" spans="1:1" x14ac:dyDescent="0.25">
      <c r="A9422" s="16"/>
    </row>
    <row r="9423" spans="1:1" x14ac:dyDescent="0.25">
      <c r="A9423" s="16"/>
    </row>
    <row r="9424" spans="1:1" x14ac:dyDescent="0.25">
      <c r="A9424" s="16"/>
    </row>
    <row r="9425" spans="1:1" x14ac:dyDescent="0.25">
      <c r="A9425" s="16"/>
    </row>
    <row r="9426" spans="1:1" x14ac:dyDescent="0.25">
      <c r="A9426" s="16"/>
    </row>
    <row r="9427" spans="1:1" x14ac:dyDescent="0.25">
      <c r="A9427" s="16"/>
    </row>
    <row r="9428" spans="1:1" x14ac:dyDescent="0.25">
      <c r="A9428" s="16"/>
    </row>
    <row r="9429" spans="1:1" x14ac:dyDescent="0.25">
      <c r="A9429" s="16"/>
    </row>
    <row r="9430" spans="1:1" x14ac:dyDescent="0.25">
      <c r="A9430" s="16"/>
    </row>
    <row r="9431" spans="1:1" x14ac:dyDescent="0.25">
      <c r="A9431" s="16"/>
    </row>
    <row r="9432" spans="1:1" x14ac:dyDescent="0.25">
      <c r="A9432" s="16"/>
    </row>
    <row r="9433" spans="1:1" x14ac:dyDescent="0.25">
      <c r="A9433" s="16"/>
    </row>
    <row r="9434" spans="1:1" x14ac:dyDescent="0.25">
      <c r="A9434" s="16"/>
    </row>
    <row r="9435" spans="1:1" x14ac:dyDescent="0.25">
      <c r="A9435" s="16"/>
    </row>
    <row r="9436" spans="1:1" x14ac:dyDescent="0.25">
      <c r="A9436" s="16"/>
    </row>
    <row r="9437" spans="1:1" x14ac:dyDescent="0.25">
      <c r="A9437" s="16"/>
    </row>
    <row r="9438" spans="1:1" x14ac:dyDescent="0.25">
      <c r="A9438" s="16"/>
    </row>
    <row r="9439" spans="1:1" x14ac:dyDescent="0.25">
      <c r="A9439" s="16"/>
    </row>
    <row r="9440" spans="1:1" x14ac:dyDescent="0.25">
      <c r="A9440" s="16"/>
    </row>
    <row r="9441" spans="1:1" x14ac:dyDescent="0.25">
      <c r="A9441" s="16"/>
    </row>
    <row r="9442" spans="1:1" x14ac:dyDescent="0.25">
      <c r="A9442" s="16"/>
    </row>
    <row r="9443" spans="1:1" x14ac:dyDescent="0.25">
      <c r="A9443" s="16"/>
    </row>
    <row r="9444" spans="1:1" x14ac:dyDescent="0.25">
      <c r="A9444" s="16"/>
    </row>
    <row r="9445" spans="1:1" x14ac:dyDescent="0.25">
      <c r="A9445" s="16"/>
    </row>
    <row r="9446" spans="1:1" x14ac:dyDescent="0.25">
      <c r="A9446" s="16"/>
    </row>
    <row r="9447" spans="1:1" x14ac:dyDescent="0.25">
      <c r="A9447" s="16"/>
    </row>
    <row r="9448" spans="1:1" x14ac:dyDescent="0.25">
      <c r="A9448" s="16"/>
    </row>
    <row r="9449" spans="1:1" x14ac:dyDescent="0.25">
      <c r="A9449" s="16"/>
    </row>
    <row r="9450" spans="1:1" x14ac:dyDescent="0.25">
      <c r="A9450" s="16"/>
    </row>
    <row r="9451" spans="1:1" x14ac:dyDescent="0.25">
      <c r="A9451" s="16"/>
    </row>
    <row r="9452" spans="1:1" x14ac:dyDescent="0.25">
      <c r="A9452" s="16"/>
    </row>
    <row r="9453" spans="1:1" x14ac:dyDescent="0.25">
      <c r="A9453" s="16"/>
    </row>
    <row r="9454" spans="1:1" x14ac:dyDescent="0.25">
      <c r="A9454" s="16"/>
    </row>
    <row r="9455" spans="1:1" x14ac:dyDescent="0.25">
      <c r="A9455" s="16"/>
    </row>
    <row r="9456" spans="1:1" x14ac:dyDescent="0.25">
      <c r="A9456" s="16"/>
    </row>
    <row r="9457" spans="1:1" x14ac:dyDescent="0.25">
      <c r="A9457" s="16"/>
    </row>
    <row r="9458" spans="1:1" x14ac:dyDescent="0.25">
      <c r="A9458" s="16"/>
    </row>
    <row r="9459" spans="1:1" x14ac:dyDescent="0.25">
      <c r="A9459" s="16"/>
    </row>
    <row r="9460" spans="1:1" x14ac:dyDescent="0.25">
      <c r="A9460" s="16"/>
    </row>
    <row r="9461" spans="1:1" x14ac:dyDescent="0.25">
      <c r="A9461" s="16"/>
    </row>
    <row r="9462" spans="1:1" x14ac:dyDescent="0.25">
      <c r="A9462" s="16"/>
    </row>
    <row r="9463" spans="1:1" x14ac:dyDescent="0.25">
      <c r="A9463" s="16"/>
    </row>
    <row r="9464" spans="1:1" x14ac:dyDescent="0.25">
      <c r="A9464" s="16"/>
    </row>
    <row r="9465" spans="1:1" x14ac:dyDescent="0.25">
      <c r="A9465" s="16"/>
    </row>
    <row r="9466" spans="1:1" x14ac:dyDescent="0.25">
      <c r="A9466" s="16"/>
    </row>
    <row r="9467" spans="1:1" x14ac:dyDescent="0.25">
      <c r="A9467" s="16"/>
    </row>
    <row r="9468" spans="1:1" x14ac:dyDescent="0.25">
      <c r="A9468" s="16"/>
    </row>
    <row r="9469" spans="1:1" x14ac:dyDescent="0.25">
      <c r="A9469" s="16"/>
    </row>
    <row r="9470" spans="1:1" x14ac:dyDescent="0.25">
      <c r="A9470" s="16"/>
    </row>
    <row r="9471" spans="1:1" x14ac:dyDescent="0.25">
      <c r="A9471" s="16"/>
    </row>
    <row r="9472" spans="1:1" x14ac:dyDescent="0.25">
      <c r="A9472" s="16"/>
    </row>
    <row r="9473" spans="1:1" x14ac:dyDescent="0.25">
      <c r="A9473" s="16"/>
    </row>
    <row r="9474" spans="1:1" x14ac:dyDescent="0.25">
      <c r="A9474" s="16"/>
    </row>
    <row r="9475" spans="1:1" x14ac:dyDescent="0.25">
      <c r="A9475" s="16"/>
    </row>
    <row r="9476" spans="1:1" x14ac:dyDescent="0.25">
      <c r="A9476" s="16"/>
    </row>
    <row r="9477" spans="1:1" x14ac:dyDescent="0.25">
      <c r="A9477" s="16"/>
    </row>
    <row r="9478" spans="1:1" x14ac:dyDescent="0.25">
      <c r="A9478" s="16"/>
    </row>
    <row r="9479" spans="1:1" x14ac:dyDescent="0.25">
      <c r="A9479" s="16"/>
    </row>
    <row r="9480" spans="1:1" x14ac:dyDescent="0.25">
      <c r="A9480" s="16"/>
    </row>
    <row r="9481" spans="1:1" x14ac:dyDescent="0.25">
      <c r="A9481" s="16"/>
    </row>
    <row r="9482" spans="1:1" x14ac:dyDescent="0.25">
      <c r="A9482" s="16"/>
    </row>
    <row r="9483" spans="1:1" x14ac:dyDescent="0.25">
      <c r="A9483" s="16"/>
    </row>
    <row r="9484" spans="1:1" x14ac:dyDescent="0.25">
      <c r="A9484" s="16"/>
    </row>
    <row r="9485" spans="1:1" x14ac:dyDescent="0.25">
      <c r="A9485" s="16"/>
    </row>
    <row r="9486" spans="1:1" x14ac:dyDescent="0.25">
      <c r="A9486" s="16"/>
    </row>
    <row r="9487" spans="1:1" x14ac:dyDescent="0.25">
      <c r="A9487" s="16"/>
    </row>
    <row r="9488" spans="1:1" x14ac:dyDescent="0.25">
      <c r="A9488" s="16"/>
    </row>
    <row r="9489" spans="1:1" x14ac:dyDescent="0.25">
      <c r="A9489" s="16"/>
    </row>
    <row r="9490" spans="1:1" x14ac:dyDescent="0.25">
      <c r="A9490" s="16"/>
    </row>
    <row r="9491" spans="1:1" x14ac:dyDescent="0.25">
      <c r="A9491" s="16"/>
    </row>
    <row r="9492" spans="1:1" x14ac:dyDescent="0.25">
      <c r="A9492" s="16"/>
    </row>
    <row r="9493" spans="1:1" x14ac:dyDescent="0.25">
      <c r="A9493" s="16"/>
    </row>
    <row r="9494" spans="1:1" x14ac:dyDescent="0.25">
      <c r="A9494" s="16"/>
    </row>
    <row r="9495" spans="1:1" x14ac:dyDescent="0.25">
      <c r="A9495" s="16"/>
    </row>
    <row r="9496" spans="1:1" x14ac:dyDescent="0.25">
      <c r="A9496" s="16"/>
    </row>
    <row r="9497" spans="1:1" x14ac:dyDescent="0.25">
      <c r="A9497" s="16"/>
    </row>
    <row r="9498" spans="1:1" x14ac:dyDescent="0.25">
      <c r="A9498" s="16"/>
    </row>
    <row r="9499" spans="1:1" x14ac:dyDescent="0.25">
      <c r="A9499" s="16"/>
    </row>
    <row r="9500" spans="1:1" x14ac:dyDescent="0.25">
      <c r="A9500" s="16"/>
    </row>
    <row r="9501" spans="1:1" x14ac:dyDescent="0.25">
      <c r="A9501" s="16"/>
    </row>
    <row r="9502" spans="1:1" x14ac:dyDescent="0.25">
      <c r="A9502" s="16"/>
    </row>
    <row r="9503" spans="1:1" x14ac:dyDescent="0.25">
      <c r="A9503" s="16"/>
    </row>
    <row r="9504" spans="1:1" x14ac:dyDescent="0.25">
      <c r="A9504" s="16"/>
    </row>
    <row r="9505" spans="1:1" x14ac:dyDescent="0.25">
      <c r="A9505" s="16"/>
    </row>
    <row r="9506" spans="1:1" x14ac:dyDescent="0.25">
      <c r="A9506" s="16"/>
    </row>
    <row r="9507" spans="1:1" x14ac:dyDescent="0.25">
      <c r="A9507" s="16"/>
    </row>
    <row r="9508" spans="1:1" x14ac:dyDescent="0.25">
      <c r="A9508" s="16"/>
    </row>
    <row r="9509" spans="1:1" x14ac:dyDescent="0.25">
      <c r="A9509" s="16"/>
    </row>
    <row r="9510" spans="1:1" x14ac:dyDescent="0.25">
      <c r="A9510" s="16"/>
    </row>
    <row r="9511" spans="1:1" x14ac:dyDescent="0.25">
      <c r="A9511" s="16"/>
    </row>
    <row r="9512" spans="1:1" x14ac:dyDescent="0.25">
      <c r="A9512" s="16"/>
    </row>
    <row r="9513" spans="1:1" x14ac:dyDescent="0.25">
      <c r="A9513" s="16"/>
    </row>
    <row r="9514" spans="1:1" x14ac:dyDescent="0.25">
      <c r="A9514" s="16"/>
    </row>
    <row r="9515" spans="1:1" x14ac:dyDescent="0.25">
      <c r="A9515" s="16"/>
    </row>
    <row r="9516" spans="1:1" x14ac:dyDescent="0.25">
      <c r="A9516" s="16"/>
    </row>
    <row r="9517" spans="1:1" x14ac:dyDescent="0.25">
      <c r="A9517" s="16"/>
    </row>
    <row r="9518" spans="1:1" x14ac:dyDescent="0.25">
      <c r="A9518" s="16"/>
    </row>
    <row r="9519" spans="1:1" x14ac:dyDescent="0.25">
      <c r="A9519" s="16"/>
    </row>
    <row r="9520" spans="1:1" x14ac:dyDescent="0.25">
      <c r="A9520" s="16"/>
    </row>
    <row r="9521" spans="1:1" x14ac:dyDescent="0.25">
      <c r="A9521" s="16"/>
    </row>
    <row r="9522" spans="1:1" x14ac:dyDescent="0.25">
      <c r="A9522" s="16"/>
    </row>
    <row r="9523" spans="1:1" x14ac:dyDescent="0.25">
      <c r="A9523" s="16"/>
    </row>
    <row r="9524" spans="1:1" x14ac:dyDescent="0.25">
      <c r="A9524" s="16"/>
    </row>
    <row r="9525" spans="1:1" x14ac:dyDescent="0.25">
      <c r="A9525" s="16"/>
    </row>
    <row r="9526" spans="1:1" x14ac:dyDescent="0.25">
      <c r="A9526" s="16"/>
    </row>
    <row r="9527" spans="1:1" x14ac:dyDescent="0.25">
      <c r="A9527" s="16"/>
    </row>
    <row r="9528" spans="1:1" x14ac:dyDescent="0.25">
      <c r="A9528" s="16"/>
    </row>
    <row r="9529" spans="1:1" x14ac:dyDescent="0.25">
      <c r="A9529" s="16"/>
    </row>
    <row r="9530" spans="1:1" x14ac:dyDescent="0.25">
      <c r="A9530" s="16"/>
    </row>
    <row r="9531" spans="1:1" x14ac:dyDescent="0.25">
      <c r="A9531" s="16"/>
    </row>
    <row r="9532" spans="1:1" x14ac:dyDescent="0.25">
      <c r="A9532" s="16"/>
    </row>
    <row r="9533" spans="1:1" x14ac:dyDescent="0.25">
      <c r="A9533" s="16"/>
    </row>
    <row r="9534" spans="1:1" x14ac:dyDescent="0.25">
      <c r="A9534" s="16"/>
    </row>
    <row r="9535" spans="1:1" x14ac:dyDescent="0.25">
      <c r="A9535" s="16"/>
    </row>
    <row r="9536" spans="1:1" x14ac:dyDescent="0.25">
      <c r="A9536" s="16"/>
    </row>
    <row r="9537" spans="1:1" x14ac:dyDescent="0.25">
      <c r="A9537" s="16"/>
    </row>
    <row r="9538" spans="1:1" x14ac:dyDescent="0.25">
      <c r="A9538" s="16"/>
    </row>
    <row r="9539" spans="1:1" x14ac:dyDescent="0.25">
      <c r="A9539" s="16"/>
    </row>
    <row r="9540" spans="1:1" x14ac:dyDescent="0.25">
      <c r="A9540" s="16"/>
    </row>
    <row r="9541" spans="1:1" x14ac:dyDescent="0.25">
      <c r="A9541" s="16"/>
    </row>
    <row r="9542" spans="1:1" x14ac:dyDescent="0.25">
      <c r="A9542" s="16"/>
    </row>
    <row r="9543" spans="1:1" x14ac:dyDescent="0.25">
      <c r="A9543" s="16"/>
    </row>
    <row r="9544" spans="1:1" x14ac:dyDescent="0.25">
      <c r="A9544" s="16"/>
    </row>
    <row r="9545" spans="1:1" x14ac:dyDescent="0.25">
      <c r="A9545" s="16"/>
    </row>
    <row r="9546" spans="1:1" x14ac:dyDescent="0.25">
      <c r="A9546" s="16"/>
    </row>
    <row r="9547" spans="1:1" x14ac:dyDescent="0.25">
      <c r="A9547" s="16"/>
    </row>
    <row r="9548" spans="1:1" x14ac:dyDescent="0.25">
      <c r="A9548" s="16"/>
    </row>
    <row r="9549" spans="1:1" x14ac:dyDescent="0.25">
      <c r="A9549" s="16"/>
    </row>
    <row r="9550" spans="1:1" x14ac:dyDescent="0.25">
      <c r="A9550" s="16"/>
    </row>
    <row r="9551" spans="1:1" x14ac:dyDescent="0.25">
      <c r="A9551" s="16"/>
    </row>
    <row r="9552" spans="1:1" x14ac:dyDescent="0.25">
      <c r="A9552" s="16"/>
    </row>
    <row r="9553" spans="1:1" x14ac:dyDescent="0.25">
      <c r="A9553" s="16"/>
    </row>
    <row r="9554" spans="1:1" x14ac:dyDescent="0.25">
      <c r="A9554" s="16"/>
    </row>
    <row r="9555" spans="1:1" x14ac:dyDescent="0.25">
      <c r="A9555" s="16"/>
    </row>
    <row r="9556" spans="1:1" x14ac:dyDescent="0.25">
      <c r="A9556" s="16"/>
    </row>
    <row r="9557" spans="1:1" x14ac:dyDescent="0.25">
      <c r="A9557" s="16"/>
    </row>
    <row r="9558" spans="1:1" x14ac:dyDescent="0.25">
      <c r="A9558" s="16"/>
    </row>
    <row r="9559" spans="1:1" x14ac:dyDescent="0.25">
      <c r="A9559" s="16"/>
    </row>
    <row r="9560" spans="1:1" x14ac:dyDescent="0.25">
      <c r="A9560" s="16"/>
    </row>
    <row r="9561" spans="1:1" x14ac:dyDescent="0.25">
      <c r="A9561" s="16"/>
    </row>
    <row r="9562" spans="1:1" x14ac:dyDescent="0.25">
      <c r="A9562" s="16"/>
    </row>
    <row r="9563" spans="1:1" x14ac:dyDescent="0.25">
      <c r="A9563" s="16"/>
    </row>
    <row r="9564" spans="1:1" x14ac:dyDescent="0.25">
      <c r="A9564" s="16"/>
    </row>
    <row r="9565" spans="1:1" x14ac:dyDescent="0.25">
      <c r="A9565" s="16"/>
    </row>
    <row r="9566" spans="1:1" x14ac:dyDescent="0.25">
      <c r="A9566" s="16"/>
    </row>
    <row r="9567" spans="1:1" x14ac:dyDescent="0.25">
      <c r="A9567" s="16"/>
    </row>
    <row r="9568" spans="1:1" x14ac:dyDescent="0.25">
      <c r="A9568" s="16"/>
    </row>
    <row r="9569" spans="1:1" x14ac:dyDescent="0.25">
      <c r="A9569" s="16"/>
    </row>
    <row r="9570" spans="1:1" x14ac:dyDescent="0.25">
      <c r="A9570" s="16"/>
    </row>
    <row r="9571" spans="1:1" x14ac:dyDescent="0.25">
      <c r="A9571" s="16"/>
    </row>
    <row r="9572" spans="1:1" x14ac:dyDescent="0.25">
      <c r="A9572" s="16"/>
    </row>
    <row r="9573" spans="1:1" x14ac:dyDescent="0.25">
      <c r="A9573" s="16"/>
    </row>
    <row r="9574" spans="1:1" x14ac:dyDescent="0.25">
      <c r="A9574" s="16"/>
    </row>
    <row r="9575" spans="1:1" x14ac:dyDescent="0.25">
      <c r="A9575" s="16"/>
    </row>
    <row r="9576" spans="1:1" x14ac:dyDescent="0.25">
      <c r="A9576" s="16"/>
    </row>
    <row r="9577" spans="1:1" x14ac:dyDescent="0.25">
      <c r="A9577" s="16"/>
    </row>
    <row r="9578" spans="1:1" x14ac:dyDescent="0.25">
      <c r="A9578" s="16"/>
    </row>
    <row r="9579" spans="1:1" x14ac:dyDescent="0.25">
      <c r="A9579" s="16"/>
    </row>
    <row r="9580" spans="1:1" x14ac:dyDescent="0.25">
      <c r="A9580" s="16"/>
    </row>
    <row r="9581" spans="1:1" x14ac:dyDescent="0.25">
      <c r="A9581" s="16"/>
    </row>
    <row r="9582" spans="1:1" x14ac:dyDescent="0.25">
      <c r="A9582" s="16"/>
    </row>
    <row r="9583" spans="1:1" x14ac:dyDescent="0.25">
      <c r="A9583" s="16"/>
    </row>
    <row r="9584" spans="1:1" x14ac:dyDescent="0.25">
      <c r="A9584" s="16"/>
    </row>
    <row r="9585" spans="1:1" x14ac:dyDescent="0.25">
      <c r="A9585" s="16"/>
    </row>
    <row r="9586" spans="1:1" x14ac:dyDescent="0.25">
      <c r="A9586" s="16"/>
    </row>
    <row r="9587" spans="1:1" x14ac:dyDescent="0.25">
      <c r="A9587" s="16"/>
    </row>
    <row r="9588" spans="1:1" x14ac:dyDescent="0.25">
      <c r="A9588" s="16"/>
    </row>
    <row r="9589" spans="1:1" x14ac:dyDescent="0.25">
      <c r="A9589" s="16"/>
    </row>
    <row r="9590" spans="1:1" x14ac:dyDescent="0.25">
      <c r="A9590" s="16"/>
    </row>
    <row r="9591" spans="1:1" x14ac:dyDescent="0.25">
      <c r="A9591" s="16"/>
    </row>
    <row r="9592" spans="1:1" x14ac:dyDescent="0.25">
      <c r="A9592" s="16"/>
    </row>
    <row r="9593" spans="1:1" x14ac:dyDescent="0.25">
      <c r="A9593" s="16"/>
    </row>
    <row r="9594" spans="1:1" x14ac:dyDescent="0.25">
      <c r="A9594" s="16"/>
    </row>
    <row r="9595" spans="1:1" x14ac:dyDescent="0.25">
      <c r="A9595" s="16"/>
    </row>
    <row r="9596" spans="1:1" x14ac:dyDescent="0.25">
      <c r="A9596" s="16"/>
    </row>
    <row r="9597" spans="1:1" x14ac:dyDescent="0.25">
      <c r="A9597" s="16"/>
    </row>
    <row r="9598" spans="1:1" x14ac:dyDescent="0.25">
      <c r="A9598" s="16"/>
    </row>
    <row r="9599" spans="1:1" x14ac:dyDescent="0.25">
      <c r="A9599" s="16"/>
    </row>
    <row r="9600" spans="1:1" x14ac:dyDescent="0.25">
      <c r="A9600" s="16"/>
    </row>
    <row r="9601" spans="1:1" x14ac:dyDescent="0.25">
      <c r="A9601" s="16"/>
    </row>
    <row r="9602" spans="1:1" x14ac:dyDescent="0.25">
      <c r="A9602" s="16"/>
    </row>
    <row r="9603" spans="1:1" x14ac:dyDescent="0.25">
      <c r="A9603" s="16"/>
    </row>
    <row r="9604" spans="1:1" x14ac:dyDescent="0.25">
      <c r="A9604" s="16"/>
    </row>
    <row r="9605" spans="1:1" x14ac:dyDescent="0.25">
      <c r="A9605" s="16"/>
    </row>
    <row r="9606" spans="1:1" x14ac:dyDescent="0.25">
      <c r="A9606" s="16"/>
    </row>
    <row r="9607" spans="1:1" x14ac:dyDescent="0.25">
      <c r="A9607" s="16"/>
    </row>
    <row r="9608" spans="1:1" x14ac:dyDescent="0.25">
      <c r="A9608" s="16"/>
    </row>
    <row r="9609" spans="1:1" x14ac:dyDescent="0.25">
      <c r="A9609" s="16"/>
    </row>
    <row r="9610" spans="1:1" x14ac:dyDescent="0.25">
      <c r="A9610" s="16"/>
    </row>
    <row r="9611" spans="1:1" x14ac:dyDescent="0.25">
      <c r="A9611" s="16"/>
    </row>
    <row r="9612" spans="1:1" x14ac:dyDescent="0.25">
      <c r="A9612" s="16"/>
    </row>
    <row r="9613" spans="1:1" x14ac:dyDescent="0.25">
      <c r="A9613" s="16"/>
    </row>
    <row r="9614" spans="1:1" x14ac:dyDescent="0.25">
      <c r="A9614" s="16"/>
    </row>
    <row r="9615" spans="1:1" x14ac:dyDescent="0.25">
      <c r="A9615" s="16"/>
    </row>
    <row r="9616" spans="1:1" x14ac:dyDescent="0.25">
      <c r="A9616" s="16"/>
    </row>
    <row r="9617" spans="1:1" x14ac:dyDescent="0.25">
      <c r="A9617" s="16"/>
    </row>
    <row r="9618" spans="1:1" x14ac:dyDescent="0.25">
      <c r="A9618" s="16"/>
    </row>
    <row r="9619" spans="1:1" x14ac:dyDescent="0.25">
      <c r="A9619" s="16"/>
    </row>
    <row r="9620" spans="1:1" x14ac:dyDescent="0.25">
      <c r="A9620" s="16"/>
    </row>
    <row r="9621" spans="1:1" x14ac:dyDescent="0.25">
      <c r="A9621" s="16"/>
    </row>
    <row r="9622" spans="1:1" x14ac:dyDescent="0.25">
      <c r="A9622" s="16"/>
    </row>
    <row r="9623" spans="1:1" x14ac:dyDescent="0.25">
      <c r="A9623" s="16"/>
    </row>
    <row r="9624" spans="1:1" x14ac:dyDescent="0.25">
      <c r="A9624" s="16"/>
    </row>
    <row r="9625" spans="1:1" x14ac:dyDescent="0.25">
      <c r="A9625" s="16"/>
    </row>
    <row r="9626" spans="1:1" x14ac:dyDescent="0.25">
      <c r="A9626" s="16"/>
    </row>
    <row r="9627" spans="1:1" x14ac:dyDescent="0.25">
      <c r="A9627" s="16"/>
    </row>
    <row r="9628" spans="1:1" x14ac:dyDescent="0.25">
      <c r="A9628" s="16"/>
    </row>
    <row r="9629" spans="1:1" x14ac:dyDescent="0.25">
      <c r="A9629" s="16"/>
    </row>
    <row r="9630" spans="1:1" x14ac:dyDescent="0.25">
      <c r="A9630" s="16"/>
    </row>
    <row r="9631" spans="1:1" x14ac:dyDescent="0.25">
      <c r="A9631" s="16"/>
    </row>
    <row r="9632" spans="1:1" x14ac:dyDescent="0.25">
      <c r="A9632" s="16"/>
    </row>
    <row r="9633" spans="1:1" x14ac:dyDescent="0.25">
      <c r="A9633" s="16"/>
    </row>
    <row r="9634" spans="1:1" x14ac:dyDescent="0.25">
      <c r="A9634" s="16"/>
    </row>
    <row r="9635" spans="1:1" x14ac:dyDescent="0.25">
      <c r="A9635" s="16"/>
    </row>
    <row r="9636" spans="1:1" x14ac:dyDescent="0.25">
      <c r="A9636" s="16"/>
    </row>
    <row r="9637" spans="1:1" x14ac:dyDescent="0.25">
      <c r="A9637" s="16"/>
    </row>
    <row r="9638" spans="1:1" x14ac:dyDescent="0.25">
      <c r="A9638" s="16"/>
    </row>
    <row r="9639" spans="1:1" x14ac:dyDescent="0.25">
      <c r="A9639" s="16"/>
    </row>
    <row r="9640" spans="1:1" x14ac:dyDescent="0.25">
      <c r="A9640" s="16"/>
    </row>
    <row r="9641" spans="1:1" x14ac:dyDescent="0.25">
      <c r="A9641" s="16"/>
    </row>
    <row r="9642" spans="1:1" x14ac:dyDescent="0.25">
      <c r="A9642" s="16"/>
    </row>
    <row r="9643" spans="1:1" x14ac:dyDescent="0.25">
      <c r="A9643" s="16"/>
    </row>
    <row r="9644" spans="1:1" x14ac:dyDescent="0.25">
      <c r="A9644" s="16"/>
    </row>
    <row r="9645" spans="1:1" x14ac:dyDescent="0.25">
      <c r="A9645" s="16"/>
    </row>
    <row r="9646" spans="1:1" x14ac:dyDescent="0.25">
      <c r="A9646" s="16"/>
    </row>
    <row r="9647" spans="1:1" x14ac:dyDescent="0.25">
      <c r="A9647" s="16"/>
    </row>
    <row r="9648" spans="1:1" x14ac:dyDescent="0.25">
      <c r="A9648" s="16"/>
    </row>
    <row r="9649" spans="1:1" x14ac:dyDescent="0.25">
      <c r="A9649" s="16"/>
    </row>
    <row r="9650" spans="1:1" x14ac:dyDescent="0.25">
      <c r="A9650" s="16"/>
    </row>
    <row r="9651" spans="1:1" x14ac:dyDescent="0.25">
      <c r="A9651" s="16"/>
    </row>
    <row r="9652" spans="1:1" x14ac:dyDescent="0.25">
      <c r="A9652" s="16"/>
    </row>
    <row r="9653" spans="1:1" x14ac:dyDescent="0.25">
      <c r="A9653" s="16"/>
    </row>
    <row r="9654" spans="1:1" x14ac:dyDescent="0.25">
      <c r="A9654" s="16"/>
    </row>
    <row r="9655" spans="1:1" x14ac:dyDescent="0.25">
      <c r="A9655" s="16"/>
    </row>
    <row r="9656" spans="1:1" x14ac:dyDescent="0.25">
      <c r="A9656" s="16"/>
    </row>
    <row r="9657" spans="1:1" x14ac:dyDescent="0.25">
      <c r="A9657" s="16"/>
    </row>
    <row r="9658" spans="1:1" x14ac:dyDescent="0.25">
      <c r="A9658" s="16"/>
    </row>
    <row r="9659" spans="1:1" x14ac:dyDescent="0.25">
      <c r="A9659" s="16"/>
    </row>
    <row r="9660" spans="1:1" x14ac:dyDescent="0.25">
      <c r="A9660" s="16"/>
    </row>
    <row r="9661" spans="1:1" x14ac:dyDescent="0.25">
      <c r="A9661" s="16"/>
    </row>
    <row r="9662" spans="1:1" x14ac:dyDescent="0.25">
      <c r="A9662" s="16"/>
    </row>
    <row r="9663" spans="1:1" x14ac:dyDescent="0.25">
      <c r="A9663" s="16"/>
    </row>
    <row r="9664" spans="1:1" x14ac:dyDescent="0.25">
      <c r="A9664" s="16"/>
    </row>
    <row r="9665" spans="1:1" x14ac:dyDescent="0.25">
      <c r="A9665" s="16"/>
    </row>
    <row r="9666" spans="1:1" x14ac:dyDescent="0.25">
      <c r="A9666" s="16"/>
    </row>
    <row r="9667" spans="1:1" x14ac:dyDescent="0.25">
      <c r="A9667" s="16"/>
    </row>
    <row r="9668" spans="1:1" x14ac:dyDescent="0.25">
      <c r="A9668" s="16"/>
    </row>
    <row r="9669" spans="1:1" x14ac:dyDescent="0.25">
      <c r="A9669" s="16"/>
    </row>
    <row r="9670" spans="1:1" x14ac:dyDescent="0.25">
      <c r="A9670" s="16"/>
    </row>
    <row r="9671" spans="1:1" x14ac:dyDescent="0.25">
      <c r="A9671" s="16"/>
    </row>
    <row r="9672" spans="1:1" x14ac:dyDescent="0.25">
      <c r="A9672" s="16"/>
    </row>
    <row r="9673" spans="1:1" x14ac:dyDescent="0.25">
      <c r="A9673" s="16"/>
    </row>
    <row r="9674" spans="1:1" x14ac:dyDescent="0.25">
      <c r="A9674" s="16"/>
    </row>
    <row r="9675" spans="1:1" x14ac:dyDescent="0.25">
      <c r="A9675" s="16"/>
    </row>
    <row r="9676" spans="1:1" x14ac:dyDescent="0.25">
      <c r="A9676" s="16"/>
    </row>
    <row r="9677" spans="1:1" x14ac:dyDescent="0.25">
      <c r="A9677" s="16"/>
    </row>
    <row r="9678" spans="1:1" x14ac:dyDescent="0.25">
      <c r="A9678" s="16"/>
    </row>
    <row r="9679" spans="1:1" x14ac:dyDescent="0.25">
      <c r="A9679" s="16"/>
    </row>
    <row r="9680" spans="1:1" x14ac:dyDescent="0.25">
      <c r="A9680" s="16"/>
    </row>
    <row r="9681" spans="1:1" x14ac:dyDescent="0.25">
      <c r="A9681" s="16"/>
    </row>
    <row r="9682" spans="1:1" x14ac:dyDescent="0.25">
      <c r="A9682" s="16"/>
    </row>
    <row r="9683" spans="1:1" x14ac:dyDescent="0.25">
      <c r="A9683" s="16"/>
    </row>
    <row r="9684" spans="1:1" x14ac:dyDescent="0.25">
      <c r="A9684" s="16"/>
    </row>
    <row r="9685" spans="1:1" x14ac:dyDescent="0.25">
      <c r="A9685" s="16"/>
    </row>
    <row r="9686" spans="1:1" x14ac:dyDescent="0.25">
      <c r="A9686" s="16"/>
    </row>
    <row r="9687" spans="1:1" x14ac:dyDescent="0.25">
      <c r="A9687" s="16"/>
    </row>
    <row r="9688" spans="1:1" x14ac:dyDescent="0.25">
      <c r="A9688" s="16"/>
    </row>
    <row r="9689" spans="1:1" x14ac:dyDescent="0.25">
      <c r="A9689" s="16"/>
    </row>
    <row r="9690" spans="1:1" x14ac:dyDescent="0.25">
      <c r="A9690" s="16"/>
    </row>
    <row r="9691" spans="1:1" x14ac:dyDescent="0.25">
      <c r="A9691" s="16"/>
    </row>
    <row r="9692" spans="1:1" x14ac:dyDescent="0.25">
      <c r="A9692" s="16"/>
    </row>
    <row r="9693" spans="1:1" x14ac:dyDescent="0.25">
      <c r="A9693" s="16"/>
    </row>
    <row r="9694" spans="1:1" x14ac:dyDescent="0.25">
      <c r="A9694" s="16"/>
    </row>
    <row r="9695" spans="1:1" x14ac:dyDescent="0.25">
      <c r="A9695" s="16"/>
    </row>
    <row r="9696" spans="1:1" x14ac:dyDescent="0.25">
      <c r="A9696" s="16"/>
    </row>
    <row r="9697" spans="1:1" x14ac:dyDescent="0.25">
      <c r="A9697" s="16"/>
    </row>
    <row r="9698" spans="1:1" x14ac:dyDescent="0.25">
      <c r="A9698" s="16"/>
    </row>
    <row r="9699" spans="1:1" x14ac:dyDescent="0.25">
      <c r="A9699" s="16"/>
    </row>
    <row r="9700" spans="1:1" x14ac:dyDescent="0.25">
      <c r="A9700" s="16"/>
    </row>
    <row r="9701" spans="1:1" x14ac:dyDescent="0.25">
      <c r="A9701" s="16"/>
    </row>
    <row r="9702" spans="1:1" x14ac:dyDescent="0.25">
      <c r="A9702" s="16"/>
    </row>
    <row r="9703" spans="1:1" x14ac:dyDescent="0.25">
      <c r="A9703" s="16"/>
    </row>
    <row r="9704" spans="1:1" x14ac:dyDescent="0.25">
      <c r="A9704" s="16"/>
    </row>
    <row r="9705" spans="1:1" x14ac:dyDescent="0.25">
      <c r="A9705" s="16"/>
    </row>
    <row r="9706" spans="1:1" x14ac:dyDescent="0.25">
      <c r="A9706" s="16"/>
    </row>
    <row r="9707" spans="1:1" x14ac:dyDescent="0.25">
      <c r="A9707" s="16"/>
    </row>
    <row r="9708" spans="1:1" x14ac:dyDescent="0.25">
      <c r="A9708" s="16"/>
    </row>
    <row r="9709" spans="1:1" x14ac:dyDescent="0.25">
      <c r="A9709" s="16"/>
    </row>
    <row r="9710" spans="1:1" x14ac:dyDescent="0.25">
      <c r="A9710" s="16"/>
    </row>
    <row r="9711" spans="1:1" x14ac:dyDescent="0.25">
      <c r="A9711" s="16"/>
    </row>
    <row r="9712" spans="1:1" x14ac:dyDescent="0.25">
      <c r="A9712" s="16"/>
    </row>
    <row r="9713" spans="1:1" x14ac:dyDescent="0.25">
      <c r="A9713" s="16"/>
    </row>
    <row r="9714" spans="1:1" x14ac:dyDescent="0.25">
      <c r="A9714" s="16"/>
    </row>
    <row r="9715" spans="1:1" x14ac:dyDescent="0.25">
      <c r="A9715" s="16"/>
    </row>
    <row r="9716" spans="1:1" x14ac:dyDescent="0.25">
      <c r="A9716" s="16"/>
    </row>
    <row r="9717" spans="1:1" x14ac:dyDescent="0.25">
      <c r="A9717" s="16"/>
    </row>
    <row r="9718" spans="1:1" x14ac:dyDescent="0.25">
      <c r="A9718" s="16"/>
    </row>
    <row r="9719" spans="1:1" x14ac:dyDescent="0.25">
      <c r="A9719" s="16"/>
    </row>
    <row r="9720" spans="1:1" x14ac:dyDescent="0.25">
      <c r="A9720" s="16"/>
    </row>
    <row r="9721" spans="1:1" x14ac:dyDescent="0.25">
      <c r="A9721" s="16"/>
    </row>
    <row r="9722" spans="1:1" x14ac:dyDescent="0.25">
      <c r="A9722" s="16"/>
    </row>
    <row r="9723" spans="1:1" x14ac:dyDescent="0.25">
      <c r="A9723" s="16"/>
    </row>
    <row r="9724" spans="1:1" x14ac:dyDescent="0.25">
      <c r="A9724" s="16"/>
    </row>
    <row r="9725" spans="1:1" x14ac:dyDescent="0.25">
      <c r="A9725" s="16"/>
    </row>
    <row r="9726" spans="1:1" x14ac:dyDescent="0.25">
      <c r="A9726" s="16"/>
    </row>
    <row r="9727" spans="1:1" x14ac:dyDescent="0.25">
      <c r="A9727" s="16"/>
    </row>
    <row r="9728" spans="1:1" x14ac:dyDescent="0.25">
      <c r="A9728" s="16"/>
    </row>
    <row r="9729" spans="1:1" x14ac:dyDescent="0.25">
      <c r="A9729" s="16"/>
    </row>
    <row r="9730" spans="1:1" x14ac:dyDescent="0.25">
      <c r="A9730" s="16"/>
    </row>
    <row r="9731" spans="1:1" x14ac:dyDescent="0.25">
      <c r="A9731" s="16"/>
    </row>
    <row r="9732" spans="1:1" x14ac:dyDescent="0.25">
      <c r="A9732" s="16"/>
    </row>
    <row r="9733" spans="1:1" x14ac:dyDescent="0.25">
      <c r="A9733" s="16"/>
    </row>
    <row r="9734" spans="1:1" x14ac:dyDescent="0.25">
      <c r="A9734" s="16"/>
    </row>
    <row r="9735" spans="1:1" x14ac:dyDescent="0.25">
      <c r="A9735" s="16"/>
    </row>
    <row r="9736" spans="1:1" x14ac:dyDescent="0.25">
      <c r="A9736" s="16"/>
    </row>
    <row r="9737" spans="1:1" x14ac:dyDescent="0.25">
      <c r="A9737" s="16"/>
    </row>
    <row r="9738" spans="1:1" x14ac:dyDescent="0.25">
      <c r="A9738" s="16"/>
    </row>
    <row r="9739" spans="1:1" x14ac:dyDescent="0.25">
      <c r="A9739" s="16"/>
    </row>
    <row r="9740" spans="1:1" x14ac:dyDescent="0.25">
      <c r="A9740" s="16"/>
    </row>
    <row r="9741" spans="1:1" x14ac:dyDescent="0.25">
      <c r="A9741" s="16"/>
    </row>
    <row r="9742" spans="1:1" x14ac:dyDescent="0.25">
      <c r="A9742" s="16"/>
    </row>
    <row r="9743" spans="1:1" x14ac:dyDescent="0.25">
      <c r="A9743" s="16"/>
    </row>
    <row r="9744" spans="1:1" x14ac:dyDescent="0.25">
      <c r="A9744" s="16"/>
    </row>
    <row r="9745" spans="1:1" x14ac:dyDescent="0.25">
      <c r="A9745" s="16"/>
    </row>
    <row r="9746" spans="1:1" x14ac:dyDescent="0.25">
      <c r="A9746" s="16"/>
    </row>
    <row r="9747" spans="1:1" x14ac:dyDescent="0.25">
      <c r="A9747" s="16"/>
    </row>
    <row r="9748" spans="1:1" x14ac:dyDescent="0.25">
      <c r="A9748" s="16"/>
    </row>
    <row r="9749" spans="1:1" x14ac:dyDescent="0.25">
      <c r="A9749" s="16"/>
    </row>
    <row r="9750" spans="1:1" x14ac:dyDescent="0.25">
      <c r="A9750" s="16"/>
    </row>
    <row r="9751" spans="1:1" x14ac:dyDescent="0.25">
      <c r="A9751" s="16"/>
    </row>
    <row r="9752" spans="1:1" x14ac:dyDescent="0.25">
      <c r="A9752" s="16"/>
    </row>
    <row r="9753" spans="1:1" x14ac:dyDescent="0.25">
      <c r="A9753" s="16"/>
    </row>
    <row r="9754" spans="1:1" x14ac:dyDescent="0.25">
      <c r="A9754" s="16"/>
    </row>
    <row r="9755" spans="1:1" x14ac:dyDescent="0.25">
      <c r="A9755" s="16"/>
    </row>
    <row r="9756" spans="1:1" x14ac:dyDescent="0.25">
      <c r="A9756" s="16"/>
    </row>
    <row r="9757" spans="1:1" x14ac:dyDescent="0.25">
      <c r="A9757" s="16"/>
    </row>
    <row r="9758" spans="1:1" x14ac:dyDescent="0.25">
      <c r="A9758" s="16"/>
    </row>
    <row r="9759" spans="1:1" x14ac:dyDescent="0.25">
      <c r="A9759" s="16"/>
    </row>
    <row r="9760" spans="1:1" x14ac:dyDescent="0.25">
      <c r="A9760" s="16"/>
    </row>
    <row r="9761" spans="1:1" x14ac:dyDescent="0.25">
      <c r="A9761" s="16"/>
    </row>
    <row r="9762" spans="1:1" x14ac:dyDescent="0.25">
      <c r="A9762" s="16"/>
    </row>
    <row r="9763" spans="1:1" x14ac:dyDescent="0.25">
      <c r="A9763" s="16"/>
    </row>
    <row r="9764" spans="1:1" x14ac:dyDescent="0.25">
      <c r="A9764" s="16"/>
    </row>
    <row r="9765" spans="1:1" x14ac:dyDescent="0.25">
      <c r="A9765" s="16"/>
    </row>
    <row r="9766" spans="1:1" x14ac:dyDescent="0.25">
      <c r="A9766" s="16"/>
    </row>
    <row r="9767" spans="1:1" x14ac:dyDescent="0.25">
      <c r="A9767" s="16"/>
    </row>
    <row r="9768" spans="1:1" x14ac:dyDescent="0.25">
      <c r="A9768" s="16"/>
    </row>
    <row r="9769" spans="1:1" x14ac:dyDescent="0.25">
      <c r="A9769" s="16"/>
    </row>
    <row r="9770" spans="1:1" x14ac:dyDescent="0.25">
      <c r="A9770" s="16"/>
    </row>
    <row r="9771" spans="1:1" x14ac:dyDescent="0.25">
      <c r="A9771" s="16"/>
    </row>
    <row r="9772" spans="1:1" x14ac:dyDescent="0.25">
      <c r="A9772" s="16"/>
    </row>
    <row r="9773" spans="1:1" x14ac:dyDescent="0.25">
      <c r="A9773" s="16"/>
    </row>
    <row r="9774" spans="1:1" x14ac:dyDescent="0.25">
      <c r="A9774" s="16"/>
    </row>
    <row r="9775" spans="1:1" x14ac:dyDescent="0.25">
      <c r="A9775" s="16"/>
    </row>
    <row r="9776" spans="1:1" x14ac:dyDescent="0.25">
      <c r="A9776" s="16"/>
    </row>
    <row r="9777" spans="1:1" x14ac:dyDescent="0.25">
      <c r="A9777" s="16"/>
    </row>
    <row r="9778" spans="1:1" x14ac:dyDescent="0.25">
      <c r="A9778" s="16"/>
    </row>
    <row r="9779" spans="1:1" x14ac:dyDescent="0.25">
      <c r="A9779" s="16"/>
    </row>
    <row r="9780" spans="1:1" x14ac:dyDescent="0.25">
      <c r="A9780" s="16"/>
    </row>
    <row r="9781" spans="1:1" x14ac:dyDescent="0.25">
      <c r="A9781" s="16"/>
    </row>
    <row r="9782" spans="1:1" x14ac:dyDescent="0.25">
      <c r="A9782" s="16"/>
    </row>
    <row r="9783" spans="1:1" x14ac:dyDescent="0.25">
      <c r="A9783" s="16"/>
    </row>
    <row r="9784" spans="1:1" x14ac:dyDescent="0.25">
      <c r="A9784" s="16"/>
    </row>
    <row r="9785" spans="1:1" x14ac:dyDescent="0.25">
      <c r="A9785" s="16"/>
    </row>
    <row r="9786" spans="1:1" x14ac:dyDescent="0.25">
      <c r="A9786" s="16"/>
    </row>
    <row r="9787" spans="1:1" x14ac:dyDescent="0.25">
      <c r="A9787" s="16"/>
    </row>
    <row r="9788" spans="1:1" x14ac:dyDescent="0.25">
      <c r="A9788" s="16"/>
    </row>
    <row r="9789" spans="1:1" x14ac:dyDescent="0.25">
      <c r="A9789" s="16"/>
    </row>
    <row r="9790" spans="1:1" x14ac:dyDescent="0.25">
      <c r="A9790" s="16"/>
    </row>
    <row r="9791" spans="1:1" x14ac:dyDescent="0.25">
      <c r="A9791" s="16"/>
    </row>
    <row r="9792" spans="1:1" x14ac:dyDescent="0.25">
      <c r="A9792" s="16"/>
    </row>
    <row r="9793" spans="1:1" x14ac:dyDescent="0.25">
      <c r="A9793" s="16"/>
    </row>
    <row r="9794" spans="1:1" x14ac:dyDescent="0.25">
      <c r="A9794" s="16"/>
    </row>
    <row r="9795" spans="1:1" x14ac:dyDescent="0.25">
      <c r="A9795" s="16"/>
    </row>
    <row r="9796" spans="1:1" x14ac:dyDescent="0.25">
      <c r="A9796" s="16"/>
    </row>
    <row r="9797" spans="1:1" x14ac:dyDescent="0.25">
      <c r="A9797" s="16"/>
    </row>
    <row r="9798" spans="1:1" x14ac:dyDescent="0.25">
      <c r="A9798" s="16"/>
    </row>
    <row r="9799" spans="1:1" x14ac:dyDescent="0.25">
      <c r="A9799" s="16"/>
    </row>
    <row r="9800" spans="1:1" x14ac:dyDescent="0.25">
      <c r="A9800" s="16"/>
    </row>
    <row r="9801" spans="1:1" x14ac:dyDescent="0.25">
      <c r="A9801" s="16"/>
    </row>
    <row r="9802" spans="1:1" x14ac:dyDescent="0.25">
      <c r="A9802" s="16"/>
    </row>
    <row r="9803" spans="1:1" x14ac:dyDescent="0.25">
      <c r="A9803" s="16"/>
    </row>
    <row r="9804" spans="1:1" x14ac:dyDescent="0.25">
      <c r="A9804" s="16"/>
    </row>
    <row r="9805" spans="1:1" x14ac:dyDescent="0.25">
      <c r="A9805" s="16"/>
    </row>
    <row r="9806" spans="1:1" x14ac:dyDescent="0.25">
      <c r="A9806" s="16"/>
    </row>
    <row r="9807" spans="1:1" x14ac:dyDescent="0.25">
      <c r="A9807" s="16"/>
    </row>
    <row r="9808" spans="1:1" x14ac:dyDescent="0.25">
      <c r="A9808" s="16"/>
    </row>
    <row r="9809" spans="1:1" x14ac:dyDescent="0.25">
      <c r="A9809" s="16"/>
    </row>
    <row r="9810" spans="1:1" x14ac:dyDescent="0.25">
      <c r="A9810" s="16"/>
    </row>
    <row r="9811" spans="1:1" x14ac:dyDescent="0.25">
      <c r="A9811" s="16"/>
    </row>
    <row r="9812" spans="1:1" x14ac:dyDescent="0.25">
      <c r="A9812" s="16"/>
    </row>
    <row r="9813" spans="1:1" x14ac:dyDescent="0.25">
      <c r="A9813" s="16"/>
    </row>
    <row r="9814" spans="1:1" x14ac:dyDescent="0.25">
      <c r="A9814" s="16"/>
    </row>
    <row r="9815" spans="1:1" x14ac:dyDescent="0.25">
      <c r="A9815" s="16"/>
    </row>
    <row r="9816" spans="1:1" x14ac:dyDescent="0.25">
      <c r="A9816" s="16"/>
    </row>
    <row r="9817" spans="1:1" x14ac:dyDescent="0.25">
      <c r="A9817" s="16"/>
    </row>
    <row r="9818" spans="1:1" x14ac:dyDescent="0.25">
      <c r="A9818" s="16"/>
    </row>
    <row r="9819" spans="1:1" x14ac:dyDescent="0.25">
      <c r="A9819" s="16"/>
    </row>
    <row r="9820" spans="1:1" x14ac:dyDescent="0.25">
      <c r="A9820" s="16"/>
    </row>
    <row r="9821" spans="1:1" x14ac:dyDescent="0.25">
      <c r="A9821" s="16"/>
    </row>
    <row r="9822" spans="1:1" x14ac:dyDescent="0.25">
      <c r="A9822" s="16"/>
    </row>
    <row r="9823" spans="1:1" x14ac:dyDescent="0.25">
      <c r="A9823" s="16"/>
    </row>
    <row r="9824" spans="1:1" x14ac:dyDescent="0.25">
      <c r="A9824" s="16"/>
    </row>
    <row r="9825" spans="1:1" x14ac:dyDescent="0.25">
      <c r="A9825" s="16"/>
    </row>
    <row r="9826" spans="1:1" x14ac:dyDescent="0.25">
      <c r="A9826" s="16"/>
    </row>
    <row r="9827" spans="1:1" x14ac:dyDescent="0.25">
      <c r="A9827" s="16"/>
    </row>
    <row r="9828" spans="1:1" x14ac:dyDescent="0.25">
      <c r="A9828" s="16"/>
    </row>
    <row r="9829" spans="1:1" x14ac:dyDescent="0.25">
      <c r="A9829" s="16"/>
    </row>
    <row r="9830" spans="1:1" x14ac:dyDescent="0.25">
      <c r="A9830" s="16"/>
    </row>
    <row r="9831" spans="1:1" x14ac:dyDescent="0.25">
      <c r="A9831" s="16"/>
    </row>
    <row r="9832" spans="1:1" x14ac:dyDescent="0.25">
      <c r="A9832" s="16"/>
    </row>
    <row r="9833" spans="1:1" x14ac:dyDescent="0.25">
      <c r="A9833" s="16"/>
    </row>
    <row r="9834" spans="1:1" x14ac:dyDescent="0.25">
      <c r="A9834" s="16"/>
    </row>
    <row r="9835" spans="1:1" x14ac:dyDescent="0.25">
      <c r="A9835" s="16"/>
    </row>
    <row r="9836" spans="1:1" x14ac:dyDescent="0.25">
      <c r="A9836" s="16"/>
    </row>
    <row r="9837" spans="1:1" x14ac:dyDescent="0.25">
      <c r="A9837" s="16"/>
    </row>
    <row r="9838" spans="1:1" x14ac:dyDescent="0.25">
      <c r="A9838" s="16"/>
    </row>
    <row r="9839" spans="1:1" x14ac:dyDescent="0.25">
      <c r="A9839" s="16"/>
    </row>
    <row r="9840" spans="1:1" x14ac:dyDescent="0.25">
      <c r="A9840" s="16"/>
    </row>
    <row r="9841" spans="1:1" x14ac:dyDescent="0.25">
      <c r="A9841" s="16"/>
    </row>
    <row r="9842" spans="1:1" x14ac:dyDescent="0.25">
      <c r="A9842" s="16"/>
    </row>
    <row r="9843" spans="1:1" x14ac:dyDescent="0.25">
      <c r="A9843" s="16"/>
    </row>
    <row r="9844" spans="1:1" x14ac:dyDescent="0.25">
      <c r="A9844" s="16"/>
    </row>
    <row r="9845" spans="1:1" x14ac:dyDescent="0.25">
      <c r="A9845" s="16"/>
    </row>
    <row r="9846" spans="1:1" x14ac:dyDescent="0.25">
      <c r="A9846" s="16"/>
    </row>
    <row r="9847" spans="1:1" x14ac:dyDescent="0.25">
      <c r="A9847" s="16"/>
    </row>
    <row r="9848" spans="1:1" x14ac:dyDescent="0.25">
      <c r="A9848" s="16"/>
    </row>
    <row r="9849" spans="1:1" x14ac:dyDescent="0.25">
      <c r="A9849" s="16"/>
    </row>
    <row r="9850" spans="1:1" x14ac:dyDescent="0.25">
      <c r="A9850" s="16"/>
    </row>
    <row r="9851" spans="1:1" x14ac:dyDescent="0.25">
      <c r="A9851" s="16"/>
    </row>
    <row r="9852" spans="1:1" x14ac:dyDescent="0.25">
      <c r="A9852" s="16"/>
    </row>
    <row r="9853" spans="1:1" x14ac:dyDescent="0.25">
      <c r="A9853" s="16"/>
    </row>
    <row r="9854" spans="1:1" x14ac:dyDescent="0.25">
      <c r="A9854" s="16"/>
    </row>
    <row r="9855" spans="1:1" x14ac:dyDescent="0.25">
      <c r="A9855" s="16"/>
    </row>
    <row r="9856" spans="1:1" x14ac:dyDescent="0.25">
      <c r="A9856" s="16"/>
    </row>
    <row r="9857" spans="1:1" x14ac:dyDescent="0.25">
      <c r="A9857" s="16"/>
    </row>
    <row r="9858" spans="1:1" x14ac:dyDescent="0.25">
      <c r="A9858" s="16"/>
    </row>
    <row r="9859" spans="1:1" x14ac:dyDescent="0.25">
      <c r="A9859" s="16"/>
    </row>
    <row r="9860" spans="1:1" x14ac:dyDescent="0.25">
      <c r="A9860" s="16"/>
    </row>
    <row r="9861" spans="1:1" x14ac:dyDescent="0.25">
      <c r="A9861" s="16"/>
    </row>
    <row r="9862" spans="1:1" x14ac:dyDescent="0.25">
      <c r="A9862" s="16"/>
    </row>
    <row r="9863" spans="1:1" x14ac:dyDescent="0.25">
      <c r="A9863" s="16"/>
    </row>
    <row r="9864" spans="1:1" x14ac:dyDescent="0.25">
      <c r="A9864" s="16"/>
    </row>
    <row r="9865" spans="1:1" x14ac:dyDescent="0.25">
      <c r="A9865" s="16"/>
    </row>
    <row r="9866" spans="1:1" x14ac:dyDescent="0.25">
      <c r="A9866" s="16"/>
    </row>
    <row r="9867" spans="1:1" x14ac:dyDescent="0.25">
      <c r="A9867" s="16"/>
    </row>
    <row r="9868" spans="1:1" x14ac:dyDescent="0.25">
      <c r="A9868" s="16"/>
    </row>
    <row r="9869" spans="1:1" x14ac:dyDescent="0.25">
      <c r="A9869" s="16"/>
    </row>
    <row r="9870" spans="1:1" x14ac:dyDescent="0.25">
      <c r="A9870" s="16"/>
    </row>
    <row r="9871" spans="1:1" x14ac:dyDescent="0.25">
      <c r="A9871" s="16"/>
    </row>
    <row r="9872" spans="1:1" x14ac:dyDescent="0.25">
      <c r="A9872" s="16"/>
    </row>
    <row r="9873" spans="1:1" x14ac:dyDescent="0.25">
      <c r="A9873" s="16"/>
    </row>
    <row r="9874" spans="1:1" x14ac:dyDescent="0.25">
      <c r="A9874" s="16"/>
    </row>
    <row r="9875" spans="1:1" x14ac:dyDescent="0.25">
      <c r="A9875" s="16"/>
    </row>
    <row r="9876" spans="1:1" x14ac:dyDescent="0.25">
      <c r="A9876" s="16"/>
    </row>
    <row r="9877" spans="1:1" x14ac:dyDescent="0.25">
      <c r="A9877" s="16"/>
    </row>
    <row r="9878" spans="1:1" x14ac:dyDescent="0.25">
      <c r="A9878" s="16"/>
    </row>
    <row r="9879" spans="1:1" x14ac:dyDescent="0.25">
      <c r="A9879" s="16"/>
    </row>
    <row r="9880" spans="1:1" x14ac:dyDescent="0.25">
      <c r="A9880" s="16"/>
    </row>
    <row r="9881" spans="1:1" x14ac:dyDescent="0.25">
      <c r="A9881" s="16"/>
    </row>
    <row r="9882" spans="1:1" x14ac:dyDescent="0.25">
      <c r="A9882" s="16"/>
    </row>
    <row r="9883" spans="1:1" x14ac:dyDescent="0.25">
      <c r="A9883" s="16"/>
    </row>
    <row r="9884" spans="1:1" x14ac:dyDescent="0.25">
      <c r="A9884" s="16"/>
    </row>
    <row r="9885" spans="1:1" x14ac:dyDescent="0.25">
      <c r="A9885" s="16"/>
    </row>
    <row r="9886" spans="1:1" x14ac:dyDescent="0.25">
      <c r="A9886" s="16"/>
    </row>
    <row r="9887" spans="1:1" x14ac:dyDescent="0.25">
      <c r="A9887" s="16"/>
    </row>
    <row r="9888" spans="1:1" x14ac:dyDescent="0.25">
      <c r="A9888" s="16"/>
    </row>
    <row r="9889" spans="1:1" x14ac:dyDescent="0.25">
      <c r="A9889" s="16"/>
    </row>
    <row r="9890" spans="1:1" x14ac:dyDescent="0.25">
      <c r="A9890" s="16"/>
    </row>
    <row r="9891" spans="1:1" x14ac:dyDescent="0.25">
      <c r="A9891" s="16"/>
    </row>
    <row r="9892" spans="1:1" x14ac:dyDescent="0.25">
      <c r="A9892" s="16"/>
    </row>
    <row r="9893" spans="1:1" x14ac:dyDescent="0.25">
      <c r="A9893" s="16"/>
    </row>
    <row r="9894" spans="1:1" x14ac:dyDescent="0.25">
      <c r="A9894" s="16"/>
    </row>
    <row r="9895" spans="1:1" x14ac:dyDescent="0.25">
      <c r="A9895" s="16"/>
    </row>
    <row r="9896" spans="1:1" x14ac:dyDescent="0.25">
      <c r="A9896" s="16"/>
    </row>
    <row r="9897" spans="1:1" x14ac:dyDescent="0.25">
      <c r="A9897" s="16"/>
    </row>
    <row r="9898" spans="1:1" x14ac:dyDescent="0.25">
      <c r="A9898" s="16"/>
    </row>
    <row r="9899" spans="1:1" x14ac:dyDescent="0.25">
      <c r="A9899" s="16"/>
    </row>
    <row r="9900" spans="1:1" x14ac:dyDescent="0.25">
      <c r="A9900" s="16"/>
    </row>
    <row r="9901" spans="1:1" x14ac:dyDescent="0.25">
      <c r="A9901" s="16"/>
    </row>
    <row r="9902" spans="1:1" x14ac:dyDescent="0.25">
      <c r="A9902" s="16"/>
    </row>
    <row r="9903" spans="1:1" x14ac:dyDescent="0.25">
      <c r="A9903" s="16"/>
    </row>
    <row r="9904" spans="1:1" x14ac:dyDescent="0.25">
      <c r="A9904" s="16"/>
    </row>
    <row r="9905" spans="1:1" x14ac:dyDescent="0.25">
      <c r="A9905" s="16"/>
    </row>
    <row r="9906" spans="1:1" x14ac:dyDescent="0.25">
      <c r="A9906" s="16"/>
    </row>
    <row r="9907" spans="1:1" x14ac:dyDescent="0.25">
      <c r="A9907" s="16"/>
    </row>
    <row r="9908" spans="1:1" x14ac:dyDescent="0.25">
      <c r="A9908" s="16"/>
    </row>
    <row r="9909" spans="1:1" x14ac:dyDescent="0.25">
      <c r="A9909" s="16"/>
    </row>
    <row r="9910" spans="1:1" x14ac:dyDescent="0.25">
      <c r="A9910" s="16"/>
    </row>
    <row r="9911" spans="1:1" x14ac:dyDescent="0.25">
      <c r="A9911" s="16"/>
    </row>
    <row r="9912" spans="1:1" x14ac:dyDescent="0.25">
      <c r="A9912" s="16"/>
    </row>
    <row r="9913" spans="1:1" x14ac:dyDescent="0.25">
      <c r="A9913" s="16"/>
    </row>
    <row r="9914" spans="1:1" x14ac:dyDescent="0.25">
      <c r="A9914" s="16"/>
    </row>
    <row r="9915" spans="1:1" x14ac:dyDescent="0.25">
      <c r="A9915" s="16"/>
    </row>
    <row r="9916" spans="1:1" x14ac:dyDescent="0.25">
      <c r="A9916" s="16"/>
    </row>
    <row r="9917" spans="1:1" x14ac:dyDescent="0.25">
      <c r="A9917" s="16"/>
    </row>
    <row r="9918" spans="1:1" x14ac:dyDescent="0.25">
      <c r="A9918" s="16"/>
    </row>
    <row r="9919" spans="1:1" x14ac:dyDescent="0.25">
      <c r="A9919" s="16"/>
    </row>
    <row r="9920" spans="1:1" x14ac:dyDescent="0.25">
      <c r="A9920" s="16"/>
    </row>
    <row r="9921" spans="1:1" x14ac:dyDescent="0.25">
      <c r="A9921" s="16"/>
    </row>
    <row r="9922" spans="1:1" x14ac:dyDescent="0.25">
      <c r="A9922" s="16"/>
    </row>
    <row r="9923" spans="1:1" x14ac:dyDescent="0.25">
      <c r="A9923" s="16"/>
    </row>
    <row r="9924" spans="1:1" x14ac:dyDescent="0.25">
      <c r="A9924" s="16"/>
    </row>
    <row r="9925" spans="1:1" x14ac:dyDescent="0.25">
      <c r="A9925" s="16"/>
    </row>
    <row r="9926" spans="1:1" x14ac:dyDescent="0.25">
      <c r="A9926" s="16"/>
    </row>
    <row r="9927" spans="1:1" x14ac:dyDescent="0.25">
      <c r="A9927" s="16"/>
    </row>
    <row r="9928" spans="1:1" x14ac:dyDescent="0.25">
      <c r="A9928" s="16"/>
    </row>
    <row r="9929" spans="1:1" x14ac:dyDescent="0.25">
      <c r="A9929" s="16"/>
    </row>
    <row r="9930" spans="1:1" x14ac:dyDescent="0.25">
      <c r="A9930" s="16"/>
    </row>
    <row r="9931" spans="1:1" x14ac:dyDescent="0.25">
      <c r="A9931" s="16"/>
    </row>
    <row r="9932" spans="1:1" x14ac:dyDescent="0.25">
      <c r="A9932" s="16"/>
    </row>
    <row r="9933" spans="1:1" x14ac:dyDescent="0.25">
      <c r="A9933" s="16"/>
    </row>
    <row r="9934" spans="1:1" x14ac:dyDescent="0.25">
      <c r="A9934" s="16"/>
    </row>
    <row r="9935" spans="1:1" x14ac:dyDescent="0.25">
      <c r="A9935" s="16"/>
    </row>
    <row r="9936" spans="1:1" x14ac:dyDescent="0.25">
      <c r="A9936" s="16"/>
    </row>
    <row r="9937" spans="1:1" x14ac:dyDescent="0.25">
      <c r="A9937" s="16"/>
    </row>
    <row r="9938" spans="1:1" x14ac:dyDescent="0.25">
      <c r="A9938" s="16"/>
    </row>
    <row r="9939" spans="1:1" x14ac:dyDescent="0.25">
      <c r="A9939" s="16"/>
    </row>
    <row r="9940" spans="1:1" x14ac:dyDescent="0.25">
      <c r="A9940" s="16"/>
    </row>
    <row r="9941" spans="1:1" x14ac:dyDescent="0.25">
      <c r="A9941" s="16"/>
    </row>
    <row r="9942" spans="1:1" x14ac:dyDescent="0.25">
      <c r="A9942" s="16"/>
    </row>
    <row r="9943" spans="1:1" x14ac:dyDescent="0.25">
      <c r="A9943" s="16"/>
    </row>
    <row r="9944" spans="1:1" x14ac:dyDescent="0.25">
      <c r="A9944" s="16"/>
    </row>
    <row r="9945" spans="1:1" x14ac:dyDescent="0.25">
      <c r="A9945" s="16"/>
    </row>
    <row r="9946" spans="1:1" x14ac:dyDescent="0.25">
      <c r="A9946" s="16"/>
    </row>
    <row r="9947" spans="1:1" x14ac:dyDescent="0.25">
      <c r="A9947" s="16"/>
    </row>
    <row r="9948" spans="1:1" x14ac:dyDescent="0.25">
      <c r="A9948" s="16"/>
    </row>
    <row r="9949" spans="1:1" x14ac:dyDescent="0.25">
      <c r="A9949" s="16"/>
    </row>
    <row r="9950" spans="1:1" x14ac:dyDescent="0.25">
      <c r="A9950" s="16"/>
    </row>
    <row r="9951" spans="1:1" x14ac:dyDescent="0.25">
      <c r="A9951" s="16"/>
    </row>
    <row r="9952" spans="1:1" x14ac:dyDescent="0.25">
      <c r="A9952" s="16"/>
    </row>
    <row r="9953" spans="1:1" x14ac:dyDescent="0.25">
      <c r="A9953" s="16"/>
    </row>
    <row r="9954" spans="1:1" x14ac:dyDescent="0.25">
      <c r="A9954" s="16"/>
    </row>
    <row r="9955" spans="1:1" x14ac:dyDescent="0.25">
      <c r="A9955" s="16"/>
    </row>
    <row r="9956" spans="1:1" x14ac:dyDescent="0.25">
      <c r="A9956" s="16"/>
    </row>
    <row r="9957" spans="1:1" x14ac:dyDescent="0.25">
      <c r="A9957" s="16"/>
    </row>
    <row r="9958" spans="1:1" x14ac:dyDescent="0.25">
      <c r="A9958" s="16"/>
    </row>
    <row r="9959" spans="1:1" x14ac:dyDescent="0.25">
      <c r="A9959" s="16"/>
    </row>
    <row r="9960" spans="1:1" x14ac:dyDescent="0.25">
      <c r="A9960" s="16"/>
    </row>
    <row r="9961" spans="1:1" x14ac:dyDescent="0.25">
      <c r="A9961" s="16"/>
    </row>
    <row r="9962" spans="1:1" x14ac:dyDescent="0.25">
      <c r="A9962" s="16"/>
    </row>
    <row r="9963" spans="1:1" x14ac:dyDescent="0.25">
      <c r="A9963" s="16"/>
    </row>
    <row r="9964" spans="1:1" x14ac:dyDescent="0.25">
      <c r="A9964" s="16"/>
    </row>
    <row r="9965" spans="1:1" x14ac:dyDescent="0.25">
      <c r="A9965" s="16"/>
    </row>
    <row r="9966" spans="1:1" x14ac:dyDescent="0.25">
      <c r="A9966" s="16"/>
    </row>
    <row r="9967" spans="1:1" x14ac:dyDescent="0.25">
      <c r="A9967" s="16"/>
    </row>
    <row r="9968" spans="1:1" x14ac:dyDescent="0.25">
      <c r="A9968" s="16"/>
    </row>
    <row r="9969" spans="1:1" x14ac:dyDescent="0.25">
      <c r="A9969" s="16"/>
    </row>
    <row r="9970" spans="1:1" x14ac:dyDescent="0.25">
      <c r="A9970" s="16"/>
    </row>
    <row r="9971" spans="1:1" x14ac:dyDescent="0.25">
      <c r="A9971" s="16"/>
    </row>
    <row r="9972" spans="1:1" x14ac:dyDescent="0.25">
      <c r="A9972" s="16"/>
    </row>
    <row r="9973" spans="1:1" x14ac:dyDescent="0.25">
      <c r="A9973" s="16"/>
    </row>
    <row r="9974" spans="1:1" x14ac:dyDescent="0.25">
      <c r="A9974" s="16"/>
    </row>
    <row r="9975" spans="1:1" x14ac:dyDescent="0.25">
      <c r="A9975" s="16"/>
    </row>
    <row r="9976" spans="1:1" x14ac:dyDescent="0.25">
      <c r="A9976" s="16"/>
    </row>
    <row r="9977" spans="1:1" x14ac:dyDescent="0.25">
      <c r="A9977" s="16"/>
    </row>
    <row r="9978" spans="1:1" x14ac:dyDescent="0.25">
      <c r="A9978" s="16"/>
    </row>
    <row r="9979" spans="1:1" x14ac:dyDescent="0.25">
      <c r="A9979" s="16"/>
    </row>
    <row r="9980" spans="1:1" x14ac:dyDescent="0.25">
      <c r="A9980" s="16"/>
    </row>
    <row r="9981" spans="1:1" x14ac:dyDescent="0.25">
      <c r="A9981" s="16"/>
    </row>
    <row r="9982" spans="1:1" x14ac:dyDescent="0.25">
      <c r="A9982" s="16"/>
    </row>
    <row r="9983" spans="1:1" x14ac:dyDescent="0.25">
      <c r="A9983" s="16"/>
    </row>
    <row r="9984" spans="1:1" x14ac:dyDescent="0.25">
      <c r="A9984" s="16"/>
    </row>
    <row r="9985" spans="1:1" x14ac:dyDescent="0.25">
      <c r="A9985" s="16"/>
    </row>
    <row r="9986" spans="1:1" x14ac:dyDescent="0.25">
      <c r="A9986" s="16"/>
    </row>
    <row r="9987" spans="1:1" x14ac:dyDescent="0.25">
      <c r="A9987" s="16"/>
    </row>
    <row r="9988" spans="1:1" x14ac:dyDescent="0.25">
      <c r="A9988" s="16"/>
    </row>
    <row r="9989" spans="1:1" x14ac:dyDescent="0.25">
      <c r="A9989" s="16"/>
    </row>
    <row r="9990" spans="1:1" x14ac:dyDescent="0.25">
      <c r="A9990" s="16"/>
    </row>
    <row r="9991" spans="1:1" x14ac:dyDescent="0.25">
      <c r="A9991" s="16"/>
    </row>
    <row r="9992" spans="1:1" x14ac:dyDescent="0.25">
      <c r="A9992" s="16"/>
    </row>
    <row r="9993" spans="1:1" x14ac:dyDescent="0.25">
      <c r="A9993" s="16"/>
    </row>
    <row r="9994" spans="1:1" x14ac:dyDescent="0.25">
      <c r="A9994" s="16"/>
    </row>
    <row r="9995" spans="1:1" x14ac:dyDescent="0.25">
      <c r="A9995" s="16"/>
    </row>
    <row r="9996" spans="1:1" x14ac:dyDescent="0.25">
      <c r="A9996" s="16"/>
    </row>
    <row r="9997" spans="1:1" x14ac:dyDescent="0.25">
      <c r="A9997" s="16"/>
    </row>
    <row r="9998" spans="1:1" x14ac:dyDescent="0.25">
      <c r="A9998" s="16"/>
    </row>
    <row r="9999" spans="1:1" x14ac:dyDescent="0.25">
      <c r="A9999" s="16"/>
    </row>
    <row r="10000" spans="1:1" x14ac:dyDescent="0.25">
      <c r="A10000" s="16"/>
    </row>
    <row r="10001" spans="1:1" x14ac:dyDescent="0.25">
      <c r="A10001" s="16"/>
    </row>
    <row r="10002" spans="1:1" x14ac:dyDescent="0.25">
      <c r="A10002" s="16"/>
    </row>
    <row r="10003" spans="1:1" x14ac:dyDescent="0.25">
      <c r="A10003" s="16"/>
    </row>
    <row r="10004" spans="1:1" x14ac:dyDescent="0.25">
      <c r="A10004" s="16"/>
    </row>
    <row r="10005" spans="1:1" x14ac:dyDescent="0.25">
      <c r="A10005" s="16"/>
    </row>
    <row r="10006" spans="1:1" x14ac:dyDescent="0.25">
      <c r="A10006" s="16"/>
    </row>
    <row r="10007" spans="1:1" x14ac:dyDescent="0.25">
      <c r="A10007" s="16"/>
    </row>
    <row r="10008" spans="1:1" x14ac:dyDescent="0.25">
      <c r="A10008" s="16"/>
    </row>
    <row r="10009" spans="1:1" x14ac:dyDescent="0.25">
      <c r="A10009" s="16"/>
    </row>
    <row r="10010" spans="1:1" x14ac:dyDescent="0.25">
      <c r="A10010" s="16"/>
    </row>
    <row r="10011" spans="1:1" x14ac:dyDescent="0.25">
      <c r="A10011" s="16"/>
    </row>
    <row r="10012" spans="1:1" x14ac:dyDescent="0.25">
      <c r="A10012" s="16"/>
    </row>
    <row r="10013" spans="1:1" x14ac:dyDescent="0.25">
      <c r="A10013" s="16"/>
    </row>
    <row r="10014" spans="1:1" x14ac:dyDescent="0.25">
      <c r="A10014" s="16"/>
    </row>
    <row r="10015" spans="1:1" x14ac:dyDescent="0.25">
      <c r="A10015" s="16"/>
    </row>
    <row r="10016" spans="1:1" x14ac:dyDescent="0.25">
      <c r="A10016" s="16"/>
    </row>
    <row r="10017" spans="1:1" x14ac:dyDescent="0.25">
      <c r="A10017" s="16"/>
    </row>
    <row r="10018" spans="1:1" x14ac:dyDescent="0.25">
      <c r="A10018" s="16"/>
    </row>
    <row r="10019" spans="1:1" x14ac:dyDescent="0.25">
      <c r="A10019" s="16"/>
    </row>
    <row r="10020" spans="1:1" x14ac:dyDescent="0.25">
      <c r="A10020" s="16"/>
    </row>
    <row r="10021" spans="1:1" x14ac:dyDescent="0.25">
      <c r="A10021" s="16"/>
    </row>
    <row r="10022" spans="1:1" x14ac:dyDescent="0.25">
      <c r="A10022" s="16"/>
    </row>
    <row r="10023" spans="1:1" x14ac:dyDescent="0.25">
      <c r="A10023" s="16"/>
    </row>
    <row r="10024" spans="1:1" x14ac:dyDescent="0.25">
      <c r="A10024" s="16"/>
    </row>
    <row r="10025" spans="1:1" x14ac:dyDescent="0.25">
      <c r="A10025" s="16"/>
    </row>
    <row r="10026" spans="1:1" x14ac:dyDescent="0.25">
      <c r="A10026" s="16"/>
    </row>
    <row r="10027" spans="1:1" x14ac:dyDescent="0.25">
      <c r="A10027" s="16"/>
    </row>
    <row r="10028" spans="1:1" x14ac:dyDescent="0.25">
      <c r="A10028" s="16"/>
    </row>
    <row r="10029" spans="1:1" x14ac:dyDescent="0.25">
      <c r="A10029" s="16"/>
    </row>
    <row r="10030" spans="1:1" x14ac:dyDescent="0.25">
      <c r="A10030" s="16"/>
    </row>
    <row r="10031" spans="1:1" x14ac:dyDescent="0.25">
      <c r="A10031" s="16"/>
    </row>
    <row r="10032" spans="1:1" x14ac:dyDescent="0.25">
      <c r="A10032" s="16"/>
    </row>
    <row r="10033" spans="1:1" x14ac:dyDescent="0.25">
      <c r="A10033" s="16"/>
    </row>
    <row r="10034" spans="1:1" x14ac:dyDescent="0.25">
      <c r="A10034" s="16"/>
    </row>
    <row r="10035" spans="1:1" x14ac:dyDescent="0.25">
      <c r="A10035" s="16"/>
    </row>
    <row r="10036" spans="1:1" x14ac:dyDescent="0.25">
      <c r="A10036" s="16"/>
    </row>
    <row r="10037" spans="1:1" x14ac:dyDescent="0.25">
      <c r="A10037" s="16"/>
    </row>
    <row r="10038" spans="1:1" x14ac:dyDescent="0.25">
      <c r="A10038" s="16"/>
    </row>
    <row r="10039" spans="1:1" x14ac:dyDescent="0.25">
      <c r="A10039" s="16"/>
    </row>
    <row r="10040" spans="1:1" x14ac:dyDescent="0.25">
      <c r="A10040" s="16"/>
    </row>
    <row r="10041" spans="1:1" x14ac:dyDescent="0.25">
      <c r="A10041" s="16"/>
    </row>
    <row r="10042" spans="1:1" x14ac:dyDescent="0.25">
      <c r="A10042" s="16"/>
    </row>
    <row r="10043" spans="1:1" x14ac:dyDescent="0.25">
      <c r="A10043" s="16"/>
    </row>
    <row r="10044" spans="1:1" x14ac:dyDescent="0.25">
      <c r="A10044" s="16"/>
    </row>
    <row r="10045" spans="1:1" x14ac:dyDescent="0.25">
      <c r="A10045" s="16"/>
    </row>
    <row r="10046" spans="1:1" x14ac:dyDescent="0.25">
      <c r="A10046" s="16"/>
    </row>
    <row r="10047" spans="1:1" x14ac:dyDescent="0.25">
      <c r="A10047" s="16"/>
    </row>
    <row r="10048" spans="1:1" x14ac:dyDescent="0.25">
      <c r="A10048" s="16"/>
    </row>
    <row r="10049" spans="1:1" x14ac:dyDescent="0.25">
      <c r="A10049" s="16"/>
    </row>
    <row r="10050" spans="1:1" x14ac:dyDescent="0.25">
      <c r="A10050" s="16"/>
    </row>
    <row r="10051" spans="1:1" x14ac:dyDescent="0.25">
      <c r="A10051" s="16"/>
    </row>
    <row r="10052" spans="1:1" x14ac:dyDescent="0.25">
      <c r="A10052" s="16"/>
    </row>
    <row r="10053" spans="1:1" x14ac:dyDescent="0.25">
      <c r="A10053" s="16"/>
    </row>
    <row r="10054" spans="1:1" x14ac:dyDescent="0.25">
      <c r="A10054" s="16"/>
    </row>
    <row r="10055" spans="1:1" x14ac:dyDescent="0.25">
      <c r="A10055" s="16"/>
    </row>
    <row r="10056" spans="1:1" x14ac:dyDescent="0.25">
      <c r="A10056" s="16"/>
    </row>
    <row r="10057" spans="1:1" x14ac:dyDescent="0.25">
      <c r="A10057" s="16"/>
    </row>
    <row r="10058" spans="1:1" x14ac:dyDescent="0.25">
      <c r="A10058" s="16"/>
    </row>
    <row r="10059" spans="1:1" x14ac:dyDescent="0.25">
      <c r="A10059" s="16"/>
    </row>
    <row r="10060" spans="1:1" x14ac:dyDescent="0.25">
      <c r="A10060" s="16"/>
    </row>
    <row r="10061" spans="1:1" x14ac:dyDescent="0.25">
      <c r="A10061" s="16"/>
    </row>
    <row r="10062" spans="1:1" x14ac:dyDescent="0.25">
      <c r="A10062" s="16"/>
    </row>
    <row r="10063" spans="1:1" x14ac:dyDescent="0.25">
      <c r="A10063" s="16"/>
    </row>
    <row r="10064" spans="1:1" x14ac:dyDescent="0.25">
      <c r="A10064" s="16"/>
    </row>
    <row r="10065" spans="1:1" x14ac:dyDescent="0.25">
      <c r="A10065" s="16"/>
    </row>
    <row r="10066" spans="1:1" x14ac:dyDescent="0.25">
      <c r="A10066" s="16"/>
    </row>
    <row r="10067" spans="1:1" x14ac:dyDescent="0.25">
      <c r="A10067" s="16"/>
    </row>
    <row r="10068" spans="1:1" x14ac:dyDescent="0.25">
      <c r="A10068" s="16"/>
    </row>
    <row r="10069" spans="1:1" x14ac:dyDescent="0.25">
      <c r="A10069" s="16"/>
    </row>
    <row r="10070" spans="1:1" x14ac:dyDescent="0.25">
      <c r="A10070" s="16"/>
    </row>
    <row r="10071" spans="1:1" x14ac:dyDescent="0.25">
      <c r="A10071" s="16"/>
    </row>
    <row r="10072" spans="1:1" x14ac:dyDescent="0.25">
      <c r="A10072" s="16"/>
    </row>
    <row r="10073" spans="1:1" x14ac:dyDescent="0.25">
      <c r="A10073" s="16"/>
    </row>
    <row r="10074" spans="1:1" x14ac:dyDescent="0.25">
      <c r="A10074" s="16"/>
    </row>
    <row r="10075" spans="1:1" x14ac:dyDescent="0.25">
      <c r="A10075" s="16"/>
    </row>
    <row r="10076" spans="1:1" x14ac:dyDescent="0.25">
      <c r="A10076" s="16"/>
    </row>
    <row r="10077" spans="1:1" x14ac:dyDescent="0.25">
      <c r="A10077" s="16"/>
    </row>
    <row r="10078" spans="1:1" x14ac:dyDescent="0.25">
      <c r="A10078" s="16"/>
    </row>
    <row r="10079" spans="1:1" x14ac:dyDescent="0.25">
      <c r="A10079" s="16"/>
    </row>
    <row r="10080" spans="1:1" x14ac:dyDescent="0.25">
      <c r="A10080" s="16"/>
    </row>
    <row r="10081" spans="1:1" x14ac:dyDescent="0.25">
      <c r="A10081" s="16"/>
    </row>
    <row r="10082" spans="1:1" x14ac:dyDescent="0.25">
      <c r="A10082" s="16"/>
    </row>
    <row r="10083" spans="1:1" x14ac:dyDescent="0.25">
      <c r="A10083" s="16"/>
    </row>
    <row r="10084" spans="1:1" x14ac:dyDescent="0.25">
      <c r="A10084" s="16"/>
    </row>
    <row r="10085" spans="1:1" x14ac:dyDescent="0.25">
      <c r="A10085" s="16"/>
    </row>
    <row r="10086" spans="1:1" x14ac:dyDescent="0.25">
      <c r="A10086" s="16"/>
    </row>
    <row r="10087" spans="1:1" x14ac:dyDescent="0.25">
      <c r="A10087" s="16"/>
    </row>
    <row r="10088" spans="1:1" x14ac:dyDescent="0.25">
      <c r="A10088" s="16"/>
    </row>
    <row r="10089" spans="1:1" x14ac:dyDescent="0.25">
      <c r="A10089" s="16"/>
    </row>
    <row r="10090" spans="1:1" x14ac:dyDescent="0.25">
      <c r="A10090" s="16"/>
    </row>
    <row r="10091" spans="1:1" x14ac:dyDescent="0.25">
      <c r="A10091" s="16"/>
    </row>
    <row r="10092" spans="1:1" x14ac:dyDescent="0.25">
      <c r="A10092" s="16"/>
    </row>
    <row r="10093" spans="1:1" x14ac:dyDescent="0.25">
      <c r="A10093" s="16"/>
    </row>
    <row r="10094" spans="1:1" x14ac:dyDescent="0.25">
      <c r="A10094" s="16"/>
    </row>
    <row r="10095" spans="1:1" x14ac:dyDescent="0.25">
      <c r="A10095" s="16"/>
    </row>
    <row r="10096" spans="1:1" x14ac:dyDescent="0.25">
      <c r="A10096" s="16"/>
    </row>
    <row r="10097" spans="1:1" x14ac:dyDescent="0.25">
      <c r="A10097" s="16"/>
    </row>
    <row r="10098" spans="1:1" x14ac:dyDescent="0.25">
      <c r="A10098" s="16"/>
    </row>
    <row r="10099" spans="1:1" x14ac:dyDescent="0.25">
      <c r="A10099" s="16"/>
    </row>
    <row r="10100" spans="1:1" x14ac:dyDescent="0.25">
      <c r="A10100" s="16"/>
    </row>
    <row r="10101" spans="1:1" x14ac:dyDescent="0.25">
      <c r="A10101" s="16"/>
    </row>
    <row r="10102" spans="1:1" x14ac:dyDescent="0.25">
      <c r="A10102" s="16"/>
    </row>
    <row r="10103" spans="1:1" x14ac:dyDescent="0.25">
      <c r="A10103" s="16"/>
    </row>
    <row r="10104" spans="1:1" x14ac:dyDescent="0.25">
      <c r="A10104" s="16"/>
    </row>
    <row r="10105" spans="1:1" x14ac:dyDescent="0.25">
      <c r="A10105" s="16"/>
    </row>
    <row r="10106" spans="1:1" x14ac:dyDescent="0.25">
      <c r="A10106" s="16"/>
    </row>
    <row r="10107" spans="1:1" x14ac:dyDescent="0.25">
      <c r="A10107" s="16"/>
    </row>
    <row r="10108" spans="1:1" x14ac:dyDescent="0.25">
      <c r="A10108" s="16"/>
    </row>
    <row r="10109" spans="1:1" x14ac:dyDescent="0.25">
      <c r="A10109" s="16"/>
    </row>
    <row r="10110" spans="1:1" x14ac:dyDescent="0.25">
      <c r="A10110" s="16"/>
    </row>
    <row r="10111" spans="1:1" x14ac:dyDescent="0.25">
      <c r="A10111" s="16"/>
    </row>
    <row r="10112" spans="1:1" x14ac:dyDescent="0.25">
      <c r="A10112" s="16"/>
    </row>
    <row r="10113" spans="1:1" x14ac:dyDescent="0.25">
      <c r="A10113" s="16"/>
    </row>
    <row r="10114" spans="1:1" x14ac:dyDescent="0.25">
      <c r="A10114" s="16"/>
    </row>
    <row r="10115" spans="1:1" x14ac:dyDescent="0.25">
      <c r="A10115" s="16"/>
    </row>
    <row r="10116" spans="1:1" x14ac:dyDescent="0.25">
      <c r="A10116" s="16"/>
    </row>
    <row r="10117" spans="1:1" x14ac:dyDescent="0.25">
      <c r="A10117" s="16"/>
    </row>
    <row r="10118" spans="1:1" x14ac:dyDescent="0.25">
      <c r="A10118" s="16"/>
    </row>
    <row r="10119" spans="1:1" x14ac:dyDescent="0.25">
      <c r="A10119" s="16"/>
    </row>
    <row r="10120" spans="1:1" x14ac:dyDescent="0.25">
      <c r="A10120" s="16"/>
    </row>
    <row r="10121" spans="1:1" x14ac:dyDescent="0.25">
      <c r="A10121" s="16"/>
    </row>
    <row r="10122" spans="1:1" x14ac:dyDescent="0.25">
      <c r="A10122" s="16"/>
    </row>
    <row r="10123" spans="1:1" x14ac:dyDescent="0.25">
      <c r="A10123" s="16"/>
    </row>
    <row r="10124" spans="1:1" x14ac:dyDescent="0.25">
      <c r="A10124" s="16"/>
    </row>
    <row r="10125" spans="1:1" x14ac:dyDescent="0.25">
      <c r="A10125" s="16"/>
    </row>
    <row r="10126" spans="1:1" x14ac:dyDescent="0.25">
      <c r="A10126" s="16"/>
    </row>
    <row r="10127" spans="1:1" x14ac:dyDescent="0.25">
      <c r="A10127" s="16"/>
    </row>
    <row r="10128" spans="1:1" x14ac:dyDescent="0.25">
      <c r="A10128" s="16"/>
    </row>
    <row r="10129" spans="1:1" x14ac:dyDescent="0.25">
      <c r="A10129" s="16"/>
    </row>
    <row r="10130" spans="1:1" x14ac:dyDescent="0.25">
      <c r="A10130" s="16"/>
    </row>
    <row r="10131" spans="1:1" x14ac:dyDescent="0.25">
      <c r="A10131" s="16"/>
    </row>
    <row r="10132" spans="1:1" x14ac:dyDescent="0.25">
      <c r="A10132" s="16"/>
    </row>
    <row r="10133" spans="1:1" x14ac:dyDescent="0.25">
      <c r="A10133" s="16"/>
    </row>
    <row r="10134" spans="1:1" x14ac:dyDescent="0.25">
      <c r="A10134" s="16"/>
    </row>
    <row r="10135" spans="1:1" x14ac:dyDescent="0.25">
      <c r="A10135" s="16"/>
    </row>
    <row r="10136" spans="1:1" x14ac:dyDescent="0.25">
      <c r="A10136" s="16"/>
    </row>
    <row r="10137" spans="1:1" x14ac:dyDescent="0.25">
      <c r="A10137" s="16"/>
    </row>
    <row r="10138" spans="1:1" x14ac:dyDescent="0.25">
      <c r="A10138" s="16"/>
    </row>
    <row r="10139" spans="1:1" x14ac:dyDescent="0.25">
      <c r="A10139" s="16"/>
    </row>
    <row r="10140" spans="1:1" x14ac:dyDescent="0.25">
      <c r="A10140" s="16"/>
    </row>
    <row r="10141" spans="1:1" x14ac:dyDescent="0.25">
      <c r="A10141" s="16"/>
    </row>
    <row r="10142" spans="1:1" x14ac:dyDescent="0.25">
      <c r="A10142" s="16"/>
    </row>
    <row r="10143" spans="1:1" x14ac:dyDescent="0.25">
      <c r="A10143" s="16"/>
    </row>
    <row r="10144" spans="1:1" x14ac:dyDescent="0.25">
      <c r="A10144" s="16"/>
    </row>
    <row r="10145" spans="1:1" x14ac:dyDescent="0.25">
      <c r="A10145" s="16"/>
    </row>
    <row r="10146" spans="1:1" x14ac:dyDescent="0.25">
      <c r="A10146" s="16"/>
    </row>
    <row r="10147" spans="1:1" x14ac:dyDescent="0.25">
      <c r="A10147" s="16"/>
    </row>
    <row r="10148" spans="1:1" x14ac:dyDescent="0.25">
      <c r="A10148" s="16"/>
    </row>
    <row r="10149" spans="1:1" x14ac:dyDescent="0.25">
      <c r="A10149" s="16"/>
    </row>
    <row r="10150" spans="1:1" x14ac:dyDescent="0.25">
      <c r="A10150" s="16"/>
    </row>
    <row r="10151" spans="1:1" x14ac:dyDescent="0.25">
      <c r="A10151" s="16"/>
    </row>
    <row r="10152" spans="1:1" x14ac:dyDescent="0.25">
      <c r="A10152" s="16"/>
    </row>
    <row r="10153" spans="1:1" x14ac:dyDescent="0.25">
      <c r="A10153" s="16"/>
    </row>
    <row r="10154" spans="1:1" x14ac:dyDescent="0.25">
      <c r="A10154" s="16"/>
    </row>
    <row r="10155" spans="1:1" x14ac:dyDescent="0.25">
      <c r="A10155" s="16"/>
    </row>
    <row r="10156" spans="1:1" x14ac:dyDescent="0.25">
      <c r="A10156" s="16"/>
    </row>
    <row r="10157" spans="1:1" x14ac:dyDescent="0.25">
      <c r="A10157" s="16"/>
    </row>
    <row r="10158" spans="1:1" x14ac:dyDescent="0.25">
      <c r="A10158" s="16"/>
    </row>
    <row r="10159" spans="1:1" x14ac:dyDescent="0.25">
      <c r="A10159" s="16"/>
    </row>
    <row r="10160" spans="1:1" x14ac:dyDescent="0.25">
      <c r="A10160" s="16"/>
    </row>
    <row r="10161" spans="1:1" x14ac:dyDescent="0.25">
      <c r="A10161" s="16"/>
    </row>
    <row r="10162" spans="1:1" x14ac:dyDescent="0.25">
      <c r="A10162" s="16"/>
    </row>
    <row r="10163" spans="1:1" x14ac:dyDescent="0.25">
      <c r="A10163" s="16"/>
    </row>
    <row r="10164" spans="1:1" x14ac:dyDescent="0.25">
      <c r="A10164" s="16"/>
    </row>
    <row r="10165" spans="1:1" x14ac:dyDescent="0.25">
      <c r="A10165" s="16"/>
    </row>
    <row r="10166" spans="1:1" x14ac:dyDescent="0.25">
      <c r="A10166" s="16"/>
    </row>
    <row r="10167" spans="1:1" x14ac:dyDescent="0.25">
      <c r="A10167" s="16"/>
    </row>
    <row r="10168" spans="1:1" x14ac:dyDescent="0.25">
      <c r="A10168" s="16"/>
    </row>
    <row r="10169" spans="1:1" x14ac:dyDescent="0.25">
      <c r="A10169" s="16"/>
    </row>
    <row r="10170" spans="1:1" x14ac:dyDescent="0.25">
      <c r="A10170" s="16"/>
    </row>
    <row r="10171" spans="1:1" x14ac:dyDescent="0.25">
      <c r="A10171" s="16"/>
    </row>
    <row r="10172" spans="1:1" x14ac:dyDescent="0.25">
      <c r="A10172" s="16"/>
    </row>
    <row r="10173" spans="1:1" x14ac:dyDescent="0.25">
      <c r="A10173" s="16"/>
    </row>
    <row r="10174" spans="1:1" x14ac:dyDescent="0.25">
      <c r="A10174" s="16"/>
    </row>
    <row r="10175" spans="1:1" x14ac:dyDescent="0.25">
      <c r="A10175" s="16"/>
    </row>
    <row r="10176" spans="1:1" x14ac:dyDescent="0.25">
      <c r="A10176" s="16"/>
    </row>
    <row r="10177" spans="1:1" x14ac:dyDescent="0.25">
      <c r="A10177" s="16"/>
    </row>
    <row r="10178" spans="1:1" x14ac:dyDescent="0.25">
      <c r="A10178" s="16"/>
    </row>
    <row r="10179" spans="1:1" x14ac:dyDescent="0.25">
      <c r="A10179" s="16"/>
    </row>
    <row r="10180" spans="1:1" x14ac:dyDescent="0.25">
      <c r="A10180" s="16"/>
    </row>
    <row r="10181" spans="1:1" x14ac:dyDescent="0.25">
      <c r="A10181" s="16"/>
    </row>
    <row r="10182" spans="1:1" x14ac:dyDescent="0.25">
      <c r="A10182" s="16"/>
    </row>
    <row r="10183" spans="1:1" x14ac:dyDescent="0.25">
      <c r="A10183" s="16"/>
    </row>
    <row r="10184" spans="1:1" x14ac:dyDescent="0.25">
      <c r="A10184" s="16"/>
    </row>
    <row r="10185" spans="1:1" x14ac:dyDescent="0.25">
      <c r="A10185" s="16"/>
    </row>
    <row r="10186" spans="1:1" x14ac:dyDescent="0.25">
      <c r="A10186" s="16"/>
    </row>
    <row r="10187" spans="1:1" x14ac:dyDescent="0.25">
      <c r="A10187" s="16"/>
    </row>
    <row r="10188" spans="1:1" x14ac:dyDescent="0.25">
      <c r="A10188" s="16"/>
    </row>
    <row r="10189" spans="1:1" x14ac:dyDescent="0.25">
      <c r="A10189" s="16"/>
    </row>
    <row r="10190" spans="1:1" x14ac:dyDescent="0.25">
      <c r="A10190" s="16"/>
    </row>
    <row r="10191" spans="1:1" x14ac:dyDescent="0.25">
      <c r="A10191" s="16"/>
    </row>
    <row r="10192" spans="1:1" x14ac:dyDescent="0.25">
      <c r="A10192" s="16"/>
    </row>
    <row r="10193" spans="1:1" x14ac:dyDescent="0.25">
      <c r="A10193" s="16"/>
    </row>
    <row r="10194" spans="1:1" x14ac:dyDescent="0.25">
      <c r="A10194" s="16"/>
    </row>
    <row r="10195" spans="1:1" x14ac:dyDescent="0.25">
      <c r="A10195" s="16"/>
    </row>
    <row r="10196" spans="1:1" x14ac:dyDescent="0.25">
      <c r="A10196" s="16"/>
    </row>
    <row r="10197" spans="1:1" x14ac:dyDescent="0.25">
      <c r="A10197" s="16"/>
    </row>
    <row r="10198" spans="1:1" x14ac:dyDescent="0.25">
      <c r="A10198" s="16"/>
    </row>
    <row r="10199" spans="1:1" x14ac:dyDescent="0.25">
      <c r="A10199" s="16"/>
    </row>
    <row r="10200" spans="1:1" x14ac:dyDescent="0.25">
      <c r="A10200" s="16"/>
    </row>
    <row r="10201" spans="1:1" x14ac:dyDescent="0.25">
      <c r="A10201" s="16"/>
    </row>
    <row r="10202" spans="1:1" x14ac:dyDescent="0.25">
      <c r="A10202" s="16"/>
    </row>
    <row r="10203" spans="1:1" x14ac:dyDescent="0.25">
      <c r="A10203" s="16"/>
    </row>
    <row r="10204" spans="1:1" x14ac:dyDescent="0.25">
      <c r="A10204" s="16"/>
    </row>
    <row r="10205" spans="1:1" x14ac:dyDescent="0.25">
      <c r="A10205" s="16"/>
    </row>
    <row r="10206" spans="1:1" x14ac:dyDescent="0.25">
      <c r="A10206" s="16"/>
    </row>
    <row r="10207" spans="1:1" x14ac:dyDescent="0.25">
      <c r="A10207" s="16"/>
    </row>
    <row r="10208" spans="1:1" x14ac:dyDescent="0.25">
      <c r="A10208" s="16"/>
    </row>
    <row r="10209" spans="1:1" x14ac:dyDescent="0.25">
      <c r="A10209" s="16"/>
    </row>
    <row r="10210" spans="1:1" x14ac:dyDescent="0.25">
      <c r="A10210" s="16"/>
    </row>
    <row r="10211" spans="1:1" x14ac:dyDescent="0.25">
      <c r="A10211" s="16"/>
    </row>
    <row r="10212" spans="1:1" x14ac:dyDescent="0.25">
      <c r="A10212" s="16"/>
    </row>
    <row r="10213" spans="1:1" x14ac:dyDescent="0.25">
      <c r="A10213" s="16"/>
    </row>
    <row r="10214" spans="1:1" x14ac:dyDescent="0.25">
      <c r="A10214" s="16"/>
    </row>
    <row r="10215" spans="1:1" x14ac:dyDescent="0.25">
      <c r="A10215" s="16"/>
    </row>
    <row r="10216" spans="1:1" x14ac:dyDescent="0.25">
      <c r="A10216" s="16"/>
    </row>
    <row r="10217" spans="1:1" x14ac:dyDescent="0.25">
      <c r="A10217" s="16"/>
    </row>
    <row r="10218" spans="1:1" x14ac:dyDescent="0.25">
      <c r="A10218" s="16"/>
    </row>
    <row r="10219" spans="1:1" x14ac:dyDescent="0.25">
      <c r="A10219" s="16"/>
    </row>
    <row r="10220" spans="1:1" x14ac:dyDescent="0.25">
      <c r="A10220" s="16"/>
    </row>
    <row r="10221" spans="1:1" x14ac:dyDescent="0.25">
      <c r="A10221" s="16"/>
    </row>
    <row r="10222" spans="1:1" x14ac:dyDescent="0.25">
      <c r="A10222" s="16"/>
    </row>
    <row r="10223" spans="1:1" x14ac:dyDescent="0.25">
      <c r="A10223" s="16"/>
    </row>
    <row r="10224" spans="1:1" x14ac:dyDescent="0.25">
      <c r="A10224" s="16"/>
    </row>
    <row r="10225" spans="1:1" x14ac:dyDescent="0.25">
      <c r="A10225" s="16"/>
    </row>
    <row r="10226" spans="1:1" x14ac:dyDescent="0.25">
      <c r="A10226" s="16"/>
    </row>
    <row r="10227" spans="1:1" x14ac:dyDescent="0.25">
      <c r="A10227" s="16"/>
    </row>
    <row r="10228" spans="1:1" x14ac:dyDescent="0.25">
      <c r="A10228" s="16"/>
    </row>
    <row r="10229" spans="1:1" x14ac:dyDescent="0.25">
      <c r="A10229" s="16"/>
    </row>
    <row r="10230" spans="1:1" x14ac:dyDescent="0.25">
      <c r="A10230" s="16"/>
    </row>
    <row r="10231" spans="1:1" x14ac:dyDescent="0.25">
      <c r="A10231" s="16"/>
    </row>
    <row r="10232" spans="1:1" x14ac:dyDescent="0.25">
      <c r="A10232" s="16"/>
    </row>
    <row r="10233" spans="1:1" x14ac:dyDescent="0.25">
      <c r="A10233" s="16"/>
    </row>
    <row r="10234" spans="1:1" x14ac:dyDescent="0.25">
      <c r="A10234" s="16"/>
    </row>
    <row r="10235" spans="1:1" x14ac:dyDescent="0.25">
      <c r="A10235" s="16"/>
    </row>
    <row r="10236" spans="1:1" x14ac:dyDescent="0.25">
      <c r="A10236" s="16"/>
    </row>
    <row r="10237" spans="1:1" x14ac:dyDescent="0.25">
      <c r="A10237" s="16"/>
    </row>
    <row r="10238" spans="1:1" x14ac:dyDescent="0.25">
      <c r="A10238" s="16"/>
    </row>
    <row r="10239" spans="1:1" x14ac:dyDescent="0.25">
      <c r="A10239" s="16"/>
    </row>
    <row r="10240" spans="1:1" x14ac:dyDescent="0.25">
      <c r="A10240" s="16"/>
    </row>
    <row r="10241" spans="1:1" x14ac:dyDescent="0.25">
      <c r="A10241" s="16"/>
    </row>
    <row r="10242" spans="1:1" x14ac:dyDescent="0.25">
      <c r="A10242" s="16"/>
    </row>
    <row r="10243" spans="1:1" x14ac:dyDescent="0.25">
      <c r="A10243" s="16"/>
    </row>
    <row r="10244" spans="1:1" x14ac:dyDescent="0.25">
      <c r="A10244" s="16"/>
    </row>
    <row r="10245" spans="1:1" x14ac:dyDescent="0.25">
      <c r="A10245" s="16"/>
    </row>
    <row r="10246" spans="1:1" x14ac:dyDescent="0.25">
      <c r="A10246" s="16"/>
    </row>
    <row r="10247" spans="1:1" x14ac:dyDescent="0.25">
      <c r="A10247" s="16"/>
    </row>
    <row r="10248" spans="1:1" x14ac:dyDescent="0.25">
      <c r="A10248" s="16"/>
    </row>
    <row r="10249" spans="1:1" x14ac:dyDescent="0.25">
      <c r="A10249" s="16"/>
    </row>
    <row r="10250" spans="1:1" x14ac:dyDescent="0.25">
      <c r="A10250" s="16"/>
    </row>
    <row r="10251" spans="1:1" x14ac:dyDescent="0.25">
      <c r="A10251" s="16"/>
    </row>
    <row r="10252" spans="1:1" x14ac:dyDescent="0.25">
      <c r="A10252" s="16"/>
    </row>
    <row r="10253" spans="1:1" x14ac:dyDescent="0.25">
      <c r="A10253" s="16"/>
    </row>
    <row r="10254" spans="1:1" x14ac:dyDescent="0.25">
      <c r="A10254" s="16"/>
    </row>
    <row r="10255" spans="1:1" x14ac:dyDescent="0.25">
      <c r="A10255" s="16"/>
    </row>
    <row r="10256" spans="1:1" x14ac:dyDescent="0.25">
      <c r="A10256" s="16"/>
    </row>
    <row r="10257" spans="1:1" x14ac:dyDescent="0.25">
      <c r="A10257" s="16"/>
    </row>
    <row r="10258" spans="1:1" x14ac:dyDescent="0.25">
      <c r="A10258" s="16"/>
    </row>
    <row r="10259" spans="1:1" x14ac:dyDescent="0.25">
      <c r="A10259" s="16"/>
    </row>
    <row r="10260" spans="1:1" x14ac:dyDescent="0.25">
      <c r="A10260" s="16"/>
    </row>
    <row r="10261" spans="1:1" x14ac:dyDescent="0.25">
      <c r="A10261" s="16"/>
    </row>
    <row r="10262" spans="1:1" x14ac:dyDescent="0.25">
      <c r="A10262" s="16"/>
    </row>
    <row r="10263" spans="1:1" x14ac:dyDescent="0.25">
      <c r="A10263" s="16"/>
    </row>
    <row r="10264" spans="1:1" x14ac:dyDescent="0.25">
      <c r="A10264" s="16"/>
    </row>
    <row r="10265" spans="1:1" x14ac:dyDescent="0.25">
      <c r="A10265" s="16"/>
    </row>
    <row r="10266" spans="1:1" x14ac:dyDescent="0.25">
      <c r="A10266" s="16"/>
    </row>
    <row r="10267" spans="1:1" x14ac:dyDescent="0.25">
      <c r="A10267" s="16"/>
    </row>
    <row r="10268" spans="1:1" x14ac:dyDescent="0.25">
      <c r="A10268" s="16"/>
    </row>
    <row r="10269" spans="1:1" x14ac:dyDescent="0.25">
      <c r="A10269" s="16"/>
    </row>
    <row r="10270" spans="1:1" x14ac:dyDescent="0.25">
      <c r="A10270" s="16"/>
    </row>
    <row r="10271" spans="1:1" x14ac:dyDescent="0.25">
      <c r="A10271" s="16"/>
    </row>
    <row r="10272" spans="1:1" x14ac:dyDescent="0.25">
      <c r="A10272" s="16"/>
    </row>
    <row r="10273" spans="1:1" x14ac:dyDescent="0.25">
      <c r="A10273" s="16"/>
    </row>
    <row r="10274" spans="1:1" x14ac:dyDescent="0.25">
      <c r="A10274" s="16"/>
    </row>
    <row r="10275" spans="1:1" x14ac:dyDescent="0.25">
      <c r="A10275" s="16"/>
    </row>
    <row r="10276" spans="1:1" x14ac:dyDescent="0.25">
      <c r="A10276" s="16"/>
    </row>
    <row r="10277" spans="1:1" x14ac:dyDescent="0.25">
      <c r="A10277" s="16"/>
    </row>
    <row r="10278" spans="1:1" x14ac:dyDescent="0.25">
      <c r="A10278" s="16"/>
    </row>
    <row r="10279" spans="1:1" x14ac:dyDescent="0.25">
      <c r="A10279" s="16"/>
    </row>
    <row r="10280" spans="1:1" x14ac:dyDescent="0.25">
      <c r="A10280" s="16"/>
    </row>
    <row r="10281" spans="1:1" x14ac:dyDescent="0.25">
      <c r="A10281" s="16"/>
    </row>
    <row r="10282" spans="1:1" x14ac:dyDescent="0.25">
      <c r="A10282" s="16"/>
    </row>
    <row r="10283" spans="1:1" x14ac:dyDescent="0.25">
      <c r="A10283" s="16"/>
    </row>
    <row r="10284" spans="1:1" x14ac:dyDescent="0.25">
      <c r="A10284" s="16"/>
    </row>
    <row r="10285" spans="1:1" x14ac:dyDescent="0.25">
      <c r="A10285" s="16"/>
    </row>
    <row r="10286" spans="1:1" x14ac:dyDescent="0.25">
      <c r="A10286" s="16"/>
    </row>
    <row r="10287" spans="1:1" x14ac:dyDescent="0.25">
      <c r="A10287" s="16"/>
    </row>
    <row r="10288" spans="1:1" x14ac:dyDescent="0.25">
      <c r="A10288" s="16"/>
    </row>
    <row r="10289" spans="1:1" x14ac:dyDescent="0.25">
      <c r="A10289" s="16"/>
    </row>
    <row r="10290" spans="1:1" x14ac:dyDescent="0.25">
      <c r="A10290" s="16"/>
    </row>
    <row r="10291" spans="1:1" x14ac:dyDescent="0.25">
      <c r="A10291" s="16"/>
    </row>
    <row r="10292" spans="1:1" x14ac:dyDescent="0.25">
      <c r="A10292" s="16"/>
    </row>
    <row r="10293" spans="1:1" x14ac:dyDescent="0.25">
      <c r="A10293" s="16"/>
    </row>
    <row r="10294" spans="1:1" x14ac:dyDescent="0.25">
      <c r="A10294" s="16"/>
    </row>
    <row r="10295" spans="1:1" x14ac:dyDescent="0.25">
      <c r="A10295" s="16"/>
    </row>
    <row r="10296" spans="1:1" x14ac:dyDescent="0.25">
      <c r="A10296" s="16"/>
    </row>
    <row r="10297" spans="1:1" x14ac:dyDescent="0.25">
      <c r="A10297" s="16"/>
    </row>
    <row r="10298" spans="1:1" x14ac:dyDescent="0.25">
      <c r="A10298" s="16"/>
    </row>
    <row r="10299" spans="1:1" x14ac:dyDescent="0.25">
      <c r="A10299" s="16"/>
    </row>
    <row r="10300" spans="1:1" x14ac:dyDescent="0.25">
      <c r="A10300" s="16"/>
    </row>
    <row r="10301" spans="1:1" x14ac:dyDescent="0.25">
      <c r="A10301" s="16"/>
    </row>
    <row r="10302" spans="1:1" x14ac:dyDescent="0.25">
      <c r="A10302" s="16"/>
    </row>
    <row r="10303" spans="1:1" x14ac:dyDescent="0.25">
      <c r="A10303" s="16"/>
    </row>
    <row r="10304" spans="1:1" x14ac:dyDescent="0.25">
      <c r="A10304" s="16"/>
    </row>
    <row r="10305" spans="1:1" x14ac:dyDescent="0.25">
      <c r="A10305" s="16"/>
    </row>
    <row r="10306" spans="1:1" x14ac:dyDescent="0.25">
      <c r="A10306" s="16"/>
    </row>
    <row r="10307" spans="1:1" x14ac:dyDescent="0.25">
      <c r="A10307" s="16"/>
    </row>
    <row r="10308" spans="1:1" x14ac:dyDescent="0.25">
      <c r="A10308" s="16"/>
    </row>
    <row r="10309" spans="1:1" x14ac:dyDescent="0.25">
      <c r="A10309" s="16"/>
    </row>
    <row r="10310" spans="1:1" x14ac:dyDescent="0.25">
      <c r="A10310" s="16"/>
    </row>
    <row r="10311" spans="1:1" x14ac:dyDescent="0.25">
      <c r="A10311" s="16"/>
    </row>
    <row r="10312" spans="1:1" x14ac:dyDescent="0.25">
      <c r="A10312" s="16"/>
    </row>
    <row r="10313" spans="1:1" x14ac:dyDescent="0.25">
      <c r="A10313" s="16"/>
    </row>
    <row r="10314" spans="1:1" x14ac:dyDescent="0.25">
      <c r="A10314" s="16"/>
    </row>
    <row r="10315" spans="1:1" x14ac:dyDescent="0.25">
      <c r="A10315" s="16"/>
    </row>
    <row r="10316" spans="1:1" x14ac:dyDescent="0.25">
      <c r="A10316" s="16"/>
    </row>
    <row r="10317" spans="1:1" x14ac:dyDescent="0.25">
      <c r="A10317" s="16"/>
    </row>
    <row r="10318" spans="1:1" x14ac:dyDescent="0.25">
      <c r="A10318" s="16"/>
    </row>
    <row r="10319" spans="1:1" x14ac:dyDescent="0.25">
      <c r="A10319" s="16"/>
    </row>
    <row r="10320" spans="1:1" x14ac:dyDescent="0.25">
      <c r="A10320" s="16"/>
    </row>
    <row r="10321" spans="1:1" x14ac:dyDescent="0.25">
      <c r="A10321" s="16"/>
    </row>
    <row r="10322" spans="1:1" x14ac:dyDescent="0.25">
      <c r="A10322" s="16"/>
    </row>
    <row r="10323" spans="1:1" x14ac:dyDescent="0.25">
      <c r="A10323" s="16"/>
    </row>
    <row r="10324" spans="1:1" x14ac:dyDescent="0.25">
      <c r="A10324" s="16"/>
    </row>
    <row r="10325" spans="1:1" x14ac:dyDescent="0.25">
      <c r="A10325" s="16"/>
    </row>
    <row r="10326" spans="1:1" x14ac:dyDescent="0.25">
      <c r="A10326" s="16"/>
    </row>
    <row r="10327" spans="1:1" x14ac:dyDescent="0.25">
      <c r="A10327" s="16"/>
    </row>
    <row r="10328" spans="1:1" x14ac:dyDescent="0.25">
      <c r="A10328" s="16"/>
    </row>
    <row r="10329" spans="1:1" x14ac:dyDescent="0.25">
      <c r="A10329" s="16"/>
    </row>
    <row r="10330" spans="1:1" x14ac:dyDescent="0.25">
      <c r="A10330" s="16"/>
    </row>
    <row r="10331" spans="1:1" x14ac:dyDescent="0.25">
      <c r="A10331" s="16"/>
    </row>
    <row r="10332" spans="1:1" x14ac:dyDescent="0.25">
      <c r="A10332" s="16"/>
    </row>
    <row r="10333" spans="1:1" x14ac:dyDescent="0.25">
      <c r="A10333" s="16"/>
    </row>
    <row r="10334" spans="1:1" x14ac:dyDescent="0.25">
      <c r="A10334" s="16"/>
    </row>
    <row r="10335" spans="1:1" x14ac:dyDescent="0.25">
      <c r="A10335" s="16"/>
    </row>
    <row r="10336" spans="1:1" x14ac:dyDescent="0.25">
      <c r="A10336" s="16"/>
    </row>
    <row r="10337" spans="1:1" x14ac:dyDescent="0.25">
      <c r="A10337" s="16"/>
    </row>
    <row r="10338" spans="1:1" x14ac:dyDescent="0.25">
      <c r="A10338" s="16"/>
    </row>
    <row r="10339" spans="1:1" x14ac:dyDescent="0.25">
      <c r="A10339" s="16"/>
    </row>
    <row r="10340" spans="1:1" x14ac:dyDescent="0.25">
      <c r="A10340" s="16"/>
    </row>
    <row r="10341" spans="1:1" x14ac:dyDescent="0.25">
      <c r="A10341" s="16"/>
    </row>
    <row r="10342" spans="1:1" x14ac:dyDescent="0.25">
      <c r="A10342" s="16"/>
    </row>
    <row r="10343" spans="1:1" x14ac:dyDescent="0.25">
      <c r="A10343" s="16"/>
    </row>
    <row r="10344" spans="1:1" x14ac:dyDescent="0.25">
      <c r="A10344" s="16"/>
    </row>
    <row r="10345" spans="1:1" x14ac:dyDescent="0.25">
      <c r="A10345" s="16"/>
    </row>
    <row r="10346" spans="1:1" x14ac:dyDescent="0.25">
      <c r="A10346" s="16"/>
    </row>
    <row r="10347" spans="1:1" x14ac:dyDescent="0.25">
      <c r="A10347" s="16"/>
    </row>
    <row r="10348" spans="1:1" x14ac:dyDescent="0.25">
      <c r="A10348" s="16"/>
    </row>
    <row r="10349" spans="1:1" x14ac:dyDescent="0.25">
      <c r="A10349" s="16"/>
    </row>
    <row r="10350" spans="1:1" x14ac:dyDescent="0.25">
      <c r="A10350" s="16"/>
    </row>
    <row r="10351" spans="1:1" x14ac:dyDescent="0.25">
      <c r="A10351" s="16"/>
    </row>
    <row r="10352" spans="1:1" x14ac:dyDescent="0.25">
      <c r="A10352" s="16"/>
    </row>
    <row r="10353" spans="1:1" x14ac:dyDescent="0.25">
      <c r="A10353" s="16"/>
    </row>
    <row r="10354" spans="1:1" x14ac:dyDescent="0.25">
      <c r="A10354" s="16"/>
    </row>
    <row r="10355" spans="1:1" x14ac:dyDescent="0.25">
      <c r="A10355" s="16"/>
    </row>
    <row r="10356" spans="1:1" x14ac:dyDescent="0.25">
      <c r="A10356" s="16"/>
    </row>
    <row r="10357" spans="1:1" x14ac:dyDescent="0.25">
      <c r="A10357" s="16"/>
    </row>
    <row r="10358" spans="1:1" x14ac:dyDescent="0.25">
      <c r="A10358" s="16"/>
    </row>
    <row r="10359" spans="1:1" x14ac:dyDescent="0.25">
      <c r="A10359" s="16"/>
    </row>
    <row r="10360" spans="1:1" x14ac:dyDescent="0.25">
      <c r="A10360" s="16"/>
    </row>
    <row r="10361" spans="1:1" x14ac:dyDescent="0.25">
      <c r="A10361" s="16"/>
    </row>
    <row r="10362" spans="1:1" x14ac:dyDescent="0.25">
      <c r="A10362" s="16"/>
    </row>
    <row r="10363" spans="1:1" x14ac:dyDescent="0.25">
      <c r="A10363" s="16"/>
    </row>
    <row r="10364" spans="1:1" x14ac:dyDescent="0.25">
      <c r="A10364" s="16"/>
    </row>
    <row r="10365" spans="1:1" x14ac:dyDescent="0.25">
      <c r="A10365" s="16"/>
    </row>
    <row r="10366" spans="1:1" x14ac:dyDescent="0.25">
      <c r="A10366" s="16"/>
    </row>
    <row r="10367" spans="1:1" x14ac:dyDescent="0.25">
      <c r="A10367" s="16"/>
    </row>
    <row r="10368" spans="1:1" x14ac:dyDescent="0.25">
      <c r="A10368" s="16"/>
    </row>
    <row r="10369" spans="1:1" x14ac:dyDescent="0.25">
      <c r="A10369" s="16"/>
    </row>
    <row r="10370" spans="1:1" x14ac:dyDescent="0.25">
      <c r="A10370" s="16"/>
    </row>
    <row r="10371" spans="1:1" x14ac:dyDescent="0.25">
      <c r="A10371" s="16"/>
    </row>
    <row r="10372" spans="1:1" x14ac:dyDescent="0.25">
      <c r="A10372" s="16"/>
    </row>
    <row r="10373" spans="1:1" x14ac:dyDescent="0.25">
      <c r="A10373" s="16"/>
    </row>
    <row r="10374" spans="1:1" x14ac:dyDescent="0.25">
      <c r="A10374" s="16"/>
    </row>
    <row r="10375" spans="1:1" x14ac:dyDescent="0.25">
      <c r="A10375" s="16"/>
    </row>
    <row r="10376" spans="1:1" x14ac:dyDescent="0.25">
      <c r="A10376" s="16"/>
    </row>
    <row r="10377" spans="1:1" x14ac:dyDescent="0.25">
      <c r="A10377" s="16"/>
    </row>
    <row r="10378" spans="1:1" x14ac:dyDescent="0.25">
      <c r="A10378" s="16"/>
    </row>
    <row r="10379" spans="1:1" x14ac:dyDescent="0.25">
      <c r="A10379" s="16"/>
    </row>
    <row r="10380" spans="1:1" x14ac:dyDescent="0.25">
      <c r="A10380" s="16"/>
    </row>
    <row r="10381" spans="1:1" x14ac:dyDescent="0.25">
      <c r="A10381" s="16"/>
    </row>
    <row r="10382" spans="1:1" x14ac:dyDescent="0.25">
      <c r="A10382" s="16"/>
    </row>
    <row r="10383" spans="1:1" x14ac:dyDescent="0.25">
      <c r="A10383" s="16"/>
    </row>
    <row r="10384" spans="1:1" x14ac:dyDescent="0.25">
      <c r="A10384" s="16"/>
    </row>
    <row r="10385" spans="1:1" x14ac:dyDescent="0.25">
      <c r="A10385" s="16"/>
    </row>
    <row r="10386" spans="1:1" x14ac:dyDescent="0.25">
      <c r="A10386" s="16"/>
    </row>
    <row r="10387" spans="1:1" x14ac:dyDescent="0.25">
      <c r="A10387" s="16"/>
    </row>
    <row r="10388" spans="1:1" x14ac:dyDescent="0.25">
      <c r="A10388" s="16"/>
    </row>
    <row r="10389" spans="1:1" x14ac:dyDescent="0.25">
      <c r="A10389" s="16"/>
    </row>
    <row r="10390" spans="1:1" x14ac:dyDescent="0.25">
      <c r="A10390" s="16"/>
    </row>
    <row r="10391" spans="1:1" x14ac:dyDescent="0.25">
      <c r="A10391" s="16"/>
    </row>
    <row r="10392" spans="1:1" x14ac:dyDescent="0.25">
      <c r="A10392" s="16"/>
    </row>
    <row r="10393" spans="1:1" x14ac:dyDescent="0.25">
      <c r="A10393" s="16"/>
    </row>
    <row r="10394" spans="1:1" x14ac:dyDescent="0.25">
      <c r="A10394" s="16"/>
    </row>
    <row r="10395" spans="1:1" x14ac:dyDescent="0.25">
      <c r="A10395" s="16"/>
    </row>
    <row r="10396" spans="1:1" x14ac:dyDescent="0.25">
      <c r="A10396" s="16"/>
    </row>
    <row r="10397" spans="1:1" x14ac:dyDescent="0.25">
      <c r="A10397" s="16"/>
    </row>
    <row r="10398" spans="1:1" x14ac:dyDescent="0.25">
      <c r="A10398" s="16"/>
    </row>
    <row r="10399" spans="1:1" x14ac:dyDescent="0.25">
      <c r="A10399" s="16"/>
    </row>
    <row r="10400" spans="1:1" x14ac:dyDescent="0.25">
      <c r="A10400" s="16"/>
    </row>
    <row r="10401" spans="1:1" x14ac:dyDescent="0.25">
      <c r="A10401" s="16"/>
    </row>
    <row r="10402" spans="1:1" x14ac:dyDescent="0.25">
      <c r="A10402" s="16"/>
    </row>
    <row r="10403" spans="1:1" x14ac:dyDescent="0.25">
      <c r="A10403" s="16"/>
    </row>
    <row r="10404" spans="1:1" x14ac:dyDescent="0.25">
      <c r="A10404" s="16"/>
    </row>
    <row r="10405" spans="1:1" x14ac:dyDescent="0.25">
      <c r="A10405" s="16"/>
    </row>
    <row r="10406" spans="1:1" x14ac:dyDescent="0.25">
      <c r="A10406" s="16"/>
    </row>
    <row r="10407" spans="1:1" x14ac:dyDescent="0.25">
      <c r="A10407" s="16"/>
    </row>
    <row r="10408" spans="1:1" x14ac:dyDescent="0.25">
      <c r="A10408" s="16"/>
    </row>
    <row r="10409" spans="1:1" x14ac:dyDescent="0.25">
      <c r="A10409" s="16"/>
    </row>
    <row r="10410" spans="1:1" x14ac:dyDescent="0.25">
      <c r="A10410" s="16"/>
    </row>
    <row r="10411" spans="1:1" x14ac:dyDescent="0.25">
      <c r="A10411" s="16"/>
    </row>
    <row r="10412" spans="1:1" x14ac:dyDescent="0.25">
      <c r="A10412" s="16"/>
    </row>
    <row r="10413" spans="1:1" x14ac:dyDescent="0.25">
      <c r="A10413" s="16"/>
    </row>
    <row r="10414" spans="1:1" x14ac:dyDescent="0.25">
      <c r="A10414" s="16"/>
    </row>
    <row r="10415" spans="1:1" x14ac:dyDescent="0.25">
      <c r="A10415" s="16"/>
    </row>
    <row r="10416" spans="1:1" x14ac:dyDescent="0.25">
      <c r="A10416" s="16"/>
    </row>
    <row r="10417" spans="1:1" x14ac:dyDescent="0.25">
      <c r="A10417" s="16"/>
    </row>
    <row r="10418" spans="1:1" x14ac:dyDescent="0.25">
      <c r="A10418" s="16"/>
    </row>
    <row r="10419" spans="1:1" x14ac:dyDescent="0.25">
      <c r="A10419" s="16"/>
    </row>
    <row r="10420" spans="1:1" x14ac:dyDescent="0.25">
      <c r="A10420" s="16"/>
    </row>
    <row r="10421" spans="1:1" x14ac:dyDescent="0.25">
      <c r="A10421" s="16"/>
    </row>
    <row r="10422" spans="1:1" x14ac:dyDescent="0.25">
      <c r="A10422" s="16"/>
    </row>
    <row r="10423" spans="1:1" x14ac:dyDescent="0.25">
      <c r="A10423" s="16"/>
    </row>
    <row r="10424" spans="1:1" x14ac:dyDescent="0.25">
      <c r="A10424" s="16"/>
    </row>
    <row r="10425" spans="1:1" x14ac:dyDescent="0.25">
      <c r="A10425" s="16"/>
    </row>
    <row r="10426" spans="1:1" x14ac:dyDescent="0.25">
      <c r="A10426" s="16"/>
    </row>
    <row r="10427" spans="1:1" x14ac:dyDescent="0.25">
      <c r="A10427" s="16"/>
    </row>
    <row r="10428" spans="1:1" x14ac:dyDescent="0.25">
      <c r="A10428" s="16"/>
    </row>
    <row r="10429" spans="1:1" x14ac:dyDescent="0.25">
      <c r="A10429" s="16"/>
    </row>
    <row r="10430" spans="1:1" x14ac:dyDescent="0.25">
      <c r="A10430" s="16"/>
    </row>
    <row r="10431" spans="1:1" x14ac:dyDescent="0.25">
      <c r="A10431" s="16"/>
    </row>
    <row r="10432" spans="1:1" x14ac:dyDescent="0.25">
      <c r="A10432" s="16"/>
    </row>
    <row r="10433" spans="1:1" x14ac:dyDescent="0.25">
      <c r="A10433" s="16"/>
    </row>
    <row r="10434" spans="1:1" x14ac:dyDescent="0.25">
      <c r="A10434" s="16"/>
    </row>
    <row r="10435" spans="1:1" x14ac:dyDescent="0.25">
      <c r="A10435" s="16"/>
    </row>
    <row r="10436" spans="1:1" x14ac:dyDescent="0.25">
      <c r="A10436" s="16"/>
    </row>
    <row r="10437" spans="1:1" x14ac:dyDescent="0.25">
      <c r="A10437" s="16"/>
    </row>
    <row r="10438" spans="1:1" x14ac:dyDescent="0.25">
      <c r="A10438" s="16"/>
    </row>
    <row r="10439" spans="1:1" x14ac:dyDescent="0.25">
      <c r="A10439" s="16"/>
    </row>
    <row r="10440" spans="1:1" x14ac:dyDescent="0.25">
      <c r="A10440" s="16"/>
    </row>
    <row r="10441" spans="1:1" x14ac:dyDescent="0.25">
      <c r="A10441" s="16"/>
    </row>
    <row r="10442" spans="1:1" x14ac:dyDescent="0.25">
      <c r="A10442" s="16"/>
    </row>
    <row r="10443" spans="1:1" x14ac:dyDescent="0.25">
      <c r="A10443" s="16"/>
    </row>
    <row r="10444" spans="1:1" x14ac:dyDescent="0.25">
      <c r="A10444" s="16"/>
    </row>
    <row r="10445" spans="1:1" x14ac:dyDescent="0.25">
      <c r="A10445" s="16"/>
    </row>
    <row r="10446" spans="1:1" x14ac:dyDescent="0.25">
      <c r="A10446" s="16"/>
    </row>
    <row r="10447" spans="1:1" x14ac:dyDescent="0.25">
      <c r="A10447" s="16"/>
    </row>
    <row r="10448" spans="1:1" x14ac:dyDescent="0.25">
      <c r="A10448" s="16"/>
    </row>
    <row r="10449" spans="1:1" x14ac:dyDescent="0.25">
      <c r="A10449" s="16"/>
    </row>
    <row r="10450" spans="1:1" x14ac:dyDescent="0.25">
      <c r="A10450" s="16"/>
    </row>
    <row r="10451" spans="1:1" x14ac:dyDescent="0.25">
      <c r="A10451" s="16"/>
    </row>
    <row r="10452" spans="1:1" x14ac:dyDescent="0.25">
      <c r="A10452" s="16"/>
    </row>
    <row r="10453" spans="1:1" x14ac:dyDescent="0.25">
      <c r="A10453" s="16"/>
    </row>
    <row r="10454" spans="1:1" x14ac:dyDescent="0.25">
      <c r="A10454" s="16"/>
    </row>
    <row r="10455" spans="1:1" x14ac:dyDescent="0.25">
      <c r="A10455" s="16"/>
    </row>
    <row r="10456" spans="1:1" x14ac:dyDescent="0.25">
      <c r="A10456" s="16"/>
    </row>
    <row r="10457" spans="1:1" x14ac:dyDescent="0.25">
      <c r="A10457" s="16"/>
    </row>
    <row r="10458" spans="1:1" x14ac:dyDescent="0.25">
      <c r="A10458" s="16"/>
    </row>
    <row r="10459" spans="1:1" x14ac:dyDescent="0.25">
      <c r="A10459" s="16"/>
    </row>
    <row r="10460" spans="1:1" x14ac:dyDescent="0.25">
      <c r="A10460" s="16"/>
    </row>
    <row r="10461" spans="1:1" x14ac:dyDescent="0.25">
      <c r="A10461" s="16"/>
    </row>
    <row r="10462" spans="1:1" x14ac:dyDescent="0.25">
      <c r="A10462" s="16"/>
    </row>
    <row r="10463" spans="1:1" x14ac:dyDescent="0.25">
      <c r="A10463" s="16"/>
    </row>
    <row r="10464" spans="1:1" x14ac:dyDescent="0.25">
      <c r="A10464" s="16"/>
    </row>
    <row r="10465" spans="1:1" x14ac:dyDescent="0.25">
      <c r="A10465" s="16"/>
    </row>
    <row r="10466" spans="1:1" x14ac:dyDescent="0.25">
      <c r="A10466" s="16"/>
    </row>
    <row r="10467" spans="1:1" x14ac:dyDescent="0.25">
      <c r="A10467" s="16"/>
    </row>
    <row r="10468" spans="1:1" x14ac:dyDescent="0.25">
      <c r="A10468" s="16"/>
    </row>
    <row r="10469" spans="1:1" x14ac:dyDescent="0.25">
      <c r="A10469" s="16"/>
    </row>
    <row r="10470" spans="1:1" x14ac:dyDescent="0.25">
      <c r="A10470" s="16"/>
    </row>
    <row r="10471" spans="1:1" x14ac:dyDescent="0.25">
      <c r="A10471" s="16"/>
    </row>
    <row r="10472" spans="1:1" x14ac:dyDescent="0.25">
      <c r="A10472" s="16"/>
    </row>
    <row r="10473" spans="1:1" x14ac:dyDescent="0.25">
      <c r="A10473" s="16"/>
    </row>
    <row r="10474" spans="1:1" x14ac:dyDescent="0.25">
      <c r="A10474" s="16"/>
    </row>
    <row r="10475" spans="1:1" x14ac:dyDescent="0.25">
      <c r="A10475" s="16"/>
    </row>
    <row r="10476" spans="1:1" x14ac:dyDescent="0.25">
      <c r="A10476" s="16"/>
    </row>
    <row r="10477" spans="1:1" x14ac:dyDescent="0.25">
      <c r="A10477" s="16"/>
    </row>
    <row r="10478" spans="1:1" x14ac:dyDescent="0.25">
      <c r="A10478" s="16"/>
    </row>
    <row r="10479" spans="1:1" x14ac:dyDescent="0.25">
      <c r="A10479" s="16"/>
    </row>
    <row r="10480" spans="1:1" x14ac:dyDescent="0.25">
      <c r="A10480" s="16"/>
    </row>
    <row r="10481" spans="1:1" x14ac:dyDescent="0.25">
      <c r="A10481" s="16"/>
    </row>
    <row r="10482" spans="1:1" x14ac:dyDescent="0.25">
      <c r="A10482" s="16"/>
    </row>
    <row r="10483" spans="1:1" x14ac:dyDescent="0.25">
      <c r="A10483" s="16"/>
    </row>
    <row r="10484" spans="1:1" x14ac:dyDescent="0.25">
      <c r="A10484" s="16"/>
    </row>
    <row r="10485" spans="1:1" x14ac:dyDescent="0.25">
      <c r="A10485" s="16"/>
    </row>
    <row r="10486" spans="1:1" x14ac:dyDescent="0.25">
      <c r="A10486" s="16"/>
    </row>
    <row r="10487" spans="1:1" x14ac:dyDescent="0.25">
      <c r="A10487" s="16"/>
    </row>
    <row r="10488" spans="1:1" x14ac:dyDescent="0.25">
      <c r="A10488" s="16"/>
    </row>
    <row r="10489" spans="1:1" x14ac:dyDescent="0.25">
      <c r="A10489" s="16"/>
    </row>
    <row r="10490" spans="1:1" x14ac:dyDescent="0.25">
      <c r="A10490" s="16"/>
    </row>
    <row r="10491" spans="1:1" x14ac:dyDescent="0.25">
      <c r="A10491" s="16"/>
    </row>
    <row r="10492" spans="1:1" x14ac:dyDescent="0.25">
      <c r="A10492" s="16"/>
    </row>
    <row r="10493" spans="1:1" x14ac:dyDescent="0.25">
      <c r="A10493" s="16"/>
    </row>
    <row r="10494" spans="1:1" x14ac:dyDescent="0.25">
      <c r="A10494" s="16"/>
    </row>
    <row r="10495" spans="1:1" x14ac:dyDescent="0.25">
      <c r="A10495" s="16"/>
    </row>
    <row r="10496" spans="1:1" x14ac:dyDescent="0.25">
      <c r="A10496" s="16"/>
    </row>
    <row r="10497" spans="1:1" x14ac:dyDescent="0.25">
      <c r="A10497" s="16"/>
    </row>
    <row r="10498" spans="1:1" x14ac:dyDescent="0.25">
      <c r="A10498" s="16"/>
    </row>
    <row r="10499" spans="1:1" x14ac:dyDescent="0.25">
      <c r="A10499" s="16"/>
    </row>
    <row r="10500" spans="1:1" x14ac:dyDescent="0.25">
      <c r="A10500" s="16"/>
    </row>
    <row r="10501" spans="1:1" x14ac:dyDescent="0.25">
      <c r="A10501" s="16"/>
    </row>
    <row r="10502" spans="1:1" x14ac:dyDescent="0.25">
      <c r="A10502" s="16"/>
    </row>
    <row r="10503" spans="1:1" x14ac:dyDescent="0.25">
      <c r="A10503" s="16"/>
    </row>
    <row r="10504" spans="1:1" x14ac:dyDescent="0.25">
      <c r="A10504" s="16"/>
    </row>
    <row r="10505" spans="1:1" x14ac:dyDescent="0.25">
      <c r="A10505" s="16"/>
    </row>
    <row r="10506" spans="1:1" x14ac:dyDescent="0.25">
      <c r="A10506" s="16"/>
    </row>
    <row r="10507" spans="1:1" x14ac:dyDescent="0.25">
      <c r="A10507" s="16"/>
    </row>
    <row r="10508" spans="1:1" x14ac:dyDescent="0.25">
      <c r="A10508" s="16"/>
    </row>
    <row r="10509" spans="1:1" x14ac:dyDescent="0.25">
      <c r="A10509" s="16"/>
    </row>
    <row r="10510" spans="1:1" x14ac:dyDescent="0.25">
      <c r="A10510" s="16"/>
    </row>
    <row r="10511" spans="1:1" x14ac:dyDescent="0.25">
      <c r="A10511" s="16"/>
    </row>
    <row r="10512" spans="1:1" x14ac:dyDescent="0.25">
      <c r="A10512" s="16"/>
    </row>
    <row r="10513" spans="1:1" x14ac:dyDescent="0.25">
      <c r="A10513" s="16"/>
    </row>
    <row r="10514" spans="1:1" x14ac:dyDescent="0.25">
      <c r="A10514" s="16"/>
    </row>
    <row r="10515" spans="1:1" x14ac:dyDescent="0.25">
      <c r="A10515" s="16"/>
    </row>
    <row r="10516" spans="1:1" x14ac:dyDescent="0.25">
      <c r="A10516" s="16"/>
    </row>
    <row r="10517" spans="1:1" x14ac:dyDescent="0.25">
      <c r="A10517" s="16"/>
    </row>
    <row r="10518" spans="1:1" x14ac:dyDescent="0.25">
      <c r="A10518" s="16"/>
    </row>
    <row r="10519" spans="1:1" x14ac:dyDescent="0.25">
      <c r="A10519" s="16"/>
    </row>
    <row r="10520" spans="1:1" x14ac:dyDescent="0.25">
      <c r="A10520" s="16"/>
    </row>
    <row r="10521" spans="1:1" x14ac:dyDescent="0.25">
      <c r="A10521" s="16"/>
    </row>
    <row r="10522" spans="1:1" x14ac:dyDescent="0.25">
      <c r="A10522" s="16"/>
    </row>
    <row r="10523" spans="1:1" x14ac:dyDescent="0.25">
      <c r="A10523" s="16"/>
    </row>
    <row r="10524" spans="1:1" x14ac:dyDescent="0.25">
      <c r="A10524" s="16"/>
    </row>
    <row r="10525" spans="1:1" x14ac:dyDescent="0.25">
      <c r="A10525" s="16"/>
    </row>
    <row r="10526" spans="1:1" x14ac:dyDescent="0.25">
      <c r="A10526" s="16"/>
    </row>
    <row r="10527" spans="1:1" x14ac:dyDescent="0.25">
      <c r="A10527" s="16"/>
    </row>
    <row r="10528" spans="1:1" x14ac:dyDescent="0.25">
      <c r="A10528" s="16"/>
    </row>
    <row r="10529" spans="1:1" x14ac:dyDescent="0.25">
      <c r="A10529" s="16"/>
    </row>
    <row r="10530" spans="1:1" x14ac:dyDescent="0.25">
      <c r="A10530" s="16"/>
    </row>
    <row r="10531" spans="1:1" x14ac:dyDescent="0.25">
      <c r="A10531" s="16"/>
    </row>
    <row r="10532" spans="1:1" x14ac:dyDescent="0.25">
      <c r="A10532" s="16"/>
    </row>
    <row r="10533" spans="1:1" x14ac:dyDescent="0.25">
      <c r="A10533" s="16"/>
    </row>
    <row r="10534" spans="1:1" x14ac:dyDescent="0.25">
      <c r="A10534" s="16"/>
    </row>
    <row r="10535" spans="1:1" x14ac:dyDescent="0.25">
      <c r="A10535" s="16"/>
    </row>
    <row r="10536" spans="1:1" x14ac:dyDescent="0.25">
      <c r="A10536" s="16"/>
    </row>
    <row r="10537" spans="1:1" x14ac:dyDescent="0.25">
      <c r="A10537" s="16"/>
    </row>
    <row r="10538" spans="1:1" x14ac:dyDescent="0.25">
      <c r="A10538" s="16"/>
    </row>
    <row r="10539" spans="1:1" x14ac:dyDescent="0.25">
      <c r="A10539" s="16"/>
    </row>
    <row r="10540" spans="1:1" x14ac:dyDescent="0.25">
      <c r="A10540" s="16"/>
    </row>
    <row r="10541" spans="1:1" x14ac:dyDescent="0.25">
      <c r="A10541" s="16"/>
    </row>
    <row r="10542" spans="1:1" x14ac:dyDescent="0.25">
      <c r="A10542" s="16"/>
    </row>
    <row r="10543" spans="1:1" x14ac:dyDescent="0.25">
      <c r="A10543" s="16"/>
    </row>
    <row r="10544" spans="1:1" x14ac:dyDescent="0.25">
      <c r="A10544" s="16"/>
    </row>
    <row r="10545" spans="1:1" x14ac:dyDescent="0.25">
      <c r="A10545" s="16"/>
    </row>
    <row r="10546" spans="1:1" x14ac:dyDescent="0.25">
      <c r="A10546" s="16"/>
    </row>
    <row r="10547" spans="1:1" x14ac:dyDescent="0.25">
      <c r="A10547" s="16"/>
    </row>
    <row r="10548" spans="1:1" x14ac:dyDescent="0.25">
      <c r="A10548" s="16"/>
    </row>
    <row r="10549" spans="1:1" x14ac:dyDescent="0.25">
      <c r="A10549" s="16"/>
    </row>
    <row r="10550" spans="1:1" x14ac:dyDescent="0.25">
      <c r="A10550" s="16"/>
    </row>
    <row r="10551" spans="1:1" x14ac:dyDescent="0.25">
      <c r="A10551" s="16"/>
    </row>
    <row r="10552" spans="1:1" x14ac:dyDescent="0.25">
      <c r="A10552" s="16"/>
    </row>
    <row r="10553" spans="1:1" x14ac:dyDescent="0.25">
      <c r="A10553" s="16"/>
    </row>
    <row r="10554" spans="1:1" x14ac:dyDescent="0.25">
      <c r="A10554" s="16"/>
    </row>
    <row r="10555" spans="1:1" x14ac:dyDescent="0.25">
      <c r="A10555" s="16"/>
    </row>
    <row r="10556" spans="1:1" x14ac:dyDescent="0.25">
      <c r="A10556" s="16"/>
    </row>
    <row r="10557" spans="1:1" x14ac:dyDescent="0.25">
      <c r="A10557" s="16"/>
    </row>
    <row r="10558" spans="1:1" x14ac:dyDescent="0.25">
      <c r="A10558" s="16"/>
    </row>
    <row r="10559" spans="1:1" x14ac:dyDescent="0.25">
      <c r="A10559" s="16"/>
    </row>
    <row r="10560" spans="1:1" x14ac:dyDescent="0.25">
      <c r="A10560" s="16"/>
    </row>
    <row r="10561" spans="1:1" x14ac:dyDescent="0.25">
      <c r="A10561" s="16"/>
    </row>
    <row r="10562" spans="1:1" x14ac:dyDescent="0.25">
      <c r="A10562" s="16"/>
    </row>
    <row r="10563" spans="1:1" x14ac:dyDescent="0.25">
      <c r="A10563" s="16"/>
    </row>
    <row r="10564" spans="1:1" x14ac:dyDescent="0.25">
      <c r="A10564" s="16"/>
    </row>
    <row r="10565" spans="1:1" x14ac:dyDescent="0.25">
      <c r="A10565" s="16"/>
    </row>
    <row r="10566" spans="1:1" x14ac:dyDescent="0.25">
      <c r="A10566" s="16"/>
    </row>
    <row r="10567" spans="1:1" x14ac:dyDescent="0.25">
      <c r="A10567" s="16"/>
    </row>
    <row r="10568" spans="1:1" x14ac:dyDescent="0.25">
      <c r="A10568" s="16"/>
    </row>
    <row r="10569" spans="1:1" x14ac:dyDescent="0.25">
      <c r="A10569" s="16"/>
    </row>
    <row r="10570" spans="1:1" x14ac:dyDescent="0.25">
      <c r="A10570" s="16"/>
    </row>
    <row r="10571" spans="1:1" x14ac:dyDescent="0.25">
      <c r="A10571" s="16"/>
    </row>
    <row r="10572" spans="1:1" x14ac:dyDescent="0.25">
      <c r="A10572" s="16"/>
    </row>
    <row r="10573" spans="1:1" x14ac:dyDescent="0.25">
      <c r="A10573" s="16"/>
    </row>
    <row r="10574" spans="1:1" x14ac:dyDescent="0.25">
      <c r="A10574" s="16"/>
    </row>
    <row r="10575" spans="1:1" x14ac:dyDescent="0.25">
      <c r="A10575" s="16"/>
    </row>
    <row r="10576" spans="1:1" x14ac:dyDescent="0.25">
      <c r="A10576" s="16"/>
    </row>
    <row r="10577" spans="1:1" x14ac:dyDescent="0.25">
      <c r="A10577" s="16"/>
    </row>
    <row r="10578" spans="1:1" x14ac:dyDescent="0.25">
      <c r="A10578" s="16"/>
    </row>
    <row r="10579" spans="1:1" x14ac:dyDescent="0.25">
      <c r="A10579" s="16"/>
    </row>
    <row r="10580" spans="1:1" x14ac:dyDescent="0.25">
      <c r="A10580" s="16"/>
    </row>
    <row r="10581" spans="1:1" x14ac:dyDescent="0.25">
      <c r="A10581" s="16"/>
    </row>
    <row r="10582" spans="1:1" x14ac:dyDescent="0.25">
      <c r="A10582" s="16"/>
    </row>
    <row r="10583" spans="1:1" x14ac:dyDescent="0.25">
      <c r="A10583" s="16"/>
    </row>
    <row r="10584" spans="1:1" x14ac:dyDescent="0.25">
      <c r="A10584" s="16"/>
    </row>
    <row r="10585" spans="1:1" x14ac:dyDescent="0.25">
      <c r="A10585" s="16"/>
    </row>
    <row r="10586" spans="1:1" x14ac:dyDescent="0.25">
      <c r="A10586" s="16"/>
    </row>
    <row r="10587" spans="1:1" x14ac:dyDescent="0.25">
      <c r="A10587" s="16"/>
    </row>
    <row r="10588" spans="1:1" x14ac:dyDescent="0.25">
      <c r="A10588" s="16"/>
    </row>
    <row r="10589" spans="1:1" x14ac:dyDescent="0.25">
      <c r="A10589" s="16"/>
    </row>
    <row r="10590" spans="1:1" x14ac:dyDescent="0.25">
      <c r="A10590" s="16"/>
    </row>
    <row r="10591" spans="1:1" x14ac:dyDescent="0.25">
      <c r="A10591" s="16"/>
    </row>
    <row r="10592" spans="1:1" x14ac:dyDescent="0.25">
      <c r="A10592" s="16"/>
    </row>
    <row r="10593" spans="1:1" x14ac:dyDescent="0.25">
      <c r="A10593" s="16"/>
    </row>
    <row r="10594" spans="1:1" x14ac:dyDescent="0.25">
      <c r="A10594" s="16"/>
    </row>
    <row r="10595" spans="1:1" x14ac:dyDescent="0.25">
      <c r="A10595" s="16"/>
    </row>
    <row r="10596" spans="1:1" x14ac:dyDescent="0.25">
      <c r="A10596" s="16"/>
    </row>
    <row r="10597" spans="1:1" x14ac:dyDescent="0.25">
      <c r="A10597" s="16"/>
    </row>
    <row r="10598" spans="1:1" x14ac:dyDescent="0.25">
      <c r="A10598" s="16"/>
    </row>
    <row r="10599" spans="1:1" x14ac:dyDescent="0.25">
      <c r="A10599" s="16"/>
    </row>
    <row r="10600" spans="1:1" x14ac:dyDescent="0.25">
      <c r="A10600" s="16"/>
    </row>
    <row r="10601" spans="1:1" x14ac:dyDescent="0.25">
      <c r="A10601" s="16"/>
    </row>
    <row r="10602" spans="1:1" x14ac:dyDescent="0.25">
      <c r="A10602" s="16"/>
    </row>
    <row r="10603" spans="1:1" x14ac:dyDescent="0.25">
      <c r="A10603" s="16"/>
    </row>
    <row r="10604" spans="1:1" x14ac:dyDescent="0.25">
      <c r="A10604" s="16"/>
    </row>
    <row r="10605" spans="1:1" x14ac:dyDescent="0.25">
      <c r="A10605" s="16"/>
    </row>
    <row r="10606" spans="1:1" x14ac:dyDescent="0.25">
      <c r="A10606" s="16"/>
    </row>
    <row r="10607" spans="1:1" x14ac:dyDescent="0.25">
      <c r="A10607" s="16"/>
    </row>
    <row r="10608" spans="1:1" x14ac:dyDescent="0.25">
      <c r="A10608" s="16"/>
    </row>
    <row r="10609" spans="1:1" x14ac:dyDescent="0.25">
      <c r="A10609" s="16"/>
    </row>
    <row r="10610" spans="1:1" x14ac:dyDescent="0.25">
      <c r="A10610" s="16"/>
    </row>
    <row r="10611" spans="1:1" x14ac:dyDescent="0.25">
      <c r="A10611" s="16"/>
    </row>
    <row r="10612" spans="1:1" x14ac:dyDescent="0.25">
      <c r="A10612" s="16"/>
    </row>
    <row r="10613" spans="1:1" x14ac:dyDescent="0.25">
      <c r="A10613" s="16"/>
    </row>
    <row r="10614" spans="1:1" x14ac:dyDescent="0.25">
      <c r="A10614" s="16"/>
    </row>
    <row r="10615" spans="1:1" x14ac:dyDescent="0.25">
      <c r="A10615" s="16"/>
    </row>
    <row r="10616" spans="1:1" x14ac:dyDescent="0.25">
      <c r="A10616" s="16"/>
    </row>
    <row r="10617" spans="1:1" x14ac:dyDescent="0.25">
      <c r="A10617" s="16"/>
    </row>
    <row r="10618" spans="1:1" x14ac:dyDescent="0.25">
      <c r="A10618" s="16"/>
    </row>
    <row r="10619" spans="1:1" x14ac:dyDescent="0.25">
      <c r="A10619" s="16"/>
    </row>
    <row r="10620" spans="1:1" x14ac:dyDescent="0.25">
      <c r="A10620" s="16"/>
    </row>
    <row r="10621" spans="1:1" x14ac:dyDescent="0.25">
      <c r="A10621" s="16"/>
    </row>
    <row r="10622" spans="1:1" x14ac:dyDescent="0.25">
      <c r="A10622" s="16"/>
    </row>
    <row r="10623" spans="1:1" x14ac:dyDescent="0.25">
      <c r="A10623" s="16"/>
    </row>
    <row r="10624" spans="1:1" x14ac:dyDescent="0.25">
      <c r="A10624" s="16"/>
    </row>
    <row r="10625" spans="1:1" x14ac:dyDescent="0.25">
      <c r="A10625" s="16"/>
    </row>
    <row r="10626" spans="1:1" x14ac:dyDescent="0.25">
      <c r="A10626" s="16"/>
    </row>
    <row r="10627" spans="1:1" x14ac:dyDescent="0.25">
      <c r="A10627" s="16"/>
    </row>
    <row r="10628" spans="1:1" x14ac:dyDescent="0.25">
      <c r="A10628" s="16"/>
    </row>
    <row r="10629" spans="1:1" x14ac:dyDescent="0.25">
      <c r="A10629" s="16"/>
    </row>
    <row r="10630" spans="1:1" x14ac:dyDescent="0.25">
      <c r="A10630" s="16"/>
    </row>
    <row r="10631" spans="1:1" x14ac:dyDescent="0.25">
      <c r="A10631" s="16"/>
    </row>
    <row r="10632" spans="1:1" x14ac:dyDescent="0.25">
      <c r="A10632" s="16"/>
    </row>
    <row r="10633" spans="1:1" x14ac:dyDescent="0.25">
      <c r="A10633" s="16"/>
    </row>
    <row r="10634" spans="1:1" x14ac:dyDescent="0.25">
      <c r="A10634" s="16"/>
    </row>
    <row r="10635" spans="1:1" x14ac:dyDescent="0.25">
      <c r="A10635" s="16"/>
    </row>
    <row r="10636" spans="1:1" x14ac:dyDescent="0.25">
      <c r="A10636" s="16"/>
    </row>
    <row r="10637" spans="1:1" x14ac:dyDescent="0.25">
      <c r="A10637" s="16"/>
    </row>
    <row r="10638" spans="1:1" x14ac:dyDescent="0.25">
      <c r="A10638" s="16"/>
    </row>
    <row r="10639" spans="1:1" x14ac:dyDescent="0.25">
      <c r="A10639" s="16"/>
    </row>
    <row r="10640" spans="1:1" x14ac:dyDescent="0.25">
      <c r="A10640" s="16"/>
    </row>
    <row r="10641" spans="1:1" x14ac:dyDescent="0.25">
      <c r="A10641" s="16"/>
    </row>
    <row r="10642" spans="1:1" x14ac:dyDescent="0.25">
      <c r="A10642" s="16"/>
    </row>
    <row r="10643" spans="1:1" x14ac:dyDescent="0.25">
      <c r="A10643" s="16"/>
    </row>
    <row r="10644" spans="1:1" x14ac:dyDescent="0.25">
      <c r="A10644" s="16"/>
    </row>
    <row r="10645" spans="1:1" x14ac:dyDescent="0.25">
      <c r="A10645" s="16"/>
    </row>
    <row r="10646" spans="1:1" x14ac:dyDescent="0.25">
      <c r="A10646" s="16"/>
    </row>
    <row r="10647" spans="1:1" x14ac:dyDescent="0.25">
      <c r="A10647" s="16"/>
    </row>
    <row r="10648" spans="1:1" x14ac:dyDescent="0.25">
      <c r="A10648" s="16"/>
    </row>
    <row r="10649" spans="1:1" x14ac:dyDescent="0.25">
      <c r="A10649" s="16"/>
    </row>
    <row r="10650" spans="1:1" x14ac:dyDescent="0.25">
      <c r="A10650" s="16"/>
    </row>
    <row r="10651" spans="1:1" x14ac:dyDescent="0.25">
      <c r="A10651" s="16"/>
    </row>
    <row r="10652" spans="1:1" x14ac:dyDescent="0.25">
      <c r="A10652" s="16"/>
    </row>
    <row r="10653" spans="1:1" x14ac:dyDescent="0.25">
      <c r="A10653" s="16"/>
    </row>
    <row r="10654" spans="1:1" x14ac:dyDescent="0.25">
      <c r="A10654" s="16"/>
    </row>
    <row r="10655" spans="1:1" x14ac:dyDescent="0.25">
      <c r="A10655" s="16"/>
    </row>
    <row r="10656" spans="1:1" x14ac:dyDescent="0.25">
      <c r="A10656" s="16"/>
    </row>
    <row r="10657" spans="1:1" x14ac:dyDescent="0.25">
      <c r="A10657" s="16"/>
    </row>
    <row r="10658" spans="1:1" x14ac:dyDescent="0.25">
      <c r="A10658" s="16"/>
    </row>
    <row r="10659" spans="1:1" x14ac:dyDescent="0.25">
      <c r="A10659" s="16"/>
    </row>
    <row r="10660" spans="1:1" x14ac:dyDescent="0.25">
      <c r="A10660" s="16"/>
    </row>
    <row r="10661" spans="1:1" x14ac:dyDescent="0.25">
      <c r="A10661" s="16"/>
    </row>
    <row r="10662" spans="1:1" x14ac:dyDescent="0.25">
      <c r="A10662" s="16"/>
    </row>
    <row r="10663" spans="1:1" x14ac:dyDescent="0.25">
      <c r="A10663" s="16"/>
    </row>
    <row r="10664" spans="1:1" x14ac:dyDescent="0.25">
      <c r="A10664" s="16"/>
    </row>
    <row r="10665" spans="1:1" x14ac:dyDescent="0.25">
      <c r="A10665" s="16"/>
    </row>
    <row r="10666" spans="1:1" x14ac:dyDescent="0.25">
      <c r="A10666" s="16"/>
    </row>
    <row r="10667" spans="1:1" x14ac:dyDescent="0.25">
      <c r="A10667" s="16"/>
    </row>
    <row r="10668" spans="1:1" x14ac:dyDescent="0.25">
      <c r="A10668" s="16"/>
    </row>
    <row r="10669" spans="1:1" x14ac:dyDescent="0.25">
      <c r="A10669" s="16"/>
    </row>
    <row r="10670" spans="1:1" x14ac:dyDescent="0.25">
      <c r="A10670" s="16"/>
    </row>
    <row r="10671" spans="1:1" x14ac:dyDescent="0.25">
      <c r="A10671" s="16"/>
    </row>
    <row r="10672" spans="1:1" x14ac:dyDescent="0.25">
      <c r="A10672" s="16"/>
    </row>
    <row r="10673" spans="1:1" x14ac:dyDescent="0.25">
      <c r="A10673" s="16"/>
    </row>
    <row r="10674" spans="1:1" x14ac:dyDescent="0.25">
      <c r="A10674" s="16"/>
    </row>
    <row r="10675" spans="1:1" x14ac:dyDescent="0.25">
      <c r="A10675" s="16"/>
    </row>
    <row r="10676" spans="1:1" x14ac:dyDescent="0.25">
      <c r="A10676" s="16"/>
    </row>
    <row r="10677" spans="1:1" x14ac:dyDescent="0.25">
      <c r="A10677" s="16"/>
    </row>
    <row r="10678" spans="1:1" x14ac:dyDescent="0.25">
      <c r="A10678" s="16"/>
    </row>
    <row r="10679" spans="1:1" x14ac:dyDescent="0.25">
      <c r="A10679" s="16"/>
    </row>
    <row r="10680" spans="1:1" x14ac:dyDescent="0.25">
      <c r="A10680" s="16"/>
    </row>
    <row r="10681" spans="1:1" x14ac:dyDescent="0.25">
      <c r="A10681" s="16"/>
    </row>
    <row r="10682" spans="1:1" x14ac:dyDescent="0.25">
      <c r="A10682" s="16"/>
    </row>
    <row r="10683" spans="1:1" x14ac:dyDescent="0.25">
      <c r="A10683" s="16"/>
    </row>
    <row r="10684" spans="1:1" x14ac:dyDescent="0.25">
      <c r="A10684" s="16"/>
    </row>
    <row r="10685" spans="1:1" x14ac:dyDescent="0.25">
      <c r="A10685" s="16"/>
    </row>
    <row r="10686" spans="1:1" x14ac:dyDescent="0.25">
      <c r="A10686" s="16"/>
    </row>
    <row r="10687" spans="1:1" x14ac:dyDescent="0.25">
      <c r="A10687" s="16"/>
    </row>
    <row r="10688" spans="1:1" x14ac:dyDescent="0.25">
      <c r="A10688" s="16"/>
    </row>
    <row r="10689" spans="1:1" x14ac:dyDescent="0.25">
      <c r="A10689" s="16"/>
    </row>
    <row r="10690" spans="1:1" x14ac:dyDescent="0.25">
      <c r="A10690" s="16"/>
    </row>
    <row r="10691" spans="1:1" x14ac:dyDescent="0.25">
      <c r="A10691" s="16"/>
    </row>
    <row r="10692" spans="1:1" x14ac:dyDescent="0.25">
      <c r="A10692" s="16"/>
    </row>
    <row r="10693" spans="1:1" x14ac:dyDescent="0.25">
      <c r="A10693" s="16"/>
    </row>
    <row r="10694" spans="1:1" x14ac:dyDescent="0.25">
      <c r="A10694" s="16"/>
    </row>
    <row r="10695" spans="1:1" x14ac:dyDescent="0.25">
      <c r="A10695" s="16"/>
    </row>
    <row r="10696" spans="1:1" x14ac:dyDescent="0.25">
      <c r="A10696" s="16"/>
    </row>
    <row r="10697" spans="1:1" x14ac:dyDescent="0.25">
      <c r="A10697" s="16"/>
    </row>
    <row r="10698" spans="1:1" x14ac:dyDescent="0.25">
      <c r="A10698" s="16"/>
    </row>
    <row r="10699" spans="1:1" x14ac:dyDescent="0.25">
      <c r="A10699" s="16"/>
    </row>
    <row r="10700" spans="1:1" x14ac:dyDescent="0.25">
      <c r="A10700" s="16"/>
    </row>
    <row r="10701" spans="1:1" x14ac:dyDescent="0.25">
      <c r="A10701" s="16"/>
    </row>
    <row r="10702" spans="1:1" x14ac:dyDescent="0.25">
      <c r="A10702" s="16"/>
    </row>
    <row r="10703" spans="1:1" x14ac:dyDescent="0.25">
      <c r="A10703" s="16"/>
    </row>
    <row r="10704" spans="1:1" x14ac:dyDescent="0.25">
      <c r="A10704" s="16"/>
    </row>
    <row r="10705" spans="1:1" x14ac:dyDescent="0.25">
      <c r="A10705" s="16"/>
    </row>
    <row r="10706" spans="1:1" x14ac:dyDescent="0.25">
      <c r="A10706" s="16"/>
    </row>
    <row r="10707" spans="1:1" x14ac:dyDescent="0.25">
      <c r="A10707" s="16"/>
    </row>
    <row r="10708" spans="1:1" x14ac:dyDescent="0.25">
      <c r="A10708" s="16"/>
    </row>
    <row r="10709" spans="1:1" x14ac:dyDescent="0.25">
      <c r="A10709" s="16"/>
    </row>
    <row r="10710" spans="1:1" x14ac:dyDescent="0.25">
      <c r="A10710" s="16"/>
    </row>
    <row r="10711" spans="1:1" x14ac:dyDescent="0.25">
      <c r="A10711" s="16"/>
    </row>
    <row r="10712" spans="1:1" x14ac:dyDescent="0.25">
      <c r="A10712" s="16"/>
    </row>
    <row r="10713" spans="1:1" x14ac:dyDescent="0.25">
      <c r="A10713" s="16"/>
    </row>
    <row r="10714" spans="1:1" x14ac:dyDescent="0.25">
      <c r="A10714" s="16"/>
    </row>
    <row r="10715" spans="1:1" x14ac:dyDescent="0.25">
      <c r="A10715" s="16"/>
    </row>
    <row r="10716" spans="1:1" x14ac:dyDescent="0.25">
      <c r="A10716" s="16"/>
    </row>
    <row r="10717" spans="1:1" x14ac:dyDescent="0.25">
      <c r="A10717" s="16"/>
    </row>
    <row r="10718" spans="1:1" x14ac:dyDescent="0.25">
      <c r="A10718" s="16"/>
    </row>
    <row r="10719" spans="1:1" x14ac:dyDescent="0.25">
      <c r="A10719" s="16"/>
    </row>
    <row r="10720" spans="1:1" x14ac:dyDescent="0.25">
      <c r="A10720" s="16"/>
    </row>
    <row r="10721" spans="1:1" x14ac:dyDescent="0.25">
      <c r="A10721" s="16"/>
    </row>
    <row r="10722" spans="1:1" x14ac:dyDescent="0.25">
      <c r="A10722" s="16"/>
    </row>
    <row r="10723" spans="1:1" x14ac:dyDescent="0.25">
      <c r="A10723" s="16"/>
    </row>
    <row r="10724" spans="1:1" x14ac:dyDescent="0.25">
      <c r="A10724" s="16"/>
    </row>
    <row r="10725" spans="1:1" x14ac:dyDescent="0.25">
      <c r="A10725" s="16"/>
    </row>
    <row r="10726" spans="1:1" x14ac:dyDescent="0.25">
      <c r="A10726" s="16"/>
    </row>
    <row r="10727" spans="1:1" x14ac:dyDescent="0.25">
      <c r="A10727" s="16"/>
    </row>
    <row r="10728" spans="1:1" x14ac:dyDescent="0.25">
      <c r="A10728" s="16"/>
    </row>
    <row r="10729" spans="1:1" x14ac:dyDescent="0.25">
      <c r="A10729" s="16"/>
    </row>
    <row r="10730" spans="1:1" x14ac:dyDescent="0.25">
      <c r="A10730" s="16"/>
    </row>
    <row r="10731" spans="1:1" x14ac:dyDescent="0.25">
      <c r="A10731" s="16"/>
    </row>
    <row r="10732" spans="1:1" x14ac:dyDescent="0.25">
      <c r="A10732" s="16"/>
    </row>
    <row r="10733" spans="1:1" x14ac:dyDescent="0.25">
      <c r="A10733" s="16"/>
    </row>
    <row r="10734" spans="1:1" x14ac:dyDescent="0.25">
      <c r="A10734" s="16"/>
    </row>
    <row r="10735" spans="1:1" x14ac:dyDescent="0.25">
      <c r="A10735" s="16"/>
    </row>
    <row r="10736" spans="1:1" x14ac:dyDescent="0.25">
      <c r="A10736" s="16"/>
    </row>
    <row r="10737" spans="1:1" x14ac:dyDescent="0.25">
      <c r="A10737" s="16"/>
    </row>
    <row r="10738" spans="1:1" x14ac:dyDescent="0.25">
      <c r="A10738" s="16"/>
    </row>
    <row r="10739" spans="1:1" x14ac:dyDescent="0.25">
      <c r="A10739" s="16"/>
    </row>
    <row r="10740" spans="1:1" x14ac:dyDescent="0.25">
      <c r="A10740" s="16"/>
    </row>
    <row r="10741" spans="1:1" x14ac:dyDescent="0.25">
      <c r="A10741" s="16"/>
    </row>
    <row r="10742" spans="1:1" x14ac:dyDescent="0.25">
      <c r="A10742" s="16"/>
    </row>
    <row r="10743" spans="1:1" x14ac:dyDescent="0.25">
      <c r="A10743" s="16"/>
    </row>
    <row r="10744" spans="1:1" x14ac:dyDescent="0.25">
      <c r="A10744" s="16"/>
    </row>
    <row r="10745" spans="1:1" x14ac:dyDescent="0.25">
      <c r="A10745" s="16"/>
    </row>
    <row r="10746" spans="1:1" x14ac:dyDescent="0.25">
      <c r="A10746" s="16"/>
    </row>
    <row r="10747" spans="1:1" x14ac:dyDescent="0.25">
      <c r="A10747" s="16"/>
    </row>
    <row r="10748" spans="1:1" x14ac:dyDescent="0.25">
      <c r="A10748" s="16"/>
    </row>
    <row r="10749" spans="1:1" x14ac:dyDescent="0.25">
      <c r="A10749" s="16"/>
    </row>
    <row r="10750" spans="1:1" x14ac:dyDescent="0.25">
      <c r="A10750" s="16"/>
    </row>
    <row r="10751" spans="1:1" x14ac:dyDescent="0.25">
      <c r="A10751" s="16"/>
    </row>
    <row r="10752" spans="1:1" x14ac:dyDescent="0.25">
      <c r="A10752" s="16"/>
    </row>
    <row r="10753" spans="1:1" x14ac:dyDescent="0.25">
      <c r="A10753" s="16"/>
    </row>
    <row r="10754" spans="1:1" x14ac:dyDescent="0.25">
      <c r="A10754" s="16"/>
    </row>
    <row r="10755" spans="1:1" x14ac:dyDescent="0.25">
      <c r="A10755" s="16"/>
    </row>
    <row r="10756" spans="1:1" x14ac:dyDescent="0.25">
      <c r="A10756" s="16"/>
    </row>
    <row r="10757" spans="1:1" x14ac:dyDescent="0.25">
      <c r="A10757" s="16"/>
    </row>
    <row r="10758" spans="1:1" x14ac:dyDescent="0.25">
      <c r="A10758" s="16"/>
    </row>
    <row r="10759" spans="1:1" x14ac:dyDescent="0.25">
      <c r="A10759" s="16"/>
    </row>
    <row r="10760" spans="1:1" x14ac:dyDescent="0.25">
      <c r="A10760" s="16"/>
    </row>
    <row r="10761" spans="1:1" x14ac:dyDescent="0.25">
      <c r="A10761" s="16"/>
    </row>
    <row r="10762" spans="1:1" x14ac:dyDescent="0.25">
      <c r="A10762" s="16"/>
    </row>
    <row r="10763" spans="1:1" x14ac:dyDescent="0.25">
      <c r="A10763" s="16"/>
    </row>
    <row r="10764" spans="1:1" x14ac:dyDescent="0.25">
      <c r="A10764" s="16"/>
    </row>
    <row r="10765" spans="1:1" x14ac:dyDescent="0.25">
      <c r="A10765" s="16"/>
    </row>
    <row r="10766" spans="1:1" x14ac:dyDescent="0.25">
      <c r="A10766" s="16"/>
    </row>
    <row r="10767" spans="1:1" x14ac:dyDescent="0.25">
      <c r="A10767" s="16"/>
    </row>
    <row r="10768" spans="1:1" x14ac:dyDescent="0.25">
      <c r="A10768" s="16"/>
    </row>
    <row r="10769" spans="1:1" x14ac:dyDescent="0.25">
      <c r="A10769" s="16"/>
    </row>
    <row r="10770" spans="1:1" x14ac:dyDescent="0.25">
      <c r="A10770" s="16"/>
    </row>
    <row r="10771" spans="1:1" x14ac:dyDescent="0.25">
      <c r="A10771" s="16"/>
    </row>
    <row r="10772" spans="1:1" x14ac:dyDescent="0.25">
      <c r="A10772" s="16"/>
    </row>
    <row r="10773" spans="1:1" x14ac:dyDescent="0.25">
      <c r="A10773" s="16"/>
    </row>
    <row r="10774" spans="1:1" x14ac:dyDescent="0.25">
      <c r="A10774" s="16"/>
    </row>
    <row r="10775" spans="1:1" x14ac:dyDescent="0.25">
      <c r="A10775" s="16"/>
    </row>
    <row r="10776" spans="1:1" x14ac:dyDescent="0.25">
      <c r="A10776" s="16"/>
    </row>
    <row r="10777" spans="1:1" x14ac:dyDescent="0.25">
      <c r="A10777" s="16"/>
    </row>
    <row r="10778" spans="1:1" x14ac:dyDescent="0.25">
      <c r="A10778" s="16"/>
    </row>
    <row r="10779" spans="1:1" x14ac:dyDescent="0.25">
      <c r="A10779" s="16"/>
    </row>
    <row r="10780" spans="1:1" x14ac:dyDescent="0.25">
      <c r="A10780" s="16"/>
    </row>
    <row r="10781" spans="1:1" x14ac:dyDescent="0.25">
      <c r="A10781" s="16"/>
    </row>
    <row r="10782" spans="1:1" x14ac:dyDescent="0.25">
      <c r="A10782" s="16"/>
    </row>
    <row r="10783" spans="1:1" x14ac:dyDescent="0.25">
      <c r="A10783" s="16"/>
    </row>
    <row r="10784" spans="1:1" x14ac:dyDescent="0.25">
      <c r="A10784" s="16"/>
    </row>
    <row r="10785" spans="1:1" x14ac:dyDescent="0.25">
      <c r="A10785" s="16"/>
    </row>
    <row r="10786" spans="1:1" x14ac:dyDescent="0.25">
      <c r="A10786" s="16"/>
    </row>
    <row r="10787" spans="1:1" x14ac:dyDescent="0.25">
      <c r="A10787" s="16"/>
    </row>
    <row r="10788" spans="1:1" x14ac:dyDescent="0.25">
      <c r="A10788" s="16"/>
    </row>
    <row r="10789" spans="1:1" x14ac:dyDescent="0.25">
      <c r="A10789" s="16"/>
    </row>
    <row r="10790" spans="1:1" x14ac:dyDescent="0.25">
      <c r="A10790" s="16"/>
    </row>
    <row r="10791" spans="1:1" x14ac:dyDescent="0.25">
      <c r="A10791" s="16"/>
    </row>
    <row r="10792" spans="1:1" x14ac:dyDescent="0.25">
      <c r="A10792" s="16"/>
    </row>
    <row r="10793" spans="1:1" x14ac:dyDescent="0.25">
      <c r="A10793" s="16"/>
    </row>
    <row r="10794" spans="1:1" x14ac:dyDescent="0.25">
      <c r="A10794" s="16"/>
    </row>
    <row r="10795" spans="1:1" x14ac:dyDescent="0.25">
      <c r="A10795" s="16"/>
    </row>
    <row r="10796" spans="1:1" x14ac:dyDescent="0.25">
      <c r="A10796" s="16"/>
    </row>
    <row r="10797" spans="1:1" x14ac:dyDescent="0.25">
      <c r="A10797" s="16"/>
    </row>
    <row r="10798" spans="1:1" x14ac:dyDescent="0.25">
      <c r="A10798" s="16"/>
    </row>
    <row r="10799" spans="1:1" x14ac:dyDescent="0.25">
      <c r="A10799" s="16"/>
    </row>
    <row r="10800" spans="1:1" x14ac:dyDescent="0.25">
      <c r="A10800" s="16"/>
    </row>
    <row r="10801" spans="1:1" x14ac:dyDescent="0.25">
      <c r="A10801" s="16"/>
    </row>
    <row r="10802" spans="1:1" x14ac:dyDescent="0.25">
      <c r="A10802" s="16"/>
    </row>
    <row r="10803" spans="1:1" x14ac:dyDescent="0.25">
      <c r="A10803" s="16"/>
    </row>
    <row r="10804" spans="1:1" x14ac:dyDescent="0.25">
      <c r="A10804" s="16"/>
    </row>
    <row r="10805" spans="1:1" x14ac:dyDescent="0.25">
      <c r="A10805" s="16"/>
    </row>
    <row r="10806" spans="1:1" x14ac:dyDescent="0.25">
      <c r="A10806" s="16"/>
    </row>
    <row r="10807" spans="1:1" x14ac:dyDescent="0.25">
      <c r="A10807" s="16"/>
    </row>
    <row r="10808" spans="1:1" x14ac:dyDescent="0.25">
      <c r="A10808" s="16"/>
    </row>
    <row r="10809" spans="1:1" x14ac:dyDescent="0.25">
      <c r="A10809" s="16"/>
    </row>
    <row r="10810" spans="1:1" x14ac:dyDescent="0.25">
      <c r="A10810" s="16"/>
    </row>
    <row r="10811" spans="1:1" x14ac:dyDescent="0.25">
      <c r="A10811" s="16"/>
    </row>
    <row r="10812" spans="1:1" x14ac:dyDescent="0.25">
      <c r="A10812" s="16"/>
    </row>
    <row r="10813" spans="1:1" x14ac:dyDescent="0.25">
      <c r="A10813" s="16"/>
    </row>
    <row r="10814" spans="1:1" x14ac:dyDescent="0.25">
      <c r="A10814" s="16"/>
    </row>
    <row r="10815" spans="1:1" x14ac:dyDescent="0.25">
      <c r="A10815" s="16"/>
    </row>
    <row r="10816" spans="1:1" x14ac:dyDescent="0.25">
      <c r="A10816" s="16"/>
    </row>
    <row r="10817" spans="1:1" x14ac:dyDescent="0.25">
      <c r="A10817" s="16"/>
    </row>
    <row r="10818" spans="1:1" x14ac:dyDescent="0.25">
      <c r="A10818" s="16"/>
    </row>
    <row r="10819" spans="1:1" x14ac:dyDescent="0.25">
      <c r="A10819" s="16"/>
    </row>
    <row r="10820" spans="1:1" x14ac:dyDescent="0.25">
      <c r="A10820" s="16"/>
    </row>
    <row r="10821" spans="1:1" x14ac:dyDescent="0.25">
      <c r="A10821" s="16"/>
    </row>
    <row r="10822" spans="1:1" x14ac:dyDescent="0.25">
      <c r="A10822" s="16"/>
    </row>
    <row r="10823" spans="1:1" x14ac:dyDescent="0.25">
      <c r="A10823" s="16"/>
    </row>
    <row r="10824" spans="1:1" x14ac:dyDescent="0.25">
      <c r="A10824" s="16"/>
    </row>
    <row r="10825" spans="1:1" x14ac:dyDescent="0.25">
      <c r="A10825" s="16"/>
    </row>
    <row r="10826" spans="1:1" x14ac:dyDescent="0.25">
      <c r="A10826" s="16"/>
    </row>
    <row r="10827" spans="1:1" x14ac:dyDescent="0.25">
      <c r="A10827" s="16"/>
    </row>
    <row r="10828" spans="1:1" x14ac:dyDescent="0.25">
      <c r="A10828" s="16"/>
    </row>
    <row r="10829" spans="1:1" x14ac:dyDescent="0.25">
      <c r="A10829" s="16"/>
    </row>
    <row r="10830" spans="1:1" x14ac:dyDescent="0.25">
      <c r="A10830" s="16"/>
    </row>
    <row r="10831" spans="1:1" x14ac:dyDescent="0.25">
      <c r="A10831" s="16"/>
    </row>
    <row r="10832" spans="1:1" x14ac:dyDescent="0.25">
      <c r="A10832" s="16"/>
    </row>
    <row r="10833" spans="1:1" x14ac:dyDescent="0.25">
      <c r="A10833" s="16"/>
    </row>
    <row r="10834" spans="1:1" x14ac:dyDescent="0.25">
      <c r="A10834" s="16"/>
    </row>
    <row r="10835" spans="1:1" x14ac:dyDescent="0.25">
      <c r="A10835" s="16"/>
    </row>
    <row r="10836" spans="1:1" x14ac:dyDescent="0.25">
      <c r="A10836" s="16"/>
    </row>
    <row r="10837" spans="1:1" x14ac:dyDescent="0.25">
      <c r="A10837" s="16"/>
    </row>
    <row r="10838" spans="1:1" x14ac:dyDescent="0.25">
      <c r="A10838" s="16"/>
    </row>
    <row r="10839" spans="1:1" x14ac:dyDescent="0.25">
      <c r="A10839" s="16"/>
    </row>
    <row r="10840" spans="1:1" x14ac:dyDescent="0.25">
      <c r="A10840" s="16"/>
    </row>
    <row r="10841" spans="1:1" x14ac:dyDescent="0.25">
      <c r="A10841" s="16"/>
    </row>
    <row r="10842" spans="1:1" x14ac:dyDescent="0.25">
      <c r="A10842" s="16"/>
    </row>
    <row r="10843" spans="1:1" x14ac:dyDescent="0.25">
      <c r="A10843" s="16"/>
    </row>
    <row r="10844" spans="1:1" x14ac:dyDescent="0.25">
      <c r="A10844" s="16"/>
    </row>
    <row r="10845" spans="1:1" x14ac:dyDescent="0.25">
      <c r="A10845" s="16"/>
    </row>
    <row r="10846" spans="1:1" x14ac:dyDescent="0.25">
      <c r="A10846" s="16"/>
    </row>
    <row r="10847" spans="1:1" x14ac:dyDescent="0.25">
      <c r="A10847" s="16"/>
    </row>
    <row r="10848" spans="1:1" x14ac:dyDescent="0.25">
      <c r="A10848" s="16"/>
    </row>
    <row r="10849" spans="1:1" x14ac:dyDescent="0.25">
      <c r="A10849" s="16"/>
    </row>
    <row r="10850" spans="1:1" x14ac:dyDescent="0.25">
      <c r="A10850" s="16"/>
    </row>
    <row r="10851" spans="1:1" x14ac:dyDescent="0.25">
      <c r="A10851" s="16"/>
    </row>
    <row r="10852" spans="1:1" x14ac:dyDescent="0.25">
      <c r="A10852" s="16"/>
    </row>
    <row r="10853" spans="1:1" x14ac:dyDescent="0.25">
      <c r="A10853" s="16"/>
    </row>
    <row r="10854" spans="1:1" x14ac:dyDescent="0.25">
      <c r="A10854" s="16"/>
    </row>
    <row r="10855" spans="1:1" x14ac:dyDescent="0.25">
      <c r="A10855" s="16"/>
    </row>
    <row r="10856" spans="1:1" x14ac:dyDescent="0.25">
      <c r="A10856" s="16"/>
    </row>
    <row r="10857" spans="1:1" x14ac:dyDescent="0.25">
      <c r="A10857" s="16"/>
    </row>
    <row r="10858" spans="1:1" x14ac:dyDescent="0.25">
      <c r="A10858" s="16"/>
    </row>
    <row r="10859" spans="1:1" x14ac:dyDescent="0.25">
      <c r="A10859" s="16"/>
    </row>
    <row r="10860" spans="1:1" x14ac:dyDescent="0.25">
      <c r="A10860" s="16"/>
    </row>
    <row r="10861" spans="1:1" x14ac:dyDescent="0.25">
      <c r="A10861" s="16"/>
    </row>
    <row r="10862" spans="1:1" x14ac:dyDescent="0.25">
      <c r="A10862" s="16"/>
    </row>
    <row r="10863" spans="1:1" x14ac:dyDescent="0.25">
      <c r="A10863" s="16"/>
    </row>
    <row r="10864" spans="1:1" x14ac:dyDescent="0.25">
      <c r="A10864" s="16"/>
    </row>
    <row r="10865" spans="1:1" x14ac:dyDescent="0.25">
      <c r="A10865" s="16"/>
    </row>
    <row r="10866" spans="1:1" x14ac:dyDescent="0.25">
      <c r="A10866" s="16"/>
    </row>
    <row r="10867" spans="1:1" x14ac:dyDescent="0.25">
      <c r="A10867" s="16"/>
    </row>
    <row r="10868" spans="1:1" x14ac:dyDescent="0.25">
      <c r="A10868" s="16"/>
    </row>
    <row r="10869" spans="1:1" x14ac:dyDescent="0.25">
      <c r="A10869" s="16"/>
    </row>
    <row r="10870" spans="1:1" x14ac:dyDescent="0.25">
      <c r="A10870" s="16"/>
    </row>
    <row r="10871" spans="1:1" x14ac:dyDescent="0.25">
      <c r="A10871" s="16"/>
    </row>
    <row r="10872" spans="1:1" x14ac:dyDescent="0.25">
      <c r="A10872" s="16"/>
    </row>
    <row r="10873" spans="1:1" x14ac:dyDescent="0.25">
      <c r="A10873" s="16"/>
    </row>
    <row r="10874" spans="1:1" x14ac:dyDescent="0.25">
      <c r="A10874" s="16"/>
    </row>
    <row r="10875" spans="1:1" x14ac:dyDescent="0.25">
      <c r="A10875" s="16"/>
    </row>
    <row r="10876" spans="1:1" x14ac:dyDescent="0.25">
      <c r="A10876" s="16"/>
    </row>
    <row r="10877" spans="1:1" x14ac:dyDescent="0.25">
      <c r="A10877" s="16"/>
    </row>
    <row r="10878" spans="1:1" x14ac:dyDescent="0.25">
      <c r="A10878" s="16"/>
    </row>
    <row r="10879" spans="1:1" x14ac:dyDescent="0.25">
      <c r="A10879" s="16"/>
    </row>
    <row r="10880" spans="1:1" x14ac:dyDescent="0.25">
      <c r="A10880" s="16"/>
    </row>
    <row r="10881" spans="1:1" x14ac:dyDescent="0.25">
      <c r="A10881" s="16"/>
    </row>
    <row r="10882" spans="1:1" x14ac:dyDescent="0.25">
      <c r="A10882" s="16"/>
    </row>
    <row r="10883" spans="1:1" x14ac:dyDescent="0.25">
      <c r="A10883" s="16"/>
    </row>
    <row r="10884" spans="1:1" x14ac:dyDescent="0.25">
      <c r="A10884" s="16"/>
    </row>
    <row r="10885" spans="1:1" x14ac:dyDescent="0.25">
      <c r="A10885" s="16"/>
    </row>
    <row r="10886" spans="1:1" x14ac:dyDescent="0.25">
      <c r="A10886" s="16"/>
    </row>
    <row r="10887" spans="1:1" x14ac:dyDescent="0.25">
      <c r="A10887" s="16"/>
    </row>
    <row r="10888" spans="1:1" x14ac:dyDescent="0.25">
      <c r="A10888" s="16"/>
    </row>
    <row r="10889" spans="1:1" x14ac:dyDescent="0.25">
      <c r="A10889" s="16"/>
    </row>
    <row r="10890" spans="1:1" x14ac:dyDescent="0.25">
      <c r="A10890" s="16"/>
    </row>
    <row r="10891" spans="1:1" x14ac:dyDescent="0.25">
      <c r="A10891" s="16"/>
    </row>
    <row r="10892" spans="1:1" x14ac:dyDescent="0.25">
      <c r="A10892" s="16"/>
    </row>
    <row r="10893" spans="1:1" x14ac:dyDescent="0.25">
      <c r="A10893" s="16"/>
    </row>
    <row r="10894" spans="1:1" x14ac:dyDescent="0.25">
      <c r="A10894" s="16"/>
    </row>
    <row r="10895" spans="1:1" x14ac:dyDescent="0.25">
      <c r="A10895" s="16"/>
    </row>
    <row r="10896" spans="1:1" x14ac:dyDescent="0.25">
      <c r="A10896" s="16"/>
    </row>
    <row r="10897" spans="1:1" x14ac:dyDescent="0.25">
      <c r="A10897" s="16"/>
    </row>
    <row r="10898" spans="1:1" x14ac:dyDescent="0.25">
      <c r="A10898" s="16"/>
    </row>
    <row r="10899" spans="1:1" x14ac:dyDescent="0.25">
      <c r="A10899" s="16"/>
    </row>
    <row r="10900" spans="1:1" x14ac:dyDescent="0.25">
      <c r="A10900" s="16"/>
    </row>
    <row r="10901" spans="1:1" x14ac:dyDescent="0.25">
      <c r="A10901" s="16"/>
    </row>
    <row r="10902" spans="1:1" x14ac:dyDescent="0.25">
      <c r="A10902" s="16"/>
    </row>
    <row r="10903" spans="1:1" x14ac:dyDescent="0.25">
      <c r="A10903" s="16"/>
    </row>
    <row r="10904" spans="1:1" x14ac:dyDescent="0.25">
      <c r="A10904" s="16"/>
    </row>
    <row r="10905" spans="1:1" x14ac:dyDescent="0.25">
      <c r="A10905" s="16"/>
    </row>
    <row r="10906" spans="1:1" x14ac:dyDescent="0.25">
      <c r="A10906" s="16"/>
    </row>
    <row r="10907" spans="1:1" x14ac:dyDescent="0.25">
      <c r="A10907" s="16"/>
    </row>
    <row r="10908" spans="1:1" x14ac:dyDescent="0.25">
      <c r="A10908" s="16"/>
    </row>
    <row r="10909" spans="1:1" x14ac:dyDescent="0.25">
      <c r="A10909" s="16"/>
    </row>
    <row r="10910" spans="1:1" x14ac:dyDescent="0.25">
      <c r="A10910" s="16"/>
    </row>
    <row r="10911" spans="1:1" x14ac:dyDescent="0.25">
      <c r="A10911" s="16"/>
    </row>
    <row r="10912" spans="1:1" x14ac:dyDescent="0.25">
      <c r="A10912" s="16"/>
    </row>
    <row r="10913" spans="1:1" x14ac:dyDescent="0.25">
      <c r="A10913" s="16"/>
    </row>
    <row r="10914" spans="1:1" x14ac:dyDescent="0.25">
      <c r="A10914" s="16"/>
    </row>
    <row r="10915" spans="1:1" x14ac:dyDescent="0.25">
      <c r="A10915" s="16"/>
    </row>
    <row r="10916" spans="1:1" x14ac:dyDescent="0.25">
      <c r="A10916" s="16"/>
    </row>
    <row r="10917" spans="1:1" x14ac:dyDescent="0.25">
      <c r="A10917" s="16"/>
    </row>
    <row r="10918" spans="1:1" x14ac:dyDescent="0.25">
      <c r="A10918" s="16"/>
    </row>
    <row r="10919" spans="1:1" x14ac:dyDescent="0.25">
      <c r="A10919" s="16"/>
    </row>
    <row r="10920" spans="1:1" x14ac:dyDescent="0.25">
      <c r="A10920" s="16"/>
    </row>
    <row r="10921" spans="1:1" x14ac:dyDescent="0.25">
      <c r="A10921" s="16"/>
    </row>
    <row r="10922" spans="1:1" x14ac:dyDescent="0.25">
      <c r="A10922" s="16"/>
    </row>
    <row r="10923" spans="1:1" x14ac:dyDescent="0.25">
      <c r="A10923" s="16"/>
    </row>
    <row r="10924" spans="1:1" x14ac:dyDescent="0.25">
      <c r="A10924" s="16"/>
    </row>
    <row r="10925" spans="1:1" x14ac:dyDescent="0.25">
      <c r="A10925" s="16"/>
    </row>
    <row r="10926" spans="1:1" x14ac:dyDescent="0.25">
      <c r="A10926" s="16"/>
    </row>
    <row r="10927" spans="1:1" x14ac:dyDescent="0.25">
      <c r="A10927" s="16"/>
    </row>
    <row r="10928" spans="1:1" x14ac:dyDescent="0.25">
      <c r="A10928" s="16"/>
    </row>
    <row r="10929" spans="1:1" x14ac:dyDescent="0.25">
      <c r="A10929" s="16"/>
    </row>
    <row r="10930" spans="1:1" x14ac:dyDescent="0.25">
      <c r="A10930" s="16"/>
    </row>
    <row r="10931" spans="1:1" x14ac:dyDescent="0.25">
      <c r="A10931" s="16"/>
    </row>
    <row r="10932" spans="1:1" x14ac:dyDescent="0.25">
      <c r="A10932" s="16"/>
    </row>
    <row r="10933" spans="1:1" x14ac:dyDescent="0.25">
      <c r="A10933" s="16"/>
    </row>
    <row r="10934" spans="1:1" x14ac:dyDescent="0.25">
      <c r="A10934" s="16"/>
    </row>
    <row r="10935" spans="1:1" x14ac:dyDescent="0.25">
      <c r="A10935" s="16"/>
    </row>
    <row r="10936" spans="1:1" x14ac:dyDescent="0.25">
      <c r="A10936" s="16"/>
    </row>
    <row r="10937" spans="1:1" x14ac:dyDescent="0.25">
      <c r="A10937" s="16"/>
    </row>
    <row r="10938" spans="1:1" x14ac:dyDescent="0.25">
      <c r="A10938" s="16"/>
    </row>
    <row r="10939" spans="1:1" x14ac:dyDescent="0.25">
      <c r="A10939" s="16"/>
    </row>
    <row r="10940" spans="1:1" x14ac:dyDescent="0.25">
      <c r="A10940" s="16"/>
    </row>
    <row r="10941" spans="1:1" x14ac:dyDescent="0.25">
      <c r="A10941" s="16"/>
    </row>
    <row r="10942" spans="1:1" x14ac:dyDescent="0.25">
      <c r="A10942" s="16"/>
    </row>
    <row r="10943" spans="1:1" x14ac:dyDescent="0.25">
      <c r="A10943" s="16"/>
    </row>
    <row r="10944" spans="1:1" x14ac:dyDescent="0.25">
      <c r="A10944" s="16"/>
    </row>
    <row r="10945" spans="1:1" x14ac:dyDescent="0.25">
      <c r="A10945" s="16"/>
    </row>
    <row r="10946" spans="1:1" x14ac:dyDescent="0.25">
      <c r="A10946" s="16"/>
    </row>
    <row r="10947" spans="1:1" x14ac:dyDescent="0.25">
      <c r="A10947" s="16"/>
    </row>
    <row r="10948" spans="1:1" x14ac:dyDescent="0.25">
      <c r="A10948" s="16"/>
    </row>
    <row r="10949" spans="1:1" x14ac:dyDescent="0.25">
      <c r="A10949" s="16"/>
    </row>
    <row r="10950" spans="1:1" x14ac:dyDescent="0.25">
      <c r="A10950" s="16"/>
    </row>
    <row r="10951" spans="1:1" x14ac:dyDescent="0.25">
      <c r="A10951" s="16"/>
    </row>
    <row r="10952" spans="1:1" x14ac:dyDescent="0.25">
      <c r="A10952" s="16"/>
    </row>
    <row r="10953" spans="1:1" x14ac:dyDescent="0.25">
      <c r="A10953" s="16"/>
    </row>
    <row r="10954" spans="1:1" x14ac:dyDescent="0.25">
      <c r="A10954" s="16"/>
    </row>
    <row r="10955" spans="1:1" x14ac:dyDescent="0.25">
      <c r="A10955" s="16"/>
    </row>
    <row r="10956" spans="1:1" x14ac:dyDescent="0.25">
      <c r="A10956" s="16"/>
    </row>
    <row r="10957" spans="1:1" x14ac:dyDescent="0.25">
      <c r="A10957" s="16"/>
    </row>
    <row r="10958" spans="1:1" x14ac:dyDescent="0.25">
      <c r="A10958" s="16"/>
    </row>
    <row r="10959" spans="1:1" x14ac:dyDescent="0.25">
      <c r="A10959" s="16"/>
    </row>
    <row r="10960" spans="1:1" x14ac:dyDescent="0.25">
      <c r="A10960" s="16"/>
    </row>
    <row r="10961" spans="1:1" x14ac:dyDescent="0.25">
      <c r="A10961" s="16"/>
    </row>
    <row r="10962" spans="1:1" x14ac:dyDescent="0.25">
      <c r="A10962" s="16"/>
    </row>
    <row r="10963" spans="1:1" x14ac:dyDescent="0.25">
      <c r="A10963" s="16"/>
    </row>
    <row r="10964" spans="1:1" x14ac:dyDescent="0.25">
      <c r="A10964" s="16"/>
    </row>
    <row r="10965" spans="1:1" x14ac:dyDescent="0.25">
      <c r="A10965" s="16"/>
    </row>
    <row r="10966" spans="1:1" x14ac:dyDescent="0.25">
      <c r="A10966" s="16"/>
    </row>
    <row r="10967" spans="1:1" x14ac:dyDescent="0.25">
      <c r="A10967" s="16"/>
    </row>
    <row r="10968" spans="1:1" x14ac:dyDescent="0.25">
      <c r="A10968" s="16"/>
    </row>
    <row r="10969" spans="1:1" x14ac:dyDescent="0.25">
      <c r="A10969" s="16"/>
    </row>
    <row r="10970" spans="1:1" x14ac:dyDescent="0.25">
      <c r="A10970" s="16"/>
    </row>
    <row r="10971" spans="1:1" x14ac:dyDescent="0.25">
      <c r="A10971" s="16"/>
    </row>
    <row r="10972" spans="1:1" x14ac:dyDescent="0.25">
      <c r="A10972" s="16"/>
    </row>
    <row r="10973" spans="1:1" x14ac:dyDescent="0.25">
      <c r="A10973" s="16"/>
    </row>
    <row r="10974" spans="1:1" x14ac:dyDescent="0.25">
      <c r="A10974" s="16"/>
    </row>
    <row r="10975" spans="1:1" x14ac:dyDescent="0.25">
      <c r="A10975" s="16"/>
    </row>
    <row r="10976" spans="1:1" x14ac:dyDescent="0.25">
      <c r="A10976" s="16"/>
    </row>
    <row r="10977" spans="1:1" x14ac:dyDescent="0.25">
      <c r="A10977" s="16"/>
    </row>
    <row r="10978" spans="1:1" x14ac:dyDescent="0.25">
      <c r="A10978" s="16"/>
    </row>
    <row r="10979" spans="1:1" x14ac:dyDescent="0.25">
      <c r="A10979" s="16"/>
    </row>
    <row r="10980" spans="1:1" x14ac:dyDescent="0.25">
      <c r="A10980" s="16"/>
    </row>
    <row r="10981" spans="1:1" x14ac:dyDescent="0.25">
      <c r="A10981" s="16"/>
    </row>
    <row r="10982" spans="1:1" x14ac:dyDescent="0.25">
      <c r="A10982" s="16"/>
    </row>
    <row r="10983" spans="1:1" x14ac:dyDescent="0.25">
      <c r="A10983" s="16"/>
    </row>
    <row r="10984" spans="1:1" x14ac:dyDescent="0.25">
      <c r="A10984" s="16"/>
    </row>
    <row r="10985" spans="1:1" x14ac:dyDescent="0.25">
      <c r="A10985" s="16"/>
    </row>
    <row r="10986" spans="1:1" x14ac:dyDescent="0.25">
      <c r="A10986" s="16"/>
    </row>
    <row r="10987" spans="1:1" x14ac:dyDescent="0.25">
      <c r="A10987" s="16"/>
    </row>
    <row r="10988" spans="1:1" x14ac:dyDescent="0.25">
      <c r="A10988" s="16"/>
    </row>
    <row r="10989" spans="1:1" x14ac:dyDescent="0.25">
      <c r="A10989" s="16"/>
    </row>
    <row r="10990" spans="1:1" x14ac:dyDescent="0.25">
      <c r="A10990" s="16"/>
    </row>
    <row r="10991" spans="1:1" x14ac:dyDescent="0.25">
      <c r="A10991" s="16"/>
    </row>
    <row r="10992" spans="1:1" x14ac:dyDescent="0.25">
      <c r="A10992" s="16"/>
    </row>
    <row r="10993" spans="1:1" x14ac:dyDescent="0.25">
      <c r="A10993" s="16"/>
    </row>
    <row r="10994" spans="1:1" x14ac:dyDescent="0.25">
      <c r="A10994" s="16"/>
    </row>
    <row r="10995" spans="1:1" x14ac:dyDescent="0.25">
      <c r="A10995" s="16"/>
    </row>
    <row r="10996" spans="1:1" x14ac:dyDescent="0.25">
      <c r="A10996" s="16"/>
    </row>
    <row r="10997" spans="1:1" x14ac:dyDescent="0.25">
      <c r="A10997" s="16"/>
    </row>
    <row r="10998" spans="1:1" x14ac:dyDescent="0.25">
      <c r="A10998" s="16"/>
    </row>
    <row r="10999" spans="1:1" x14ac:dyDescent="0.25">
      <c r="A10999" s="16"/>
    </row>
    <row r="11000" spans="1:1" x14ac:dyDescent="0.25">
      <c r="A11000" s="16"/>
    </row>
    <row r="11001" spans="1:1" x14ac:dyDescent="0.25">
      <c r="A11001" s="16"/>
    </row>
    <row r="11002" spans="1:1" x14ac:dyDescent="0.25">
      <c r="A11002" s="16"/>
    </row>
    <row r="11003" spans="1:1" x14ac:dyDescent="0.25">
      <c r="A11003" s="16"/>
    </row>
    <row r="11004" spans="1:1" x14ac:dyDescent="0.25">
      <c r="A11004" s="16"/>
    </row>
    <row r="11005" spans="1:1" x14ac:dyDescent="0.25">
      <c r="A11005" s="16"/>
    </row>
    <row r="11006" spans="1:1" x14ac:dyDescent="0.25">
      <c r="A11006" s="16"/>
    </row>
    <row r="11007" spans="1:1" x14ac:dyDescent="0.25">
      <c r="A11007" s="16"/>
    </row>
    <row r="11008" spans="1:1" x14ac:dyDescent="0.25">
      <c r="A11008" s="16"/>
    </row>
    <row r="11009" spans="1:1" x14ac:dyDescent="0.25">
      <c r="A11009" s="16"/>
    </row>
    <row r="11010" spans="1:1" x14ac:dyDescent="0.25">
      <c r="A11010" s="16"/>
    </row>
    <row r="11011" spans="1:1" x14ac:dyDescent="0.25">
      <c r="A11011" s="16"/>
    </row>
    <row r="11012" spans="1:1" x14ac:dyDescent="0.25">
      <c r="A11012" s="16"/>
    </row>
    <row r="11013" spans="1:1" x14ac:dyDescent="0.25">
      <c r="A11013" s="16"/>
    </row>
    <row r="11014" spans="1:1" x14ac:dyDescent="0.25">
      <c r="A11014" s="16"/>
    </row>
    <row r="11015" spans="1:1" x14ac:dyDescent="0.25">
      <c r="A11015" s="16"/>
    </row>
    <row r="11016" spans="1:1" x14ac:dyDescent="0.25">
      <c r="A11016" s="16"/>
    </row>
    <row r="11017" spans="1:1" x14ac:dyDescent="0.25">
      <c r="A11017" s="16"/>
    </row>
    <row r="11018" spans="1:1" x14ac:dyDescent="0.25">
      <c r="A11018" s="16"/>
    </row>
    <row r="11019" spans="1:1" x14ac:dyDescent="0.25">
      <c r="A11019" s="16"/>
    </row>
    <row r="11020" spans="1:1" x14ac:dyDescent="0.25">
      <c r="A11020" s="16"/>
    </row>
    <row r="11021" spans="1:1" x14ac:dyDescent="0.25">
      <c r="A11021" s="16"/>
    </row>
    <row r="11022" spans="1:1" x14ac:dyDescent="0.25">
      <c r="A11022" s="16"/>
    </row>
    <row r="11023" spans="1:1" x14ac:dyDescent="0.25">
      <c r="A11023" s="16"/>
    </row>
    <row r="11024" spans="1:1" x14ac:dyDescent="0.25">
      <c r="A11024" s="16"/>
    </row>
    <row r="11025" spans="1:1" x14ac:dyDescent="0.25">
      <c r="A11025" s="16"/>
    </row>
    <row r="11026" spans="1:1" x14ac:dyDescent="0.25">
      <c r="A11026" s="16"/>
    </row>
    <row r="11027" spans="1:1" x14ac:dyDescent="0.25">
      <c r="A11027" s="16"/>
    </row>
    <row r="11028" spans="1:1" x14ac:dyDescent="0.25">
      <c r="A11028" s="16"/>
    </row>
    <row r="11029" spans="1:1" x14ac:dyDescent="0.25">
      <c r="A11029" s="16"/>
    </row>
    <row r="11030" spans="1:1" x14ac:dyDescent="0.25">
      <c r="A11030" s="16"/>
    </row>
    <row r="11031" spans="1:1" x14ac:dyDescent="0.25">
      <c r="A11031" s="16"/>
    </row>
    <row r="11032" spans="1:1" x14ac:dyDescent="0.25">
      <c r="A11032" s="16"/>
    </row>
    <row r="11033" spans="1:1" x14ac:dyDescent="0.25">
      <c r="A11033" s="16"/>
    </row>
    <row r="11034" spans="1:1" x14ac:dyDescent="0.25">
      <c r="A11034" s="16"/>
    </row>
    <row r="11035" spans="1:1" x14ac:dyDescent="0.25">
      <c r="A11035" s="16"/>
    </row>
    <row r="11036" spans="1:1" x14ac:dyDescent="0.25">
      <c r="A11036" s="16"/>
    </row>
    <row r="11037" spans="1:1" x14ac:dyDescent="0.25">
      <c r="A11037" s="16"/>
    </row>
    <row r="11038" spans="1:1" x14ac:dyDescent="0.25">
      <c r="A11038" s="16"/>
    </row>
    <row r="11039" spans="1:1" x14ac:dyDescent="0.25">
      <c r="A11039" s="16"/>
    </row>
    <row r="11040" spans="1:1" x14ac:dyDescent="0.25">
      <c r="A11040" s="16"/>
    </row>
    <row r="11041" spans="1:1" x14ac:dyDescent="0.25">
      <c r="A11041" s="16"/>
    </row>
    <row r="11042" spans="1:1" x14ac:dyDescent="0.25">
      <c r="A11042" s="16"/>
    </row>
    <row r="11043" spans="1:1" x14ac:dyDescent="0.25">
      <c r="A11043" s="16"/>
    </row>
    <row r="11044" spans="1:1" x14ac:dyDescent="0.25">
      <c r="A11044" s="16"/>
    </row>
    <row r="11045" spans="1:1" x14ac:dyDescent="0.25">
      <c r="A11045" s="16"/>
    </row>
    <row r="11046" spans="1:1" x14ac:dyDescent="0.25">
      <c r="A11046" s="16"/>
    </row>
    <row r="11047" spans="1:1" x14ac:dyDescent="0.25">
      <c r="A11047" s="16"/>
    </row>
    <row r="11048" spans="1:1" x14ac:dyDescent="0.25">
      <c r="A11048" s="16"/>
    </row>
    <row r="11049" spans="1:1" x14ac:dyDescent="0.25">
      <c r="A11049" s="16"/>
    </row>
    <row r="11050" spans="1:1" x14ac:dyDescent="0.25">
      <c r="A11050" s="16"/>
    </row>
    <row r="11051" spans="1:1" x14ac:dyDescent="0.25">
      <c r="A11051" s="16"/>
    </row>
    <row r="11052" spans="1:1" x14ac:dyDescent="0.25">
      <c r="A11052" s="16"/>
    </row>
    <row r="11053" spans="1:1" x14ac:dyDescent="0.25">
      <c r="A11053" s="16"/>
    </row>
    <row r="11054" spans="1:1" x14ac:dyDescent="0.25">
      <c r="A11054" s="16"/>
    </row>
    <row r="11055" spans="1:1" x14ac:dyDescent="0.25">
      <c r="A11055" s="16"/>
    </row>
    <row r="11056" spans="1:1" x14ac:dyDescent="0.25">
      <c r="A11056" s="16"/>
    </row>
    <row r="11057" spans="1:1" x14ac:dyDescent="0.25">
      <c r="A11057" s="16"/>
    </row>
    <row r="11058" spans="1:1" x14ac:dyDescent="0.25">
      <c r="A11058" s="16"/>
    </row>
    <row r="11059" spans="1:1" x14ac:dyDescent="0.25">
      <c r="A11059" s="16"/>
    </row>
    <row r="11060" spans="1:1" x14ac:dyDescent="0.25">
      <c r="A11060" s="16"/>
    </row>
    <row r="11061" spans="1:1" x14ac:dyDescent="0.25">
      <c r="A11061" s="16"/>
    </row>
    <row r="11062" spans="1:1" x14ac:dyDescent="0.25">
      <c r="A11062" s="16"/>
    </row>
    <row r="11063" spans="1:1" x14ac:dyDescent="0.25">
      <c r="A11063" s="16"/>
    </row>
    <row r="11064" spans="1:1" x14ac:dyDescent="0.25">
      <c r="A11064" s="16"/>
    </row>
    <row r="11065" spans="1:1" x14ac:dyDescent="0.25">
      <c r="A11065" s="16"/>
    </row>
    <row r="11066" spans="1:1" x14ac:dyDescent="0.25">
      <c r="A11066" s="16"/>
    </row>
    <row r="11067" spans="1:1" x14ac:dyDescent="0.25">
      <c r="A11067" s="16"/>
    </row>
    <row r="11068" spans="1:1" x14ac:dyDescent="0.25">
      <c r="A11068" s="16"/>
    </row>
    <row r="11069" spans="1:1" x14ac:dyDescent="0.25">
      <c r="A11069" s="16"/>
    </row>
    <row r="11070" spans="1:1" x14ac:dyDescent="0.25">
      <c r="A11070" s="16"/>
    </row>
    <row r="11071" spans="1:1" x14ac:dyDescent="0.25">
      <c r="A11071" s="16"/>
    </row>
    <row r="11072" spans="1:1" x14ac:dyDescent="0.25">
      <c r="A11072" s="16"/>
    </row>
    <row r="11073" spans="1:1" x14ac:dyDescent="0.25">
      <c r="A11073" s="16"/>
    </row>
    <row r="11074" spans="1:1" x14ac:dyDescent="0.25">
      <c r="A11074" s="16"/>
    </row>
    <row r="11075" spans="1:1" x14ac:dyDescent="0.25">
      <c r="A11075" s="16"/>
    </row>
    <row r="11076" spans="1:1" x14ac:dyDescent="0.25">
      <c r="A11076" s="16"/>
    </row>
    <row r="11077" spans="1:1" x14ac:dyDescent="0.25">
      <c r="A11077" s="16"/>
    </row>
    <row r="11078" spans="1:1" x14ac:dyDescent="0.25">
      <c r="A11078" s="16"/>
    </row>
    <row r="11079" spans="1:1" x14ac:dyDescent="0.25">
      <c r="A11079" s="16"/>
    </row>
    <row r="11080" spans="1:1" x14ac:dyDescent="0.25">
      <c r="A11080" s="16"/>
    </row>
    <row r="11081" spans="1:1" x14ac:dyDescent="0.25">
      <c r="A11081" s="16"/>
    </row>
    <row r="11082" spans="1:1" x14ac:dyDescent="0.25">
      <c r="A11082" s="16"/>
    </row>
    <row r="11083" spans="1:1" x14ac:dyDescent="0.25">
      <c r="A11083" s="16"/>
    </row>
    <row r="11084" spans="1:1" x14ac:dyDescent="0.25">
      <c r="A11084" s="16"/>
    </row>
    <row r="11085" spans="1:1" x14ac:dyDescent="0.25">
      <c r="A11085" s="16"/>
    </row>
    <row r="11086" spans="1:1" x14ac:dyDescent="0.25">
      <c r="A11086" s="16"/>
    </row>
    <row r="11087" spans="1:1" x14ac:dyDescent="0.25">
      <c r="A11087" s="16"/>
    </row>
    <row r="11088" spans="1:1" x14ac:dyDescent="0.25">
      <c r="A11088" s="16"/>
    </row>
    <row r="11089" spans="1:1" x14ac:dyDescent="0.25">
      <c r="A11089" s="16"/>
    </row>
    <row r="11090" spans="1:1" x14ac:dyDescent="0.25">
      <c r="A11090" s="16"/>
    </row>
    <row r="11091" spans="1:1" x14ac:dyDescent="0.25">
      <c r="A11091" s="16"/>
    </row>
    <row r="11092" spans="1:1" x14ac:dyDescent="0.25">
      <c r="A11092" s="16"/>
    </row>
    <row r="11093" spans="1:1" x14ac:dyDescent="0.25">
      <c r="A11093" s="16"/>
    </row>
    <row r="11094" spans="1:1" x14ac:dyDescent="0.25">
      <c r="A11094" s="16"/>
    </row>
    <row r="11095" spans="1:1" x14ac:dyDescent="0.25">
      <c r="A11095" s="16"/>
    </row>
    <row r="11096" spans="1:1" x14ac:dyDescent="0.25">
      <c r="A11096" s="16"/>
    </row>
    <row r="11097" spans="1:1" x14ac:dyDescent="0.25">
      <c r="A11097" s="16"/>
    </row>
    <row r="11098" spans="1:1" x14ac:dyDescent="0.25">
      <c r="A11098" s="16"/>
    </row>
    <row r="11099" spans="1:1" x14ac:dyDescent="0.25">
      <c r="A11099" s="16"/>
    </row>
    <row r="11100" spans="1:1" x14ac:dyDescent="0.25">
      <c r="A11100" s="16"/>
    </row>
    <row r="11101" spans="1:1" x14ac:dyDescent="0.25">
      <c r="A11101" s="16"/>
    </row>
    <row r="11102" spans="1:1" x14ac:dyDescent="0.25">
      <c r="A11102" s="16"/>
    </row>
    <row r="11103" spans="1:1" x14ac:dyDescent="0.25">
      <c r="A11103" s="16"/>
    </row>
    <row r="11104" spans="1:1" x14ac:dyDescent="0.25">
      <c r="A11104" s="16"/>
    </row>
    <row r="11105" spans="1:1" x14ac:dyDescent="0.25">
      <c r="A11105" s="16"/>
    </row>
    <row r="11106" spans="1:1" x14ac:dyDescent="0.25">
      <c r="A11106" s="16"/>
    </row>
    <row r="11107" spans="1:1" x14ac:dyDescent="0.25">
      <c r="A11107" s="16"/>
    </row>
    <row r="11108" spans="1:1" x14ac:dyDescent="0.25">
      <c r="A11108" s="16"/>
    </row>
    <row r="11109" spans="1:1" x14ac:dyDescent="0.25">
      <c r="A11109" s="16"/>
    </row>
    <row r="11110" spans="1:1" x14ac:dyDescent="0.25">
      <c r="A11110" s="16"/>
    </row>
    <row r="11111" spans="1:1" x14ac:dyDescent="0.25">
      <c r="A11111" s="16"/>
    </row>
    <row r="11112" spans="1:1" x14ac:dyDescent="0.25">
      <c r="A11112" s="16"/>
    </row>
    <row r="11113" spans="1:1" x14ac:dyDescent="0.25">
      <c r="A11113" s="16"/>
    </row>
    <row r="11114" spans="1:1" x14ac:dyDescent="0.25">
      <c r="A11114" s="16"/>
    </row>
    <row r="11115" spans="1:1" x14ac:dyDescent="0.25">
      <c r="A11115" s="16"/>
    </row>
    <row r="11116" spans="1:1" x14ac:dyDescent="0.25">
      <c r="A11116" s="16"/>
    </row>
    <row r="11117" spans="1:1" x14ac:dyDescent="0.25">
      <c r="A11117" s="16"/>
    </row>
    <row r="11118" spans="1:1" x14ac:dyDescent="0.25">
      <c r="A11118" s="16"/>
    </row>
    <row r="11119" spans="1:1" x14ac:dyDescent="0.25">
      <c r="A11119" s="16"/>
    </row>
    <row r="11120" spans="1:1" x14ac:dyDescent="0.25">
      <c r="A11120" s="16"/>
    </row>
    <row r="11121" spans="1:1" x14ac:dyDescent="0.25">
      <c r="A11121" s="16"/>
    </row>
    <row r="11122" spans="1:1" x14ac:dyDescent="0.25">
      <c r="A11122" s="16"/>
    </row>
    <row r="11123" spans="1:1" x14ac:dyDescent="0.25">
      <c r="A11123" s="16"/>
    </row>
    <row r="11124" spans="1:1" x14ac:dyDescent="0.25">
      <c r="A11124" s="16"/>
    </row>
    <row r="11125" spans="1:1" x14ac:dyDescent="0.25">
      <c r="A11125" s="16"/>
    </row>
    <row r="11126" spans="1:1" x14ac:dyDescent="0.25">
      <c r="A11126" s="16"/>
    </row>
    <row r="11127" spans="1:1" x14ac:dyDescent="0.25">
      <c r="A11127" s="16"/>
    </row>
    <row r="11128" spans="1:1" x14ac:dyDescent="0.25">
      <c r="A11128" s="16"/>
    </row>
    <row r="11129" spans="1:1" x14ac:dyDescent="0.25">
      <c r="A11129" s="16"/>
    </row>
    <row r="11130" spans="1:1" x14ac:dyDescent="0.25">
      <c r="A11130" s="16"/>
    </row>
    <row r="11131" spans="1:1" x14ac:dyDescent="0.25">
      <c r="A11131" s="16"/>
    </row>
    <row r="11132" spans="1:1" x14ac:dyDescent="0.25">
      <c r="A11132" s="16"/>
    </row>
    <row r="11133" spans="1:1" x14ac:dyDescent="0.25">
      <c r="A11133" s="16"/>
    </row>
    <row r="11134" spans="1:1" x14ac:dyDescent="0.25">
      <c r="A11134" s="16"/>
    </row>
    <row r="11135" spans="1:1" x14ac:dyDescent="0.25">
      <c r="A11135" s="16"/>
    </row>
    <row r="11136" spans="1:1" x14ac:dyDescent="0.25">
      <c r="A11136" s="16"/>
    </row>
    <row r="11137" spans="1:1" x14ac:dyDescent="0.25">
      <c r="A11137" s="16"/>
    </row>
    <row r="11138" spans="1:1" x14ac:dyDescent="0.25">
      <c r="A11138" s="16"/>
    </row>
    <row r="11139" spans="1:1" x14ac:dyDescent="0.25">
      <c r="A11139" s="16"/>
    </row>
    <row r="11140" spans="1:1" x14ac:dyDescent="0.25">
      <c r="A11140" s="16"/>
    </row>
    <row r="11141" spans="1:1" x14ac:dyDescent="0.25">
      <c r="A11141" s="16"/>
    </row>
    <row r="11142" spans="1:1" x14ac:dyDescent="0.25">
      <c r="A11142" s="16"/>
    </row>
    <row r="11143" spans="1:1" x14ac:dyDescent="0.25">
      <c r="A11143" s="16"/>
    </row>
    <row r="11144" spans="1:1" x14ac:dyDescent="0.25">
      <c r="A11144" s="16"/>
    </row>
    <row r="11145" spans="1:1" x14ac:dyDescent="0.25">
      <c r="A11145" s="16"/>
    </row>
    <row r="11146" spans="1:1" x14ac:dyDescent="0.25">
      <c r="A11146" s="16"/>
    </row>
    <row r="11147" spans="1:1" x14ac:dyDescent="0.25">
      <c r="A11147" s="16"/>
    </row>
    <row r="11148" spans="1:1" x14ac:dyDescent="0.25">
      <c r="A11148" s="16"/>
    </row>
    <row r="11149" spans="1:1" x14ac:dyDescent="0.25">
      <c r="A11149" s="16"/>
    </row>
    <row r="11150" spans="1:1" x14ac:dyDescent="0.25">
      <c r="A11150" s="16"/>
    </row>
    <row r="11151" spans="1:1" x14ac:dyDescent="0.25">
      <c r="A11151" s="16"/>
    </row>
    <row r="11152" spans="1:1" x14ac:dyDescent="0.25">
      <c r="A11152" s="16"/>
    </row>
    <row r="11153" spans="1:1" x14ac:dyDescent="0.25">
      <c r="A11153" s="16"/>
    </row>
    <row r="11154" spans="1:1" x14ac:dyDescent="0.25">
      <c r="A11154" s="16"/>
    </row>
    <row r="11155" spans="1:1" x14ac:dyDescent="0.25">
      <c r="A11155" s="16"/>
    </row>
    <row r="11156" spans="1:1" x14ac:dyDescent="0.25">
      <c r="A11156" s="16"/>
    </row>
    <row r="11157" spans="1:1" x14ac:dyDescent="0.25">
      <c r="A11157" s="16"/>
    </row>
    <row r="11158" spans="1:1" x14ac:dyDescent="0.25">
      <c r="A11158" s="16"/>
    </row>
    <row r="11159" spans="1:1" x14ac:dyDescent="0.25">
      <c r="A11159" s="16"/>
    </row>
    <row r="11160" spans="1:1" x14ac:dyDescent="0.25">
      <c r="A11160" s="16"/>
    </row>
    <row r="11161" spans="1:1" x14ac:dyDescent="0.25">
      <c r="A11161" s="16"/>
    </row>
    <row r="11162" spans="1:1" x14ac:dyDescent="0.25">
      <c r="A11162" s="16"/>
    </row>
    <row r="11163" spans="1:1" x14ac:dyDescent="0.25">
      <c r="A11163" s="16"/>
    </row>
    <row r="11164" spans="1:1" x14ac:dyDescent="0.25">
      <c r="A11164" s="16"/>
    </row>
    <row r="11165" spans="1:1" x14ac:dyDescent="0.25">
      <c r="A11165" s="16"/>
    </row>
    <row r="11166" spans="1:1" x14ac:dyDescent="0.25">
      <c r="A11166" s="16"/>
    </row>
    <row r="11167" spans="1:1" x14ac:dyDescent="0.25">
      <c r="A11167" s="16"/>
    </row>
    <row r="11168" spans="1:1" x14ac:dyDescent="0.25">
      <c r="A11168" s="16"/>
    </row>
    <row r="11169" spans="1:1" x14ac:dyDescent="0.25">
      <c r="A11169" s="16"/>
    </row>
    <row r="11170" spans="1:1" x14ac:dyDescent="0.25">
      <c r="A11170" s="16"/>
    </row>
    <row r="11171" spans="1:1" x14ac:dyDescent="0.25">
      <c r="A11171" s="16"/>
    </row>
    <row r="11172" spans="1:1" x14ac:dyDescent="0.25">
      <c r="A11172" s="16"/>
    </row>
    <row r="11173" spans="1:1" x14ac:dyDescent="0.25">
      <c r="A11173" s="16"/>
    </row>
    <row r="11174" spans="1:1" x14ac:dyDescent="0.25">
      <c r="A11174" s="16"/>
    </row>
    <row r="11175" spans="1:1" x14ac:dyDescent="0.25">
      <c r="A11175" s="16"/>
    </row>
    <row r="11176" spans="1:1" x14ac:dyDescent="0.25">
      <c r="A11176" s="16"/>
    </row>
    <row r="11177" spans="1:1" x14ac:dyDescent="0.25">
      <c r="A11177" s="16"/>
    </row>
    <row r="11178" spans="1:1" x14ac:dyDescent="0.25">
      <c r="A11178" s="16"/>
    </row>
    <row r="11179" spans="1:1" x14ac:dyDescent="0.25">
      <c r="A11179" s="16"/>
    </row>
    <row r="11180" spans="1:1" x14ac:dyDescent="0.25">
      <c r="A11180" s="16"/>
    </row>
    <row r="11181" spans="1:1" x14ac:dyDescent="0.25">
      <c r="A11181" s="16"/>
    </row>
    <row r="11182" spans="1:1" x14ac:dyDescent="0.25">
      <c r="A11182" s="16"/>
    </row>
    <row r="11183" spans="1:1" x14ac:dyDescent="0.25">
      <c r="A11183" s="16"/>
    </row>
    <row r="11184" spans="1:1" x14ac:dyDescent="0.25">
      <c r="A11184" s="16"/>
    </row>
    <row r="11185" spans="1:1" x14ac:dyDescent="0.25">
      <c r="A11185" s="16"/>
    </row>
    <row r="11186" spans="1:1" x14ac:dyDescent="0.25">
      <c r="A11186" s="16"/>
    </row>
    <row r="11187" spans="1:1" x14ac:dyDescent="0.25">
      <c r="A11187" s="16"/>
    </row>
    <row r="11188" spans="1:1" x14ac:dyDescent="0.25">
      <c r="A11188" s="16"/>
    </row>
    <row r="11189" spans="1:1" x14ac:dyDescent="0.25">
      <c r="A11189" s="16"/>
    </row>
    <row r="11190" spans="1:1" x14ac:dyDescent="0.25">
      <c r="A11190" s="16"/>
    </row>
    <row r="11191" spans="1:1" x14ac:dyDescent="0.25">
      <c r="A11191" s="16"/>
    </row>
    <row r="11192" spans="1:1" x14ac:dyDescent="0.25">
      <c r="A11192" s="16"/>
    </row>
    <row r="11193" spans="1:1" x14ac:dyDescent="0.25">
      <c r="A11193" s="16"/>
    </row>
    <row r="11194" spans="1:1" x14ac:dyDescent="0.25">
      <c r="A11194" s="16"/>
    </row>
    <row r="11195" spans="1:1" x14ac:dyDescent="0.25">
      <c r="A11195" s="16"/>
    </row>
    <row r="11196" spans="1:1" x14ac:dyDescent="0.25">
      <c r="A11196" s="16"/>
    </row>
    <row r="11197" spans="1:1" x14ac:dyDescent="0.25">
      <c r="A11197" s="16"/>
    </row>
    <row r="11198" spans="1:1" x14ac:dyDescent="0.25">
      <c r="A11198" s="16"/>
    </row>
    <row r="11199" spans="1:1" x14ac:dyDescent="0.25">
      <c r="A11199" s="16"/>
    </row>
    <row r="11200" spans="1:1" x14ac:dyDescent="0.25">
      <c r="A11200" s="16"/>
    </row>
    <row r="11201" spans="1:1" x14ac:dyDescent="0.25">
      <c r="A11201" s="16"/>
    </row>
    <row r="11202" spans="1:1" x14ac:dyDescent="0.25">
      <c r="A11202" s="16"/>
    </row>
    <row r="11203" spans="1:1" x14ac:dyDescent="0.25">
      <c r="A11203" s="16"/>
    </row>
    <row r="11204" spans="1:1" x14ac:dyDescent="0.25">
      <c r="A11204" s="16"/>
    </row>
    <row r="11205" spans="1:1" x14ac:dyDescent="0.25">
      <c r="A11205" s="16"/>
    </row>
    <row r="11206" spans="1:1" x14ac:dyDescent="0.25">
      <c r="A11206" s="16"/>
    </row>
    <row r="11207" spans="1:1" x14ac:dyDescent="0.25">
      <c r="A11207" s="16"/>
    </row>
    <row r="11208" spans="1:1" x14ac:dyDescent="0.25">
      <c r="A11208" s="16"/>
    </row>
    <row r="11209" spans="1:1" x14ac:dyDescent="0.25">
      <c r="A11209" s="16"/>
    </row>
    <row r="11210" spans="1:1" x14ac:dyDescent="0.25">
      <c r="A11210" s="16"/>
    </row>
    <row r="11211" spans="1:1" x14ac:dyDescent="0.25">
      <c r="A11211" s="16"/>
    </row>
    <row r="11212" spans="1:1" x14ac:dyDescent="0.25">
      <c r="A11212" s="16"/>
    </row>
    <row r="11213" spans="1:1" x14ac:dyDescent="0.25">
      <c r="A11213" s="16"/>
    </row>
    <row r="11214" spans="1:1" x14ac:dyDescent="0.25">
      <c r="A11214" s="16"/>
    </row>
    <row r="11215" spans="1:1" x14ac:dyDescent="0.25">
      <c r="A11215" s="16"/>
    </row>
    <row r="11216" spans="1:1" x14ac:dyDescent="0.25">
      <c r="A11216" s="16"/>
    </row>
    <row r="11217" spans="1:1" x14ac:dyDescent="0.25">
      <c r="A11217" s="16"/>
    </row>
    <row r="11218" spans="1:1" x14ac:dyDescent="0.25">
      <c r="A11218" s="16"/>
    </row>
    <row r="11219" spans="1:1" x14ac:dyDescent="0.25">
      <c r="A11219" s="16"/>
    </row>
    <row r="11220" spans="1:1" x14ac:dyDescent="0.25">
      <c r="A11220" s="16"/>
    </row>
    <row r="11221" spans="1:1" x14ac:dyDescent="0.25">
      <c r="A11221" s="16"/>
    </row>
    <row r="11222" spans="1:1" x14ac:dyDescent="0.25">
      <c r="A11222" s="16"/>
    </row>
    <row r="11223" spans="1:1" x14ac:dyDescent="0.25">
      <c r="A11223" s="16"/>
    </row>
    <row r="11224" spans="1:1" x14ac:dyDescent="0.25">
      <c r="A11224" s="16"/>
    </row>
    <row r="11225" spans="1:1" x14ac:dyDescent="0.25">
      <c r="A11225" s="16"/>
    </row>
    <row r="11226" spans="1:1" x14ac:dyDescent="0.25">
      <c r="A11226" s="16"/>
    </row>
    <row r="11227" spans="1:1" x14ac:dyDescent="0.25">
      <c r="A11227" s="16"/>
    </row>
    <row r="11228" spans="1:1" x14ac:dyDescent="0.25">
      <c r="A11228" s="16"/>
    </row>
    <row r="11229" spans="1:1" x14ac:dyDescent="0.25">
      <c r="A11229" s="16"/>
    </row>
    <row r="11230" spans="1:1" x14ac:dyDescent="0.25">
      <c r="A11230" s="16"/>
    </row>
    <row r="11231" spans="1:1" x14ac:dyDescent="0.25">
      <c r="A11231" s="16"/>
    </row>
    <row r="11232" spans="1:1" x14ac:dyDescent="0.25">
      <c r="A11232" s="16"/>
    </row>
    <row r="11233" spans="1:1" x14ac:dyDescent="0.25">
      <c r="A11233" s="16"/>
    </row>
    <row r="11234" spans="1:1" x14ac:dyDescent="0.25">
      <c r="A11234" s="16"/>
    </row>
    <row r="11235" spans="1:1" x14ac:dyDescent="0.25">
      <c r="A11235" s="16"/>
    </row>
    <row r="11236" spans="1:1" x14ac:dyDescent="0.25">
      <c r="A11236" s="16"/>
    </row>
    <row r="11237" spans="1:1" x14ac:dyDescent="0.25">
      <c r="A11237" s="16"/>
    </row>
    <row r="11238" spans="1:1" x14ac:dyDescent="0.25">
      <c r="A11238" s="16"/>
    </row>
    <row r="11239" spans="1:1" x14ac:dyDescent="0.25">
      <c r="A11239" s="16"/>
    </row>
    <row r="11240" spans="1:1" x14ac:dyDescent="0.25">
      <c r="A11240" s="16"/>
    </row>
    <row r="11241" spans="1:1" x14ac:dyDescent="0.25">
      <c r="A11241" s="16"/>
    </row>
    <row r="11242" spans="1:1" x14ac:dyDescent="0.25">
      <c r="A11242" s="16"/>
    </row>
    <row r="11243" spans="1:1" x14ac:dyDescent="0.25">
      <c r="A11243" s="16"/>
    </row>
    <row r="11244" spans="1:1" x14ac:dyDescent="0.25">
      <c r="A11244" s="16"/>
    </row>
    <row r="11245" spans="1:1" x14ac:dyDescent="0.25">
      <c r="A11245" s="16"/>
    </row>
    <row r="11246" spans="1:1" x14ac:dyDescent="0.25">
      <c r="A11246" s="16"/>
    </row>
    <row r="11247" spans="1:1" x14ac:dyDescent="0.25">
      <c r="A11247" s="16"/>
    </row>
    <row r="11248" spans="1:1" x14ac:dyDescent="0.25">
      <c r="A11248" s="16"/>
    </row>
    <row r="11249" spans="1:1" x14ac:dyDescent="0.25">
      <c r="A11249" s="16"/>
    </row>
    <row r="11250" spans="1:1" x14ac:dyDescent="0.25">
      <c r="A11250" s="16"/>
    </row>
    <row r="11251" spans="1:1" x14ac:dyDescent="0.25">
      <c r="A11251" s="16"/>
    </row>
    <row r="11252" spans="1:1" x14ac:dyDescent="0.25">
      <c r="A11252" s="16"/>
    </row>
    <row r="11253" spans="1:1" x14ac:dyDescent="0.25">
      <c r="A11253" s="16"/>
    </row>
    <row r="11254" spans="1:1" x14ac:dyDescent="0.25">
      <c r="A11254" s="16"/>
    </row>
    <row r="11255" spans="1:1" x14ac:dyDescent="0.25">
      <c r="A11255" s="16"/>
    </row>
    <row r="11256" spans="1:1" x14ac:dyDescent="0.25">
      <c r="A11256" s="16"/>
    </row>
    <row r="11257" spans="1:1" x14ac:dyDescent="0.25">
      <c r="A11257" s="16"/>
    </row>
    <row r="11258" spans="1:1" x14ac:dyDescent="0.25">
      <c r="A11258" s="16"/>
    </row>
    <row r="11259" spans="1:1" x14ac:dyDescent="0.25">
      <c r="A11259" s="16"/>
    </row>
    <row r="11260" spans="1:1" x14ac:dyDescent="0.25">
      <c r="A11260" s="16"/>
    </row>
    <row r="11261" spans="1:1" x14ac:dyDescent="0.25">
      <c r="A11261" s="16"/>
    </row>
    <row r="11262" spans="1:1" x14ac:dyDescent="0.25">
      <c r="A11262" s="16"/>
    </row>
    <row r="11263" spans="1:1" x14ac:dyDescent="0.25">
      <c r="A11263" s="16"/>
    </row>
    <row r="11264" spans="1:1" x14ac:dyDescent="0.25">
      <c r="A11264" s="16"/>
    </row>
    <row r="11265" spans="1:1" x14ac:dyDescent="0.25">
      <c r="A11265" s="16"/>
    </row>
    <row r="11266" spans="1:1" x14ac:dyDescent="0.25">
      <c r="A11266" s="16"/>
    </row>
    <row r="11267" spans="1:1" x14ac:dyDescent="0.25">
      <c r="A11267" s="16"/>
    </row>
    <row r="11268" spans="1:1" x14ac:dyDescent="0.25">
      <c r="A11268" s="16"/>
    </row>
    <row r="11269" spans="1:1" x14ac:dyDescent="0.25">
      <c r="A11269" s="16"/>
    </row>
    <row r="11270" spans="1:1" x14ac:dyDescent="0.25">
      <c r="A11270" s="16"/>
    </row>
    <row r="11271" spans="1:1" x14ac:dyDescent="0.25">
      <c r="A11271" s="16"/>
    </row>
    <row r="11272" spans="1:1" x14ac:dyDescent="0.25">
      <c r="A11272" s="16"/>
    </row>
    <row r="11273" spans="1:1" x14ac:dyDescent="0.25">
      <c r="A11273" s="16"/>
    </row>
    <row r="11274" spans="1:1" x14ac:dyDescent="0.25">
      <c r="A11274" s="16"/>
    </row>
    <row r="11275" spans="1:1" x14ac:dyDescent="0.25">
      <c r="A11275" s="16"/>
    </row>
    <row r="11276" spans="1:1" x14ac:dyDescent="0.25">
      <c r="A11276" s="16"/>
    </row>
    <row r="11277" spans="1:1" x14ac:dyDescent="0.25">
      <c r="A11277" s="16"/>
    </row>
    <row r="11278" spans="1:1" x14ac:dyDescent="0.25">
      <c r="A11278" s="16"/>
    </row>
    <row r="11279" spans="1:1" x14ac:dyDescent="0.25">
      <c r="A11279" s="16"/>
    </row>
    <row r="11280" spans="1:1" x14ac:dyDescent="0.25">
      <c r="A11280" s="16"/>
    </row>
    <row r="11281" spans="1:1" x14ac:dyDescent="0.25">
      <c r="A11281" s="16"/>
    </row>
    <row r="11282" spans="1:1" x14ac:dyDescent="0.25">
      <c r="A11282" s="16"/>
    </row>
    <row r="11283" spans="1:1" x14ac:dyDescent="0.25">
      <c r="A11283" s="16"/>
    </row>
    <row r="11284" spans="1:1" x14ac:dyDescent="0.25">
      <c r="A11284" s="16"/>
    </row>
    <row r="11285" spans="1:1" x14ac:dyDescent="0.25">
      <c r="A11285" s="16"/>
    </row>
    <row r="11286" spans="1:1" x14ac:dyDescent="0.25">
      <c r="A11286" s="16"/>
    </row>
    <row r="11287" spans="1:1" x14ac:dyDescent="0.25">
      <c r="A11287" s="16"/>
    </row>
    <row r="11288" spans="1:1" x14ac:dyDescent="0.25">
      <c r="A11288" s="16"/>
    </row>
    <row r="11289" spans="1:1" x14ac:dyDescent="0.25">
      <c r="A11289" s="16"/>
    </row>
    <row r="11290" spans="1:1" x14ac:dyDescent="0.25">
      <c r="A11290" s="16"/>
    </row>
    <row r="11291" spans="1:1" x14ac:dyDescent="0.25">
      <c r="A11291" s="16"/>
    </row>
    <row r="11292" spans="1:1" x14ac:dyDescent="0.25">
      <c r="A11292" s="16"/>
    </row>
    <row r="11293" spans="1:1" x14ac:dyDescent="0.25">
      <c r="A11293" s="16"/>
    </row>
    <row r="11294" spans="1:1" x14ac:dyDescent="0.25">
      <c r="A11294" s="16"/>
    </row>
    <row r="11295" spans="1:1" x14ac:dyDescent="0.25">
      <c r="A11295" s="16"/>
    </row>
    <row r="11296" spans="1:1" x14ac:dyDescent="0.25">
      <c r="A11296" s="16"/>
    </row>
    <row r="11297" spans="1:1" x14ac:dyDescent="0.25">
      <c r="A11297" s="16"/>
    </row>
    <row r="11298" spans="1:1" x14ac:dyDescent="0.25">
      <c r="A11298" s="16"/>
    </row>
    <row r="11299" spans="1:1" x14ac:dyDescent="0.25">
      <c r="A11299" s="16"/>
    </row>
    <row r="11300" spans="1:1" x14ac:dyDescent="0.25">
      <c r="A11300" s="16"/>
    </row>
    <row r="11301" spans="1:1" x14ac:dyDescent="0.25">
      <c r="A11301" s="16"/>
    </row>
    <row r="11302" spans="1:1" x14ac:dyDescent="0.25">
      <c r="A11302" s="16"/>
    </row>
    <row r="11303" spans="1:1" x14ac:dyDescent="0.25">
      <c r="A11303" s="16"/>
    </row>
    <row r="11304" spans="1:1" x14ac:dyDescent="0.25">
      <c r="A11304" s="16"/>
    </row>
    <row r="11305" spans="1:1" x14ac:dyDescent="0.25">
      <c r="A11305" s="16"/>
    </row>
    <row r="11306" spans="1:1" x14ac:dyDescent="0.25">
      <c r="A11306" s="16"/>
    </row>
    <row r="11307" spans="1:1" x14ac:dyDescent="0.25">
      <c r="A11307" s="16"/>
    </row>
    <row r="11308" spans="1:1" x14ac:dyDescent="0.25">
      <c r="A11308" s="16"/>
    </row>
    <row r="11309" spans="1:1" x14ac:dyDescent="0.25">
      <c r="A11309" s="16"/>
    </row>
    <row r="11310" spans="1:1" x14ac:dyDescent="0.25">
      <c r="A11310" s="16"/>
    </row>
    <row r="11311" spans="1:1" x14ac:dyDescent="0.25">
      <c r="A11311" s="16"/>
    </row>
    <row r="11312" spans="1:1" x14ac:dyDescent="0.25">
      <c r="A11312" s="16"/>
    </row>
    <row r="11313" spans="1:1" x14ac:dyDescent="0.25">
      <c r="A11313" s="16"/>
    </row>
    <row r="11314" spans="1:1" x14ac:dyDescent="0.25">
      <c r="A11314" s="16"/>
    </row>
    <row r="11315" spans="1:1" x14ac:dyDescent="0.25">
      <c r="A11315" s="16"/>
    </row>
    <row r="11316" spans="1:1" x14ac:dyDescent="0.25">
      <c r="A11316" s="16"/>
    </row>
    <row r="11317" spans="1:1" x14ac:dyDescent="0.25">
      <c r="A11317" s="16"/>
    </row>
    <row r="11318" spans="1:1" x14ac:dyDescent="0.25">
      <c r="A11318" s="16"/>
    </row>
    <row r="11319" spans="1:1" x14ac:dyDescent="0.25">
      <c r="A11319" s="16"/>
    </row>
    <row r="11320" spans="1:1" x14ac:dyDescent="0.25">
      <c r="A11320" s="16"/>
    </row>
    <row r="11321" spans="1:1" x14ac:dyDescent="0.25">
      <c r="A11321" s="16"/>
    </row>
    <row r="11322" spans="1:1" x14ac:dyDescent="0.25">
      <c r="A11322" s="16"/>
    </row>
    <row r="11323" spans="1:1" x14ac:dyDescent="0.25">
      <c r="A11323" s="16"/>
    </row>
    <row r="11324" spans="1:1" x14ac:dyDescent="0.25">
      <c r="A11324" s="16"/>
    </row>
    <row r="11325" spans="1:1" x14ac:dyDescent="0.25">
      <c r="A11325" s="16"/>
    </row>
    <row r="11326" spans="1:1" x14ac:dyDescent="0.25">
      <c r="A11326" s="16"/>
    </row>
    <row r="11327" spans="1:1" x14ac:dyDescent="0.25">
      <c r="A11327" s="16"/>
    </row>
    <row r="11328" spans="1:1" x14ac:dyDescent="0.25">
      <c r="A11328" s="16"/>
    </row>
    <row r="11329" spans="1:1" x14ac:dyDescent="0.25">
      <c r="A11329" s="16"/>
    </row>
    <row r="11330" spans="1:1" x14ac:dyDescent="0.25">
      <c r="A11330" s="16"/>
    </row>
    <row r="11331" spans="1:1" x14ac:dyDescent="0.25">
      <c r="A11331" s="16"/>
    </row>
    <row r="11332" spans="1:1" x14ac:dyDescent="0.25">
      <c r="A11332" s="16"/>
    </row>
    <row r="11333" spans="1:1" x14ac:dyDescent="0.25">
      <c r="A11333" s="16"/>
    </row>
    <row r="11334" spans="1:1" x14ac:dyDescent="0.25">
      <c r="A11334" s="16"/>
    </row>
    <row r="11335" spans="1:1" x14ac:dyDescent="0.25">
      <c r="A11335" s="16"/>
    </row>
    <row r="11336" spans="1:1" x14ac:dyDescent="0.25">
      <c r="A11336" s="16"/>
    </row>
    <row r="11337" spans="1:1" x14ac:dyDescent="0.25">
      <c r="A11337" s="16"/>
    </row>
    <row r="11338" spans="1:1" x14ac:dyDescent="0.25">
      <c r="A11338" s="16"/>
    </row>
    <row r="11339" spans="1:1" x14ac:dyDescent="0.25">
      <c r="A11339" s="16"/>
    </row>
    <row r="11340" spans="1:1" x14ac:dyDescent="0.25">
      <c r="A11340" s="16"/>
    </row>
    <row r="11341" spans="1:1" x14ac:dyDescent="0.25">
      <c r="A11341" s="16"/>
    </row>
    <row r="11342" spans="1:1" x14ac:dyDescent="0.25">
      <c r="A11342" s="16"/>
    </row>
    <row r="11343" spans="1:1" x14ac:dyDescent="0.25">
      <c r="A11343" s="16"/>
    </row>
    <row r="11344" spans="1:1" x14ac:dyDescent="0.25">
      <c r="A11344" s="16"/>
    </row>
    <row r="11345" spans="1:1" x14ac:dyDescent="0.25">
      <c r="A11345" s="16"/>
    </row>
    <row r="11346" spans="1:1" x14ac:dyDescent="0.25">
      <c r="A11346" s="16"/>
    </row>
    <row r="11347" spans="1:1" x14ac:dyDescent="0.25">
      <c r="A11347" s="16"/>
    </row>
    <row r="11348" spans="1:1" x14ac:dyDescent="0.25">
      <c r="A11348" s="16"/>
    </row>
    <row r="11349" spans="1:1" x14ac:dyDescent="0.25">
      <c r="A11349" s="16"/>
    </row>
    <row r="11350" spans="1:1" x14ac:dyDescent="0.25">
      <c r="A11350" s="16"/>
    </row>
    <row r="11351" spans="1:1" x14ac:dyDescent="0.25">
      <c r="A11351" s="16"/>
    </row>
    <row r="11352" spans="1:1" x14ac:dyDescent="0.25">
      <c r="A11352" s="16"/>
    </row>
    <row r="11353" spans="1:1" x14ac:dyDescent="0.25">
      <c r="A11353" s="16"/>
    </row>
    <row r="11354" spans="1:1" x14ac:dyDescent="0.25">
      <c r="A11354" s="16"/>
    </row>
    <row r="11355" spans="1:1" x14ac:dyDescent="0.25">
      <c r="A11355" s="16"/>
    </row>
    <row r="11356" spans="1:1" x14ac:dyDescent="0.25">
      <c r="A11356" s="16"/>
    </row>
    <row r="11357" spans="1:1" x14ac:dyDescent="0.25">
      <c r="A11357" s="16"/>
    </row>
    <row r="11358" spans="1:1" x14ac:dyDescent="0.25">
      <c r="A11358" s="16"/>
    </row>
    <row r="11359" spans="1:1" x14ac:dyDescent="0.25">
      <c r="A11359" s="16"/>
    </row>
    <row r="11360" spans="1:1" x14ac:dyDescent="0.25">
      <c r="A11360" s="16"/>
    </row>
    <row r="11361" spans="1:1" x14ac:dyDescent="0.25">
      <c r="A11361" s="16"/>
    </row>
    <row r="11362" spans="1:1" x14ac:dyDescent="0.25">
      <c r="A11362" s="16"/>
    </row>
    <row r="11363" spans="1:1" x14ac:dyDescent="0.25">
      <c r="A11363" s="16"/>
    </row>
    <row r="11364" spans="1:1" x14ac:dyDescent="0.25">
      <c r="A11364" s="16"/>
    </row>
    <row r="11365" spans="1:1" x14ac:dyDescent="0.25">
      <c r="A11365" s="16"/>
    </row>
    <row r="11366" spans="1:1" x14ac:dyDescent="0.25">
      <c r="A11366" s="16"/>
    </row>
    <row r="11367" spans="1:1" x14ac:dyDescent="0.25">
      <c r="A11367" s="16"/>
    </row>
    <row r="11368" spans="1:1" x14ac:dyDescent="0.25">
      <c r="A11368" s="16"/>
    </row>
    <row r="11369" spans="1:1" x14ac:dyDescent="0.25">
      <c r="A11369" s="16"/>
    </row>
    <row r="11370" spans="1:1" x14ac:dyDescent="0.25">
      <c r="A11370" s="16"/>
    </row>
    <row r="11371" spans="1:1" x14ac:dyDescent="0.25">
      <c r="A11371" s="16"/>
    </row>
    <row r="11372" spans="1:1" x14ac:dyDescent="0.25">
      <c r="A11372" s="16"/>
    </row>
    <row r="11373" spans="1:1" x14ac:dyDescent="0.25">
      <c r="A11373" s="16"/>
    </row>
    <row r="11374" spans="1:1" x14ac:dyDescent="0.25">
      <c r="A11374" s="16"/>
    </row>
    <row r="11375" spans="1:1" x14ac:dyDescent="0.25">
      <c r="A11375" s="16"/>
    </row>
    <row r="11376" spans="1:1" x14ac:dyDescent="0.25">
      <c r="A11376" s="16"/>
    </row>
    <row r="11377" spans="1:1" x14ac:dyDescent="0.25">
      <c r="A11377" s="16"/>
    </row>
    <row r="11378" spans="1:1" x14ac:dyDescent="0.25">
      <c r="A11378" s="16"/>
    </row>
    <row r="11379" spans="1:1" x14ac:dyDescent="0.25">
      <c r="A11379" s="16"/>
    </row>
    <row r="11380" spans="1:1" x14ac:dyDescent="0.25">
      <c r="A11380" s="16"/>
    </row>
    <row r="11381" spans="1:1" x14ac:dyDescent="0.25">
      <c r="A11381" s="16"/>
    </row>
    <row r="11382" spans="1:1" x14ac:dyDescent="0.25">
      <c r="A11382" s="16"/>
    </row>
    <row r="11383" spans="1:1" x14ac:dyDescent="0.25">
      <c r="A11383" s="16"/>
    </row>
    <row r="11384" spans="1:1" x14ac:dyDescent="0.25">
      <c r="A11384" s="16"/>
    </row>
    <row r="11385" spans="1:1" x14ac:dyDescent="0.25">
      <c r="A11385" s="16"/>
    </row>
    <row r="11386" spans="1:1" x14ac:dyDescent="0.25">
      <c r="A11386" s="16"/>
    </row>
    <row r="11387" spans="1:1" x14ac:dyDescent="0.25">
      <c r="A11387" s="16"/>
    </row>
    <row r="11388" spans="1:1" x14ac:dyDescent="0.25">
      <c r="A11388" s="16"/>
    </row>
    <row r="11389" spans="1:1" x14ac:dyDescent="0.25">
      <c r="A11389" s="16"/>
    </row>
    <row r="11390" spans="1:1" x14ac:dyDescent="0.25">
      <c r="A11390" s="16"/>
    </row>
    <row r="11391" spans="1:1" x14ac:dyDescent="0.25">
      <c r="A11391" s="16"/>
    </row>
    <row r="11392" spans="1:1" x14ac:dyDescent="0.25">
      <c r="A11392" s="16"/>
    </row>
    <row r="11393" spans="1:1" x14ac:dyDescent="0.25">
      <c r="A11393" s="16"/>
    </row>
    <row r="11394" spans="1:1" x14ac:dyDescent="0.25">
      <c r="A11394" s="16"/>
    </row>
    <row r="11395" spans="1:1" x14ac:dyDescent="0.25">
      <c r="A11395" s="16"/>
    </row>
    <row r="11396" spans="1:1" x14ac:dyDescent="0.25">
      <c r="A11396" s="16"/>
    </row>
    <row r="11397" spans="1:1" x14ac:dyDescent="0.25">
      <c r="A11397" s="16"/>
    </row>
    <row r="11398" spans="1:1" x14ac:dyDescent="0.25">
      <c r="A11398" s="16"/>
    </row>
    <row r="11399" spans="1:1" x14ac:dyDescent="0.25">
      <c r="A11399" s="16"/>
    </row>
    <row r="11400" spans="1:1" x14ac:dyDescent="0.25">
      <c r="A11400" s="16"/>
    </row>
    <row r="11401" spans="1:1" x14ac:dyDescent="0.25">
      <c r="A11401" s="16"/>
    </row>
    <row r="11402" spans="1:1" x14ac:dyDescent="0.25">
      <c r="A11402" s="16"/>
    </row>
    <row r="11403" spans="1:1" x14ac:dyDescent="0.25">
      <c r="A11403" s="16"/>
    </row>
    <row r="11404" spans="1:1" x14ac:dyDescent="0.25">
      <c r="A11404" s="16"/>
    </row>
    <row r="11405" spans="1:1" x14ac:dyDescent="0.25">
      <c r="A11405" s="16"/>
    </row>
    <row r="11406" spans="1:1" x14ac:dyDescent="0.25">
      <c r="A11406" s="16"/>
    </row>
    <row r="11407" spans="1:1" x14ac:dyDescent="0.25">
      <c r="A11407" s="16"/>
    </row>
    <row r="11408" spans="1:1" x14ac:dyDescent="0.25">
      <c r="A11408" s="16"/>
    </row>
    <row r="11409" spans="1:1" x14ac:dyDescent="0.25">
      <c r="A11409" s="16"/>
    </row>
    <row r="11410" spans="1:1" x14ac:dyDescent="0.25">
      <c r="A11410" s="16"/>
    </row>
    <row r="11411" spans="1:1" x14ac:dyDescent="0.25">
      <c r="A11411" s="16"/>
    </row>
    <row r="11412" spans="1:1" x14ac:dyDescent="0.25">
      <c r="A11412" s="16"/>
    </row>
    <row r="11413" spans="1:1" x14ac:dyDescent="0.25">
      <c r="A11413" s="16"/>
    </row>
    <row r="11414" spans="1:1" x14ac:dyDescent="0.25">
      <c r="A11414" s="16"/>
    </row>
    <row r="11415" spans="1:1" x14ac:dyDescent="0.25">
      <c r="A11415" s="16"/>
    </row>
    <row r="11416" spans="1:1" x14ac:dyDescent="0.25">
      <c r="A11416" s="16"/>
    </row>
    <row r="11417" spans="1:1" x14ac:dyDescent="0.25">
      <c r="A11417" s="16"/>
    </row>
    <row r="11418" spans="1:1" x14ac:dyDescent="0.25">
      <c r="A11418" s="16"/>
    </row>
    <row r="11419" spans="1:1" x14ac:dyDescent="0.25">
      <c r="A11419" s="16"/>
    </row>
    <row r="11420" spans="1:1" x14ac:dyDescent="0.25">
      <c r="A11420" s="16"/>
    </row>
    <row r="11421" spans="1:1" x14ac:dyDescent="0.25">
      <c r="A11421" s="16"/>
    </row>
    <row r="11422" spans="1:1" x14ac:dyDescent="0.25">
      <c r="A11422" s="16"/>
    </row>
    <row r="11423" spans="1:1" x14ac:dyDescent="0.25">
      <c r="A11423" s="16"/>
    </row>
    <row r="11424" spans="1:1" x14ac:dyDescent="0.25">
      <c r="A11424" s="16"/>
    </row>
    <row r="11425" spans="1:1" x14ac:dyDescent="0.25">
      <c r="A11425" s="16"/>
    </row>
    <row r="11426" spans="1:1" x14ac:dyDescent="0.25">
      <c r="A11426" s="16"/>
    </row>
    <row r="11427" spans="1:1" x14ac:dyDescent="0.25">
      <c r="A11427" s="16"/>
    </row>
    <row r="11428" spans="1:1" x14ac:dyDescent="0.25">
      <c r="A11428" s="16"/>
    </row>
    <row r="11429" spans="1:1" x14ac:dyDescent="0.25">
      <c r="A11429" s="16"/>
    </row>
    <row r="11430" spans="1:1" x14ac:dyDescent="0.25">
      <c r="A11430" s="16"/>
    </row>
    <row r="11431" spans="1:1" x14ac:dyDescent="0.25">
      <c r="A11431" s="16"/>
    </row>
    <row r="11432" spans="1:1" x14ac:dyDescent="0.25">
      <c r="A11432" s="16"/>
    </row>
    <row r="11433" spans="1:1" x14ac:dyDescent="0.25">
      <c r="A11433" s="16"/>
    </row>
    <row r="11434" spans="1:1" x14ac:dyDescent="0.25">
      <c r="A11434" s="16"/>
    </row>
    <row r="11435" spans="1:1" x14ac:dyDescent="0.25">
      <c r="A11435" s="16"/>
    </row>
    <row r="11436" spans="1:1" x14ac:dyDescent="0.25">
      <c r="A11436" s="16"/>
    </row>
    <row r="11437" spans="1:1" x14ac:dyDescent="0.25">
      <c r="A11437" s="16"/>
    </row>
    <row r="11438" spans="1:1" x14ac:dyDescent="0.25">
      <c r="A11438" s="16"/>
    </row>
    <row r="11439" spans="1:1" x14ac:dyDescent="0.25">
      <c r="A11439" s="16"/>
    </row>
    <row r="11440" spans="1:1" x14ac:dyDescent="0.25">
      <c r="A11440" s="16"/>
    </row>
    <row r="11441" spans="1:1" x14ac:dyDescent="0.25">
      <c r="A11441" s="16"/>
    </row>
    <row r="11442" spans="1:1" x14ac:dyDescent="0.25">
      <c r="A11442" s="16"/>
    </row>
    <row r="11443" spans="1:1" x14ac:dyDescent="0.25">
      <c r="A11443" s="16"/>
    </row>
    <row r="11444" spans="1:1" x14ac:dyDescent="0.25">
      <c r="A11444" s="16"/>
    </row>
    <row r="11445" spans="1:1" x14ac:dyDescent="0.25">
      <c r="A11445" s="16"/>
    </row>
    <row r="11446" spans="1:1" x14ac:dyDescent="0.25">
      <c r="A11446" s="16"/>
    </row>
    <row r="11447" spans="1:1" x14ac:dyDescent="0.25">
      <c r="A11447" s="16"/>
    </row>
    <row r="11448" spans="1:1" x14ac:dyDescent="0.25">
      <c r="A11448" s="16"/>
    </row>
    <row r="11449" spans="1:1" x14ac:dyDescent="0.25">
      <c r="A11449" s="16"/>
    </row>
    <row r="11450" spans="1:1" x14ac:dyDescent="0.25">
      <c r="A11450" s="16"/>
    </row>
    <row r="11451" spans="1:1" x14ac:dyDescent="0.25">
      <c r="A11451" s="16"/>
    </row>
    <row r="11452" spans="1:1" x14ac:dyDescent="0.25">
      <c r="A11452" s="16"/>
    </row>
    <row r="11453" spans="1:1" x14ac:dyDescent="0.25">
      <c r="A11453" s="16"/>
    </row>
    <row r="11454" spans="1:1" x14ac:dyDescent="0.25">
      <c r="A11454" s="16"/>
    </row>
    <row r="11455" spans="1:1" x14ac:dyDescent="0.25">
      <c r="A11455" s="16"/>
    </row>
    <row r="11456" spans="1:1" x14ac:dyDescent="0.25">
      <c r="A11456" s="16"/>
    </row>
    <row r="11457" spans="1:1" x14ac:dyDescent="0.25">
      <c r="A11457" s="16"/>
    </row>
    <row r="11458" spans="1:1" x14ac:dyDescent="0.25">
      <c r="A11458" s="16"/>
    </row>
    <row r="11459" spans="1:1" x14ac:dyDescent="0.25">
      <c r="A11459" s="16"/>
    </row>
    <row r="11460" spans="1:1" x14ac:dyDescent="0.25">
      <c r="A11460" s="16"/>
    </row>
    <row r="11461" spans="1:1" x14ac:dyDescent="0.25">
      <c r="A11461" s="16"/>
    </row>
    <row r="11462" spans="1:1" x14ac:dyDescent="0.25">
      <c r="A11462" s="16"/>
    </row>
    <row r="11463" spans="1:1" x14ac:dyDescent="0.25">
      <c r="A11463" s="16"/>
    </row>
    <row r="11464" spans="1:1" x14ac:dyDescent="0.25">
      <c r="A11464" s="16"/>
    </row>
    <row r="11465" spans="1:1" x14ac:dyDescent="0.25">
      <c r="A11465" s="16"/>
    </row>
    <row r="11466" spans="1:1" x14ac:dyDescent="0.25">
      <c r="A11466" s="16"/>
    </row>
    <row r="11467" spans="1:1" x14ac:dyDescent="0.25">
      <c r="A11467" s="16"/>
    </row>
    <row r="11468" spans="1:1" x14ac:dyDescent="0.25">
      <c r="A11468" s="16"/>
    </row>
    <row r="11469" spans="1:1" x14ac:dyDescent="0.25">
      <c r="A11469" s="16"/>
    </row>
    <row r="11470" spans="1:1" x14ac:dyDescent="0.25">
      <c r="A11470" s="16"/>
    </row>
    <row r="11471" spans="1:1" x14ac:dyDescent="0.25">
      <c r="A11471" s="16"/>
    </row>
    <row r="11472" spans="1:1" x14ac:dyDescent="0.25">
      <c r="A11472" s="16"/>
    </row>
    <row r="11473" spans="1:1" x14ac:dyDescent="0.25">
      <c r="A11473" s="16"/>
    </row>
    <row r="11474" spans="1:1" x14ac:dyDescent="0.25">
      <c r="A11474" s="16"/>
    </row>
    <row r="11475" spans="1:1" x14ac:dyDescent="0.25">
      <c r="A11475" s="16"/>
    </row>
    <row r="11476" spans="1:1" x14ac:dyDescent="0.25">
      <c r="A11476" s="16"/>
    </row>
    <row r="11477" spans="1:1" x14ac:dyDescent="0.25">
      <c r="A11477" s="16"/>
    </row>
    <row r="11478" spans="1:1" x14ac:dyDescent="0.25">
      <c r="A11478" s="16"/>
    </row>
    <row r="11479" spans="1:1" x14ac:dyDescent="0.25">
      <c r="A11479" s="16"/>
    </row>
    <row r="11480" spans="1:1" x14ac:dyDescent="0.25">
      <c r="A11480" s="16"/>
    </row>
    <row r="11481" spans="1:1" x14ac:dyDescent="0.25">
      <c r="A11481" s="16"/>
    </row>
    <row r="11482" spans="1:1" x14ac:dyDescent="0.25">
      <c r="A11482" s="16"/>
    </row>
    <row r="11483" spans="1:1" x14ac:dyDescent="0.25">
      <c r="A11483" s="16"/>
    </row>
    <row r="11484" spans="1:1" x14ac:dyDescent="0.25">
      <c r="A11484" s="16"/>
    </row>
    <row r="11485" spans="1:1" x14ac:dyDescent="0.25">
      <c r="A11485" s="16"/>
    </row>
    <row r="11486" spans="1:1" x14ac:dyDescent="0.25">
      <c r="A11486" s="16"/>
    </row>
    <row r="11487" spans="1:1" x14ac:dyDescent="0.25">
      <c r="A11487" s="16"/>
    </row>
    <row r="11488" spans="1:1" x14ac:dyDescent="0.25">
      <c r="A11488" s="16"/>
    </row>
    <row r="11489" spans="1:1" x14ac:dyDescent="0.25">
      <c r="A11489" s="16"/>
    </row>
    <row r="11490" spans="1:1" x14ac:dyDescent="0.25">
      <c r="A11490" s="16"/>
    </row>
    <row r="11491" spans="1:1" x14ac:dyDescent="0.25">
      <c r="A11491" s="16"/>
    </row>
    <row r="11492" spans="1:1" x14ac:dyDescent="0.25">
      <c r="A11492" s="16"/>
    </row>
    <row r="11493" spans="1:1" x14ac:dyDescent="0.25">
      <c r="A11493" s="16"/>
    </row>
    <row r="11494" spans="1:1" x14ac:dyDescent="0.25">
      <c r="A11494" s="16"/>
    </row>
    <row r="11495" spans="1:1" x14ac:dyDescent="0.25">
      <c r="A11495" s="16"/>
    </row>
    <row r="11496" spans="1:1" x14ac:dyDescent="0.25">
      <c r="A11496" s="16"/>
    </row>
    <row r="11497" spans="1:1" x14ac:dyDescent="0.25">
      <c r="A11497" s="16"/>
    </row>
    <row r="11498" spans="1:1" x14ac:dyDescent="0.25">
      <c r="A11498" s="16"/>
    </row>
    <row r="11499" spans="1:1" x14ac:dyDescent="0.25">
      <c r="A11499" s="16"/>
    </row>
    <row r="11500" spans="1:1" x14ac:dyDescent="0.25">
      <c r="A11500" s="16"/>
    </row>
    <row r="11501" spans="1:1" x14ac:dyDescent="0.25">
      <c r="A11501" s="16"/>
    </row>
    <row r="11502" spans="1:1" x14ac:dyDescent="0.25">
      <c r="A11502" s="16"/>
    </row>
    <row r="11503" spans="1:1" x14ac:dyDescent="0.25">
      <c r="A11503" s="16"/>
    </row>
    <row r="11504" spans="1:1" x14ac:dyDescent="0.25">
      <c r="A11504" s="16"/>
    </row>
    <row r="11505" spans="1:1" x14ac:dyDescent="0.25">
      <c r="A11505" s="16"/>
    </row>
    <row r="11506" spans="1:1" x14ac:dyDescent="0.25">
      <c r="A11506" s="16"/>
    </row>
    <row r="11507" spans="1:1" x14ac:dyDescent="0.25">
      <c r="A11507" s="16"/>
    </row>
    <row r="11508" spans="1:1" x14ac:dyDescent="0.25">
      <c r="A11508" s="16"/>
    </row>
    <row r="11509" spans="1:1" x14ac:dyDescent="0.25">
      <c r="A11509" s="16"/>
    </row>
    <row r="11510" spans="1:1" x14ac:dyDescent="0.25">
      <c r="A11510" s="16"/>
    </row>
    <row r="11511" spans="1:1" x14ac:dyDescent="0.25">
      <c r="A11511" s="16"/>
    </row>
    <row r="11512" spans="1:1" x14ac:dyDescent="0.25">
      <c r="A11512" s="16"/>
    </row>
    <row r="11513" spans="1:1" x14ac:dyDescent="0.25">
      <c r="A11513" s="16"/>
    </row>
    <row r="11514" spans="1:1" x14ac:dyDescent="0.25">
      <c r="A11514" s="16"/>
    </row>
    <row r="11515" spans="1:1" x14ac:dyDescent="0.25">
      <c r="A11515" s="16"/>
    </row>
    <row r="11516" spans="1:1" x14ac:dyDescent="0.25">
      <c r="A11516" s="16"/>
    </row>
    <row r="11517" spans="1:1" x14ac:dyDescent="0.25">
      <c r="A11517" s="16"/>
    </row>
    <row r="11518" spans="1:1" x14ac:dyDescent="0.25">
      <c r="A11518" s="16"/>
    </row>
    <row r="11519" spans="1:1" x14ac:dyDescent="0.25">
      <c r="A11519" s="16"/>
    </row>
    <row r="11520" spans="1:1" x14ac:dyDescent="0.25">
      <c r="A11520" s="16"/>
    </row>
    <row r="11521" spans="1:1" x14ac:dyDescent="0.25">
      <c r="A11521" s="16"/>
    </row>
    <row r="11522" spans="1:1" x14ac:dyDescent="0.25">
      <c r="A11522" s="16"/>
    </row>
    <row r="11523" spans="1:1" x14ac:dyDescent="0.25">
      <c r="A11523" s="16"/>
    </row>
    <row r="11524" spans="1:1" x14ac:dyDescent="0.25">
      <c r="A11524" s="16"/>
    </row>
    <row r="11525" spans="1:1" x14ac:dyDescent="0.25">
      <c r="A11525" s="16"/>
    </row>
    <row r="11526" spans="1:1" x14ac:dyDescent="0.25">
      <c r="A11526" s="16"/>
    </row>
    <row r="11527" spans="1:1" x14ac:dyDescent="0.25">
      <c r="A11527" s="16"/>
    </row>
    <row r="11528" spans="1:1" x14ac:dyDescent="0.25">
      <c r="A11528" s="16"/>
    </row>
    <row r="11529" spans="1:1" x14ac:dyDescent="0.25">
      <c r="A11529" s="16"/>
    </row>
    <row r="11530" spans="1:1" x14ac:dyDescent="0.25">
      <c r="A11530" s="16"/>
    </row>
    <row r="11531" spans="1:1" x14ac:dyDescent="0.25">
      <c r="A11531" s="16"/>
    </row>
    <row r="11532" spans="1:1" x14ac:dyDescent="0.25">
      <c r="A11532" s="16"/>
    </row>
    <row r="11533" spans="1:1" x14ac:dyDescent="0.25">
      <c r="A11533" s="16"/>
    </row>
    <row r="11534" spans="1:1" x14ac:dyDescent="0.25">
      <c r="A11534" s="16"/>
    </row>
    <row r="11535" spans="1:1" x14ac:dyDescent="0.25">
      <c r="A11535" s="16"/>
    </row>
    <row r="11536" spans="1:1" x14ac:dyDescent="0.25">
      <c r="A11536" s="16"/>
    </row>
    <row r="11537" spans="1:1" x14ac:dyDescent="0.25">
      <c r="A11537" s="16"/>
    </row>
    <row r="11538" spans="1:1" x14ac:dyDescent="0.25">
      <c r="A11538" s="16"/>
    </row>
    <row r="11539" spans="1:1" x14ac:dyDescent="0.25">
      <c r="A11539" s="16"/>
    </row>
    <row r="11540" spans="1:1" x14ac:dyDescent="0.25">
      <c r="A11540" s="16"/>
    </row>
    <row r="11541" spans="1:1" x14ac:dyDescent="0.25">
      <c r="A11541" s="16"/>
    </row>
    <row r="11542" spans="1:1" x14ac:dyDescent="0.25">
      <c r="A11542" s="16"/>
    </row>
    <row r="11543" spans="1:1" x14ac:dyDescent="0.25">
      <c r="A11543" s="16"/>
    </row>
    <row r="11544" spans="1:1" x14ac:dyDescent="0.25">
      <c r="A11544" s="16"/>
    </row>
    <row r="11545" spans="1:1" x14ac:dyDescent="0.25">
      <c r="A11545" s="16"/>
    </row>
    <row r="11546" spans="1:1" x14ac:dyDescent="0.25">
      <c r="A11546" s="16"/>
    </row>
    <row r="11547" spans="1:1" x14ac:dyDescent="0.25">
      <c r="A11547" s="16"/>
    </row>
    <row r="11548" spans="1:1" x14ac:dyDescent="0.25">
      <c r="A11548" s="16"/>
    </row>
    <row r="11549" spans="1:1" x14ac:dyDescent="0.25">
      <c r="A11549" s="16"/>
    </row>
    <row r="11550" spans="1:1" x14ac:dyDescent="0.25">
      <c r="A11550" s="16"/>
    </row>
    <row r="11551" spans="1:1" x14ac:dyDescent="0.25">
      <c r="A11551" s="16"/>
    </row>
    <row r="11552" spans="1:1" x14ac:dyDescent="0.25">
      <c r="A11552" s="16"/>
    </row>
    <row r="11553" spans="1:1" x14ac:dyDescent="0.25">
      <c r="A11553" s="16"/>
    </row>
    <row r="11554" spans="1:1" x14ac:dyDescent="0.25">
      <c r="A11554" s="16"/>
    </row>
    <row r="11555" spans="1:1" x14ac:dyDescent="0.25">
      <c r="A11555" s="16"/>
    </row>
    <row r="11556" spans="1:1" x14ac:dyDescent="0.25">
      <c r="A11556" s="16"/>
    </row>
    <row r="11557" spans="1:1" x14ac:dyDescent="0.25">
      <c r="A11557" s="16"/>
    </row>
    <row r="11558" spans="1:1" x14ac:dyDescent="0.25">
      <c r="A11558" s="16"/>
    </row>
    <row r="11559" spans="1:1" x14ac:dyDescent="0.25">
      <c r="A11559" s="16"/>
    </row>
    <row r="11560" spans="1:1" x14ac:dyDescent="0.25">
      <c r="A11560" s="16"/>
    </row>
    <row r="11561" spans="1:1" x14ac:dyDescent="0.25">
      <c r="A11561" s="16"/>
    </row>
    <row r="11562" spans="1:1" x14ac:dyDescent="0.25">
      <c r="A11562" s="16"/>
    </row>
    <row r="11563" spans="1:1" x14ac:dyDescent="0.25">
      <c r="A11563" s="16"/>
    </row>
    <row r="11564" spans="1:1" x14ac:dyDescent="0.25">
      <c r="A11564" s="16"/>
    </row>
    <row r="11565" spans="1:1" x14ac:dyDescent="0.25">
      <c r="A11565" s="16"/>
    </row>
    <row r="11566" spans="1:1" x14ac:dyDescent="0.25">
      <c r="A11566" s="16"/>
    </row>
    <row r="11567" spans="1:1" x14ac:dyDescent="0.25">
      <c r="A11567" s="16"/>
    </row>
    <row r="11568" spans="1:1" x14ac:dyDescent="0.25">
      <c r="A11568" s="16"/>
    </row>
    <row r="11569" spans="1:1" x14ac:dyDescent="0.25">
      <c r="A11569" s="16"/>
    </row>
    <row r="11570" spans="1:1" x14ac:dyDescent="0.25">
      <c r="A11570" s="16"/>
    </row>
    <row r="11571" spans="1:1" x14ac:dyDescent="0.25">
      <c r="A11571" s="16"/>
    </row>
    <row r="11572" spans="1:1" x14ac:dyDescent="0.25">
      <c r="A11572" s="16"/>
    </row>
    <row r="11573" spans="1:1" x14ac:dyDescent="0.25">
      <c r="A11573" s="16"/>
    </row>
    <row r="11574" spans="1:1" x14ac:dyDescent="0.25">
      <c r="A11574" s="16"/>
    </row>
    <row r="11575" spans="1:1" x14ac:dyDescent="0.25">
      <c r="A11575" s="16"/>
    </row>
    <row r="11576" spans="1:1" x14ac:dyDescent="0.25">
      <c r="A11576" s="16"/>
    </row>
    <row r="11577" spans="1:1" x14ac:dyDescent="0.25">
      <c r="A11577" s="16"/>
    </row>
    <row r="11578" spans="1:1" x14ac:dyDescent="0.25">
      <c r="A11578" s="16"/>
    </row>
    <row r="11579" spans="1:1" x14ac:dyDescent="0.25">
      <c r="A11579" s="16"/>
    </row>
    <row r="11580" spans="1:1" x14ac:dyDescent="0.25">
      <c r="A11580" s="16"/>
    </row>
    <row r="11581" spans="1:1" x14ac:dyDescent="0.25">
      <c r="A11581" s="16"/>
    </row>
    <row r="11582" spans="1:1" x14ac:dyDescent="0.25">
      <c r="A11582" s="16"/>
    </row>
    <row r="11583" spans="1:1" x14ac:dyDescent="0.25">
      <c r="A11583" s="16"/>
    </row>
    <row r="11584" spans="1:1" x14ac:dyDescent="0.25">
      <c r="A11584" s="16"/>
    </row>
    <row r="11585" spans="1:1" x14ac:dyDescent="0.25">
      <c r="A11585" s="16"/>
    </row>
    <row r="11586" spans="1:1" x14ac:dyDescent="0.25">
      <c r="A11586" s="16"/>
    </row>
    <row r="11587" spans="1:1" x14ac:dyDescent="0.25">
      <c r="A11587" s="16"/>
    </row>
    <row r="11588" spans="1:1" x14ac:dyDescent="0.25">
      <c r="A11588" s="16"/>
    </row>
    <row r="11589" spans="1:1" x14ac:dyDescent="0.25">
      <c r="A11589" s="16"/>
    </row>
    <row r="11590" spans="1:1" x14ac:dyDescent="0.25">
      <c r="A11590" s="16"/>
    </row>
    <row r="11591" spans="1:1" x14ac:dyDescent="0.25">
      <c r="A11591" s="16"/>
    </row>
    <row r="11592" spans="1:1" x14ac:dyDescent="0.25">
      <c r="A11592" s="16"/>
    </row>
    <row r="11593" spans="1:1" x14ac:dyDescent="0.25">
      <c r="A11593" s="16"/>
    </row>
    <row r="11594" spans="1:1" x14ac:dyDescent="0.25">
      <c r="A11594" s="16"/>
    </row>
    <row r="11595" spans="1:1" x14ac:dyDescent="0.25">
      <c r="A11595" s="16"/>
    </row>
    <row r="11596" spans="1:1" x14ac:dyDescent="0.25">
      <c r="A11596" s="16"/>
    </row>
    <row r="11597" spans="1:1" x14ac:dyDescent="0.25">
      <c r="A11597" s="16"/>
    </row>
    <row r="11598" spans="1:1" x14ac:dyDescent="0.25">
      <c r="A11598" s="16"/>
    </row>
    <row r="11599" spans="1:1" x14ac:dyDescent="0.25">
      <c r="A11599" s="16"/>
    </row>
    <row r="11600" spans="1:1" x14ac:dyDescent="0.25">
      <c r="A11600" s="16"/>
    </row>
    <row r="11601" spans="1:1" x14ac:dyDescent="0.25">
      <c r="A11601" s="16"/>
    </row>
    <row r="11602" spans="1:1" x14ac:dyDescent="0.25">
      <c r="A11602" s="16"/>
    </row>
    <row r="11603" spans="1:1" x14ac:dyDescent="0.25">
      <c r="A11603" s="16"/>
    </row>
    <row r="11604" spans="1:1" x14ac:dyDescent="0.25">
      <c r="A11604" s="16"/>
    </row>
    <row r="11605" spans="1:1" x14ac:dyDescent="0.25">
      <c r="A11605" s="16"/>
    </row>
    <row r="11606" spans="1:1" x14ac:dyDescent="0.25">
      <c r="A11606" s="16"/>
    </row>
    <row r="11607" spans="1:1" x14ac:dyDescent="0.25">
      <c r="A11607" s="16"/>
    </row>
    <row r="11608" spans="1:1" x14ac:dyDescent="0.25">
      <c r="A11608" s="16"/>
    </row>
    <row r="11609" spans="1:1" x14ac:dyDescent="0.25">
      <c r="A11609" s="16"/>
    </row>
    <row r="11610" spans="1:1" x14ac:dyDescent="0.25">
      <c r="A11610" s="16"/>
    </row>
    <row r="11611" spans="1:1" x14ac:dyDescent="0.25">
      <c r="A11611" s="16"/>
    </row>
    <row r="11612" spans="1:1" x14ac:dyDescent="0.25">
      <c r="A11612" s="16"/>
    </row>
    <row r="11613" spans="1:1" x14ac:dyDescent="0.25">
      <c r="A11613" s="16"/>
    </row>
    <row r="11614" spans="1:1" x14ac:dyDescent="0.25">
      <c r="A11614" s="16"/>
    </row>
    <row r="11615" spans="1:1" x14ac:dyDescent="0.25">
      <c r="A11615" s="16"/>
    </row>
    <row r="11616" spans="1:1" x14ac:dyDescent="0.25">
      <c r="A11616" s="16"/>
    </row>
    <row r="11617" spans="1:1" x14ac:dyDescent="0.25">
      <c r="A11617" s="16"/>
    </row>
    <row r="11618" spans="1:1" x14ac:dyDescent="0.25">
      <c r="A11618" s="16"/>
    </row>
    <row r="11619" spans="1:1" x14ac:dyDescent="0.25">
      <c r="A11619" s="16"/>
    </row>
    <row r="11620" spans="1:1" x14ac:dyDescent="0.25">
      <c r="A11620" s="16"/>
    </row>
    <row r="11621" spans="1:1" x14ac:dyDescent="0.25">
      <c r="A11621" s="16"/>
    </row>
    <row r="11622" spans="1:1" x14ac:dyDescent="0.25">
      <c r="A11622" s="16"/>
    </row>
    <row r="11623" spans="1:1" x14ac:dyDescent="0.25">
      <c r="A11623" s="16"/>
    </row>
    <row r="11624" spans="1:1" x14ac:dyDescent="0.25">
      <c r="A11624" s="16"/>
    </row>
    <row r="11625" spans="1:1" x14ac:dyDescent="0.25">
      <c r="A11625" s="16"/>
    </row>
    <row r="11626" spans="1:1" x14ac:dyDescent="0.25">
      <c r="A11626" s="16"/>
    </row>
    <row r="11627" spans="1:1" x14ac:dyDescent="0.25">
      <c r="A11627" s="16"/>
    </row>
    <row r="11628" spans="1:1" x14ac:dyDescent="0.25">
      <c r="A11628" s="16"/>
    </row>
    <row r="11629" spans="1:1" x14ac:dyDescent="0.25">
      <c r="A11629" s="16"/>
    </row>
    <row r="11630" spans="1:1" x14ac:dyDescent="0.25">
      <c r="A11630" s="16"/>
    </row>
    <row r="11631" spans="1:1" x14ac:dyDescent="0.25">
      <c r="A11631" s="16"/>
    </row>
    <row r="11632" spans="1:1" x14ac:dyDescent="0.25">
      <c r="A11632" s="16"/>
    </row>
    <row r="11633" spans="1:1" x14ac:dyDescent="0.25">
      <c r="A11633" s="16"/>
    </row>
    <row r="11634" spans="1:1" x14ac:dyDescent="0.25">
      <c r="A11634" s="16"/>
    </row>
    <row r="11635" spans="1:1" x14ac:dyDescent="0.25">
      <c r="A11635" s="16"/>
    </row>
    <row r="11636" spans="1:1" x14ac:dyDescent="0.25">
      <c r="A11636" s="16"/>
    </row>
    <row r="11637" spans="1:1" x14ac:dyDescent="0.25">
      <c r="A11637" s="16"/>
    </row>
    <row r="11638" spans="1:1" x14ac:dyDescent="0.25">
      <c r="A11638" s="16"/>
    </row>
    <row r="11639" spans="1:1" x14ac:dyDescent="0.25">
      <c r="A11639" s="16"/>
    </row>
    <row r="11640" spans="1:1" x14ac:dyDescent="0.25">
      <c r="A11640" s="16"/>
    </row>
    <row r="11641" spans="1:1" x14ac:dyDescent="0.25">
      <c r="A11641" s="16"/>
    </row>
    <row r="11642" spans="1:1" x14ac:dyDescent="0.25">
      <c r="A11642" s="16"/>
    </row>
    <row r="11643" spans="1:1" x14ac:dyDescent="0.25">
      <c r="A11643" s="16"/>
    </row>
    <row r="11644" spans="1:1" x14ac:dyDescent="0.25">
      <c r="A11644" s="16"/>
    </row>
    <row r="11645" spans="1:1" x14ac:dyDescent="0.25">
      <c r="A11645" s="16"/>
    </row>
    <row r="11646" spans="1:1" x14ac:dyDescent="0.25">
      <c r="A11646" s="16"/>
    </row>
    <row r="11647" spans="1:1" x14ac:dyDescent="0.25">
      <c r="A11647" s="16"/>
    </row>
    <row r="11648" spans="1:1" x14ac:dyDescent="0.25">
      <c r="A11648" s="16"/>
    </row>
    <row r="11649" spans="1:1" x14ac:dyDescent="0.25">
      <c r="A11649" s="16"/>
    </row>
    <row r="11650" spans="1:1" x14ac:dyDescent="0.25">
      <c r="A11650" s="16"/>
    </row>
    <row r="11651" spans="1:1" x14ac:dyDescent="0.25">
      <c r="A11651" s="16"/>
    </row>
    <row r="11652" spans="1:1" x14ac:dyDescent="0.25">
      <c r="A11652" s="16"/>
    </row>
    <row r="11653" spans="1:1" x14ac:dyDescent="0.25">
      <c r="A11653" s="16"/>
    </row>
    <row r="11654" spans="1:1" x14ac:dyDescent="0.25">
      <c r="A11654" s="16"/>
    </row>
    <row r="11655" spans="1:1" x14ac:dyDescent="0.25">
      <c r="A11655" s="16"/>
    </row>
    <row r="11656" spans="1:1" x14ac:dyDescent="0.25">
      <c r="A11656" s="16"/>
    </row>
    <row r="11657" spans="1:1" x14ac:dyDescent="0.25">
      <c r="A11657" s="16"/>
    </row>
    <row r="11658" spans="1:1" x14ac:dyDescent="0.25">
      <c r="A11658" s="16"/>
    </row>
    <row r="11659" spans="1:1" x14ac:dyDescent="0.25">
      <c r="A11659" s="16"/>
    </row>
    <row r="11660" spans="1:1" x14ac:dyDescent="0.25">
      <c r="A11660" s="16"/>
    </row>
    <row r="11661" spans="1:1" x14ac:dyDescent="0.25">
      <c r="A11661" s="16"/>
    </row>
    <row r="11662" spans="1:1" x14ac:dyDescent="0.25">
      <c r="A11662" s="16"/>
    </row>
    <row r="11663" spans="1:1" x14ac:dyDescent="0.25">
      <c r="A11663" s="16"/>
    </row>
    <row r="11664" spans="1:1" x14ac:dyDescent="0.25">
      <c r="A11664" s="16"/>
    </row>
    <row r="11665" spans="1:1" x14ac:dyDescent="0.25">
      <c r="A11665" s="16"/>
    </row>
    <row r="11666" spans="1:1" x14ac:dyDescent="0.25">
      <c r="A11666" s="16"/>
    </row>
    <row r="11667" spans="1:1" x14ac:dyDescent="0.25">
      <c r="A11667" s="16"/>
    </row>
    <row r="11668" spans="1:1" x14ac:dyDescent="0.25">
      <c r="A11668" s="16"/>
    </row>
    <row r="11669" spans="1:1" x14ac:dyDescent="0.25">
      <c r="A11669" s="16"/>
    </row>
    <row r="11670" spans="1:1" x14ac:dyDescent="0.25">
      <c r="A11670" s="16"/>
    </row>
    <row r="11671" spans="1:1" x14ac:dyDescent="0.25">
      <c r="A11671" s="16"/>
    </row>
    <row r="11672" spans="1:1" x14ac:dyDescent="0.25">
      <c r="A11672" s="16"/>
    </row>
    <row r="11673" spans="1:1" x14ac:dyDescent="0.25">
      <c r="A11673" s="16"/>
    </row>
    <row r="11674" spans="1:1" x14ac:dyDescent="0.25">
      <c r="A11674" s="16"/>
    </row>
    <row r="11675" spans="1:1" x14ac:dyDescent="0.25">
      <c r="A11675" s="16"/>
    </row>
    <row r="11676" spans="1:1" x14ac:dyDescent="0.25">
      <c r="A11676" s="16"/>
    </row>
    <row r="11677" spans="1:1" x14ac:dyDescent="0.25">
      <c r="A11677" s="16"/>
    </row>
    <row r="11678" spans="1:1" x14ac:dyDescent="0.25">
      <c r="A11678" s="16"/>
    </row>
    <row r="11679" spans="1:1" x14ac:dyDescent="0.25">
      <c r="A11679" s="16"/>
    </row>
    <row r="11680" spans="1:1" x14ac:dyDescent="0.25">
      <c r="A11680" s="16"/>
    </row>
    <row r="11681" spans="1:1" x14ac:dyDescent="0.25">
      <c r="A11681" s="16"/>
    </row>
    <row r="11682" spans="1:1" x14ac:dyDescent="0.25">
      <c r="A11682" s="16"/>
    </row>
    <row r="11683" spans="1:1" x14ac:dyDescent="0.25">
      <c r="A11683" s="16"/>
    </row>
    <row r="11684" spans="1:1" x14ac:dyDescent="0.25">
      <c r="A11684" s="16"/>
    </row>
    <row r="11685" spans="1:1" x14ac:dyDescent="0.25">
      <c r="A11685" s="16"/>
    </row>
    <row r="11686" spans="1:1" x14ac:dyDescent="0.25">
      <c r="A11686" s="16"/>
    </row>
    <row r="11687" spans="1:1" x14ac:dyDescent="0.25">
      <c r="A11687" s="16"/>
    </row>
    <row r="11688" spans="1:1" x14ac:dyDescent="0.25">
      <c r="A11688" s="16"/>
    </row>
    <row r="11689" spans="1:1" x14ac:dyDescent="0.25">
      <c r="A11689" s="16"/>
    </row>
    <row r="11690" spans="1:1" x14ac:dyDescent="0.25">
      <c r="A11690" s="16"/>
    </row>
    <row r="11691" spans="1:1" x14ac:dyDescent="0.25">
      <c r="A11691" s="16"/>
    </row>
    <row r="11692" spans="1:1" x14ac:dyDescent="0.25">
      <c r="A11692" s="16"/>
    </row>
    <row r="11693" spans="1:1" x14ac:dyDescent="0.25">
      <c r="A11693" s="16"/>
    </row>
    <row r="11694" spans="1:1" x14ac:dyDescent="0.25">
      <c r="A11694" s="16"/>
    </row>
    <row r="11695" spans="1:1" x14ac:dyDescent="0.25">
      <c r="A11695" s="16"/>
    </row>
    <row r="11696" spans="1:1" x14ac:dyDescent="0.25">
      <c r="A11696" s="16"/>
    </row>
    <row r="11697" spans="1:1" x14ac:dyDescent="0.25">
      <c r="A11697" s="16"/>
    </row>
    <row r="11698" spans="1:1" x14ac:dyDescent="0.25">
      <c r="A11698" s="16"/>
    </row>
    <row r="11699" spans="1:1" x14ac:dyDescent="0.25">
      <c r="A11699" s="16"/>
    </row>
    <row r="11700" spans="1:1" x14ac:dyDescent="0.25">
      <c r="A11700" s="16"/>
    </row>
    <row r="11701" spans="1:1" x14ac:dyDescent="0.25">
      <c r="A11701" s="16"/>
    </row>
    <row r="11702" spans="1:1" x14ac:dyDescent="0.25">
      <c r="A11702" s="16"/>
    </row>
    <row r="11703" spans="1:1" x14ac:dyDescent="0.25">
      <c r="A11703" s="16"/>
    </row>
    <row r="11704" spans="1:1" x14ac:dyDescent="0.25">
      <c r="A11704" s="16"/>
    </row>
    <row r="11705" spans="1:1" x14ac:dyDescent="0.25">
      <c r="A11705" s="16"/>
    </row>
    <row r="11706" spans="1:1" x14ac:dyDescent="0.25">
      <c r="A11706" s="16"/>
    </row>
    <row r="11707" spans="1:1" x14ac:dyDescent="0.25">
      <c r="A11707" s="16"/>
    </row>
    <row r="11708" spans="1:1" x14ac:dyDescent="0.25">
      <c r="A11708" s="16"/>
    </row>
    <row r="11709" spans="1:1" x14ac:dyDescent="0.25">
      <c r="A11709" s="16"/>
    </row>
    <row r="11710" spans="1:1" x14ac:dyDescent="0.25">
      <c r="A11710" s="16"/>
    </row>
    <row r="11711" spans="1:1" x14ac:dyDescent="0.25">
      <c r="A11711" s="16"/>
    </row>
    <row r="11712" spans="1:1" x14ac:dyDescent="0.25">
      <c r="A11712" s="16"/>
    </row>
    <row r="11713" spans="1:1" x14ac:dyDescent="0.25">
      <c r="A11713" s="16"/>
    </row>
    <row r="11714" spans="1:1" x14ac:dyDescent="0.25">
      <c r="A11714" s="16"/>
    </row>
    <row r="11715" spans="1:1" x14ac:dyDescent="0.25">
      <c r="A11715" s="16"/>
    </row>
    <row r="11716" spans="1:1" x14ac:dyDescent="0.25">
      <c r="A11716" s="16"/>
    </row>
    <row r="11717" spans="1:1" x14ac:dyDescent="0.25">
      <c r="A11717" s="16"/>
    </row>
    <row r="11718" spans="1:1" x14ac:dyDescent="0.25">
      <c r="A11718" s="16"/>
    </row>
    <row r="11719" spans="1:1" x14ac:dyDescent="0.25">
      <c r="A11719" s="16"/>
    </row>
    <row r="11720" spans="1:1" x14ac:dyDescent="0.25">
      <c r="A11720" s="16"/>
    </row>
    <row r="11721" spans="1:1" x14ac:dyDescent="0.25">
      <c r="A11721" s="16"/>
    </row>
    <row r="11722" spans="1:1" x14ac:dyDescent="0.25">
      <c r="A11722" s="16"/>
    </row>
    <row r="11723" spans="1:1" x14ac:dyDescent="0.25">
      <c r="A11723" s="16"/>
    </row>
    <row r="11724" spans="1:1" x14ac:dyDescent="0.25">
      <c r="A11724" s="16"/>
    </row>
    <row r="11725" spans="1:1" x14ac:dyDescent="0.25">
      <c r="A11725" s="16"/>
    </row>
    <row r="11726" spans="1:1" x14ac:dyDescent="0.25">
      <c r="A11726" s="16"/>
    </row>
    <row r="11727" spans="1:1" x14ac:dyDescent="0.25">
      <c r="A11727" s="16"/>
    </row>
    <row r="11728" spans="1:1" x14ac:dyDescent="0.25">
      <c r="A11728" s="16"/>
    </row>
    <row r="11729" spans="1:1" x14ac:dyDescent="0.25">
      <c r="A11729" s="16"/>
    </row>
    <row r="11730" spans="1:1" x14ac:dyDescent="0.25">
      <c r="A11730" s="16"/>
    </row>
    <row r="11731" spans="1:1" x14ac:dyDescent="0.25">
      <c r="A11731" s="16"/>
    </row>
    <row r="11732" spans="1:1" x14ac:dyDescent="0.25">
      <c r="A11732" s="16"/>
    </row>
    <row r="11733" spans="1:1" x14ac:dyDescent="0.25">
      <c r="A11733" s="16"/>
    </row>
    <row r="11734" spans="1:1" x14ac:dyDescent="0.25">
      <c r="A11734" s="16"/>
    </row>
    <row r="11735" spans="1:1" x14ac:dyDescent="0.25">
      <c r="A11735" s="16"/>
    </row>
    <row r="11736" spans="1:1" x14ac:dyDescent="0.25">
      <c r="A11736" s="16"/>
    </row>
    <row r="11737" spans="1:1" x14ac:dyDescent="0.25">
      <c r="A11737" s="16"/>
    </row>
    <row r="11738" spans="1:1" x14ac:dyDescent="0.25">
      <c r="A11738" s="16"/>
    </row>
    <row r="11739" spans="1:1" x14ac:dyDescent="0.25">
      <c r="A11739" s="16"/>
    </row>
    <row r="11740" spans="1:1" x14ac:dyDescent="0.25">
      <c r="A11740" s="16"/>
    </row>
    <row r="11741" spans="1:1" x14ac:dyDescent="0.25">
      <c r="A11741" s="16"/>
    </row>
    <row r="11742" spans="1:1" x14ac:dyDescent="0.25">
      <c r="A11742" s="16"/>
    </row>
    <row r="11743" spans="1:1" x14ac:dyDescent="0.25">
      <c r="A11743" s="16"/>
    </row>
    <row r="11744" spans="1:1" x14ac:dyDescent="0.25">
      <c r="A11744" s="16"/>
    </row>
    <row r="11745" spans="1:1" x14ac:dyDescent="0.25">
      <c r="A11745" s="16"/>
    </row>
    <row r="11746" spans="1:1" x14ac:dyDescent="0.25">
      <c r="A11746" s="16"/>
    </row>
    <row r="11747" spans="1:1" x14ac:dyDescent="0.25">
      <c r="A11747" s="16"/>
    </row>
    <row r="11748" spans="1:1" x14ac:dyDescent="0.25">
      <c r="A11748" s="16"/>
    </row>
    <row r="11749" spans="1:1" x14ac:dyDescent="0.25">
      <c r="A11749" s="16"/>
    </row>
    <row r="11750" spans="1:1" x14ac:dyDescent="0.25">
      <c r="A11750" s="16"/>
    </row>
    <row r="11751" spans="1:1" x14ac:dyDescent="0.25">
      <c r="A11751" s="16"/>
    </row>
    <row r="11752" spans="1:1" x14ac:dyDescent="0.25">
      <c r="A11752" s="16"/>
    </row>
    <row r="11753" spans="1:1" x14ac:dyDescent="0.25">
      <c r="A11753" s="16"/>
    </row>
    <row r="11754" spans="1:1" x14ac:dyDescent="0.25">
      <c r="A11754" s="16"/>
    </row>
    <row r="11755" spans="1:1" x14ac:dyDescent="0.25">
      <c r="A11755" s="16"/>
    </row>
    <row r="11756" spans="1:1" x14ac:dyDescent="0.25">
      <c r="A11756" s="16"/>
    </row>
    <row r="11757" spans="1:1" x14ac:dyDescent="0.25">
      <c r="A11757" s="16"/>
    </row>
    <row r="11758" spans="1:1" x14ac:dyDescent="0.25">
      <c r="A11758" s="16"/>
    </row>
    <row r="11759" spans="1:1" x14ac:dyDescent="0.25">
      <c r="A11759" s="16"/>
    </row>
    <row r="11760" spans="1:1" x14ac:dyDescent="0.25">
      <c r="A11760" s="16"/>
    </row>
    <row r="11761" spans="1:1" x14ac:dyDescent="0.25">
      <c r="A11761" s="16"/>
    </row>
    <row r="11762" spans="1:1" x14ac:dyDescent="0.25">
      <c r="A11762" s="16"/>
    </row>
    <row r="11763" spans="1:1" x14ac:dyDescent="0.25">
      <c r="A11763" s="16"/>
    </row>
    <row r="11764" spans="1:1" x14ac:dyDescent="0.25">
      <c r="A11764" s="16"/>
    </row>
    <row r="11765" spans="1:1" x14ac:dyDescent="0.25">
      <c r="A11765" s="16"/>
    </row>
    <row r="11766" spans="1:1" x14ac:dyDescent="0.25">
      <c r="A11766" s="16"/>
    </row>
    <row r="11767" spans="1:1" x14ac:dyDescent="0.25">
      <c r="A11767" s="16"/>
    </row>
    <row r="11768" spans="1:1" x14ac:dyDescent="0.25">
      <c r="A11768" s="16"/>
    </row>
    <row r="11769" spans="1:1" x14ac:dyDescent="0.25">
      <c r="A11769" s="16"/>
    </row>
    <row r="11770" spans="1:1" x14ac:dyDescent="0.25">
      <c r="A11770" s="16"/>
    </row>
    <row r="11771" spans="1:1" x14ac:dyDescent="0.25">
      <c r="A11771" s="16"/>
    </row>
    <row r="11772" spans="1:1" x14ac:dyDescent="0.25">
      <c r="A11772" s="16"/>
    </row>
    <row r="11773" spans="1:1" x14ac:dyDescent="0.25">
      <c r="A11773" s="16"/>
    </row>
    <row r="11774" spans="1:1" x14ac:dyDescent="0.25">
      <c r="A11774" s="16"/>
    </row>
    <row r="11775" spans="1:1" x14ac:dyDescent="0.25">
      <c r="A11775" s="16"/>
    </row>
    <row r="11776" spans="1:1" x14ac:dyDescent="0.25">
      <c r="A11776" s="16"/>
    </row>
    <row r="11777" spans="1:1" x14ac:dyDescent="0.25">
      <c r="A11777" s="16"/>
    </row>
    <row r="11778" spans="1:1" x14ac:dyDescent="0.25">
      <c r="A11778" s="16"/>
    </row>
    <row r="11779" spans="1:1" x14ac:dyDescent="0.25">
      <c r="A11779" s="16"/>
    </row>
    <row r="11780" spans="1:1" x14ac:dyDescent="0.25">
      <c r="A11780" s="16"/>
    </row>
    <row r="11781" spans="1:1" x14ac:dyDescent="0.25">
      <c r="A11781" s="16"/>
    </row>
    <row r="11782" spans="1:1" x14ac:dyDescent="0.25">
      <c r="A11782" s="16"/>
    </row>
    <row r="11783" spans="1:1" x14ac:dyDescent="0.25">
      <c r="A11783" s="16"/>
    </row>
    <row r="11784" spans="1:1" x14ac:dyDescent="0.25">
      <c r="A11784" s="16"/>
    </row>
    <row r="11785" spans="1:1" x14ac:dyDescent="0.25">
      <c r="A11785" s="16"/>
    </row>
    <row r="11786" spans="1:1" x14ac:dyDescent="0.25">
      <c r="A11786" s="16"/>
    </row>
    <row r="11787" spans="1:1" x14ac:dyDescent="0.25">
      <c r="A11787" s="16"/>
    </row>
    <row r="11788" spans="1:1" x14ac:dyDescent="0.25">
      <c r="A11788" s="16"/>
    </row>
    <row r="11789" spans="1:1" x14ac:dyDescent="0.25">
      <c r="A11789" s="16"/>
    </row>
    <row r="11790" spans="1:1" x14ac:dyDescent="0.25">
      <c r="A11790" s="16"/>
    </row>
    <row r="11791" spans="1:1" x14ac:dyDescent="0.25">
      <c r="A11791" s="16"/>
    </row>
    <row r="11792" spans="1:1" x14ac:dyDescent="0.25">
      <c r="A11792" s="16"/>
    </row>
    <row r="11793" spans="1:1" x14ac:dyDescent="0.25">
      <c r="A11793" s="16"/>
    </row>
    <row r="11794" spans="1:1" x14ac:dyDescent="0.25">
      <c r="A11794" s="16"/>
    </row>
    <row r="11795" spans="1:1" x14ac:dyDescent="0.25">
      <c r="A11795" s="16"/>
    </row>
    <row r="11796" spans="1:1" x14ac:dyDescent="0.25">
      <c r="A11796" s="16"/>
    </row>
    <row r="11797" spans="1:1" x14ac:dyDescent="0.25">
      <c r="A11797" s="16"/>
    </row>
    <row r="11798" spans="1:1" x14ac:dyDescent="0.25">
      <c r="A11798" s="16"/>
    </row>
    <row r="11799" spans="1:1" x14ac:dyDescent="0.25">
      <c r="A11799" s="16"/>
    </row>
    <row r="11800" spans="1:1" x14ac:dyDescent="0.25">
      <c r="A11800" s="16"/>
    </row>
    <row r="11801" spans="1:1" x14ac:dyDescent="0.25">
      <c r="A11801" s="16"/>
    </row>
    <row r="11802" spans="1:1" x14ac:dyDescent="0.25">
      <c r="A11802" s="16"/>
    </row>
    <row r="11803" spans="1:1" x14ac:dyDescent="0.25">
      <c r="A11803" s="16"/>
    </row>
    <row r="11804" spans="1:1" x14ac:dyDescent="0.25">
      <c r="A11804" s="16"/>
    </row>
    <row r="11805" spans="1:1" x14ac:dyDescent="0.25">
      <c r="A11805" s="16"/>
    </row>
    <row r="11806" spans="1:1" x14ac:dyDescent="0.25">
      <c r="A11806" s="16"/>
    </row>
    <row r="11807" spans="1:1" x14ac:dyDescent="0.25">
      <c r="A11807" s="16"/>
    </row>
    <row r="11808" spans="1:1" x14ac:dyDescent="0.25">
      <c r="A11808" s="16"/>
    </row>
    <row r="11809" spans="1:1" x14ac:dyDescent="0.25">
      <c r="A11809" s="16"/>
    </row>
    <row r="11810" spans="1:1" x14ac:dyDescent="0.25">
      <c r="A11810" s="16"/>
    </row>
    <row r="11811" spans="1:1" x14ac:dyDescent="0.25">
      <c r="A11811" s="16"/>
    </row>
    <row r="11812" spans="1:1" x14ac:dyDescent="0.25">
      <c r="A11812" s="16"/>
    </row>
    <row r="11813" spans="1:1" x14ac:dyDescent="0.25">
      <c r="A11813" s="16"/>
    </row>
    <row r="11814" spans="1:1" x14ac:dyDescent="0.25">
      <c r="A11814" s="16"/>
    </row>
    <row r="11815" spans="1:1" x14ac:dyDescent="0.25">
      <c r="A11815" s="16"/>
    </row>
    <row r="11816" spans="1:1" x14ac:dyDescent="0.25">
      <c r="A11816" s="16"/>
    </row>
    <row r="11817" spans="1:1" x14ac:dyDescent="0.25">
      <c r="A11817" s="16"/>
    </row>
    <row r="11818" spans="1:1" x14ac:dyDescent="0.25">
      <c r="A11818" s="16"/>
    </row>
    <row r="11819" spans="1:1" x14ac:dyDescent="0.25">
      <c r="A11819" s="16"/>
    </row>
    <row r="11820" spans="1:1" x14ac:dyDescent="0.25">
      <c r="A11820" s="16"/>
    </row>
    <row r="11821" spans="1:1" x14ac:dyDescent="0.25">
      <c r="A11821" s="16"/>
    </row>
    <row r="11822" spans="1:1" x14ac:dyDescent="0.25">
      <c r="A11822" s="16"/>
    </row>
    <row r="11823" spans="1:1" x14ac:dyDescent="0.25">
      <c r="A11823" s="16"/>
    </row>
    <row r="11824" spans="1:1" x14ac:dyDescent="0.25">
      <c r="A11824" s="16"/>
    </row>
    <row r="11825" spans="1:1" x14ac:dyDescent="0.25">
      <c r="A11825" s="16"/>
    </row>
    <row r="11826" spans="1:1" x14ac:dyDescent="0.25">
      <c r="A11826" s="16"/>
    </row>
    <row r="11827" spans="1:1" x14ac:dyDescent="0.25">
      <c r="A11827" s="16"/>
    </row>
    <row r="11828" spans="1:1" x14ac:dyDescent="0.25">
      <c r="A11828" s="16"/>
    </row>
    <row r="11829" spans="1:1" x14ac:dyDescent="0.25">
      <c r="A11829" s="16"/>
    </row>
    <row r="11830" spans="1:1" x14ac:dyDescent="0.25">
      <c r="A11830" s="16"/>
    </row>
    <row r="11831" spans="1:1" x14ac:dyDescent="0.25">
      <c r="A11831" s="16"/>
    </row>
    <row r="11832" spans="1:1" x14ac:dyDescent="0.25">
      <c r="A11832" s="16"/>
    </row>
    <row r="11833" spans="1:1" x14ac:dyDescent="0.25">
      <c r="A11833" s="16"/>
    </row>
    <row r="11834" spans="1:1" x14ac:dyDescent="0.25">
      <c r="A11834" s="16"/>
    </row>
    <row r="11835" spans="1:1" x14ac:dyDescent="0.25">
      <c r="A11835" s="16"/>
    </row>
    <row r="11836" spans="1:1" x14ac:dyDescent="0.25">
      <c r="A11836" s="16"/>
    </row>
    <row r="11837" spans="1:1" x14ac:dyDescent="0.25">
      <c r="A11837" s="16"/>
    </row>
    <row r="11838" spans="1:1" x14ac:dyDescent="0.25">
      <c r="A11838" s="16"/>
    </row>
    <row r="11839" spans="1:1" x14ac:dyDescent="0.25">
      <c r="A11839" s="16"/>
    </row>
    <row r="11840" spans="1:1" x14ac:dyDescent="0.25">
      <c r="A11840" s="16"/>
    </row>
    <row r="11841" spans="1:1" x14ac:dyDescent="0.25">
      <c r="A11841" s="16"/>
    </row>
    <row r="11842" spans="1:1" x14ac:dyDescent="0.25">
      <c r="A11842" s="16"/>
    </row>
    <row r="11843" spans="1:1" x14ac:dyDescent="0.25">
      <c r="A11843" s="16"/>
    </row>
    <row r="11844" spans="1:1" x14ac:dyDescent="0.25">
      <c r="A11844" s="16"/>
    </row>
    <row r="11845" spans="1:1" x14ac:dyDescent="0.25">
      <c r="A11845" s="16"/>
    </row>
    <row r="11846" spans="1:1" x14ac:dyDescent="0.25">
      <c r="A11846" s="16"/>
    </row>
    <row r="11847" spans="1:1" x14ac:dyDescent="0.25">
      <c r="A11847" s="16"/>
    </row>
    <row r="11848" spans="1:1" x14ac:dyDescent="0.25">
      <c r="A11848" s="16"/>
    </row>
    <row r="11849" spans="1:1" x14ac:dyDescent="0.25">
      <c r="A11849" s="16"/>
    </row>
    <row r="11850" spans="1:1" x14ac:dyDescent="0.25">
      <c r="A11850" s="16"/>
    </row>
    <row r="11851" spans="1:1" x14ac:dyDescent="0.25">
      <c r="A11851" s="16"/>
    </row>
    <row r="11852" spans="1:1" x14ac:dyDescent="0.25">
      <c r="A11852" s="16"/>
    </row>
    <row r="11853" spans="1:1" x14ac:dyDescent="0.25">
      <c r="A11853" s="16"/>
    </row>
    <row r="11854" spans="1:1" x14ac:dyDescent="0.25">
      <c r="A11854" s="16"/>
    </row>
    <row r="11855" spans="1:1" x14ac:dyDescent="0.25">
      <c r="A11855" s="16"/>
    </row>
    <row r="11856" spans="1:1" x14ac:dyDescent="0.25">
      <c r="A11856" s="16"/>
    </row>
    <row r="11857" spans="1:1" x14ac:dyDescent="0.25">
      <c r="A11857" s="16"/>
    </row>
    <row r="11858" spans="1:1" x14ac:dyDescent="0.25">
      <c r="A11858" s="16"/>
    </row>
    <row r="11859" spans="1:1" x14ac:dyDescent="0.25">
      <c r="A11859" s="16"/>
    </row>
    <row r="11860" spans="1:1" x14ac:dyDescent="0.25">
      <c r="A11860" s="16"/>
    </row>
    <row r="11861" spans="1:1" x14ac:dyDescent="0.25">
      <c r="A11861" s="16"/>
    </row>
    <row r="11862" spans="1:1" x14ac:dyDescent="0.25">
      <c r="A11862" s="16"/>
    </row>
    <row r="11863" spans="1:1" x14ac:dyDescent="0.25">
      <c r="A11863" s="16"/>
    </row>
    <row r="11864" spans="1:1" x14ac:dyDescent="0.25">
      <c r="A11864" s="16"/>
    </row>
    <row r="11865" spans="1:1" x14ac:dyDescent="0.25">
      <c r="A11865" s="16"/>
    </row>
    <row r="11866" spans="1:1" x14ac:dyDescent="0.25">
      <c r="A11866" s="16"/>
    </row>
    <row r="11867" spans="1:1" x14ac:dyDescent="0.25">
      <c r="A11867" s="16"/>
    </row>
    <row r="11868" spans="1:1" x14ac:dyDescent="0.25">
      <c r="A11868" s="16"/>
    </row>
    <row r="11869" spans="1:1" x14ac:dyDescent="0.25">
      <c r="A11869" s="16"/>
    </row>
    <row r="11870" spans="1:1" x14ac:dyDescent="0.25">
      <c r="A11870" s="16"/>
    </row>
    <row r="11871" spans="1:1" x14ac:dyDescent="0.25">
      <c r="A11871" s="16"/>
    </row>
    <row r="11872" spans="1:1" x14ac:dyDescent="0.25">
      <c r="A11872" s="16"/>
    </row>
    <row r="11873" spans="1:1" x14ac:dyDescent="0.25">
      <c r="A11873" s="16"/>
    </row>
    <row r="11874" spans="1:1" x14ac:dyDescent="0.25">
      <c r="A11874" s="16"/>
    </row>
    <row r="11875" spans="1:1" x14ac:dyDescent="0.25">
      <c r="A11875" s="16"/>
    </row>
    <row r="11876" spans="1:1" x14ac:dyDescent="0.25">
      <c r="A11876" s="16"/>
    </row>
    <row r="11877" spans="1:1" x14ac:dyDescent="0.25">
      <c r="A11877" s="16"/>
    </row>
    <row r="11878" spans="1:1" x14ac:dyDescent="0.25">
      <c r="A11878" s="16"/>
    </row>
    <row r="11879" spans="1:1" x14ac:dyDescent="0.25">
      <c r="A11879" s="16"/>
    </row>
    <row r="11880" spans="1:1" x14ac:dyDescent="0.25">
      <c r="A11880" s="16"/>
    </row>
    <row r="11881" spans="1:1" x14ac:dyDescent="0.25">
      <c r="A11881" s="16"/>
    </row>
    <row r="11882" spans="1:1" x14ac:dyDescent="0.25">
      <c r="A11882" s="16"/>
    </row>
    <row r="11883" spans="1:1" x14ac:dyDescent="0.25">
      <c r="A11883" s="16"/>
    </row>
    <row r="11884" spans="1:1" x14ac:dyDescent="0.25">
      <c r="A11884" s="16"/>
    </row>
    <row r="11885" spans="1:1" x14ac:dyDescent="0.25">
      <c r="A11885" s="16"/>
    </row>
    <row r="11886" spans="1:1" x14ac:dyDescent="0.25">
      <c r="A11886" s="16"/>
    </row>
    <row r="11887" spans="1:1" x14ac:dyDescent="0.25">
      <c r="A11887" s="16"/>
    </row>
    <row r="11888" spans="1:1" x14ac:dyDescent="0.25">
      <c r="A11888" s="16"/>
    </row>
    <row r="11889" spans="1:1" x14ac:dyDescent="0.25">
      <c r="A11889" s="16"/>
    </row>
    <row r="11890" spans="1:1" x14ac:dyDescent="0.25">
      <c r="A11890" s="16"/>
    </row>
    <row r="11891" spans="1:1" x14ac:dyDescent="0.25">
      <c r="A11891" s="16"/>
    </row>
    <row r="11892" spans="1:1" x14ac:dyDescent="0.25">
      <c r="A11892" s="16"/>
    </row>
    <row r="11893" spans="1:1" x14ac:dyDescent="0.25">
      <c r="A11893" s="16"/>
    </row>
    <row r="11894" spans="1:1" x14ac:dyDescent="0.25">
      <c r="A11894" s="16"/>
    </row>
    <row r="11895" spans="1:1" x14ac:dyDescent="0.25">
      <c r="A11895" s="16"/>
    </row>
    <row r="11896" spans="1:1" x14ac:dyDescent="0.25">
      <c r="A11896" s="16"/>
    </row>
    <row r="11897" spans="1:1" x14ac:dyDescent="0.25">
      <c r="A11897" s="16"/>
    </row>
    <row r="11898" spans="1:1" x14ac:dyDescent="0.25">
      <c r="A11898" s="16"/>
    </row>
    <row r="11899" spans="1:1" x14ac:dyDescent="0.25">
      <c r="A11899" s="16"/>
    </row>
    <row r="11900" spans="1:1" x14ac:dyDescent="0.25">
      <c r="A11900" s="16"/>
    </row>
    <row r="11901" spans="1:1" x14ac:dyDescent="0.25">
      <c r="A11901" s="16"/>
    </row>
    <row r="11902" spans="1:1" x14ac:dyDescent="0.25">
      <c r="A11902" s="16"/>
    </row>
    <row r="11903" spans="1:1" x14ac:dyDescent="0.25">
      <c r="A11903" s="16"/>
    </row>
    <row r="11904" spans="1:1" x14ac:dyDescent="0.25">
      <c r="A11904" s="16"/>
    </row>
    <row r="11905" spans="1:1" x14ac:dyDescent="0.25">
      <c r="A11905" s="16"/>
    </row>
    <row r="11906" spans="1:1" x14ac:dyDescent="0.25">
      <c r="A11906" s="16"/>
    </row>
    <row r="11907" spans="1:1" x14ac:dyDescent="0.25">
      <c r="A11907" s="16"/>
    </row>
    <row r="11908" spans="1:1" x14ac:dyDescent="0.25">
      <c r="A11908" s="16"/>
    </row>
    <row r="11909" spans="1:1" x14ac:dyDescent="0.25">
      <c r="A11909" s="16"/>
    </row>
    <row r="11910" spans="1:1" x14ac:dyDescent="0.25">
      <c r="A11910" s="16"/>
    </row>
    <row r="11911" spans="1:1" x14ac:dyDescent="0.25">
      <c r="A11911" s="16"/>
    </row>
    <row r="11912" spans="1:1" x14ac:dyDescent="0.25">
      <c r="A11912" s="16"/>
    </row>
    <row r="11913" spans="1:1" x14ac:dyDescent="0.25">
      <c r="A11913" s="16"/>
    </row>
    <row r="11914" spans="1:1" x14ac:dyDescent="0.25">
      <c r="A11914" s="16"/>
    </row>
    <row r="11915" spans="1:1" x14ac:dyDescent="0.25">
      <c r="A11915" s="16"/>
    </row>
    <row r="11916" spans="1:1" x14ac:dyDescent="0.25">
      <c r="A11916" s="16"/>
    </row>
    <row r="11917" spans="1:1" x14ac:dyDescent="0.25">
      <c r="A11917" s="16"/>
    </row>
    <row r="11918" spans="1:1" x14ac:dyDescent="0.25">
      <c r="A11918" s="16"/>
    </row>
    <row r="11919" spans="1:1" x14ac:dyDescent="0.25">
      <c r="A11919" s="16"/>
    </row>
    <row r="11920" spans="1:1" x14ac:dyDescent="0.25">
      <c r="A11920" s="16"/>
    </row>
    <row r="11921" spans="1:1" x14ac:dyDescent="0.25">
      <c r="A11921" s="16"/>
    </row>
    <row r="11922" spans="1:1" x14ac:dyDescent="0.25">
      <c r="A11922" s="16"/>
    </row>
    <row r="11923" spans="1:1" x14ac:dyDescent="0.25">
      <c r="A11923" s="16"/>
    </row>
    <row r="11924" spans="1:1" x14ac:dyDescent="0.25">
      <c r="A11924" s="16"/>
    </row>
    <row r="11925" spans="1:1" x14ac:dyDescent="0.25">
      <c r="A11925" s="16"/>
    </row>
    <row r="11926" spans="1:1" x14ac:dyDescent="0.25">
      <c r="A11926" s="16"/>
    </row>
    <row r="11927" spans="1:1" x14ac:dyDescent="0.25">
      <c r="A11927" s="16"/>
    </row>
    <row r="11928" spans="1:1" x14ac:dyDescent="0.25">
      <c r="A11928" s="16"/>
    </row>
    <row r="11929" spans="1:1" x14ac:dyDescent="0.25">
      <c r="A11929" s="16"/>
    </row>
    <row r="11930" spans="1:1" x14ac:dyDescent="0.25">
      <c r="A11930" s="16"/>
    </row>
    <row r="11931" spans="1:1" x14ac:dyDescent="0.25">
      <c r="A11931" s="16"/>
    </row>
    <row r="11932" spans="1:1" x14ac:dyDescent="0.25">
      <c r="A11932" s="16"/>
    </row>
    <row r="11933" spans="1:1" x14ac:dyDescent="0.25">
      <c r="A11933" s="16"/>
    </row>
    <row r="11934" spans="1:1" x14ac:dyDescent="0.25">
      <c r="A11934" s="16"/>
    </row>
    <row r="11935" spans="1:1" x14ac:dyDescent="0.25">
      <c r="A11935" s="16"/>
    </row>
    <row r="11936" spans="1:1" x14ac:dyDescent="0.25">
      <c r="A11936" s="16"/>
    </row>
    <row r="11937" spans="1:1" x14ac:dyDescent="0.25">
      <c r="A11937" s="16"/>
    </row>
    <row r="11938" spans="1:1" x14ac:dyDescent="0.25">
      <c r="A11938" s="16"/>
    </row>
    <row r="11939" spans="1:1" x14ac:dyDescent="0.25">
      <c r="A11939" s="16"/>
    </row>
    <row r="11940" spans="1:1" x14ac:dyDescent="0.25">
      <c r="A11940" s="16"/>
    </row>
    <row r="11941" spans="1:1" x14ac:dyDescent="0.25">
      <c r="A11941" s="16"/>
    </row>
    <row r="11942" spans="1:1" x14ac:dyDescent="0.25">
      <c r="A11942" s="16"/>
    </row>
    <row r="11943" spans="1:1" x14ac:dyDescent="0.25">
      <c r="A11943" s="16"/>
    </row>
    <row r="11944" spans="1:1" x14ac:dyDescent="0.25">
      <c r="A11944" s="16"/>
    </row>
    <row r="11945" spans="1:1" x14ac:dyDescent="0.25">
      <c r="A11945" s="16"/>
    </row>
    <row r="11946" spans="1:1" x14ac:dyDescent="0.25">
      <c r="A11946" s="16"/>
    </row>
    <row r="11947" spans="1:1" x14ac:dyDescent="0.25">
      <c r="A11947" s="16"/>
    </row>
    <row r="11948" spans="1:1" x14ac:dyDescent="0.25">
      <c r="A11948" s="16"/>
    </row>
    <row r="11949" spans="1:1" x14ac:dyDescent="0.25">
      <c r="A11949" s="16"/>
    </row>
    <row r="11950" spans="1:1" x14ac:dyDescent="0.25">
      <c r="A11950" s="16"/>
    </row>
    <row r="11951" spans="1:1" x14ac:dyDescent="0.25">
      <c r="A11951" s="16"/>
    </row>
    <row r="11952" spans="1:1" x14ac:dyDescent="0.25">
      <c r="A11952" s="16"/>
    </row>
    <row r="11953" spans="1:1" x14ac:dyDescent="0.25">
      <c r="A11953" s="16"/>
    </row>
    <row r="11954" spans="1:1" x14ac:dyDescent="0.25">
      <c r="A11954" s="16"/>
    </row>
    <row r="11955" spans="1:1" x14ac:dyDescent="0.25">
      <c r="A11955" s="16"/>
    </row>
    <row r="11956" spans="1:1" x14ac:dyDescent="0.25">
      <c r="A11956" s="16"/>
    </row>
    <row r="11957" spans="1:1" x14ac:dyDescent="0.25">
      <c r="A11957" s="16"/>
    </row>
    <row r="11958" spans="1:1" x14ac:dyDescent="0.25">
      <c r="A11958" s="16"/>
    </row>
    <row r="11959" spans="1:1" x14ac:dyDescent="0.25">
      <c r="A11959" s="16"/>
    </row>
    <row r="11960" spans="1:1" x14ac:dyDescent="0.25">
      <c r="A11960" s="16"/>
    </row>
    <row r="11961" spans="1:1" x14ac:dyDescent="0.25">
      <c r="A11961" s="16"/>
    </row>
    <row r="11962" spans="1:1" x14ac:dyDescent="0.25">
      <c r="A11962" s="16"/>
    </row>
    <row r="11963" spans="1:1" x14ac:dyDescent="0.25">
      <c r="A11963" s="16"/>
    </row>
    <row r="11964" spans="1:1" x14ac:dyDescent="0.25">
      <c r="A11964" s="16"/>
    </row>
    <row r="11965" spans="1:1" x14ac:dyDescent="0.25">
      <c r="A11965" s="16"/>
    </row>
    <row r="11966" spans="1:1" x14ac:dyDescent="0.25">
      <c r="A11966" s="16"/>
    </row>
    <row r="11967" spans="1:1" x14ac:dyDescent="0.25">
      <c r="A11967" s="16"/>
    </row>
    <row r="11968" spans="1:1" x14ac:dyDescent="0.25">
      <c r="A11968" s="16"/>
    </row>
    <row r="11969" spans="1:1" x14ac:dyDescent="0.25">
      <c r="A11969" s="16"/>
    </row>
    <row r="11970" spans="1:1" x14ac:dyDescent="0.25">
      <c r="A11970" s="16"/>
    </row>
    <row r="11971" spans="1:1" x14ac:dyDescent="0.25">
      <c r="A11971" s="16"/>
    </row>
    <row r="11972" spans="1:1" x14ac:dyDescent="0.25">
      <c r="A11972" s="16"/>
    </row>
    <row r="11973" spans="1:1" x14ac:dyDescent="0.25">
      <c r="A11973" s="16"/>
    </row>
    <row r="11974" spans="1:1" x14ac:dyDescent="0.25">
      <c r="A11974" s="16"/>
    </row>
    <row r="11975" spans="1:1" x14ac:dyDescent="0.25">
      <c r="A11975" s="16"/>
    </row>
    <row r="11976" spans="1:1" x14ac:dyDescent="0.25">
      <c r="A11976" s="16"/>
    </row>
    <row r="11977" spans="1:1" x14ac:dyDescent="0.25">
      <c r="A11977" s="16"/>
    </row>
    <row r="11978" spans="1:1" x14ac:dyDescent="0.25">
      <c r="A11978" s="16"/>
    </row>
    <row r="11979" spans="1:1" x14ac:dyDescent="0.25">
      <c r="A11979" s="16"/>
    </row>
    <row r="11980" spans="1:1" x14ac:dyDescent="0.25">
      <c r="A11980" s="16"/>
    </row>
    <row r="11981" spans="1:1" x14ac:dyDescent="0.25">
      <c r="A11981" s="16"/>
    </row>
    <row r="11982" spans="1:1" x14ac:dyDescent="0.25">
      <c r="A11982" s="16"/>
    </row>
    <row r="11983" spans="1:1" x14ac:dyDescent="0.25">
      <c r="A11983" s="16"/>
    </row>
    <row r="11984" spans="1:1" x14ac:dyDescent="0.25">
      <c r="A11984" s="16"/>
    </row>
    <row r="11985" spans="1:1" x14ac:dyDescent="0.25">
      <c r="A11985" s="16"/>
    </row>
    <row r="11986" spans="1:1" x14ac:dyDescent="0.25">
      <c r="A11986" s="16"/>
    </row>
    <row r="11987" spans="1:1" x14ac:dyDescent="0.25">
      <c r="A11987" s="16"/>
    </row>
    <row r="11988" spans="1:1" x14ac:dyDescent="0.25">
      <c r="A11988" s="16"/>
    </row>
    <row r="11989" spans="1:1" x14ac:dyDescent="0.25">
      <c r="A11989" s="16"/>
    </row>
    <row r="11990" spans="1:1" x14ac:dyDescent="0.25">
      <c r="A11990" s="16"/>
    </row>
    <row r="11991" spans="1:1" x14ac:dyDescent="0.25">
      <c r="A11991" s="16"/>
    </row>
    <row r="11992" spans="1:1" x14ac:dyDescent="0.25">
      <c r="A11992" s="16"/>
    </row>
    <row r="11993" spans="1:1" x14ac:dyDescent="0.25">
      <c r="A11993" s="16"/>
    </row>
    <row r="11994" spans="1:1" x14ac:dyDescent="0.25">
      <c r="A11994" s="16"/>
    </row>
    <row r="11995" spans="1:1" x14ac:dyDescent="0.25">
      <c r="A11995" s="16"/>
    </row>
    <row r="11996" spans="1:1" x14ac:dyDescent="0.25">
      <c r="A11996" s="16"/>
    </row>
    <row r="11997" spans="1:1" x14ac:dyDescent="0.25">
      <c r="A11997" s="16"/>
    </row>
    <row r="11998" spans="1:1" x14ac:dyDescent="0.25">
      <c r="A11998" s="16"/>
    </row>
    <row r="11999" spans="1:1" x14ac:dyDescent="0.25">
      <c r="A11999" s="16"/>
    </row>
    <row r="12000" spans="1:1" x14ac:dyDescent="0.25">
      <c r="A12000" s="16"/>
    </row>
    <row r="12001" spans="1:1" x14ac:dyDescent="0.25">
      <c r="A12001" s="16"/>
    </row>
    <row r="12002" spans="1:1" x14ac:dyDescent="0.25">
      <c r="A12002" s="16"/>
    </row>
    <row r="12003" spans="1:1" x14ac:dyDescent="0.25">
      <c r="A12003" s="16"/>
    </row>
    <row r="12004" spans="1:1" x14ac:dyDescent="0.25">
      <c r="A12004" s="16"/>
    </row>
    <row r="12005" spans="1:1" x14ac:dyDescent="0.25">
      <c r="A12005" s="16"/>
    </row>
    <row r="12006" spans="1:1" x14ac:dyDescent="0.25">
      <c r="A12006" s="16"/>
    </row>
    <row r="12007" spans="1:1" x14ac:dyDescent="0.25">
      <c r="A12007" s="16"/>
    </row>
    <row r="12008" spans="1:1" x14ac:dyDescent="0.25">
      <c r="A12008" s="16"/>
    </row>
    <row r="12009" spans="1:1" x14ac:dyDescent="0.25">
      <c r="A12009" s="16"/>
    </row>
    <row r="12010" spans="1:1" x14ac:dyDescent="0.25">
      <c r="A12010" s="16"/>
    </row>
    <row r="12011" spans="1:1" x14ac:dyDescent="0.25">
      <c r="A12011" s="16"/>
    </row>
    <row r="12012" spans="1:1" x14ac:dyDescent="0.25">
      <c r="A12012" s="16"/>
    </row>
    <row r="12013" spans="1:1" x14ac:dyDescent="0.25">
      <c r="A12013" s="16"/>
    </row>
    <row r="12014" spans="1:1" x14ac:dyDescent="0.25">
      <c r="A12014" s="16"/>
    </row>
    <row r="12015" spans="1:1" x14ac:dyDescent="0.25">
      <c r="A12015" s="16"/>
    </row>
    <row r="12016" spans="1:1" x14ac:dyDescent="0.25">
      <c r="A12016" s="16"/>
    </row>
    <row r="12017" spans="1:1" x14ac:dyDescent="0.25">
      <c r="A12017" s="16"/>
    </row>
    <row r="12018" spans="1:1" x14ac:dyDescent="0.25">
      <c r="A12018" s="16"/>
    </row>
    <row r="12019" spans="1:1" x14ac:dyDescent="0.25">
      <c r="A12019" s="16"/>
    </row>
    <row r="12020" spans="1:1" x14ac:dyDescent="0.25">
      <c r="A12020" s="16"/>
    </row>
    <row r="12021" spans="1:1" x14ac:dyDescent="0.25">
      <c r="A12021" s="16"/>
    </row>
    <row r="12022" spans="1:1" x14ac:dyDescent="0.25">
      <c r="A12022" s="16"/>
    </row>
    <row r="12023" spans="1:1" x14ac:dyDescent="0.25">
      <c r="A12023" s="16"/>
    </row>
    <row r="12024" spans="1:1" x14ac:dyDescent="0.25">
      <c r="A12024" s="16"/>
    </row>
    <row r="12025" spans="1:1" x14ac:dyDescent="0.25">
      <c r="A12025" s="16"/>
    </row>
    <row r="12026" spans="1:1" x14ac:dyDescent="0.25">
      <c r="A12026" s="16"/>
    </row>
    <row r="12027" spans="1:1" x14ac:dyDescent="0.25">
      <c r="A12027" s="16"/>
    </row>
    <row r="12028" spans="1:1" x14ac:dyDescent="0.25">
      <c r="A12028" s="16"/>
    </row>
    <row r="12029" spans="1:1" x14ac:dyDescent="0.25">
      <c r="A12029" s="16"/>
    </row>
    <row r="12030" spans="1:1" x14ac:dyDescent="0.25">
      <c r="A12030" s="16"/>
    </row>
    <row r="12031" spans="1:1" x14ac:dyDescent="0.25">
      <c r="A12031" s="16"/>
    </row>
    <row r="12032" spans="1:1" x14ac:dyDescent="0.25">
      <c r="A12032" s="16"/>
    </row>
    <row r="12033" spans="1:1" x14ac:dyDescent="0.25">
      <c r="A12033" s="16"/>
    </row>
    <row r="12034" spans="1:1" x14ac:dyDescent="0.25">
      <c r="A12034" s="16"/>
    </row>
    <row r="12035" spans="1:1" x14ac:dyDescent="0.25">
      <c r="A12035" s="16"/>
    </row>
    <row r="12036" spans="1:1" x14ac:dyDescent="0.25">
      <c r="A12036" s="16"/>
    </row>
    <row r="12037" spans="1:1" x14ac:dyDescent="0.25">
      <c r="A12037" s="16"/>
    </row>
    <row r="12038" spans="1:1" x14ac:dyDescent="0.25">
      <c r="A12038" s="16"/>
    </row>
    <row r="12039" spans="1:1" x14ac:dyDescent="0.25">
      <c r="A12039" s="16"/>
    </row>
    <row r="12040" spans="1:1" x14ac:dyDescent="0.25">
      <c r="A12040" s="16"/>
    </row>
    <row r="12041" spans="1:1" x14ac:dyDescent="0.25">
      <c r="A12041" s="16"/>
    </row>
    <row r="12042" spans="1:1" x14ac:dyDescent="0.25">
      <c r="A12042" s="16"/>
    </row>
    <row r="12043" spans="1:1" x14ac:dyDescent="0.25">
      <c r="A12043" s="16"/>
    </row>
    <row r="12044" spans="1:1" x14ac:dyDescent="0.25">
      <c r="A12044" s="16"/>
    </row>
    <row r="12045" spans="1:1" x14ac:dyDescent="0.25">
      <c r="A12045" s="16"/>
    </row>
    <row r="12046" spans="1:1" x14ac:dyDescent="0.25">
      <c r="A12046" s="16"/>
    </row>
    <row r="12047" spans="1:1" x14ac:dyDescent="0.25">
      <c r="A12047" s="16"/>
    </row>
    <row r="12048" spans="1:1" x14ac:dyDescent="0.25">
      <c r="A12048" s="16"/>
    </row>
    <row r="12049" spans="1:1" x14ac:dyDescent="0.25">
      <c r="A12049" s="16"/>
    </row>
    <row r="12050" spans="1:1" x14ac:dyDescent="0.25">
      <c r="A12050" s="16"/>
    </row>
    <row r="12051" spans="1:1" x14ac:dyDescent="0.25">
      <c r="A12051" s="16"/>
    </row>
    <row r="12052" spans="1:1" x14ac:dyDescent="0.25">
      <c r="A12052" s="16"/>
    </row>
    <row r="12053" spans="1:1" x14ac:dyDescent="0.25">
      <c r="A12053" s="16"/>
    </row>
    <row r="12054" spans="1:1" x14ac:dyDescent="0.25">
      <c r="A12054" s="16"/>
    </row>
    <row r="12055" spans="1:1" x14ac:dyDescent="0.25">
      <c r="A12055" s="16"/>
    </row>
    <row r="12056" spans="1:1" x14ac:dyDescent="0.25">
      <c r="A12056" s="16"/>
    </row>
    <row r="12057" spans="1:1" x14ac:dyDescent="0.25">
      <c r="A12057" s="16"/>
    </row>
    <row r="12058" spans="1:1" x14ac:dyDescent="0.25">
      <c r="A12058" s="16"/>
    </row>
    <row r="12059" spans="1:1" x14ac:dyDescent="0.25">
      <c r="A12059" s="16"/>
    </row>
    <row r="12060" spans="1:1" x14ac:dyDescent="0.25">
      <c r="A12060" s="16"/>
    </row>
    <row r="12061" spans="1:1" x14ac:dyDescent="0.25">
      <c r="A12061" s="16"/>
    </row>
    <row r="12062" spans="1:1" x14ac:dyDescent="0.25">
      <c r="A12062" s="16"/>
    </row>
    <row r="12063" spans="1:1" x14ac:dyDescent="0.25">
      <c r="A12063" s="16"/>
    </row>
    <row r="12064" spans="1:1" x14ac:dyDescent="0.25">
      <c r="A12064" s="16"/>
    </row>
    <row r="12065" spans="1:1" x14ac:dyDescent="0.25">
      <c r="A12065" s="16"/>
    </row>
    <row r="12066" spans="1:1" x14ac:dyDescent="0.25">
      <c r="A12066" s="16"/>
    </row>
    <row r="12067" spans="1:1" x14ac:dyDescent="0.25">
      <c r="A12067" s="16"/>
    </row>
    <row r="12068" spans="1:1" x14ac:dyDescent="0.25">
      <c r="A12068" s="16"/>
    </row>
    <row r="12069" spans="1:1" x14ac:dyDescent="0.25">
      <c r="A12069" s="16"/>
    </row>
    <row r="12070" spans="1:1" x14ac:dyDescent="0.25">
      <c r="A12070" s="16"/>
    </row>
    <row r="12071" spans="1:1" x14ac:dyDescent="0.25">
      <c r="A12071" s="16"/>
    </row>
    <row r="12072" spans="1:1" x14ac:dyDescent="0.25">
      <c r="A12072" s="16"/>
    </row>
    <row r="12073" spans="1:1" x14ac:dyDescent="0.25">
      <c r="A12073" s="16"/>
    </row>
    <row r="12074" spans="1:1" x14ac:dyDescent="0.25">
      <c r="A12074" s="16"/>
    </row>
    <row r="12075" spans="1:1" x14ac:dyDescent="0.25">
      <c r="A12075" s="16"/>
    </row>
    <row r="12076" spans="1:1" x14ac:dyDescent="0.25">
      <c r="A12076" s="16"/>
    </row>
    <row r="12077" spans="1:1" x14ac:dyDescent="0.25">
      <c r="A12077" s="16"/>
    </row>
    <row r="12078" spans="1:1" x14ac:dyDescent="0.25">
      <c r="A12078" s="16"/>
    </row>
    <row r="12079" spans="1:1" x14ac:dyDescent="0.25">
      <c r="A12079" s="16"/>
    </row>
    <row r="12080" spans="1:1" x14ac:dyDescent="0.25">
      <c r="A12080" s="16"/>
    </row>
    <row r="12081" spans="1:1" x14ac:dyDescent="0.25">
      <c r="A12081" s="16"/>
    </row>
    <row r="12082" spans="1:1" x14ac:dyDescent="0.25">
      <c r="A12082" s="16"/>
    </row>
    <row r="12083" spans="1:1" x14ac:dyDescent="0.25">
      <c r="A12083" s="16"/>
    </row>
    <row r="12084" spans="1:1" x14ac:dyDescent="0.25">
      <c r="A12084" s="16"/>
    </row>
    <row r="12085" spans="1:1" x14ac:dyDescent="0.25">
      <c r="A12085" s="16"/>
    </row>
    <row r="12086" spans="1:1" x14ac:dyDescent="0.25">
      <c r="A12086" s="16"/>
    </row>
    <row r="12087" spans="1:1" x14ac:dyDescent="0.25">
      <c r="A12087" s="16"/>
    </row>
    <row r="12088" spans="1:1" x14ac:dyDescent="0.25">
      <c r="A12088" s="16"/>
    </row>
    <row r="12089" spans="1:1" x14ac:dyDescent="0.25">
      <c r="A12089" s="16"/>
    </row>
    <row r="12090" spans="1:1" x14ac:dyDescent="0.25">
      <c r="A12090" s="16"/>
    </row>
    <row r="12091" spans="1:1" x14ac:dyDescent="0.25">
      <c r="A12091" s="16"/>
    </row>
    <row r="12092" spans="1:1" x14ac:dyDescent="0.25">
      <c r="A12092" s="16"/>
    </row>
    <row r="12093" spans="1:1" x14ac:dyDescent="0.25">
      <c r="A12093" s="16"/>
    </row>
    <row r="12094" spans="1:1" x14ac:dyDescent="0.25">
      <c r="A12094" s="16"/>
    </row>
    <row r="12095" spans="1:1" x14ac:dyDescent="0.25">
      <c r="A12095" s="16"/>
    </row>
    <row r="12096" spans="1:1" x14ac:dyDescent="0.25">
      <c r="A12096" s="16"/>
    </row>
    <row r="12097" spans="1:1" x14ac:dyDescent="0.25">
      <c r="A12097" s="16"/>
    </row>
    <row r="12098" spans="1:1" x14ac:dyDescent="0.25">
      <c r="A12098" s="16"/>
    </row>
    <row r="12099" spans="1:1" x14ac:dyDescent="0.25">
      <c r="A12099" s="16"/>
    </row>
    <row r="12100" spans="1:1" x14ac:dyDescent="0.25">
      <c r="A12100" s="16"/>
    </row>
    <row r="12101" spans="1:1" x14ac:dyDescent="0.25">
      <c r="A12101" s="16"/>
    </row>
    <row r="12102" spans="1:1" x14ac:dyDescent="0.25">
      <c r="A12102" s="16"/>
    </row>
    <row r="12103" spans="1:1" x14ac:dyDescent="0.25">
      <c r="A12103" s="16"/>
    </row>
    <row r="12104" spans="1:1" x14ac:dyDescent="0.25">
      <c r="A12104" s="16"/>
    </row>
    <row r="12105" spans="1:1" x14ac:dyDescent="0.25">
      <c r="A12105" s="16"/>
    </row>
    <row r="12106" spans="1:1" x14ac:dyDescent="0.25">
      <c r="A12106" s="16"/>
    </row>
    <row r="12107" spans="1:1" x14ac:dyDescent="0.25">
      <c r="A12107" s="16"/>
    </row>
    <row r="12108" spans="1:1" x14ac:dyDescent="0.25">
      <c r="A12108" s="16"/>
    </row>
    <row r="12109" spans="1:1" x14ac:dyDescent="0.25">
      <c r="A12109" s="16"/>
    </row>
    <row r="12110" spans="1:1" x14ac:dyDescent="0.25">
      <c r="A12110" s="16"/>
    </row>
    <row r="12111" spans="1:1" x14ac:dyDescent="0.25">
      <c r="A12111" s="16"/>
    </row>
    <row r="12112" spans="1:1" x14ac:dyDescent="0.25">
      <c r="A12112" s="16"/>
    </row>
    <row r="12113" spans="1:1" x14ac:dyDescent="0.25">
      <c r="A12113" s="16"/>
    </row>
    <row r="12114" spans="1:1" x14ac:dyDescent="0.25">
      <c r="A12114" s="16"/>
    </row>
    <row r="12115" spans="1:1" x14ac:dyDescent="0.25">
      <c r="A12115" s="16"/>
    </row>
    <row r="12116" spans="1:1" x14ac:dyDescent="0.25">
      <c r="A12116" s="16"/>
    </row>
    <row r="12117" spans="1:1" x14ac:dyDescent="0.25">
      <c r="A12117" s="16"/>
    </row>
    <row r="12118" spans="1:1" x14ac:dyDescent="0.25">
      <c r="A12118" s="16"/>
    </row>
    <row r="12119" spans="1:1" x14ac:dyDescent="0.25">
      <c r="A12119" s="16"/>
    </row>
    <row r="12120" spans="1:1" x14ac:dyDescent="0.25">
      <c r="A12120" s="16"/>
    </row>
    <row r="12121" spans="1:1" x14ac:dyDescent="0.25">
      <c r="A12121" s="16"/>
    </row>
    <row r="12122" spans="1:1" x14ac:dyDescent="0.25">
      <c r="A12122" s="16"/>
    </row>
    <row r="12123" spans="1:1" x14ac:dyDescent="0.25">
      <c r="A12123" s="16"/>
    </row>
    <row r="12124" spans="1:1" x14ac:dyDescent="0.25">
      <c r="A12124" s="16"/>
    </row>
    <row r="12125" spans="1:1" x14ac:dyDescent="0.25">
      <c r="A12125" s="16"/>
    </row>
    <row r="12126" spans="1:1" x14ac:dyDescent="0.25">
      <c r="A12126" s="16"/>
    </row>
    <row r="12127" spans="1:1" x14ac:dyDescent="0.25">
      <c r="A12127" s="16"/>
    </row>
    <row r="12128" spans="1:1" x14ac:dyDescent="0.25">
      <c r="A12128" s="16"/>
    </row>
    <row r="12129" spans="1:1" x14ac:dyDescent="0.25">
      <c r="A12129" s="16"/>
    </row>
    <row r="12130" spans="1:1" x14ac:dyDescent="0.25">
      <c r="A12130" s="16"/>
    </row>
    <row r="12131" spans="1:1" x14ac:dyDescent="0.25">
      <c r="A12131" s="16"/>
    </row>
    <row r="12132" spans="1:1" x14ac:dyDescent="0.25">
      <c r="A12132" s="16"/>
    </row>
    <row r="12133" spans="1:1" x14ac:dyDescent="0.25">
      <c r="A12133" s="16"/>
    </row>
    <row r="12134" spans="1:1" x14ac:dyDescent="0.25">
      <c r="A12134" s="16"/>
    </row>
    <row r="12135" spans="1:1" x14ac:dyDescent="0.25">
      <c r="A12135" s="16"/>
    </row>
    <row r="12136" spans="1:1" x14ac:dyDescent="0.25">
      <c r="A12136" s="16"/>
    </row>
    <row r="12137" spans="1:1" x14ac:dyDescent="0.25">
      <c r="A12137" s="16"/>
    </row>
    <row r="12138" spans="1:1" x14ac:dyDescent="0.25">
      <c r="A12138" s="16"/>
    </row>
    <row r="12139" spans="1:1" x14ac:dyDescent="0.25">
      <c r="A12139" s="16"/>
    </row>
    <row r="12140" spans="1:1" x14ac:dyDescent="0.25">
      <c r="A12140" s="16"/>
    </row>
    <row r="12141" spans="1:1" x14ac:dyDescent="0.25">
      <c r="A12141" s="16"/>
    </row>
    <row r="12142" spans="1:1" x14ac:dyDescent="0.25">
      <c r="A12142" s="16"/>
    </row>
    <row r="12143" spans="1:1" x14ac:dyDescent="0.25">
      <c r="A12143" s="16"/>
    </row>
    <row r="12144" spans="1:1" x14ac:dyDescent="0.25">
      <c r="A12144" s="16"/>
    </row>
    <row r="12145" spans="1:1" x14ac:dyDescent="0.25">
      <c r="A12145" s="16"/>
    </row>
    <row r="12146" spans="1:1" x14ac:dyDescent="0.25">
      <c r="A12146" s="16"/>
    </row>
    <row r="12147" spans="1:1" x14ac:dyDescent="0.25">
      <c r="A12147" s="16"/>
    </row>
    <row r="12148" spans="1:1" x14ac:dyDescent="0.25">
      <c r="A12148" s="16"/>
    </row>
    <row r="12149" spans="1:1" x14ac:dyDescent="0.25">
      <c r="A12149" s="16"/>
    </row>
    <row r="12150" spans="1:1" x14ac:dyDescent="0.25">
      <c r="A12150" s="16"/>
    </row>
    <row r="12151" spans="1:1" x14ac:dyDescent="0.25">
      <c r="A12151" s="16"/>
    </row>
    <row r="12152" spans="1:1" x14ac:dyDescent="0.25">
      <c r="A12152" s="16"/>
    </row>
    <row r="12153" spans="1:1" x14ac:dyDescent="0.25">
      <c r="A12153" s="16"/>
    </row>
    <row r="12154" spans="1:1" x14ac:dyDescent="0.25">
      <c r="A12154" s="16"/>
    </row>
    <row r="12155" spans="1:1" x14ac:dyDescent="0.25">
      <c r="A12155" s="16"/>
    </row>
    <row r="12156" spans="1:1" x14ac:dyDescent="0.25">
      <c r="A12156" s="16"/>
    </row>
    <row r="12157" spans="1:1" x14ac:dyDescent="0.25">
      <c r="A12157" s="16"/>
    </row>
    <row r="12158" spans="1:1" x14ac:dyDescent="0.25">
      <c r="A12158" s="16"/>
    </row>
    <row r="12159" spans="1:1" x14ac:dyDescent="0.25">
      <c r="A12159" s="16"/>
    </row>
    <row r="12160" spans="1:1" x14ac:dyDescent="0.25">
      <c r="A12160" s="16"/>
    </row>
    <row r="12161" spans="1:1" x14ac:dyDescent="0.25">
      <c r="A12161" s="16"/>
    </row>
    <row r="12162" spans="1:1" x14ac:dyDescent="0.25">
      <c r="A12162" s="16"/>
    </row>
    <row r="12163" spans="1:1" x14ac:dyDescent="0.25">
      <c r="A12163" s="16"/>
    </row>
    <row r="12164" spans="1:1" x14ac:dyDescent="0.25">
      <c r="A12164" s="16"/>
    </row>
    <row r="12165" spans="1:1" x14ac:dyDescent="0.25">
      <c r="A12165" s="16"/>
    </row>
    <row r="12166" spans="1:1" x14ac:dyDescent="0.25">
      <c r="A12166" s="16"/>
    </row>
    <row r="12167" spans="1:1" x14ac:dyDescent="0.25">
      <c r="A12167" s="16"/>
    </row>
    <row r="12168" spans="1:1" x14ac:dyDescent="0.25">
      <c r="A12168" s="16"/>
    </row>
    <row r="12169" spans="1:1" x14ac:dyDescent="0.25">
      <c r="A12169" s="16"/>
    </row>
    <row r="12170" spans="1:1" x14ac:dyDescent="0.25">
      <c r="A12170" s="16"/>
    </row>
    <row r="12171" spans="1:1" x14ac:dyDescent="0.25">
      <c r="A12171" s="16"/>
    </row>
    <row r="12172" spans="1:1" x14ac:dyDescent="0.25">
      <c r="A12172" s="16"/>
    </row>
    <row r="12173" spans="1:1" x14ac:dyDescent="0.25">
      <c r="A12173" s="16"/>
    </row>
    <row r="12174" spans="1:1" x14ac:dyDescent="0.25">
      <c r="A12174" s="16"/>
    </row>
    <row r="12175" spans="1:1" x14ac:dyDescent="0.25">
      <c r="A12175" s="16"/>
    </row>
    <row r="12176" spans="1:1" x14ac:dyDescent="0.25">
      <c r="A12176" s="16"/>
    </row>
    <row r="12177" spans="1:1" x14ac:dyDescent="0.25">
      <c r="A12177" s="16"/>
    </row>
    <row r="12178" spans="1:1" x14ac:dyDescent="0.25">
      <c r="A12178" s="16"/>
    </row>
    <row r="12179" spans="1:1" x14ac:dyDescent="0.25">
      <c r="A12179" s="16"/>
    </row>
    <row r="12180" spans="1:1" x14ac:dyDescent="0.25">
      <c r="A12180" s="16"/>
    </row>
    <row r="12181" spans="1:1" x14ac:dyDescent="0.25">
      <c r="A12181" s="16"/>
    </row>
    <row r="12182" spans="1:1" x14ac:dyDescent="0.25">
      <c r="A12182" s="16"/>
    </row>
    <row r="12183" spans="1:1" x14ac:dyDescent="0.25">
      <c r="A12183" s="16"/>
    </row>
    <row r="12184" spans="1:1" x14ac:dyDescent="0.25">
      <c r="A12184" s="16"/>
    </row>
    <row r="12185" spans="1:1" x14ac:dyDescent="0.25">
      <c r="A12185" s="16"/>
    </row>
    <row r="12186" spans="1:1" x14ac:dyDescent="0.25">
      <c r="A12186" s="16"/>
    </row>
    <row r="12187" spans="1:1" x14ac:dyDescent="0.25">
      <c r="A12187" s="16"/>
    </row>
    <row r="12188" spans="1:1" x14ac:dyDescent="0.25">
      <c r="A12188" s="16"/>
    </row>
    <row r="12189" spans="1:1" x14ac:dyDescent="0.25">
      <c r="A12189" s="16"/>
    </row>
    <row r="12190" spans="1:1" x14ac:dyDescent="0.25">
      <c r="A12190" s="16"/>
    </row>
    <row r="12191" spans="1:1" x14ac:dyDescent="0.25">
      <c r="A12191" s="16"/>
    </row>
    <row r="12192" spans="1:1" x14ac:dyDescent="0.25">
      <c r="A12192" s="16"/>
    </row>
    <row r="12193" spans="1:1" x14ac:dyDescent="0.25">
      <c r="A12193" s="16"/>
    </row>
    <row r="12194" spans="1:1" x14ac:dyDescent="0.25">
      <c r="A12194" s="16"/>
    </row>
    <row r="12195" spans="1:1" x14ac:dyDescent="0.25">
      <c r="A12195" s="16"/>
    </row>
    <row r="12196" spans="1:1" x14ac:dyDescent="0.25">
      <c r="A12196" s="16"/>
    </row>
    <row r="12197" spans="1:1" x14ac:dyDescent="0.25">
      <c r="A12197" s="16"/>
    </row>
    <row r="12198" spans="1:1" x14ac:dyDescent="0.25">
      <c r="A12198" s="16"/>
    </row>
    <row r="12199" spans="1:1" x14ac:dyDescent="0.25">
      <c r="A12199" s="16"/>
    </row>
    <row r="12200" spans="1:1" x14ac:dyDescent="0.25">
      <c r="A12200" s="16"/>
    </row>
    <row r="12201" spans="1:1" x14ac:dyDescent="0.25">
      <c r="A12201" s="16"/>
    </row>
    <row r="12202" spans="1:1" x14ac:dyDescent="0.25">
      <c r="A12202" s="16"/>
    </row>
    <row r="12203" spans="1:1" x14ac:dyDescent="0.25">
      <c r="A12203" s="16"/>
    </row>
    <row r="12204" spans="1:1" x14ac:dyDescent="0.25">
      <c r="A12204" s="16"/>
    </row>
    <row r="12205" spans="1:1" x14ac:dyDescent="0.25">
      <c r="A12205" s="16"/>
    </row>
    <row r="12206" spans="1:1" x14ac:dyDescent="0.25">
      <c r="A12206" s="16"/>
    </row>
    <row r="12207" spans="1:1" x14ac:dyDescent="0.25">
      <c r="A12207" s="16"/>
    </row>
    <row r="12208" spans="1:1" x14ac:dyDescent="0.25">
      <c r="A12208" s="16"/>
    </row>
    <row r="12209" spans="1:1" x14ac:dyDescent="0.25">
      <c r="A12209" s="16"/>
    </row>
    <row r="12210" spans="1:1" x14ac:dyDescent="0.25">
      <c r="A12210" s="16"/>
    </row>
    <row r="12211" spans="1:1" x14ac:dyDescent="0.25">
      <c r="A12211" s="16"/>
    </row>
    <row r="12212" spans="1:1" x14ac:dyDescent="0.25">
      <c r="A12212" s="16"/>
    </row>
    <row r="12213" spans="1:1" x14ac:dyDescent="0.25">
      <c r="A12213" s="16"/>
    </row>
    <row r="12214" spans="1:1" x14ac:dyDescent="0.25">
      <c r="A12214" s="16"/>
    </row>
    <row r="12215" spans="1:1" x14ac:dyDescent="0.25">
      <c r="A12215" s="16"/>
    </row>
    <row r="12216" spans="1:1" x14ac:dyDescent="0.25">
      <c r="A12216" s="16"/>
    </row>
    <row r="12217" spans="1:1" x14ac:dyDescent="0.25">
      <c r="A12217" s="16"/>
    </row>
    <row r="12218" spans="1:1" x14ac:dyDescent="0.25">
      <c r="A12218" s="16"/>
    </row>
    <row r="12219" spans="1:1" x14ac:dyDescent="0.25">
      <c r="A12219" s="16"/>
    </row>
    <row r="12220" spans="1:1" x14ac:dyDescent="0.25">
      <c r="A12220" s="16"/>
    </row>
    <row r="12221" spans="1:1" x14ac:dyDescent="0.25">
      <c r="A12221" s="16"/>
    </row>
    <row r="12222" spans="1:1" x14ac:dyDescent="0.25">
      <c r="A12222" s="16"/>
    </row>
    <row r="12223" spans="1:1" x14ac:dyDescent="0.25">
      <c r="A12223" s="16"/>
    </row>
    <row r="12224" spans="1:1" x14ac:dyDescent="0.25">
      <c r="A12224" s="16"/>
    </row>
    <row r="12225" spans="1:1" x14ac:dyDescent="0.25">
      <c r="A12225" s="16"/>
    </row>
    <row r="12226" spans="1:1" x14ac:dyDescent="0.25">
      <c r="A12226" s="16"/>
    </row>
    <row r="12227" spans="1:1" x14ac:dyDescent="0.25">
      <c r="A12227" s="16"/>
    </row>
    <row r="12228" spans="1:1" x14ac:dyDescent="0.25">
      <c r="A12228" s="16"/>
    </row>
    <row r="12229" spans="1:1" x14ac:dyDescent="0.25">
      <c r="A12229" s="16"/>
    </row>
    <row r="12230" spans="1:1" x14ac:dyDescent="0.25">
      <c r="A12230" s="16"/>
    </row>
    <row r="12231" spans="1:1" x14ac:dyDescent="0.25">
      <c r="A12231" s="16"/>
    </row>
    <row r="12232" spans="1:1" x14ac:dyDescent="0.25">
      <c r="A12232" s="16"/>
    </row>
    <row r="12233" spans="1:1" x14ac:dyDescent="0.25">
      <c r="A12233" s="16"/>
    </row>
    <row r="12234" spans="1:1" x14ac:dyDescent="0.25">
      <c r="A12234" s="16"/>
    </row>
    <row r="12235" spans="1:1" x14ac:dyDescent="0.25">
      <c r="A12235" s="16"/>
    </row>
    <row r="12236" spans="1:1" x14ac:dyDescent="0.25">
      <c r="A12236" s="16"/>
    </row>
    <row r="12237" spans="1:1" x14ac:dyDescent="0.25">
      <c r="A12237" s="16"/>
    </row>
    <row r="12238" spans="1:1" x14ac:dyDescent="0.25">
      <c r="A12238" s="16"/>
    </row>
    <row r="12239" spans="1:1" x14ac:dyDescent="0.25">
      <c r="A12239" s="16"/>
    </row>
    <row r="12240" spans="1:1" x14ac:dyDescent="0.25">
      <c r="A12240" s="16"/>
    </row>
    <row r="12241" spans="1:1" x14ac:dyDescent="0.25">
      <c r="A12241" s="16"/>
    </row>
    <row r="12242" spans="1:1" x14ac:dyDescent="0.25">
      <c r="A12242" s="16"/>
    </row>
    <row r="12243" spans="1:1" x14ac:dyDescent="0.25">
      <c r="A12243" s="16"/>
    </row>
    <row r="12244" spans="1:1" x14ac:dyDescent="0.25">
      <c r="A12244" s="16"/>
    </row>
    <row r="12245" spans="1:1" x14ac:dyDescent="0.25">
      <c r="A12245" s="16"/>
    </row>
    <row r="12246" spans="1:1" x14ac:dyDescent="0.25">
      <c r="A12246" s="16"/>
    </row>
    <row r="12247" spans="1:1" x14ac:dyDescent="0.25">
      <c r="A12247" s="16"/>
    </row>
    <row r="12248" spans="1:1" x14ac:dyDescent="0.25">
      <c r="A12248" s="16"/>
    </row>
    <row r="12249" spans="1:1" x14ac:dyDescent="0.25">
      <c r="A12249" s="16"/>
    </row>
    <row r="12250" spans="1:1" x14ac:dyDescent="0.25">
      <c r="A12250" s="16"/>
    </row>
    <row r="12251" spans="1:1" x14ac:dyDescent="0.25">
      <c r="A12251" s="16"/>
    </row>
    <row r="12252" spans="1:1" x14ac:dyDescent="0.25">
      <c r="A12252" s="16"/>
    </row>
    <row r="12253" spans="1:1" x14ac:dyDescent="0.25">
      <c r="A12253" s="16"/>
    </row>
    <row r="12254" spans="1:1" x14ac:dyDescent="0.25">
      <c r="A12254" s="16"/>
    </row>
    <row r="12255" spans="1:1" x14ac:dyDescent="0.25">
      <c r="A12255" s="16"/>
    </row>
    <row r="12256" spans="1:1" x14ac:dyDescent="0.25">
      <c r="A12256" s="16"/>
    </row>
    <row r="12257" spans="1:1" x14ac:dyDescent="0.25">
      <c r="A12257" s="16"/>
    </row>
    <row r="12258" spans="1:1" x14ac:dyDescent="0.25">
      <c r="A12258" s="16"/>
    </row>
    <row r="12259" spans="1:1" x14ac:dyDescent="0.25">
      <c r="A12259" s="16"/>
    </row>
    <row r="12260" spans="1:1" x14ac:dyDescent="0.25">
      <c r="A12260" s="16"/>
    </row>
    <row r="12261" spans="1:1" x14ac:dyDescent="0.25">
      <c r="A12261" s="16"/>
    </row>
    <row r="12262" spans="1:1" x14ac:dyDescent="0.25">
      <c r="A12262" s="16"/>
    </row>
    <row r="12263" spans="1:1" x14ac:dyDescent="0.25">
      <c r="A12263" s="16"/>
    </row>
    <row r="12264" spans="1:1" x14ac:dyDescent="0.25">
      <c r="A12264" s="16"/>
    </row>
    <row r="12265" spans="1:1" x14ac:dyDescent="0.25">
      <c r="A12265" s="16"/>
    </row>
    <row r="12266" spans="1:1" x14ac:dyDescent="0.25">
      <c r="A12266" s="16"/>
    </row>
    <row r="12267" spans="1:1" x14ac:dyDescent="0.25">
      <c r="A12267" s="16"/>
    </row>
    <row r="12268" spans="1:1" x14ac:dyDescent="0.25">
      <c r="A12268" s="16"/>
    </row>
    <row r="12269" spans="1:1" x14ac:dyDescent="0.25">
      <c r="A12269" s="16"/>
    </row>
    <row r="12270" spans="1:1" x14ac:dyDescent="0.25">
      <c r="A12270" s="16"/>
    </row>
    <row r="12271" spans="1:1" x14ac:dyDescent="0.25">
      <c r="A12271" s="16"/>
    </row>
    <row r="12272" spans="1:1" x14ac:dyDescent="0.25">
      <c r="A12272" s="16"/>
    </row>
    <row r="12273" spans="1:1" x14ac:dyDescent="0.25">
      <c r="A12273" s="16"/>
    </row>
    <row r="12274" spans="1:1" x14ac:dyDescent="0.25">
      <c r="A12274" s="16"/>
    </row>
    <row r="12275" spans="1:1" x14ac:dyDescent="0.25">
      <c r="A12275" s="16"/>
    </row>
    <row r="12276" spans="1:1" x14ac:dyDescent="0.25">
      <c r="A12276" s="16"/>
    </row>
    <row r="12277" spans="1:1" x14ac:dyDescent="0.25">
      <c r="A12277" s="16"/>
    </row>
    <row r="12278" spans="1:1" x14ac:dyDescent="0.25">
      <c r="A12278" s="16"/>
    </row>
    <row r="12279" spans="1:1" x14ac:dyDescent="0.25">
      <c r="A12279" s="16"/>
    </row>
    <row r="12280" spans="1:1" x14ac:dyDescent="0.25">
      <c r="A12280" s="16"/>
    </row>
    <row r="12281" spans="1:1" x14ac:dyDescent="0.25">
      <c r="A12281" s="16"/>
    </row>
    <row r="12282" spans="1:1" x14ac:dyDescent="0.25">
      <c r="A12282" s="16"/>
    </row>
    <row r="12283" spans="1:1" x14ac:dyDescent="0.25">
      <c r="A12283" s="16"/>
    </row>
    <row r="12284" spans="1:1" x14ac:dyDescent="0.25">
      <c r="A12284" s="16"/>
    </row>
    <row r="12285" spans="1:1" x14ac:dyDescent="0.25">
      <c r="A12285" s="16"/>
    </row>
    <row r="12286" spans="1:1" x14ac:dyDescent="0.25">
      <c r="A12286" s="16"/>
    </row>
    <row r="12287" spans="1:1" x14ac:dyDescent="0.25">
      <c r="A12287" s="16"/>
    </row>
    <row r="12288" spans="1:1" x14ac:dyDescent="0.25">
      <c r="A12288" s="16"/>
    </row>
    <row r="12289" spans="1:1" x14ac:dyDescent="0.25">
      <c r="A12289" s="16"/>
    </row>
    <row r="12290" spans="1:1" x14ac:dyDescent="0.25">
      <c r="A12290" s="16"/>
    </row>
    <row r="12291" spans="1:1" x14ac:dyDescent="0.25">
      <c r="A12291" s="16"/>
    </row>
    <row r="12292" spans="1:1" x14ac:dyDescent="0.25">
      <c r="A12292" s="16"/>
    </row>
    <row r="12293" spans="1:1" x14ac:dyDescent="0.25">
      <c r="A12293" s="16"/>
    </row>
    <row r="12294" spans="1:1" x14ac:dyDescent="0.25">
      <c r="A12294" s="16"/>
    </row>
    <row r="12295" spans="1:1" x14ac:dyDescent="0.25">
      <c r="A12295" s="16"/>
    </row>
    <row r="12296" spans="1:1" x14ac:dyDescent="0.25">
      <c r="A12296" s="16"/>
    </row>
    <row r="12297" spans="1:1" x14ac:dyDescent="0.25">
      <c r="A12297" s="16"/>
    </row>
    <row r="12298" spans="1:1" x14ac:dyDescent="0.25">
      <c r="A12298" s="16"/>
    </row>
    <row r="12299" spans="1:1" x14ac:dyDescent="0.25">
      <c r="A12299" s="16"/>
    </row>
    <row r="12300" spans="1:1" x14ac:dyDescent="0.25">
      <c r="A12300" s="16"/>
    </row>
    <row r="12301" spans="1:1" x14ac:dyDescent="0.25">
      <c r="A12301" s="16"/>
    </row>
    <row r="12302" spans="1:1" x14ac:dyDescent="0.25">
      <c r="A12302" s="16"/>
    </row>
    <row r="12303" spans="1:1" x14ac:dyDescent="0.25">
      <c r="A12303" s="16"/>
    </row>
    <row r="12304" spans="1:1" x14ac:dyDescent="0.25">
      <c r="A12304" s="16"/>
    </row>
    <row r="12305" spans="1:1" x14ac:dyDescent="0.25">
      <c r="A12305" s="16"/>
    </row>
    <row r="12306" spans="1:1" x14ac:dyDescent="0.25">
      <c r="A12306" s="16"/>
    </row>
    <row r="12307" spans="1:1" x14ac:dyDescent="0.25">
      <c r="A12307" s="16"/>
    </row>
    <row r="12308" spans="1:1" x14ac:dyDescent="0.25">
      <c r="A12308" s="16"/>
    </row>
    <row r="12309" spans="1:1" x14ac:dyDescent="0.25">
      <c r="A12309" s="16"/>
    </row>
    <row r="12310" spans="1:1" x14ac:dyDescent="0.25">
      <c r="A12310" s="16"/>
    </row>
    <row r="12311" spans="1:1" x14ac:dyDescent="0.25">
      <c r="A12311" s="16"/>
    </row>
    <row r="12312" spans="1:1" x14ac:dyDescent="0.25">
      <c r="A12312" s="16"/>
    </row>
    <row r="12313" spans="1:1" x14ac:dyDescent="0.25">
      <c r="A12313" s="16"/>
    </row>
    <row r="12314" spans="1:1" x14ac:dyDescent="0.25">
      <c r="A12314" s="16"/>
    </row>
    <row r="12315" spans="1:1" x14ac:dyDescent="0.25">
      <c r="A12315" s="16"/>
    </row>
    <row r="12316" spans="1:1" x14ac:dyDescent="0.25">
      <c r="A12316" s="16"/>
    </row>
    <row r="12317" spans="1:1" x14ac:dyDescent="0.25">
      <c r="A12317" s="16"/>
    </row>
    <row r="12318" spans="1:1" x14ac:dyDescent="0.25">
      <c r="A12318" s="16"/>
    </row>
    <row r="12319" spans="1:1" x14ac:dyDescent="0.25">
      <c r="A12319" s="16"/>
    </row>
    <row r="12320" spans="1:1" x14ac:dyDescent="0.25">
      <c r="A12320" s="16"/>
    </row>
    <row r="12321" spans="1:1" x14ac:dyDescent="0.25">
      <c r="A12321" s="16"/>
    </row>
    <row r="12322" spans="1:1" x14ac:dyDescent="0.25">
      <c r="A12322" s="16"/>
    </row>
    <row r="12323" spans="1:1" x14ac:dyDescent="0.25">
      <c r="A12323" s="16"/>
    </row>
    <row r="12324" spans="1:1" x14ac:dyDescent="0.25">
      <c r="A12324" s="16"/>
    </row>
    <row r="12325" spans="1:1" x14ac:dyDescent="0.25">
      <c r="A12325" s="16"/>
    </row>
    <row r="12326" spans="1:1" x14ac:dyDescent="0.25">
      <c r="A12326" s="16"/>
    </row>
    <row r="12327" spans="1:1" x14ac:dyDescent="0.25">
      <c r="A12327" s="16"/>
    </row>
    <row r="12328" spans="1:1" x14ac:dyDescent="0.25">
      <c r="A12328" s="16"/>
    </row>
    <row r="12329" spans="1:1" x14ac:dyDescent="0.25">
      <c r="A12329" s="16"/>
    </row>
    <row r="12330" spans="1:1" x14ac:dyDescent="0.25">
      <c r="A12330" s="16"/>
    </row>
    <row r="12331" spans="1:1" x14ac:dyDescent="0.25">
      <c r="A12331" s="16"/>
    </row>
    <row r="12332" spans="1:1" x14ac:dyDescent="0.25">
      <c r="A12332" s="16"/>
    </row>
    <row r="12333" spans="1:1" x14ac:dyDescent="0.25">
      <c r="A12333" s="16"/>
    </row>
    <row r="12334" spans="1:1" x14ac:dyDescent="0.25">
      <c r="A12334" s="16"/>
    </row>
    <row r="12335" spans="1:1" x14ac:dyDescent="0.25">
      <c r="A12335" s="16"/>
    </row>
    <row r="12336" spans="1:1" x14ac:dyDescent="0.25">
      <c r="A12336" s="16"/>
    </row>
    <row r="12337" spans="1:1" x14ac:dyDescent="0.25">
      <c r="A12337" s="16"/>
    </row>
    <row r="12338" spans="1:1" x14ac:dyDescent="0.25">
      <c r="A12338" s="16"/>
    </row>
    <row r="12339" spans="1:1" x14ac:dyDescent="0.25">
      <c r="A12339" s="16"/>
    </row>
    <row r="12340" spans="1:1" x14ac:dyDescent="0.25">
      <c r="A12340" s="16"/>
    </row>
    <row r="12341" spans="1:1" x14ac:dyDescent="0.25">
      <c r="A12341" s="16"/>
    </row>
    <row r="12342" spans="1:1" x14ac:dyDescent="0.25">
      <c r="A12342" s="16"/>
    </row>
    <row r="12343" spans="1:1" x14ac:dyDescent="0.25">
      <c r="A12343" s="16"/>
    </row>
    <row r="12344" spans="1:1" x14ac:dyDescent="0.25">
      <c r="A12344" s="16"/>
    </row>
    <row r="12345" spans="1:1" x14ac:dyDescent="0.25">
      <c r="A12345" s="16"/>
    </row>
    <row r="12346" spans="1:1" x14ac:dyDescent="0.25">
      <c r="A12346" s="16"/>
    </row>
    <row r="12347" spans="1:1" x14ac:dyDescent="0.25">
      <c r="A12347" s="16"/>
    </row>
    <row r="12348" spans="1:1" x14ac:dyDescent="0.25">
      <c r="A12348" s="16"/>
    </row>
    <row r="12349" spans="1:1" x14ac:dyDescent="0.25">
      <c r="A12349" s="16"/>
    </row>
    <row r="12350" spans="1:1" x14ac:dyDescent="0.25">
      <c r="A12350" s="16"/>
    </row>
    <row r="12351" spans="1:1" x14ac:dyDescent="0.25">
      <c r="A12351" s="16"/>
    </row>
    <row r="12352" spans="1:1" x14ac:dyDescent="0.25">
      <c r="A12352" s="16"/>
    </row>
    <row r="12353" spans="1:1" x14ac:dyDescent="0.25">
      <c r="A12353" s="16"/>
    </row>
    <row r="12354" spans="1:1" x14ac:dyDescent="0.25">
      <c r="A12354" s="16"/>
    </row>
    <row r="12355" spans="1:1" x14ac:dyDescent="0.25">
      <c r="A12355" s="16"/>
    </row>
    <row r="12356" spans="1:1" x14ac:dyDescent="0.25">
      <c r="A12356" s="16"/>
    </row>
    <row r="12357" spans="1:1" x14ac:dyDescent="0.25">
      <c r="A12357" s="16"/>
    </row>
    <row r="12358" spans="1:1" x14ac:dyDescent="0.25">
      <c r="A12358" s="16"/>
    </row>
    <row r="12359" spans="1:1" x14ac:dyDescent="0.25">
      <c r="A12359" s="16"/>
    </row>
    <row r="12360" spans="1:1" x14ac:dyDescent="0.25">
      <c r="A12360" s="16"/>
    </row>
    <row r="12361" spans="1:1" x14ac:dyDescent="0.25">
      <c r="A12361" s="16"/>
    </row>
    <row r="12362" spans="1:1" x14ac:dyDescent="0.25">
      <c r="A12362" s="16"/>
    </row>
    <row r="12363" spans="1:1" x14ac:dyDescent="0.25">
      <c r="A12363" s="16"/>
    </row>
    <row r="12364" spans="1:1" x14ac:dyDescent="0.25">
      <c r="A12364" s="16"/>
    </row>
    <row r="12365" spans="1:1" x14ac:dyDescent="0.25">
      <c r="A12365" s="16"/>
    </row>
    <row r="12366" spans="1:1" x14ac:dyDescent="0.25">
      <c r="A12366" s="16"/>
    </row>
    <row r="12367" spans="1:1" x14ac:dyDescent="0.25">
      <c r="A12367" s="16"/>
    </row>
    <row r="12368" spans="1:1" x14ac:dyDescent="0.25">
      <c r="A12368" s="16"/>
    </row>
    <row r="12369" spans="1:1" x14ac:dyDescent="0.25">
      <c r="A12369" s="16"/>
    </row>
    <row r="12370" spans="1:1" x14ac:dyDescent="0.25">
      <c r="A12370" s="16"/>
    </row>
    <row r="12371" spans="1:1" x14ac:dyDescent="0.25">
      <c r="A12371" s="16"/>
    </row>
    <row r="12372" spans="1:1" x14ac:dyDescent="0.25">
      <c r="A12372" s="16"/>
    </row>
    <row r="12373" spans="1:1" x14ac:dyDescent="0.25">
      <c r="A12373" s="16"/>
    </row>
    <row r="12374" spans="1:1" x14ac:dyDescent="0.25">
      <c r="A12374" s="16"/>
    </row>
    <row r="12375" spans="1:1" x14ac:dyDescent="0.25">
      <c r="A12375" s="16"/>
    </row>
    <row r="12376" spans="1:1" x14ac:dyDescent="0.25">
      <c r="A12376" s="16"/>
    </row>
    <row r="12377" spans="1:1" x14ac:dyDescent="0.25">
      <c r="A12377" s="16"/>
    </row>
    <row r="12378" spans="1:1" x14ac:dyDescent="0.25">
      <c r="A12378" s="16"/>
    </row>
    <row r="12379" spans="1:1" x14ac:dyDescent="0.25">
      <c r="A12379" s="16"/>
    </row>
    <row r="12380" spans="1:1" x14ac:dyDescent="0.25">
      <c r="A12380" s="16"/>
    </row>
    <row r="12381" spans="1:1" x14ac:dyDescent="0.25">
      <c r="A12381" s="16"/>
    </row>
    <row r="12382" spans="1:1" x14ac:dyDescent="0.25">
      <c r="A12382" s="16"/>
    </row>
    <row r="12383" spans="1:1" x14ac:dyDescent="0.25">
      <c r="A12383" s="16"/>
    </row>
    <row r="12384" spans="1:1" x14ac:dyDescent="0.25">
      <c r="A12384" s="16"/>
    </row>
    <row r="12385" spans="1:1" x14ac:dyDescent="0.25">
      <c r="A12385" s="16"/>
    </row>
    <row r="12386" spans="1:1" x14ac:dyDescent="0.25">
      <c r="A12386" s="16"/>
    </row>
    <row r="12387" spans="1:1" x14ac:dyDescent="0.25">
      <c r="A12387" s="16"/>
    </row>
    <row r="12388" spans="1:1" x14ac:dyDescent="0.25">
      <c r="A12388" s="16"/>
    </row>
    <row r="12389" spans="1:1" x14ac:dyDescent="0.25">
      <c r="A12389" s="16"/>
    </row>
    <row r="12390" spans="1:1" x14ac:dyDescent="0.25">
      <c r="A12390" s="16"/>
    </row>
    <row r="12391" spans="1:1" x14ac:dyDescent="0.25">
      <c r="A12391" s="16"/>
    </row>
    <row r="12392" spans="1:1" x14ac:dyDescent="0.25">
      <c r="A12392" s="16"/>
    </row>
    <row r="12393" spans="1:1" x14ac:dyDescent="0.25">
      <c r="A12393" s="16"/>
    </row>
    <row r="12394" spans="1:1" x14ac:dyDescent="0.25">
      <c r="A12394" s="16"/>
    </row>
    <row r="12395" spans="1:1" x14ac:dyDescent="0.25">
      <c r="A12395" s="16"/>
    </row>
    <row r="12396" spans="1:1" x14ac:dyDescent="0.25">
      <c r="A12396" s="16"/>
    </row>
    <row r="12397" spans="1:1" x14ac:dyDescent="0.25">
      <c r="A12397" s="16"/>
    </row>
    <row r="12398" spans="1:1" x14ac:dyDescent="0.25">
      <c r="A12398" s="16"/>
    </row>
    <row r="12399" spans="1:1" x14ac:dyDescent="0.25">
      <c r="A12399" s="16"/>
    </row>
    <row r="12400" spans="1:1" x14ac:dyDescent="0.25">
      <c r="A12400" s="16"/>
    </row>
    <row r="12401" spans="1:1" x14ac:dyDescent="0.25">
      <c r="A12401" s="16"/>
    </row>
    <row r="12402" spans="1:1" x14ac:dyDescent="0.25">
      <c r="A12402" s="16"/>
    </row>
    <row r="12403" spans="1:1" x14ac:dyDescent="0.25">
      <c r="A12403" s="16"/>
    </row>
    <row r="12404" spans="1:1" x14ac:dyDescent="0.25">
      <c r="A12404" s="16"/>
    </row>
    <row r="12405" spans="1:1" x14ac:dyDescent="0.25">
      <c r="A12405" s="16"/>
    </row>
    <row r="12406" spans="1:1" x14ac:dyDescent="0.25">
      <c r="A12406" s="16"/>
    </row>
    <row r="12407" spans="1:1" x14ac:dyDescent="0.25">
      <c r="A12407" s="16"/>
    </row>
    <row r="12408" spans="1:1" x14ac:dyDescent="0.25">
      <c r="A12408" s="16"/>
    </row>
    <row r="12409" spans="1:1" x14ac:dyDescent="0.25">
      <c r="A12409" s="16"/>
    </row>
    <row r="12410" spans="1:1" x14ac:dyDescent="0.25">
      <c r="A12410" s="16"/>
    </row>
    <row r="12411" spans="1:1" x14ac:dyDescent="0.25">
      <c r="A12411" s="16"/>
    </row>
    <row r="12412" spans="1:1" x14ac:dyDescent="0.25">
      <c r="A12412" s="16"/>
    </row>
    <row r="12413" spans="1:1" x14ac:dyDescent="0.25">
      <c r="A12413" s="16"/>
    </row>
    <row r="12414" spans="1:1" x14ac:dyDescent="0.25">
      <c r="A12414" s="16"/>
    </row>
    <row r="12415" spans="1:1" x14ac:dyDescent="0.25">
      <c r="A12415" s="16"/>
    </row>
    <row r="12416" spans="1:1" x14ac:dyDescent="0.25">
      <c r="A12416" s="16"/>
    </row>
    <row r="12417" spans="1:1" x14ac:dyDescent="0.25">
      <c r="A12417" s="16"/>
    </row>
    <row r="12418" spans="1:1" x14ac:dyDescent="0.25">
      <c r="A12418" s="16"/>
    </row>
    <row r="12419" spans="1:1" x14ac:dyDescent="0.25">
      <c r="A12419" s="16"/>
    </row>
    <row r="12420" spans="1:1" x14ac:dyDescent="0.25">
      <c r="A12420" s="16"/>
    </row>
    <row r="12421" spans="1:1" x14ac:dyDescent="0.25">
      <c r="A12421" s="16"/>
    </row>
    <row r="12422" spans="1:1" x14ac:dyDescent="0.25">
      <c r="A12422" s="16"/>
    </row>
    <row r="12423" spans="1:1" x14ac:dyDescent="0.25">
      <c r="A12423" s="16"/>
    </row>
    <row r="12424" spans="1:1" x14ac:dyDescent="0.25">
      <c r="A12424" s="16"/>
    </row>
    <row r="12425" spans="1:1" x14ac:dyDescent="0.25">
      <c r="A12425" s="16"/>
    </row>
    <row r="12426" spans="1:1" x14ac:dyDescent="0.25">
      <c r="A12426" s="16"/>
    </row>
    <row r="12427" spans="1:1" x14ac:dyDescent="0.25">
      <c r="A12427" s="16"/>
    </row>
    <row r="12428" spans="1:1" x14ac:dyDescent="0.25">
      <c r="A12428" s="16"/>
    </row>
    <row r="12429" spans="1:1" x14ac:dyDescent="0.25">
      <c r="A12429" s="16"/>
    </row>
    <row r="12430" spans="1:1" x14ac:dyDescent="0.25">
      <c r="A12430" s="16"/>
    </row>
    <row r="12431" spans="1:1" x14ac:dyDescent="0.25">
      <c r="A12431" s="16"/>
    </row>
    <row r="12432" spans="1:1" x14ac:dyDescent="0.25">
      <c r="A12432" s="16"/>
    </row>
    <row r="12433" spans="1:1" x14ac:dyDescent="0.25">
      <c r="A12433" s="16"/>
    </row>
    <row r="12434" spans="1:1" x14ac:dyDescent="0.25">
      <c r="A12434" s="16"/>
    </row>
    <row r="12435" spans="1:1" x14ac:dyDescent="0.25">
      <c r="A12435" s="16"/>
    </row>
    <row r="12436" spans="1:1" x14ac:dyDescent="0.25">
      <c r="A12436" s="16"/>
    </row>
    <row r="12437" spans="1:1" x14ac:dyDescent="0.25">
      <c r="A12437" s="16"/>
    </row>
    <row r="12438" spans="1:1" x14ac:dyDescent="0.25">
      <c r="A12438" s="16"/>
    </row>
    <row r="12439" spans="1:1" x14ac:dyDescent="0.25">
      <c r="A12439" s="16"/>
    </row>
    <row r="12440" spans="1:1" x14ac:dyDescent="0.25">
      <c r="A12440" s="16"/>
    </row>
    <row r="12441" spans="1:1" x14ac:dyDescent="0.25">
      <c r="A12441" s="16"/>
    </row>
    <row r="12442" spans="1:1" x14ac:dyDescent="0.25">
      <c r="A12442" s="16"/>
    </row>
    <row r="12443" spans="1:1" x14ac:dyDescent="0.25">
      <c r="A12443" s="16"/>
    </row>
    <row r="12444" spans="1:1" x14ac:dyDescent="0.25">
      <c r="A12444" s="16"/>
    </row>
    <row r="12445" spans="1:1" x14ac:dyDescent="0.25">
      <c r="A12445" s="16"/>
    </row>
    <row r="12446" spans="1:1" x14ac:dyDescent="0.25">
      <c r="A12446" s="16"/>
    </row>
    <row r="12447" spans="1:1" x14ac:dyDescent="0.25">
      <c r="A12447" s="16"/>
    </row>
    <row r="12448" spans="1:1" x14ac:dyDescent="0.25">
      <c r="A12448" s="16"/>
    </row>
    <row r="12449" spans="1:1" x14ac:dyDescent="0.25">
      <c r="A12449" s="16"/>
    </row>
    <row r="12450" spans="1:1" x14ac:dyDescent="0.25">
      <c r="A12450" s="16"/>
    </row>
    <row r="12451" spans="1:1" x14ac:dyDescent="0.25">
      <c r="A12451" s="16"/>
    </row>
    <row r="12452" spans="1:1" x14ac:dyDescent="0.25">
      <c r="A12452" s="16"/>
    </row>
    <row r="12453" spans="1:1" x14ac:dyDescent="0.25">
      <c r="A12453" s="16"/>
    </row>
    <row r="12454" spans="1:1" x14ac:dyDescent="0.25">
      <c r="A12454" s="16"/>
    </row>
    <row r="12455" spans="1:1" x14ac:dyDescent="0.25">
      <c r="A12455" s="16"/>
    </row>
    <row r="12456" spans="1:1" x14ac:dyDescent="0.25">
      <c r="A12456" s="16"/>
    </row>
    <row r="12457" spans="1:1" x14ac:dyDescent="0.25">
      <c r="A12457" s="16"/>
    </row>
    <row r="12458" spans="1:1" x14ac:dyDescent="0.25">
      <c r="A12458" s="16"/>
    </row>
    <row r="12459" spans="1:1" x14ac:dyDescent="0.25">
      <c r="A12459" s="16"/>
    </row>
    <row r="12460" spans="1:1" x14ac:dyDescent="0.25">
      <c r="A12460" s="16"/>
    </row>
    <row r="12461" spans="1:1" x14ac:dyDescent="0.25">
      <c r="A12461" s="16"/>
    </row>
    <row r="12462" spans="1:1" x14ac:dyDescent="0.25">
      <c r="A12462" s="16"/>
    </row>
    <row r="12463" spans="1:1" x14ac:dyDescent="0.25">
      <c r="A12463" s="16"/>
    </row>
    <row r="12464" spans="1:1" x14ac:dyDescent="0.25">
      <c r="A12464" s="16"/>
    </row>
    <row r="12465" spans="1:1" x14ac:dyDescent="0.25">
      <c r="A12465" s="16"/>
    </row>
    <row r="12466" spans="1:1" x14ac:dyDescent="0.25">
      <c r="A12466" s="16"/>
    </row>
    <row r="12467" spans="1:1" x14ac:dyDescent="0.25">
      <c r="A12467" s="16"/>
    </row>
    <row r="12468" spans="1:1" x14ac:dyDescent="0.25">
      <c r="A12468" s="16"/>
    </row>
    <row r="12469" spans="1:1" x14ac:dyDescent="0.25">
      <c r="A12469" s="16"/>
    </row>
    <row r="12470" spans="1:1" x14ac:dyDescent="0.25">
      <c r="A12470" s="16"/>
    </row>
    <row r="12471" spans="1:1" x14ac:dyDescent="0.25">
      <c r="A12471" s="16"/>
    </row>
    <row r="12472" spans="1:1" x14ac:dyDescent="0.25">
      <c r="A12472" s="16"/>
    </row>
    <row r="12473" spans="1:1" x14ac:dyDescent="0.25">
      <c r="A12473" s="16"/>
    </row>
    <row r="12474" spans="1:1" x14ac:dyDescent="0.25">
      <c r="A12474" s="16"/>
    </row>
    <row r="12475" spans="1:1" x14ac:dyDescent="0.25">
      <c r="A12475" s="16"/>
    </row>
    <row r="12476" spans="1:1" x14ac:dyDescent="0.25">
      <c r="A12476" s="16"/>
    </row>
    <row r="12477" spans="1:1" x14ac:dyDescent="0.25">
      <c r="A12477" s="16"/>
    </row>
    <row r="12478" spans="1:1" x14ac:dyDescent="0.25">
      <c r="A12478" s="16"/>
    </row>
    <row r="12479" spans="1:1" x14ac:dyDescent="0.25">
      <c r="A12479" s="16"/>
    </row>
    <row r="12480" spans="1:1" x14ac:dyDescent="0.25">
      <c r="A12480" s="16"/>
    </row>
    <row r="12481" spans="1:1" x14ac:dyDescent="0.25">
      <c r="A12481" s="16"/>
    </row>
    <row r="12482" spans="1:1" x14ac:dyDescent="0.25">
      <c r="A12482" s="16"/>
    </row>
    <row r="12483" spans="1:1" x14ac:dyDescent="0.25">
      <c r="A12483" s="16"/>
    </row>
    <row r="12484" spans="1:1" x14ac:dyDescent="0.25">
      <c r="A12484" s="16"/>
    </row>
    <row r="12485" spans="1:1" x14ac:dyDescent="0.25">
      <c r="A12485" s="16"/>
    </row>
    <row r="12486" spans="1:1" x14ac:dyDescent="0.25">
      <c r="A12486" s="16"/>
    </row>
    <row r="12487" spans="1:1" x14ac:dyDescent="0.25">
      <c r="A12487" s="16"/>
    </row>
    <row r="12488" spans="1:1" x14ac:dyDescent="0.25">
      <c r="A12488" s="16"/>
    </row>
    <row r="12489" spans="1:1" x14ac:dyDescent="0.25">
      <c r="A12489" s="16"/>
    </row>
    <row r="12490" spans="1:1" x14ac:dyDescent="0.25">
      <c r="A12490" s="16"/>
    </row>
    <row r="12491" spans="1:1" x14ac:dyDescent="0.25">
      <c r="A12491" s="16"/>
    </row>
    <row r="12492" spans="1:1" x14ac:dyDescent="0.25">
      <c r="A12492" s="16"/>
    </row>
    <row r="12493" spans="1:1" x14ac:dyDescent="0.25">
      <c r="A12493" s="16"/>
    </row>
    <row r="12494" spans="1:1" x14ac:dyDescent="0.25">
      <c r="A12494" s="16"/>
    </row>
    <row r="12495" spans="1:1" x14ac:dyDescent="0.25">
      <c r="A12495" s="16"/>
    </row>
    <row r="12496" spans="1:1" x14ac:dyDescent="0.25">
      <c r="A12496" s="16"/>
    </row>
    <row r="12497" spans="1:1" x14ac:dyDescent="0.25">
      <c r="A12497" s="16"/>
    </row>
    <row r="12498" spans="1:1" x14ac:dyDescent="0.25">
      <c r="A12498" s="16"/>
    </row>
    <row r="12499" spans="1:1" x14ac:dyDescent="0.25">
      <c r="A12499" s="16"/>
    </row>
    <row r="12500" spans="1:1" x14ac:dyDescent="0.25">
      <c r="A12500" s="16"/>
    </row>
    <row r="12501" spans="1:1" x14ac:dyDescent="0.25">
      <c r="A12501" s="16"/>
    </row>
    <row r="12502" spans="1:1" x14ac:dyDescent="0.25">
      <c r="A12502" s="16"/>
    </row>
    <row r="12503" spans="1:1" x14ac:dyDescent="0.25">
      <c r="A12503" s="16"/>
    </row>
    <row r="12504" spans="1:1" x14ac:dyDescent="0.25">
      <c r="A12504" s="16"/>
    </row>
    <row r="12505" spans="1:1" x14ac:dyDescent="0.25">
      <c r="A12505" s="16"/>
    </row>
    <row r="12506" spans="1:1" x14ac:dyDescent="0.25">
      <c r="A12506" s="16"/>
    </row>
    <row r="12507" spans="1:1" x14ac:dyDescent="0.25">
      <c r="A12507" s="16"/>
    </row>
    <row r="12508" spans="1:1" x14ac:dyDescent="0.25">
      <c r="A12508" s="16"/>
    </row>
    <row r="12509" spans="1:1" x14ac:dyDescent="0.25">
      <c r="A12509" s="16"/>
    </row>
    <row r="12510" spans="1:1" x14ac:dyDescent="0.25">
      <c r="A12510" s="16"/>
    </row>
    <row r="12511" spans="1:1" x14ac:dyDescent="0.25">
      <c r="A12511" s="16"/>
    </row>
    <row r="12512" spans="1:1" x14ac:dyDescent="0.25">
      <c r="A12512" s="16"/>
    </row>
    <row r="12513" spans="1:1" x14ac:dyDescent="0.25">
      <c r="A12513" s="16"/>
    </row>
    <row r="12514" spans="1:1" x14ac:dyDescent="0.25">
      <c r="A12514" s="16"/>
    </row>
    <row r="12515" spans="1:1" x14ac:dyDescent="0.25">
      <c r="A12515" s="16"/>
    </row>
    <row r="12516" spans="1:1" x14ac:dyDescent="0.25">
      <c r="A12516" s="16"/>
    </row>
    <row r="12517" spans="1:1" x14ac:dyDescent="0.25">
      <c r="A12517" s="16"/>
    </row>
    <row r="12518" spans="1:1" x14ac:dyDescent="0.25">
      <c r="A12518" s="16"/>
    </row>
    <row r="12519" spans="1:1" x14ac:dyDescent="0.25">
      <c r="A12519" s="16"/>
    </row>
    <row r="12520" spans="1:1" x14ac:dyDescent="0.25">
      <c r="A12520" s="16"/>
    </row>
    <row r="12521" spans="1:1" x14ac:dyDescent="0.25">
      <c r="A12521" s="16"/>
    </row>
    <row r="12522" spans="1:1" x14ac:dyDescent="0.25">
      <c r="A12522" s="16"/>
    </row>
    <row r="12523" spans="1:1" x14ac:dyDescent="0.25">
      <c r="A12523" s="16"/>
    </row>
    <row r="12524" spans="1:1" x14ac:dyDescent="0.25">
      <c r="A12524" s="16"/>
    </row>
    <row r="12525" spans="1:1" x14ac:dyDescent="0.25">
      <c r="A12525" s="16"/>
    </row>
    <row r="12526" spans="1:1" x14ac:dyDescent="0.25">
      <c r="A12526" s="16"/>
    </row>
    <row r="12527" spans="1:1" x14ac:dyDescent="0.25">
      <c r="A12527" s="16"/>
    </row>
    <row r="12528" spans="1:1" x14ac:dyDescent="0.25">
      <c r="A12528" s="16"/>
    </row>
    <row r="12529" spans="1:1" x14ac:dyDescent="0.25">
      <c r="A12529" s="16"/>
    </row>
    <row r="12530" spans="1:1" x14ac:dyDescent="0.25">
      <c r="A12530" s="16"/>
    </row>
    <row r="12531" spans="1:1" x14ac:dyDescent="0.25">
      <c r="A12531" s="16"/>
    </row>
    <row r="12532" spans="1:1" x14ac:dyDescent="0.25">
      <c r="A12532" s="16"/>
    </row>
    <row r="12533" spans="1:1" x14ac:dyDescent="0.25">
      <c r="A12533" s="16"/>
    </row>
    <row r="12534" spans="1:1" x14ac:dyDescent="0.25">
      <c r="A12534" s="16"/>
    </row>
    <row r="12535" spans="1:1" x14ac:dyDescent="0.25">
      <c r="A12535" s="16"/>
    </row>
    <row r="12536" spans="1:1" x14ac:dyDescent="0.25">
      <c r="A12536" s="16"/>
    </row>
    <row r="12537" spans="1:1" x14ac:dyDescent="0.25">
      <c r="A12537" s="16"/>
    </row>
    <row r="12538" spans="1:1" x14ac:dyDescent="0.25">
      <c r="A12538" s="16"/>
    </row>
    <row r="12539" spans="1:1" x14ac:dyDescent="0.25">
      <c r="A12539" s="16"/>
    </row>
    <row r="12540" spans="1:1" x14ac:dyDescent="0.25">
      <c r="A12540" s="16"/>
    </row>
    <row r="12541" spans="1:1" x14ac:dyDescent="0.25">
      <c r="A12541" s="16"/>
    </row>
    <row r="12542" spans="1:1" x14ac:dyDescent="0.25">
      <c r="A12542" s="16"/>
    </row>
    <row r="12543" spans="1:1" x14ac:dyDescent="0.25">
      <c r="A12543" s="16"/>
    </row>
    <row r="12544" spans="1:1" x14ac:dyDescent="0.25">
      <c r="A12544" s="16"/>
    </row>
    <row r="12545" spans="1:1" x14ac:dyDescent="0.25">
      <c r="A12545" s="16"/>
    </row>
    <row r="12546" spans="1:1" x14ac:dyDescent="0.25">
      <c r="A12546" s="16"/>
    </row>
    <row r="12547" spans="1:1" x14ac:dyDescent="0.25">
      <c r="A12547" s="16"/>
    </row>
    <row r="12548" spans="1:1" x14ac:dyDescent="0.25">
      <c r="A12548" s="16"/>
    </row>
    <row r="12549" spans="1:1" x14ac:dyDescent="0.25">
      <c r="A12549" s="16"/>
    </row>
    <row r="12550" spans="1:1" x14ac:dyDescent="0.25">
      <c r="A12550" s="16"/>
    </row>
    <row r="12551" spans="1:1" x14ac:dyDescent="0.25">
      <c r="A12551" s="16"/>
    </row>
    <row r="12552" spans="1:1" x14ac:dyDescent="0.25">
      <c r="A12552" s="16"/>
    </row>
    <row r="12553" spans="1:1" x14ac:dyDescent="0.25">
      <c r="A12553" s="16"/>
    </row>
    <row r="12554" spans="1:1" x14ac:dyDescent="0.25">
      <c r="A12554" s="16"/>
    </row>
    <row r="12555" spans="1:1" x14ac:dyDescent="0.25">
      <c r="A12555" s="16"/>
    </row>
    <row r="12556" spans="1:1" x14ac:dyDescent="0.25">
      <c r="A12556" s="16"/>
    </row>
    <row r="12557" spans="1:1" x14ac:dyDescent="0.25">
      <c r="A12557" s="16"/>
    </row>
    <row r="12558" spans="1:1" x14ac:dyDescent="0.25">
      <c r="A12558" s="16"/>
    </row>
    <row r="12559" spans="1:1" x14ac:dyDescent="0.25">
      <c r="A12559" s="16"/>
    </row>
    <row r="12560" spans="1:1" x14ac:dyDescent="0.25">
      <c r="A12560" s="16"/>
    </row>
    <row r="12561" spans="1:1" x14ac:dyDescent="0.25">
      <c r="A12561" s="16"/>
    </row>
    <row r="12562" spans="1:1" x14ac:dyDescent="0.25">
      <c r="A12562" s="16"/>
    </row>
    <row r="12563" spans="1:1" x14ac:dyDescent="0.25">
      <c r="A12563" s="16"/>
    </row>
    <row r="12564" spans="1:1" x14ac:dyDescent="0.25">
      <c r="A12564" s="16"/>
    </row>
    <row r="12565" spans="1:1" x14ac:dyDescent="0.25">
      <c r="A12565" s="16"/>
    </row>
    <row r="12566" spans="1:1" x14ac:dyDescent="0.25">
      <c r="A12566" s="16"/>
    </row>
    <row r="12567" spans="1:1" x14ac:dyDescent="0.25">
      <c r="A12567" s="16"/>
    </row>
    <row r="12568" spans="1:1" x14ac:dyDescent="0.25">
      <c r="A12568" s="16"/>
    </row>
    <row r="12569" spans="1:1" x14ac:dyDescent="0.25">
      <c r="A12569" s="16"/>
    </row>
    <row r="12570" spans="1:1" x14ac:dyDescent="0.25">
      <c r="A12570" s="16"/>
    </row>
    <row r="12571" spans="1:1" x14ac:dyDescent="0.25">
      <c r="A12571" s="16"/>
    </row>
    <row r="12572" spans="1:1" x14ac:dyDescent="0.25">
      <c r="A12572" s="16"/>
    </row>
    <row r="12573" spans="1:1" x14ac:dyDescent="0.25">
      <c r="A12573" s="16"/>
    </row>
    <row r="12574" spans="1:1" x14ac:dyDescent="0.25">
      <c r="A12574" s="16"/>
    </row>
    <row r="12575" spans="1:1" x14ac:dyDescent="0.25">
      <c r="A12575" s="16"/>
    </row>
    <row r="12576" spans="1:1" x14ac:dyDescent="0.25">
      <c r="A12576" s="16"/>
    </row>
    <row r="12577" spans="1:1" x14ac:dyDescent="0.25">
      <c r="A12577" s="16"/>
    </row>
    <row r="12578" spans="1:1" x14ac:dyDescent="0.25">
      <c r="A12578" s="16"/>
    </row>
    <row r="12579" spans="1:1" x14ac:dyDescent="0.25">
      <c r="A12579" s="16"/>
    </row>
    <row r="12580" spans="1:1" x14ac:dyDescent="0.25">
      <c r="A12580" s="16"/>
    </row>
    <row r="12581" spans="1:1" x14ac:dyDescent="0.25">
      <c r="A12581" s="16"/>
    </row>
    <row r="12582" spans="1:1" x14ac:dyDescent="0.25">
      <c r="A12582" s="16"/>
    </row>
    <row r="12583" spans="1:1" x14ac:dyDescent="0.25">
      <c r="A12583" s="16"/>
    </row>
    <row r="12584" spans="1:1" x14ac:dyDescent="0.25">
      <c r="A12584" s="16"/>
    </row>
    <row r="12585" spans="1:1" x14ac:dyDescent="0.25">
      <c r="A12585" s="16"/>
    </row>
    <row r="12586" spans="1:1" x14ac:dyDescent="0.25">
      <c r="A12586" s="16"/>
    </row>
    <row r="12587" spans="1:1" x14ac:dyDescent="0.25">
      <c r="A12587" s="16"/>
    </row>
    <row r="12588" spans="1:1" x14ac:dyDescent="0.25">
      <c r="A12588" s="16"/>
    </row>
    <row r="12589" spans="1:1" x14ac:dyDescent="0.25">
      <c r="A12589" s="16"/>
    </row>
    <row r="12590" spans="1:1" x14ac:dyDescent="0.25">
      <c r="A12590" s="16"/>
    </row>
    <row r="12591" spans="1:1" x14ac:dyDescent="0.25">
      <c r="A12591" s="16"/>
    </row>
    <row r="12592" spans="1:1" x14ac:dyDescent="0.25">
      <c r="A12592" s="16"/>
    </row>
    <row r="12593" spans="1:1" x14ac:dyDescent="0.25">
      <c r="A12593" s="16"/>
    </row>
    <row r="12594" spans="1:1" x14ac:dyDescent="0.25">
      <c r="A12594" s="16"/>
    </row>
    <row r="12595" spans="1:1" x14ac:dyDescent="0.25">
      <c r="A12595" s="16"/>
    </row>
    <row r="12596" spans="1:1" x14ac:dyDescent="0.25">
      <c r="A12596" s="16"/>
    </row>
    <row r="12597" spans="1:1" x14ac:dyDescent="0.25">
      <c r="A12597" s="16"/>
    </row>
    <row r="12598" spans="1:1" x14ac:dyDescent="0.25">
      <c r="A12598" s="16"/>
    </row>
    <row r="12599" spans="1:1" x14ac:dyDescent="0.25">
      <c r="A12599" s="16"/>
    </row>
    <row r="12600" spans="1:1" x14ac:dyDescent="0.25">
      <c r="A12600" s="16"/>
    </row>
    <row r="12601" spans="1:1" x14ac:dyDescent="0.25">
      <c r="A12601" s="16"/>
    </row>
    <row r="12602" spans="1:1" x14ac:dyDescent="0.25">
      <c r="A12602" s="16"/>
    </row>
    <row r="12603" spans="1:1" x14ac:dyDescent="0.25">
      <c r="A12603" s="16"/>
    </row>
    <row r="12604" spans="1:1" x14ac:dyDescent="0.25">
      <c r="A12604" s="16"/>
    </row>
    <row r="12605" spans="1:1" x14ac:dyDescent="0.25">
      <c r="A12605" s="16"/>
    </row>
    <row r="12606" spans="1:1" x14ac:dyDescent="0.25">
      <c r="A12606" s="16"/>
    </row>
    <row r="12607" spans="1:1" x14ac:dyDescent="0.25">
      <c r="A12607" s="16"/>
    </row>
    <row r="12608" spans="1:1" x14ac:dyDescent="0.25">
      <c r="A12608" s="16"/>
    </row>
    <row r="12609" spans="1:1" x14ac:dyDescent="0.25">
      <c r="A12609" s="16"/>
    </row>
    <row r="12610" spans="1:1" x14ac:dyDescent="0.25">
      <c r="A12610" s="16"/>
    </row>
    <row r="12611" spans="1:1" x14ac:dyDescent="0.25">
      <c r="A12611" s="16"/>
    </row>
    <row r="12612" spans="1:1" x14ac:dyDescent="0.25">
      <c r="A12612" s="16"/>
    </row>
    <row r="12613" spans="1:1" x14ac:dyDescent="0.25">
      <c r="A12613" s="16"/>
    </row>
    <row r="12614" spans="1:1" x14ac:dyDescent="0.25">
      <c r="A12614" s="16"/>
    </row>
    <row r="12615" spans="1:1" x14ac:dyDescent="0.25">
      <c r="A12615" s="16"/>
    </row>
    <row r="12616" spans="1:1" x14ac:dyDescent="0.25">
      <c r="A12616" s="16"/>
    </row>
    <row r="12617" spans="1:1" x14ac:dyDescent="0.25">
      <c r="A12617" s="16"/>
    </row>
    <row r="12618" spans="1:1" x14ac:dyDescent="0.25">
      <c r="A12618" s="16"/>
    </row>
    <row r="12619" spans="1:1" x14ac:dyDescent="0.25">
      <c r="A12619" s="16"/>
    </row>
    <row r="12620" spans="1:1" x14ac:dyDescent="0.25">
      <c r="A12620" s="16"/>
    </row>
    <row r="12621" spans="1:1" x14ac:dyDescent="0.25">
      <c r="A12621" s="16"/>
    </row>
    <row r="12622" spans="1:1" x14ac:dyDescent="0.25">
      <c r="A12622" s="16"/>
    </row>
    <row r="12623" spans="1:1" x14ac:dyDescent="0.25">
      <c r="A12623" s="16"/>
    </row>
    <row r="12624" spans="1:1" x14ac:dyDescent="0.25">
      <c r="A12624" s="16"/>
    </row>
    <row r="12625" spans="1:1" x14ac:dyDescent="0.25">
      <c r="A12625" s="16"/>
    </row>
    <row r="12626" spans="1:1" x14ac:dyDescent="0.25">
      <c r="A12626" s="16"/>
    </row>
    <row r="12627" spans="1:1" x14ac:dyDescent="0.25">
      <c r="A12627" s="16"/>
    </row>
    <row r="12628" spans="1:1" x14ac:dyDescent="0.25">
      <c r="A12628" s="16"/>
    </row>
    <row r="12629" spans="1:1" x14ac:dyDescent="0.25">
      <c r="A12629" s="16"/>
    </row>
    <row r="12630" spans="1:1" x14ac:dyDescent="0.25">
      <c r="A12630" s="16"/>
    </row>
    <row r="12631" spans="1:1" x14ac:dyDescent="0.25">
      <c r="A12631" s="16"/>
    </row>
    <row r="12632" spans="1:1" x14ac:dyDescent="0.25">
      <c r="A12632" s="16"/>
    </row>
    <row r="12633" spans="1:1" x14ac:dyDescent="0.25">
      <c r="A12633" s="16"/>
    </row>
    <row r="12634" spans="1:1" x14ac:dyDescent="0.25">
      <c r="A12634" s="16"/>
    </row>
    <row r="12635" spans="1:1" x14ac:dyDescent="0.25">
      <c r="A12635" s="16"/>
    </row>
    <row r="12636" spans="1:1" x14ac:dyDescent="0.25">
      <c r="A12636" s="16"/>
    </row>
    <row r="12637" spans="1:1" x14ac:dyDescent="0.25">
      <c r="A12637" s="16"/>
    </row>
    <row r="12638" spans="1:1" x14ac:dyDescent="0.25">
      <c r="A12638" s="16"/>
    </row>
    <row r="12639" spans="1:1" x14ac:dyDescent="0.25">
      <c r="A12639" s="16"/>
    </row>
    <row r="12640" spans="1:1" x14ac:dyDescent="0.25">
      <c r="A12640" s="16"/>
    </row>
    <row r="12641" spans="1:1" x14ac:dyDescent="0.25">
      <c r="A12641" s="16"/>
    </row>
    <row r="12642" spans="1:1" x14ac:dyDescent="0.25">
      <c r="A12642" s="16"/>
    </row>
    <row r="12643" spans="1:1" x14ac:dyDescent="0.25">
      <c r="A12643" s="16"/>
    </row>
    <row r="12644" spans="1:1" x14ac:dyDescent="0.25">
      <c r="A12644" s="16"/>
    </row>
    <row r="12645" spans="1:1" x14ac:dyDescent="0.25">
      <c r="A12645" s="16"/>
    </row>
    <row r="12646" spans="1:1" x14ac:dyDescent="0.25">
      <c r="A12646" s="16"/>
    </row>
    <row r="12647" spans="1:1" x14ac:dyDescent="0.25">
      <c r="A12647" s="16"/>
    </row>
    <row r="12648" spans="1:1" x14ac:dyDescent="0.25">
      <c r="A12648" s="16"/>
    </row>
    <row r="12649" spans="1:1" x14ac:dyDescent="0.25">
      <c r="A12649" s="16"/>
    </row>
    <row r="12650" spans="1:1" x14ac:dyDescent="0.25">
      <c r="A12650" s="16"/>
    </row>
    <row r="12651" spans="1:1" x14ac:dyDescent="0.25">
      <c r="A12651" s="16"/>
    </row>
    <row r="12652" spans="1:1" x14ac:dyDescent="0.25">
      <c r="A12652" s="16"/>
    </row>
    <row r="12653" spans="1:1" x14ac:dyDescent="0.25">
      <c r="A12653" s="16"/>
    </row>
    <row r="12654" spans="1:1" x14ac:dyDescent="0.25">
      <c r="A12654" s="16"/>
    </row>
    <row r="12655" spans="1:1" x14ac:dyDescent="0.25">
      <c r="A12655" s="16"/>
    </row>
    <row r="12656" spans="1:1" x14ac:dyDescent="0.25">
      <c r="A12656" s="16"/>
    </row>
    <row r="12657" spans="1:1" x14ac:dyDescent="0.25">
      <c r="A12657" s="16"/>
    </row>
    <row r="12658" spans="1:1" x14ac:dyDescent="0.25">
      <c r="A12658" s="16"/>
    </row>
    <row r="12659" spans="1:1" x14ac:dyDescent="0.25">
      <c r="A12659" s="16"/>
    </row>
    <row r="12660" spans="1:1" x14ac:dyDescent="0.25">
      <c r="A12660" s="16"/>
    </row>
    <row r="12661" spans="1:1" x14ac:dyDescent="0.25">
      <c r="A12661" s="16"/>
    </row>
    <row r="12662" spans="1:1" x14ac:dyDescent="0.25">
      <c r="A12662" s="16"/>
    </row>
    <row r="12663" spans="1:1" x14ac:dyDescent="0.25">
      <c r="A12663" s="16"/>
    </row>
    <row r="12664" spans="1:1" x14ac:dyDescent="0.25">
      <c r="A12664" s="16"/>
    </row>
    <row r="12665" spans="1:1" x14ac:dyDescent="0.25">
      <c r="A12665" s="16"/>
    </row>
    <row r="12666" spans="1:1" x14ac:dyDescent="0.25">
      <c r="A12666" s="16"/>
    </row>
    <row r="12667" spans="1:1" x14ac:dyDescent="0.25">
      <c r="A12667" s="16"/>
    </row>
    <row r="12668" spans="1:1" x14ac:dyDescent="0.25">
      <c r="A12668" s="16"/>
    </row>
    <row r="12669" spans="1:1" x14ac:dyDescent="0.25">
      <c r="A12669" s="16"/>
    </row>
    <row r="12670" spans="1:1" x14ac:dyDescent="0.25">
      <c r="A12670" s="16"/>
    </row>
    <row r="12671" spans="1:1" x14ac:dyDescent="0.25">
      <c r="A12671" s="16"/>
    </row>
    <row r="12672" spans="1:1" x14ac:dyDescent="0.25">
      <c r="A12672" s="16"/>
    </row>
    <row r="12673" spans="1:1" x14ac:dyDescent="0.25">
      <c r="A12673" s="16"/>
    </row>
    <row r="12674" spans="1:1" x14ac:dyDescent="0.25">
      <c r="A12674" s="16"/>
    </row>
    <row r="12675" spans="1:1" x14ac:dyDescent="0.25">
      <c r="A12675" s="16"/>
    </row>
    <row r="12676" spans="1:1" x14ac:dyDescent="0.25">
      <c r="A12676" s="16"/>
    </row>
    <row r="12677" spans="1:1" x14ac:dyDescent="0.25">
      <c r="A12677" s="16"/>
    </row>
    <row r="12678" spans="1:1" x14ac:dyDescent="0.25">
      <c r="A12678" s="16"/>
    </row>
    <row r="12679" spans="1:1" x14ac:dyDescent="0.25">
      <c r="A12679" s="16"/>
    </row>
    <row r="12680" spans="1:1" x14ac:dyDescent="0.25">
      <c r="A12680" s="16"/>
    </row>
    <row r="12681" spans="1:1" x14ac:dyDescent="0.25">
      <c r="A12681" s="16"/>
    </row>
    <row r="12682" spans="1:1" x14ac:dyDescent="0.25">
      <c r="A12682" s="16"/>
    </row>
    <row r="12683" spans="1:1" x14ac:dyDescent="0.25">
      <c r="A12683" s="16"/>
    </row>
    <row r="12684" spans="1:1" x14ac:dyDescent="0.25">
      <c r="A12684" s="16"/>
    </row>
    <row r="12685" spans="1:1" x14ac:dyDescent="0.25">
      <c r="A12685" s="16"/>
    </row>
    <row r="12686" spans="1:1" x14ac:dyDescent="0.25">
      <c r="A12686" s="16"/>
    </row>
    <row r="12687" spans="1:1" x14ac:dyDescent="0.25">
      <c r="A12687" s="16"/>
    </row>
    <row r="12688" spans="1:1" x14ac:dyDescent="0.25">
      <c r="A12688" s="16"/>
    </row>
    <row r="12689" spans="1:1" x14ac:dyDescent="0.25">
      <c r="A12689" s="16"/>
    </row>
    <row r="12690" spans="1:1" x14ac:dyDescent="0.25">
      <c r="A12690" s="16"/>
    </row>
    <row r="12691" spans="1:1" x14ac:dyDescent="0.25">
      <c r="A12691" s="16"/>
    </row>
    <row r="12692" spans="1:1" x14ac:dyDescent="0.25">
      <c r="A12692" s="16"/>
    </row>
    <row r="12693" spans="1:1" x14ac:dyDescent="0.25">
      <c r="A12693" s="16"/>
    </row>
    <row r="12694" spans="1:1" x14ac:dyDescent="0.25">
      <c r="A12694" s="16"/>
    </row>
    <row r="12695" spans="1:1" x14ac:dyDescent="0.25">
      <c r="A12695" s="16"/>
    </row>
    <row r="12696" spans="1:1" x14ac:dyDescent="0.25">
      <c r="A12696" s="16"/>
    </row>
    <row r="12697" spans="1:1" x14ac:dyDescent="0.25">
      <c r="A12697" s="16"/>
    </row>
    <row r="12698" spans="1:1" x14ac:dyDescent="0.25">
      <c r="A12698" s="16"/>
    </row>
    <row r="12699" spans="1:1" x14ac:dyDescent="0.25">
      <c r="A12699" s="16"/>
    </row>
    <row r="12700" spans="1:1" x14ac:dyDescent="0.25">
      <c r="A12700" s="16"/>
    </row>
    <row r="12701" spans="1:1" x14ac:dyDescent="0.25">
      <c r="A12701" s="16"/>
    </row>
    <row r="12702" spans="1:1" x14ac:dyDescent="0.25">
      <c r="A12702" s="16"/>
    </row>
    <row r="12703" spans="1:1" x14ac:dyDescent="0.25">
      <c r="A12703" s="16"/>
    </row>
    <row r="12704" spans="1:1" x14ac:dyDescent="0.25">
      <c r="A12704" s="16"/>
    </row>
    <row r="12705" spans="1:1" x14ac:dyDescent="0.25">
      <c r="A12705" s="16"/>
    </row>
    <row r="12706" spans="1:1" x14ac:dyDescent="0.25">
      <c r="A12706" s="16"/>
    </row>
    <row r="12707" spans="1:1" x14ac:dyDescent="0.25">
      <c r="A12707" s="16"/>
    </row>
    <row r="12708" spans="1:1" x14ac:dyDescent="0.25">
      <c r="A12708" s="16"/>
    </row>
    <row r="12709" spans="1:1" x14ac:dyDescent="0.25">
      <c r="A12709" s="16"/>
    </row>
    <row r="12710" spans="1:1" x14ac:dyDescent="0.25">
      <c r="A12710" s="16"/>
    </row>
    <row r="12711" spans="1:1" x14ac:dyDescent="0.25">
      <c r="A12711" s="16"/>
    </row>
    <row r="12712" spans="1:1" x14ac:dyDescent="0.25">
      <c r="A12712" s="16"/>
    </row>
    <row r="12713" spans="1:1" x14ac:dyDescent="0.25">
      <c r="A12713" s="16"/>
    </row>
    <row r="12714" spans="1:1" x14ac:dyDescent="0.25">
      <c r="A12714" s="16"/>
    </row>
    <row r="12715" spans="1:1" x14ac:dyDescent="0.25">
      <c r="A12715" s="16"/>
    </row>
    <row r="12716" spans="1:1" x14ac:dyDescent="0.25">
      <c r="A12716" s="16"/>
    </row>
    <row r="12717" spans="1:1" x14ac:dyDescent="0.25">
      <c r="A12717" s="16"/>
    </row>
    <row r="12718" spans="1:1" x14ac:dyDescent="0.25">
      <c r="A12718" s="16"/>
    </row>
    <row r="12719" spans="1:1" x14ac:dyDescent="0.25">
      <c r="A12719" s="16"/>
    </row>
    <row r="12720" spans="1:1" x14ac:dyDescent="0.25">
      <c r="A12720" s="16"/>
    </row>
    <row r="12721" spans="1:1" x14ac:dyDescent="0.25">
      <c r="A12721" s="16"/>
    </row>
    <row r="12722" spans="1:1" x14ac:dyDescent="0.25">
      <c r="A12722" s="16"/>
    </row>
    <row r="12723" spans="1:1" x14ac:dyDescent="0.25">
      <c r="A12723" s="16"/>
    </row>
    <row r="12724" spans="1:1" x14ac:dyDescent="0.25">
      <c r="A12724" s="16"/>
    </row>
    <row r="12725" spans="1:1" x14ac:dyDescent="0.25">
      <c r="A12725" s="16"/>
    </row>
    <row r="12726" spans="1:1" x14ac:dyDescent="0.25">
      <c r="A12726" s="16"/>
    </row>
    <row r="12727" spans="1:1" x14ac:dyDescent="0.25">
      <c r="A12727" s="16"/>
    </row>
    <row r="12728" spans="1:1" x14ac:dyDescent="0.25">
      <c r="A12728" s="16"/>
    </row>
    <row r="12729" spans="1:1" x14ac:dyDescent="0.25">
      <c r="A12729" s="16"/>
    </row>
    <row r="12730" spans="1:1" x14ac:dyDescent="0.25">
      <c r="A12730" s="16"/>
    </row>
    <row r="12731" spans="1:1" x14ac:dyDescent="0.25">
      <c r="A12731" s="16"/>
    </row>
    <row r="12732" spans="1:1" x14ac:dyDescent="0.25">
      <c r="A12732" s="16"/>
    </row>
    <row r="12733" spans="1:1" x14ac:dyDescent="0.25">
      <c r="A12733" s="16"/>
    </row>
    <row r="12734" spans="1:1" x14ac:dyDescent="0.25">
      <c r="A12734" s="16"/>
    </row>
    <row r="12735" spans="1:1" x14ac:dyDescent="0.25">
      <c r="A12735" s="16"/>
    </row>
    <row r="12736" spans="1:1" x14ac:dyDescent="0.25">
      <c r="A12736" s="16"/>
    </row>
    <row r="12737" spans="1:1" x14ac:dyDescent="0.25">
      <c r="A12737" s="16"/>
    </row>
    <row r="12738" spans="1:1" x14ac:dyDescent="0.25">
      <c r="A12738" s="16"/>
    </row>
    <row r="12739" spans="1:1" x14ac:dyDescent="0.25">
      <c r="A12739" s="16"/>
    </row>
    <row r="12740" spans="1:1" x14ac:dyDescent="0.25">
      <c r="A12740" s="16"/>
    </row>
    <row r="12741" spans="1:1" x14ac:dyDescent="0.25">
      <c r="A12741" s="16"/>
    </row>
    <row r="12742" spans="1:1" x14ac:dyDescent="0.25">
      <c r="A12742" s="16"/>
    </row>
    <row r="12743" spans="1:1" x14ac:dyDescent="0.25">
      <c r="A12743" s="16"/>
    </row>
    <row r="12744" spans="1:1" x14ac:dyDescent="0.25">
      <c r="A12744" s="16"/>
    </row>
    <row r="12745" spans="1:1" x14ac:dyDescent="0.25">
      <c r="A12745" s="16"/>
    </row>
    <row r="12746" spans="1:1" x14ac:dyDescent="0.25">
      <c r="A12746" s="16"/>
    </row>
    <row r="12747" spans="1:1" x14ac:dyDescent="0.25">
      <c r="A12747" s="16"/>
    </row>
    <row r="12748" spans="1:1" x14ac:dyDescent="0.25">
      <c r="A12748" s="16"/>
    </row>
    <row r="12749" spans="1:1" x14ac:dyDescent="0.25">
      <c r="A12749" s="16"/>
    </row>
    <row r="12750" spans="1:1" x14ac:dyDescent="0.25">
      <c r="A12750" s="16"/>
    </row>
    <row r="12751" spans="1:1" x14ac:dyDescent="0.25">
      <c r="A12751" s="16"/>
    </row>
    <row r="12752" spans="1:1" x14ac:dyDescent="0.25">
      <c r="A12752" s="16"/>
    </row>
    <row r="12753" spans="1:1" x14ac:dyDescent="0.25">
      <c r="A12753" s="16"/>
    </row>
    <row r="12754" spans="1:1" x14ac:dyDescent="0.25">
      <c r="A12754" s="16"/>
    </row>
    <row r="12755" spans="1:1" x14ac:dyDescent="0.25">
      <c r="A12755" s="16"/>
    </row>
    <row r="12756" spans="1:1" x14ac:dyDescent="0.25">
      <c r="A12756" s="16"/>
    </row>
    <row r="12757" spans="1:1" x14ac:dyDescent="0.25">
      <c r="A12757" s="16"/>
    </row>
    <row r="12758" spans="1:1" x14ac:dyDescent="0.25">
      <c r="A12758" s="16"/>
    </row>
    <row r="12759" spans="1:1" x14ac:dyDescent="0.25">
      <c r="A12759" s="16"/>
    </row>
    <row r="12760" spans="1:1" x14ac:dyDescent="0.25">
      <c r="A12760" s="16"/>
    </row>
    <row r="12761" spans="1:1" x14ac:dyDescent="0.25">
      <c r="A12761" s="16"/>
    </row>
    <row r="12762" spans="1:1" x14ac:dyDescent="0.25">
      <c r="A12762" s="16"/>
    </row>
    <row r="12763" spans="1:1" x14ac:dyDescent="0.25">
      <c r="A12763" s="16"/>
    </row>
    <row r="12764" spans="1:1" x14ac:dyDescent="0.25">
      <c r="A12764" s="16"/>
    </row>
    <row r="12765" spans="1:1" x14ac:dyDescent="0.25">
      <c r="A12765" s="16"/>
    </row>
    <row r="12766" spans="1:1" x14ac:dyDescent="0.25">
      <c r="A12766" s="16"/>
    </row>
    <row r="12767" spans="1:1" x14ac:dyDescent="0.25">
      <c r="A12767" s="16"/>
    </row>
    <row r="12768" spans="1:1" x14ac:dyDescent="0.25">
      <c r="A12768" s="16"/>
    </row>
    <row r="12769" spans="1:1" x14ac:dyDescent="0.25">
      <c r="A12769" s="16"/>
    </row>
    <row r="12770" spans="1:1" x14ac:dyDescent="0.25">
      <c r="A12770" s="16"/>
    </row>
    <row r="12771" spans="1:1" x14ac:dyDescent="0.25">
      <c r="A12771" s="16"/>
    </row>
    <row r="12772" spans="1:1" x14ac:dyDescent="0.25">
      <c r="A12772" s="16"/>
    </row>
    <row r="12773" spans="1:1" x14ac:dyDescent="0.25">
      <c r="A12773" s="16"/>
    </row>
    <row r="12774" spans="1:1" x14ac:dyDescent="0.25">
      <c r="A12774" s="16"/>
    </row>
    <row r="12775" spans="1:1" x14ac:dyDescent="0.25">
      <c r="A12775" s="16"/>
    </row>
    <row r="12776" spans="1:1" x14ac:dyDescent="0.25">
      <c r="A12776" s="16"/>
    </row>
    <row r="12777" spans="1:1" x14ac:dyDescent="0.25">
      <c r="A12777" s="16"/>
    </row>
    <row r="12778" spans="1:1" x14ac:dyDescent="0.25">
      <c r="A12778" s="16"/>
    </row>
    <row r="12779" spans="1:1" x14ac:dyDescent="0.25">
      <c r="A12779" s="16"/>
    </row>
    <row r="12780" spans="1:1" x14ac:dyDescent="0.25">
      <c r="A12780" s="16"/>
    </row>
    <row r="12781" spans="1:1" x14ac:dyDescent="0.25">
      <c r="A12781" s="16"/>
    </row>
    <row r="12782" spans="1:1" x14ac:dyDescent="0.25">
      <c r="A12782" s="16"/>
    </row>
    <row r="12783" spans="1:1" x14ac:dyDescent="0.25">
      <c r="A12783" s="16"/>
    </row>
    <row r="12784" spans="1:1" x14ac:dyDescent="0.25">
      <c r="A12784" s="16"/>
    </row>
    <row r="12785" spans="1:1" x14ac:dyDescent="0.25">
      <c r="A12785" s="16"/>
    </row>
    <row r="12786" spans="1:1" x14ac:dyDescent="0.25">
      <c r="A12786" s="16"/>
    </row>
    <row r="12787" spans="1:1" x14ac:dyDescent="0.25">
      <c r="A12787" s="16"/>
    </row>
    <row r="12788" spans="1:1" x14ac:dyDescent="0.25">
      <c r="A12788" s="16"/>
    </row>
    <row r="12789" spans="1:1" x14ac:dyDescent="0.25">
      <c r="A12789" s="16"/>
    </row>
    <row r="12790" spans="1:1" x14ac:dyDescent="0.25">
      <c r="A12790" s="16"/>
    </row>
    <row r="12791" spans="1:1" x14ac:dyDescent="0.25">
      <c r="A12791" s="16"/>
    </row>
    <row r="12792" spans="1:1" x14ac:dyDescent="0.25">
      <c r="A12792" s="16"/>
    </row>
    <row r="12793" spans="1:1" x14ac:dyDescent="0.25">
      <c r="A12793" s="16"/>
    </row>
    <row r="12794" spans="1:1" x14ac:dyDescent="0.25">
      <c r="A12794" s="16"/>
    </row>
    <row r="12795" spans="1:1" x14ac:dyDescent="0.25">
      <c r="A12795" s="16"/>
    </row>
    <row r="12796" spans="1:1" x14ac:dyDescent="0.25">
      <c r="A12796" s="16"/>
    </row>
    <row r="12797" spans="1:1" x14ac:dyDescent="0.25">
      <c r="A12797" s="16"/>
    </row>
    <row r="12798" spans="1:1" x14ac:dyDescent="0.25">
      <c r="A12798" s="16"/>
    </row>
    <row r="12799" spans="1:1" x14ac:dyDescent="0.25">
      <c r="A12799" s="16"/>
    </row>
    <row r="12800" spans="1:1" x14ac:dyDescent="0.25">
      <c r="A12800" s="16"/>
    </row>
    <row r="12801" spans="1:1" x14ac:dyDescent="0.25">
      <c r="A12801" s="16"/>
    </row>
    <row r="12802" spans="1:1" x14ac:dyDescent="0.25">
      <c r="A12802" s="16"/>
    </row>
    <row r="12803" spans="1:1" x14ac:dyDescent="0.25">
      <c r="A12803" s="16"/>
    </row>
    <row r="12804" spans="1:1" x14ac:dyDescent="0.25">
      <c r="A12804" s="16"/>
    </row>
    <row r="12805" spans="1:1" x14ac:dyDescent="0.25">
      <c r="A12805" s="16"/>
    </row>
    <row r="12806" spans="1:1" x14ac:dyDescent="0.25">
      <c r="A12806" s="16"/>
    </row>
    <row r="12807" spans="1:1" x14ac:dyDescent="0.25">
      <c r="A12807" s="16"/>
    </row>
    <row r="12808" spans="1:1" x14ac:dyDescent="0.25">
      <c r="A12808" s="16"/>
    </row>
    <row r="12809" spans="1:1" x14ac:dyDescent="0.25">
      <c r="A12809" s="16"/>
    </row>
    <row r="12810" spans="1:1" x14ac:dyDescent="0.25">
      <c r="A12810" s="16"/>
    </row>
    <row r="12811" spans="1:1" x14ac:dyDescent="0.25">
      <c r="A12811" s="16"/>
    </row>
    <row r="12812" spans="1:1" x14ac:dyDescent="0.25">
      <c r="A12812" s="16"/>
    </row>
    <row r="12813" spans="1:1" x14ac:dyDescent="0.25">
      <c r="A12813" s="16"/>
    </row>
    <row r="12814" spans="1:1" x14ac:dyDescent="0.25">
      <c r="A12814" s="16"/>
    </row>
    <row r="12815" spans="1:1" x14ac:dyDescent="0.25">
      <c r="A12815" s="16"/>
    </row>
    <row r="12816" spans="1:1" x14ac:dyDescent="0.25">
      <c r="A12816" s="16"/>
    </row>
    <row r="12817" spans="1:1" x14ac:dyDescent="0.25">
      <c r="A12817" s="16"/>
    </row>
    <row r="12818" spans="1:1" x14ac:dyDescent="0.25">
      <c r="A12818" s="16"/>
    </row>
    <row r="12819" spans="1:1" x14ac:dyDescent="0.25">
      <c r="A12819" s="16"/>
    </row>
    <row r="12820" spans="1:1" x14ac:dyDescent="0.25">
      <c r="A12820" s="16"/>
    </row>
    <row r="12821" spans="1:1" x14ac:dyDescent="0.25">
      <c r="A12821" s="16"/>
    </row>
    <row r="12822" spans="1:1" x14ac:dyDescent="0.25">
      <c r="A12822" s="16"/>
    </row>
    <row r="12823" spans="1:1" x14ac:dyDescent="0.25">
      <c r="A12823" s="16"/>
    </row>
    <row r="12824" spans="1:1" x14ac:dyDescent="0.25">
      <c r="A12824" s="16"/>
    </row>
    <row r="12825" spans="1:1" x14ac:dyDescent="0.25">
      <c r="A12825" s="16"/>
    </row>
    <row r="12826" spans="1:1" x14ac:dyDescent="0.25">
      <c r="A12826" s="16"/>
    </row>
    <row r="12827" spans="1:1" x14ac:dyDescent="0.25">
      <c r="A12827" s="16"/>
    </row>
    <row r="12828" spans="1:1" x14ac:dyDescent="0.25">
      <c r="A12828" s="16"/>
    </row>
    <row r="12829" spans="1:1" x14ac:dyDescent="0.25">
      <c r="A12829" s="16"/>
    </row>
    <row r="12830" spans="1:1" x14ac:dyDescent="0.25">
      <c r="A12830" s="16"/>
    </row>
    <row r="12831" spans="1:1" x14ac:dyDescent="0.25">
      <c r="A12831" s="16"/>
    </row>
    <row r="12832" spans="1:1" x14ac:dyDescent="0.25">
      <c r="A12832" s="16"/>
    </row>
    <row r="12833" spans="1:1" x14ac:dyDescent="0.25">
      <c r="A12833" s="16"/>
    </row>
    <row r="12834" spans="1:1" x14ac:dyDescent="0.25">
      <c r="A12834" s="16"/>
    </row>
    <row r="12835" spans="1:1" x14ac:dyDescent="0.25">
      <c r="A12835" s="16"/>
    </row>
    <row r="12836" spans="1:1" x14ac:dyDescent="0.25">
      <c r="A12836" s="16"/>
    </row>
    <row r="12837" spans="1:1" x14ac:dyDescent="0.25">
      <c r="A12837" s="16"/>
    </row>
    <row r="12838" spans="1:1" x14ac:dyDescent="0.25">
      <c r="A12838" s="16"/>
    </row>
    <row r="12839" spans="1:1" x14ac:dyDescent="0.25">
      <c r="A12839" s="16"/>
    </row>
    <row r="12840" spans="1:1" x14ac:dyDescent="0.25">
      <c r="A12840" s="16"/>
    </row>
    <row r="12841" spans="1:1" x14ac:dyDescent="0.25">
      <c r="A12841" s="16"/>
    </row>
    <row r="12842" spans="1:1" x14ac:dyDescent="0.25">
      <c r="A12842" s="16"/>
    </row>
    <row r="12843" spans="1:1" x14ac:dyDescent="0.25">
      <c r="A12843" s="16"/>
    </row>
    <row r="12844" spans="1:1" x14ac:dyDescent="0.25">
      <c r="A12844" s="16"/>
    </row>
    <row r="12845" spans="1:1" x14ac:dyDescent="0.25">
      <c r="A12845" s="16"/>
    </row>
    <row r="12846" spans="1:1" x14ac:dyDescent="0.25">
      <c r="A12846" s="16"/>
    </row>
    <row r="12847" spans="1:1" x14ac:dyDescent="0.25">
      <c r="A12847" s="16"/>
    </row>
    <row r="12848" spans="1:1" x14ac:dyDescent="0.25">
      <c r="A12848" s="16"/>
    </row>
    <row r="12849" spans="1:1" x14ac:dyDescent="0.25">
      <c r="A12849" s="16"/>
    </row>
    <row r="12850" spans="1:1" x14ac:dyDescent="0.25">
      <c r="A12850" s="16"/>
    </row>
    <row r="12851" spans="1:1" x14ac:dyDescent="0.25">
      <c r="A12851" s="16"/>
    </row>
    <row r="12852" spans="1:1" x14ac:dyDescent="0.25">
      <c r="A12852" s="16"/>
    </row>
    <row r="12853" spans="1:1" x14ac:dyDescent="0.25">
      <c r="A12853" s="16"/>
    </row>
    <row r="12854" spans="1:1" x14ac:dyDescent="0.25">
      <c r="A12854" s="16"/>
    </row>
    <row r="12855" spans="1:1" x14ac:dyDescent="0.25">
      <c r="A12855" s="16"/>
    </row>
    <row r="12856" spans="1:1" x14ac:dyDescent="0.25">
      <c r="A12856" s="16"/>
    </row>
    <row r="12857" spans="1:1" x14ac:dyDescent="0.25">
      <c r="A12857" s="16"/>
    </row>
    <row r="12858" spans="1:1" x14ac:dyDescent="0.25">
      <c r="A12858" s="16"/>
    </row>
    <row r="12859" spans="1:1" x14ac:dyDescent="0.25">
      <c r="A12859" s="16"/>
    </row>
    <row r="12860" spans="1:1" x14ac:dyDescent="0.25">
      <c r="A12860" s="16"/>
    </row>
    <row r="12861" spans="1:1" x14ac:dyDescent="0.25">
      <c r="A12861" s="16"/>
    </row>
    <row r="12862" spans="1:1" x14ac:dyDescent="0.25">
      <c r="A12862" s="16"/>
    </row>
    <row r="12863" spans="1:1" x14ac:dyDescent="0.25">
      <c r="A12863" s="16"/>
    </row>
    <row r="12864" spans="1:1" x14ac:dyDescent="0.25">
      <c r="A12864" s="16"/>
    </row>
    <row r="12865" spans="1:1" x14ac:dyDescent="0.25">
      <c r="A12865" s="16"/>
    </row>
    <row r="12866" spans="1:1" x14ac:dyDescent="0.25">
      <c r="A12866" s="16"/>
    </row>
    <row r="12867" spans="1:1" x14ac:dyDescent="0.25">
      <c r="A12867" s="16"/>
    </row>
    <row r="12868" spans="1:1" x14ac:dyDescent="0.25">
      <c r="A12868" s="16"/>
    </row>
    <row r="12869" spans="1:1" x14ac:dyDescent="0.25">
      <c r="A12869" s="16"/>
    </row>
    <row r="12870" spans="1:1" x14ac:dyDescent="0.25">
      <c r="A12870" s="16"/>
    </row>
    <row r="12871" spans="1:1" x14ac:dyDescent="0.25">
      <c r="A12871" s="16"/>
    </row>
    <row r="12872" spans="1:1" x14ac:dyDescent="0.25">
      <c r="A12872" s="16"/>
    </row>
    <row r="12873" spans="1:1" x14ac:dyDescent="0.25">
      <c r="A12873" s="16"/>
    </row>
    <row r="12874" spans="1:1" x14ac:dyDescent="0.25">
      <c r="A12874" s="16"/>
    </row>
    <row r="12875" spans="1:1" x14ac:dyDescent="0.25">
      <c r="A12875" s="16"/>
    </row>
    <row r="12876" spans="1:1" x14ac:dyDescent="0.25">
      <c r="A12876" s="16"/>
    </row>
    <row r="12877" spans="1:1" x14ac:dyDescent="0.25">
      <c r="A12877" s="16"/>
    </row>
    <row r="12878" spans="1:1" x14ac:dyDescent="0.25">
      <c r="A12878" s="16"/>
    </row>
    <row r="12879" spans="1:1" x14ac:dyDescent="0.25">
      <c r="A12879" s="16"/>
    </row>
    <row r="12880" spans="1:1" x14ac:dyDescent="0.25">
      <c r="A12880" s="16"/>
    </row>
    <row r="12881" spans="1:1" x14ac:dyDescent="0.25">
      <c r="A12881" s="16"/>
    </row>
    <row r="12882" spans="1:1" x14ac:dyDescent="0.25">
      <c r="A12882" s="16"/>
    </row>
    <row r="12883" spans="1:1" x14ac:dyDescent="0.25">
      <c r="A12883" s="16"/>
    </row>
    <row r="12884" spans="1:1" x14ac:dyDescent="0.25">
      <c r="A12884" s="16"/>
    </row>
    <row r="12885" spans="1:1" x14ac:dyDescent="0.25">
      <c r="A12885" s="16"/>
    </row>
    <row r="12886" spans="1:1" x14ac:dyDescent="0.25">
      <c r="A12886" s="16"/>
    </row>
    <row r="12887" spans="1:1" x14ac:dyDescent="0.25">
      <c r="A12887" s="16"/>
    </row>
    <row r="12888" spans="1:1" x14ac:dyDescent="0.25">
      <c r="A12888" s="16"/>
    </row>
    <row r="12889" spans="1:1" x14ac:dyDescent="0.25">
      <c r="A12889" s="16"/>
    </row>
    <row r="12890" spans="1:1" x14ac:dyDescent="0.25">
      <c r="A12890" s="16"/>
    </row>
    <row r="12891" spans="1:1" x14ac:dyDescent="0.25">
      <c r="A12891" s="16"/>
    </row>
    <row r="12892" spans="1:1" x14ac:dyDescent="0.25">
      <c r="A12892" s="16"/>
    </row>
    <row r="12893" spans="1:1" x14ac:dyDescent="0.25">
      <c r="A12893" s="16"/>
    </row>
    <row r="12894" spans="1:1" x14ac:dyDescent="0.25">
      <c r="A12894" s="16"/>
    </row>
    <row r="12895" spans="1:1" x14ac:dyDescent="0.25">
      <c r="A12895" s="16"/>
    </row>
    <row r="12896" spans="1:1" x14ac:dyDescent="0.25">
      <c r="A12896" s="16"/>
    </row>
    <row r="12897" spans="1:1" x14ac:dyDescent="0.25">
      <c r="A12897" s="16"/>
    </row>
    <row r="12898" spans="1:1" x14ac:dyDescent="0.25">
      <c r="A12898" s="16"/>
    </row>
    <row r="12899" spans="1:1" x14ac:dyDescent="0.25">
      <c r="A12899" s="16"/>
    </row>
    <row r="12900" spans="1:1" x14ac:dyDescent="0.25">
      <c r="A12900" s="16"/>
    </row>
    <row r="12901" spans="1:1" x14ac:dyDescent="0.25">
      <c r="A12901" s="16"/>
    </row>
    <row r="12902" spans="1:1" x14ac:dyDescent="0.25">
      <c r="A12902" s="16"/>
    </row>
    <row r="12903" spans="1:1" x14ac:dyDescent="0.25">
      <c r="A12903" s="16"/>
    </row>
    <row r="12904" spans="1:1" x14ac:dyDescent="0.25">
      <c r="A12904" s="16"/>
    </row>
    <row r="12905" spans="1:1" x14ac:dyDescent="0.25">
      <c r="A12905" s="16"/>
    </row>
    <row r="12906" spans="1:1" x14ac:dyDescent="0.25">
      <c r="A12906" s="16"/>
    </row>
    <row r="12907" spans="1:1" x14ac:dyDescent="0.25">
      <c r="A12907" s="16"/>
    </row>
    <row r="12908" spans="1:1" x14ac:dyDescent="0.25">
      <c r="A12908" s="16"/>
    </row>
    <row r="12909" spans="1:1" x14ac:dyDescent="0.25">
      <c r="A12909" s="16"/>
    </row>
    <row r="12910" spans="1:1" x14ac:dyDescent="0.25">
      <c r="A12910" s="16"/>
    </row>
    <row r="12911" spans="1:1" x14ac:dyDescent="0.25">
      <c r="A12911" s="16"/>
    </row>
    <row r="12912" spans="1:1" x14ac:dyDescent="0.25">
      <c r="A12912" s="16"/>
    </row>
    <row r="12913" spans="1:1" x14ac:dyDescent="0.25">
      <c r="A12913" s="16"/>
    </row>
    <row r="12914" spans="1:1" x14ac:dyDescent="0.25">
      <c r="A12914" s="16"/>
    </row>
    <row r="12915" spans="1:1" x14ac:dyDescent="0.25">
      <c r="A12915" s="16"/>
    </row>
    <row r="12916" spans="1:1" x14ac:dyDescent="0.25">
      <c r="A12916" s="16"/>
    </row>
    <row r="12917" spans="1:1" x14ac:dyDescent="0.25">
      <c r="A12917" s="16"/>
    </row>
    <row r="12918" spans="1:1" x14ac:dyDescent="0.25">
      <c r="A12918" s="16"/>
    </row>
    <row r="12919" spans="1:1" x14ac:dyDescent="0.25">
      <c r="A12919" s="16"/>
    </row>
    <row r="12920" spans="1:1" x14ac:dyDescent="0.25">
      <c r="A12920" s="16"/>
    </row>
    <row r="12921" spans="1:1" x14ac:dyDescent="0.25">
      <c r="A12921" s="16"/>
    </row>
    <row r="12922" spans="1:1" x14ac:dyDescent="0.25">
      <c r="A12922" s="16"/>
    </row>
    <row r="12923" spans="1:1" x14ac:dyDescent="0.25">
      <c r="A12923" s="16"/>
    </row>
    <row r="12924" spans="1:1" x14ac:dyDescent="0.25">
      <c r="A12924" s="16"/>
    </row>
    <row r="12925" spans="1:1" x14ac:dyDescent="0.25">
      <c r="A12925" s="16"/>
    </row>
    <row r="12926" spans="1:1" x14ac:dyDescent="0.25">
      <c r="A12926" s="16"/>
    </row>
    <row r="12927" spans="1:1" x14ac:dyDescent="0.25">
      <c r="A12927" s="16"/>
    </row>
    <row r="12928" spans="1:1" x14ac:dyDescent="0.25">
      <c r="A12928" s="16"/>
    </row>
    <row r="12929" spans="1:1" x14ac:dyDescent="0.25">
      <c r="A12929" s="16"/>
    </row>
    <row r="12930" spans="1:1" x14ac:dyDescent="0.25">
      <c r="A12930" s="16"/>
    </row>
    <row r="12931" spans="1:1" x14ac:dyDescent="0.25">
      <c r="A12931" s="16"/>
    </row>
    <row r="12932" spans="1:1" x14ac:dyDescent="0.25">
      <c r="A12932" s="16"/>
    </row>
    <row r="12933" spans="1:1" x14ac:dyDescent="0.25">
      <c r="A12933" s="16"/>
    </row>
    <row r="12934" spans="1:1" x14ac:dyDescent="0.25">
      <c r="A12934" s="16"/>
    </row>
    <row r="12935" spans="1:1" x14ac:dyDescent="0.25">
      <c r="A12935" s="16"/>
    </row>
    <row r="12936" spans="1:1" x14ac:dyDescent="0.25">
      <c r="A12936" s="16"/>
    </row>
    <row r="12937" spans="1:1" x14ac:dyDescent="0.25">
      <c r="A12937" s="16"/>
    </row>
    <row r="12938" spans="1:1" x14ac:dyDescent="0.25">
      <c r="A12938" s="16"/>
    </row>
    <row r="12939" spans="1:1" x14ac:dyDescent="0.25">
      <c r="A12939" s="16"/>
    </row>
    <row r="12940" spans="1:1" x14ac:dyDescent="0.25">
      <c r="A12940" s="16"/>
    </row>
    <row r="12941" spans="1:1" x14ac:dyDescent="0.25">
      <c r="A12941" s="16"/>
    </row>
    <row r="12942" spans="1:1" x14ac:dyDescent="0.25">
      <c r="A12942" s="16"/>
    </row>
    <row r="12943" spans="1:1" x14ac:dyDescent="0.25">
      <c r="A12943" s="16"/>
    </row>
    <row r="12944" spans="1:1" x14ac:dyDescent="0.25">
      <c r="A12944" s="16"/>
    </row>
    <row r="12945" spans="1:1" x14ac:dyDescent="0.25">
      <c r="A12945" s="16"/>
    </row>
    <row r="12946" spans="1:1" x14ac:dyDescent="0.25">
      <c r="A12946" s="16"/>
    </row>
    <row r="12947" spans="1:1" x14ac:dyDescent="0.25">
      <c r="A12947" s="16"/>
    </row>
    <row r="12948" spans="1:1" x14ac:dyDescent="0.25">
      <c r="A12948" s="16"/>
    </row>
    <row r="12949" spans="1:1" x14ac:dyDescent="0.25">
      <c r="A12949" s="16"/>
    </row>
    <row r="12950" spans="1:1" x14ac:dyDescent="0.25">
      <c r="A12950" s="16"/>
    </row>
    <row r="12951" spans="1:1" x14ac:dyDescent="0.25">
      <c r="A12951" s="16"/>
    </row>
    <row r="12952" spans="1:1" x14ac:dyDescent="0.25">
      <c r="A12952" s="16"/>
    </row>
    <row r="12953" spans="1:1" x14ac:dyDescent="0.25">
      <c r="A12953" s="16"/>
    </row>
    <row r="12954" spans="1:1" x14ac:dyDescent="0.25">
      <c r="A12954" s="16"/>
    </row>
    <row r="12955" spans="1:1" x14ac:dyDescent="0.25">
      <c r="A12955" s="16"/>
    </row>
    <row r="12956" spans="1:1" x14ac:dyDescent="0.25">
      <c r="A12956" s="16"/>
    </row>
    <row r="12957" spans="1:1" x14ac:dyDescent="0.25">
      <c r="A12957" s="16"/>
    </row>
    <row r="12958" spans="1:1" x14ac:dyDescent="0.25">
      <c r="A12958" s="16"/>
    </row>
    <row r="12959" spans="1:1" x14ac:dyDescent="0.25">
      <c r="A12959" s="16"/>
    </row>
    <row r="12960" spans="1:1" x14ac:dyDescent="0.25">
      <c r="A12960" s="16"/>
    </row>
    <row r="12961" spans="1:1" x14ac:dyDescent="0.25">
      <c r="A12961" s="16"/>
    </row>
    <row r="12962" spans="1:1" x14ac:dyDescent="0.25">
      <c r="A12962" s="16"/>
    </row>
    <row r="12963" spans="1:1" x14ac:dyDescent="0.25">
      <c r="A12963" s="16"/>
    </row>
    <row r="12964" spans="1:1" x14ac:dyDescent="0.25">
      <c r="A12964" s="16"/>
    </row>
    <row r="12965" spans="1:1" x14ac:dyDescent="0.25">
      <c r="A12965" s="16"/>
    </row>
    <row r="12966" spans="1:1" x14ac:dyDescent="0.25">
      <c r="A12966" s="16"/>
    </row>
    <row r="12967" spans="1:1" x14ac:dyDescent="0.25">
      <c r="A12967" s="16"/>
    </row>
    <row r="12968" spans="1:1" x14ac:dyDescent="0.25">
      <c r="A12968" s="16"/>
    </row>
    <row r="12969" spans="1:1" x14ac:dyDescent="0.25">
      <c r="A12969" s="16"/>
    </row>
    <row r="12970" spans="1:1" x14ac:dyDescent="0.25">
      <c r="A12970" s="16"/>
    </row>
    <row r="12971" spans="1:1" x14ac:dyDescent="0.25">
      <c r="A12971" s="16"/>
    </row>
    <row r="12972" spans="1:1" x14ac:dyDescent="0.25">
      <c r="A12972" s="16"/>
    </row>
    <row r="12973" spans="1:1" x14ac:dyDescent="0.25">
      <c r="A12973" s="16"/>
    </row>
    <row r="12974" spans="1:1" x14ac:dyDescent="0.25">
      <c r="A12974" s="16"/>
    </row>
    <row r="12975" spans="1:1" x14ac:dyDescent="0.25">
      <c r="A12975" s="16"/>
    </row>
    <row r="12976" spans="1:1" x14ac:dyDescent="0.25">
      <c r="A12976" s="16"/>
    </row>
    <row r="12977" spans="1:1" x14ac:dyDescent="0.25">
      <c r="A12977" s="16"/>
    </row>
    <row r="12978" spans="1:1" x14ac:dyDescent="0.25">
      <c r="A12978" s="16"/>
    </row>
    <row r="12979" spans="1:1" x14ac:dyDescent="0.25">
      <c r="A12979" s="16"/>
    </row>
    <row r="12980" spans="1:1" x14ac:dyDescent="0.25">
      <c r="A12980" s="16"/>
    </row>
    <row r="12981" spans="1:1" x14ac:dyDescent="0.25">
      <c r="A12981" s="16"/>
    </row>
    <row r="12982" spans="1:1" x14ac:dyDescent="0.25">
      <c r="A12982" s="16"/>
    </row>
    <row r="12983" spans="1:1" x14ac:dyDescent="0.25">
      <c r="A12983" s="16"/>
    </row>
    <row r="12984" spans="1:1" x14ac:dyDescent="0.25">
      <c r="A12984" s="16"/>
    </row>
    <row r="12985" spans="1:1" x14ac:dyDescent="0.25">
      <c r="A12985" s="16"/>
    </row>
    <row r="12986" spans="1:1" x14ac:dyDescent="0.25">
      <c r="A12986" s="16"/>
    </row>
    <row r="12987" spans="1:1" x14ac:dyDescent="0.25">
      <c r="A12987" s="16"/>
    </row>
    <row r="12988" spans="1:1" x14ac:dyDescent="0.25">
      <c r="A12988" s="16"/>
    </row>
    <row r="12989" spans="1:1" x14ac:dyDescent="0.25">
      <c r="A12989" s="16"/>
    </row>
    <row r="12990" spans="1:1" x14ac:dyDescent="0.25">
      <c r="A12990" s="16"/>
    </row>
    <row r="12991" spans="1:1" x14ac:dyDescent="0.25">
      <c r="A12991" s="16"/>
    </row>
    <row r="12992" spans="1:1" x14ac:dyDescent="0.25">
      <c r="A12992" s="16"/>
    </row>
    <row r="12993" spans="1:1" x14ac:dyDescent="0.25">
      <c r="A12993" s="16"/>
    </row>
    <row r="12994" spans="1:1" x14ac:dyDescent="0.25">
      <c r="A12994" s="16"/>
    </row>
    <row r="12995" spans="1:1" x14ac:dyDescent="0.25">
      <c r="A12995" s="16"/>
    </row>
    <row r="12996" spans="1:1" x14ac:dyDescent="0.25">
      <c r="A12996" s="16"/>
    </row>
    <row r="12997" spans="1:1" x14ac:dyDescent="0.25">
      <c r="A12997" s="16"/>
    </row>
    <row r="12998" spans="1:1" x14ac:dyDescent="0.25">
      <c r="A12998" s="16"/>
    </row>
    <row r="12999" spans="1:1" x14ac:dyDescent="0.25">
      <c r="A12999" s="16"/>
    </row>
    <row r="13000" spans="1:1" x14ac:dyDescent="0.25">
      <c r="A13000" s="16"/>
    </row>
    <row r="13001" spans="1:1" x14ac:dyDescent="0.25">
      <c r="A13001" s="16"/>
    </row>
    <row r="13002" spans="1:1" x14ac:dyDescent="0.25">
      <c r="A13002" s="16"/>
    </row>
    <row r="13003" spans="1:1" x14ac:dyDescent="0.25">
      <c r="A13003" s="16"/>
    </row>
    <row r="13004" spans="1:1" x14ac:dyDescent="0.25">
      <c r="A13004" s="16"/>
    </row>
    <row r="13005" spans="1:1" x14ac:dyDescent="0.25">
      <c r="A13005" s="16"/>
    </row>
    <row r="13006" spans="1:1" x14ac:dyDescent="0.25">
      <c r="A13006" s="16"/>
    </row>
    <row r="13007" spans="1:1" x14ac:dyDescent="0.25">
      <c r="A13007" s="16"/>
    </row>
    <row r="13008" spans="1:1" x14ac:dyDescent="0.25">
      <c r="A13008" s="16"/>
    </row>
    <row r="13009" spans="1:1" x14ac:dyDescent="0.25">
      <c r="A13009" s="16"/>
    </row>
    <row r="13010" spans="1:1" x14ac:dyDescent="0.25">
      <c r="A13010" s="16"/>
    </row>
    <row r="13011" spans="1:1" x14ac:dyDescent="0.25">
      <c r="A13011" s="16"/>
    </row>
    <row r="13012" spans="1:1" x14ac:dyDescent="0.25">
      <c r="A13012" s="16"/>
    </row>
    <row r="13013" spans="1:1" x14ac:dyDescent="0.25">
      <c r="A13013" s="16"/>
    </row>
    <row r="13014" spans="1:1" x14ac:dyDescent="0.25">
      <c r="A13014" s="16"/>
    </row>
    <row r="13015" spans="1:1" x14ac:dyDescent="0.25">
      <c r="A13015" s="16"/>
    </row>
    <row r="13016" spans="1:1" x14ac:dyDescent="0.25">
      <c r="A13016" s="16"/>
    </row>
    <row r="13017" spans="1:1" x14ac:dyDescent="0.25">
      <c r="A13017" s="16"/>
    </row>
    <row r="13018" spans="1:1" x14ac:dyDescent="0.25">
      <c r="A13018" s="16"/>
    </row>
    <row r="13019" spans="1:1" x14ac:dyDescent="0.25">
      <c r="A13019" s="16"/>
    </row>
    <row r="13020" spans="1:1" x14ac:dyDescent="0.25">
      <c r="A13020" s="16"/>
    </row>
    <row r="13021" spans="1:1" x14ac:dyDescent="0.25">
      <c r="A13021" s="16"/>
    </row>
    <row r="13022" spans="1:1" x14ac:dyDescent="0.25">
      <c r="A13022" s="16"/>
    </row>
    <row r="13023" spans="1:1" x14ac:dyDescent="0.25">
      <c r="A13023" s="16"/>
    </row>
    <row r="13024" spans="1:1" x14ac:dyDescent="0.25">
      <c r="A13024" s="16"/>
    </row>
    <row r="13025" spans="1:1" x14ac:dyDescent="0.25">
      <c r="A13025" s="16"/>
    </row>
    <row r="13026" spans="1:1" x14ac:dyDescent="0.25">
      <c r="A13026" s="16"/>
    </row>
    <row r="13027" spans="1:1" x14ac:dyDescent="0.25">
      <c r="A13027" s="16"/>
    </row>
    <row r="13028" spans="1:1" x14ac:dyDescent="0.25">
      <c r="A13028" s="16"/>
    </row>
    <row r="13029" spans="1:1" x14ac:dyDescent="0.25">
      <c r="A13029" s="16"/>
    </row>
    <row r="13030" spans="1:1" x14ac:dyDescent="0.25">
      <c r="A13030" s="16"/>
    </row>
    <row r="13031" spans="1:1" x14ac:dyDescent="0.25">
      <c r="A13031" s="16"/>
    </row>
    <row r="13032" spans="1:1" x14ac:dyDescent="0.25">
      <c r="A13032" s="16"/>
    </row>
    <row r="13033" spans="1:1" x14ac:dyDescent="0.25">
      <c r="A13033" s="16"/>
    </row>
    <row r="13034" spans="1:1" x14ac:dyDescent="0.25">
      <c r="A13034" s="16"/>
    </row>
    <row r="13035" spans="1:1" x14ac:dyDescent="0.25">
      <c r="A13035" s="16"/>
    </row>
    <row r="13036" spans="1:1" x14ac:dyDescent="0.25">
      <c r="A13036" s="16"/>
    </row>
    <row r="13037" spans="1:1" x14ac:dyDescent="0.25">
      <c r="A13037" s="16"/>
    </row>
    <row r="13038" spans="1:1" x14ac:dyDescent="0.25">
      <c r="A13038" s="16"/>
    </row>
    <row r="13039" spans="1:1" x14ac:dyDescent="0.25">
      <c r="A13039" s="16"/>
    </row>
    <row r="13040" spans="1:1" x14ac:dyDescent="0.25">
      <c r="A13040" s="16"/>
    </row>
    <row r="13041" spans="1:1" x14ac:dyDescent="0.25">
      <c r="A13041" s="16"/>
    </row>
    <row r="13042" spans="1:1" x14ac:dyDescent="0.25">
      <c r="A13042" s="16"/>
    </row>
    <row r="13043" spans="1:1" x14ac:dyDescent="0.25">
      <c r="A13043" s="16"/>
    </row>
    <row r="13044" spans="1:1" x14ac:dyDescent="0.25">
      <c r="A13044" s="16"/>
    </row>
    <row r="13045" spans="1:1" x14ac:dyDescent="0.25">
      <c r="A13045" s="16"/>
    </row>
    <row r="13046" spans="1:1" x14ac:dyDescent="0.25">
      <c r="A13046" s="16"/>
    </row>
    <row r="13047" spans="1:1" x14ac:dyDescent="0.25">
      <c r="A13047" s="16"/>
    </row>
    <row r="13048" spans="1:1" x14ac:dyDescent="0.25">
      <c r="A13048" s="16"/>
    </row>
    <row r="13049" spans="1:1" x14ac:dyDescent="0.25">
      <c r="A13049" s="16"/>
    </row>
    <row r="13050" spans="1:1" x14ac:dyDescent="0.25">
      <c r="A13050" s="16"/>
    </row>
    <row r="13051" spans="1:1" x14ac:dyDescent="0.25">
      <c r="A13051" s="16"/>
    </row>
    <row r="13052" spans="1:1" x14ac:dyDescent="0.25">
      <c r="A13052" s="16"/>
    </row>
    <row r="13053" spans="1:1" x14ac:dyDescent="0.25">
      <c r="A13053" s="16"/>
    </row>
    <row r="13054" spans="1:1" x14ac:dyDescent="0.25">
      <c r="A13054" s="16"/>
    </row>
    <row r="13055" spans="1:1" x14ac:dyDescent="0.25">
      <c r="A13055" s="16"/>
    </row>
    <row r="13056" spans="1:1" x14ac:dyDescent="0.25">
      <c r="A13056" s="16"/>
    </row>
    <row r="13057" spans="1:1" x14ac:dyDescent="0.25">
      <c r="A13057" s="16"/>
    </row>
    <row r="13058" spans="1:1" x14ac:dyDescent="0.25">
      <c r="A13058" s="16"/>
    </row>
    <row r="13059" spans="1:1" x14ac:dyDescent="0.25">
      <c r="A13059" s="16"/>
    </row>
    <row r="13060" spans="1:1" x14ac:dyDescent="0.25">
      <c r="A13060" s="16"/>
    </row>
    <row r="13061" spans="1:1" x14ac:dyDescent="0.25">
      <c r="A13061" s="16"/>
    </row>
    <row r="13062" spans="1:1" x14ac:dyDescent="0.25">
      <c r="A13062" s="16"/>
    </row>
    <row r="13063" spans="1:1" x14ac:dyDescent="0.25">
      <c r="A13063" s="16"/>
    </row>
    <row r="13064" spans="1:1" x14ac:dyDescent="0.25">
      <c r="A13064" s="16"/>
    </row>
    <row r="13065" spans="1:1" x14ac:dyDescent="0.25">
      <c r="A13065" s="16"/>
    </row>
    <row r="13066" spans="1:1" x14ac:dyDescent="0.25">
      <c r="A13066" s="16"/>
    </row>
    <row r="13067" spans="1:1" x14ac:dyDescent="0.25">
      <c r="A13067" s="16"/>
    </row>
    <row r="13068" spans="1:1" x14ac:dyDescent="0.25">
      <c r="A13068" s="16"/>
    </row>
    <row r="13069" spans="1:1" x14ac:dyDescent="0.25">
      <c r="A13069" s="16"/>
    </row>
    <row r="13070" spans="1:1" x14ac:dyDescent="0.25">
      <c r="A13070" s="16"/>
    </row>
    <row r="13071" spans="1:1" x14ac:dyDescent="0.25">
      <c r="A13071" s="16"/>
    </row>
    <row r="13072" spans="1:1" x14ac:dyDescent="0.25">
      <c r="A13072" s="16"/>
    </row>
    <row r="13073" spans="1:1" x14ac:dyDescent="0.25">
      <c r="A13073" s="16"/>
    </row>
    <row r="13074" spans="1:1" x14ac:dyDescent="0.25">
      <c r="A13074" s="16"/>
    </row>
    <row r="13075" spans="1:1" x14ac:dyDescent="0.25">
      <c r="A13075" s="16"/>
    </row>
    <row r="13076" spans="1:1" x14ac:dyDescent="0.25">
      <c r="A13076" s="16"/>
    </row>
    <row r="13077" spans="1:1" x14ac:dyDescent="0.25">
      <c r="A13077" s="16"/>
    </row>
    <row r="13078" spans="1:1" x14ac:dyDescent="0.25">
      <c r="A13078" s="16"/>
    </row>
    <row r="13079" spans="1:1" x14ac:dyDescent="0.25">
      <c r="A13079" s="16"/>
    </row>
    <row r="13080" spans="1:1" x14ac:dyDescent="0.25">
      <c r="A13080" s="16"/>
    </row>
    <row r="13081" spans="1:1" x14ac:dyDescent="0.25">
      <c r="A13081" s="16"/>
    </row>
    <row r="13082" spans="1:1" x14ac:dyDescent="0.25">
      <c r="A13082" s="16"/>
    </row>
    <row r="13083" spans="1:1" x14ac:dyDescent="0.25">
      <c r="A13083" s="16"/>
    </row>
    <row r="13084" spans="1:1" x14ac:dyDescent="0.25">
      <c r="A13084" s="16"/>
    </row>
    <row r="13085" spans="1:1" x14ac:dyDescent="0.25">
      <c r="A13085" s="16"/>
    </row>
    <row r="13086" spans="1:1" x14ac:dyDescent="0.25">
      <c r="A13086" s="16"/>
    </row>
    <row r="13087" spans="1:1" x14ac:dyDescent="0.25">
      <c r="A13087" s="16"/>
    </row>
    <row r="13088" spans="1:1" x14ac:dyDescent="0.25">
      <c r="A13088" s="16"/>
    </row>
    <row r="13089" spans="1:1" x14ac:dyDescent="0.25">
      <c r="A13089" s="16"/>
    </row>
    <row r="13090" spans="1:1" x14ac:dyDescent="0.25">
      <c r="A13090" s="16"/>
    </row>
    <row r="13091" spans="1:1" x14ac:dyDescent="0.25">
      <c r="A13091" s="16"/>
    </row>
    <row r="13092" spans="1:1" x14ac:dyDescent="0.25">
      <c r="A13092" s="16"/>
    </row>
    <row r="13093" spans="1:1" x14ac:dyDescent="0.25">
      <c r="A13093" s="16"/>
    </row>
    <row r="13094" spans="1:1" x14ac:dyDescent="0.25">
      <c r="A13094" s="16"/>
    </row>
    <row r="13095" spans="1:1" x14ac:dyDescent="0.25">
      <c r="A13095" s="16"/>
    </row>
    <row r="13096" spans="1:1" x14ac:dyDescent="0.25">
      <c r="A13096" s="16"/>
    </row>
    <row r="13097" spans="1:1" x14ac:dyDescent="0.25">
      <c r="A13097" s="16"/>
    </row>
    <row r="13098" spans="1:1" x14ac:dyDescent="0.25">
      <c r="A13098" s="16"/>
    </row>
    <row r="13099" spans="1:1" x14ac:dyDescent="0.25">
      <c r="A13099" s="16"/>
    </row>
    <row r="13100" spans="1:1" x14ac:dyDescent="0.25">
      <c r="A13100" s="16"/>
    </row>
    <row r="13101" spans="1:1" x14ac:dyDescent="0.25">
      <c r="A13101" s="16"/>
    </row>
    <row r="13102" spans="1:1" x14ac:dyDescent="0.25">
      <c r="A13102" s="16"/>
    </row>
    <row r="13103" spans="1:1" x14ac:dyDescent="0.25">
      <c r="A13103" s="16"/>
    </row>
    <row r="13104" spans="1:1" x14ac:dyDescent="0.25">
      <c r="A13104" s="16"/>
    </row>
    <row r="13105" spans="1:1" x14ac:dyDescent="0.25">
      <c r="A13105" s="16"/>
    </row>
    <row r="13106" spans="1:1" x14ac:dyDescent="0.25">
      <c r="A13106" s="16"/>
    </row>
    <row r="13107" spans="1:1" x14ac:dyDescent="0.25">
      <c r="A13107" s="16"/>
    </row>
    <row r="13108" spans="1:1" x14ac:dyDescent="0.25">
      <c r="A13108" s="16"/>
    </row>
    <row r="13109" spans="1:1" x14ac:dyDescent="0.25">
      <c r="A13109" s="16"/>
    </row>
    <row r="13110" spans="1:1" x14ac:dyDescent="0.25">
      <c r="A13110" s="16"/>
    </row>
    <row r="13111" spans="1:1" x14ac:dyDescent="0.25">
      <c r="A13111" s="16"/>
    </row>
    <row r="13112" spans="1:1" x14ac:dyDescent="0.25">
      <c r="A13112" s="16"/>
    </row>
    <row r="13113" spans="1:1" x14ac:dyDescent="0.25">
      <c r="A13113" s="16"/>
    </row>
    <row r="13114" spans="1:1" x14ac:dyDescent="0.25">
      <c r="A13114" s="16"/>
    </row>
    <row r="13115" spans="1:1" x14ac:dyDescent="0.25">
      <c r="A13115" s="16"/>
    </row>
    <row r="13116" spans="1:1" x14ac:dyDescent="0.25">
      <c r="A13116" s="16"/>
    </row>
    <row r="13117" spans="1:1" x14ac:dyDescent="0.25">
      <c r="A13117" s="16"/>
    </row>
    <row r="13118" spans="1:1" x14ac:dyDescent="0.25">
      <c r="A13118" s="16"/>
    </row>
    <row r="13119" spans="1:1" x14ac:dyDescent="0.25">
      <c r="A13119" s="16"/>
    </row>
    <row r="13120" spans="1:1" x14ac:dyDescent="0.25">
      <c r="A13120" s="16"/>
    </row>
    <row r="13121" spans="1:1" x14ac:dyDescent="0.25">
      <c r="A13121" s="16"/>
    </row>
    <row r="13122" spans="1:1" x14ac:dyDescent="0.25">
      <c r="A13122" s="16"/>
    </row>
    <row r="13123" spans="1:1" x14ac:dyDescent="0.25">
      <c r="A13123" s="16"/>
    </row>
    <row r="13124" spans="1:1" x14ac:dyDescent="0.25">
      <c r="A13124" s="16"/>
    </row>
    <row r="13125" spans="1:1" x14ac:dyDescent="0.25">
      <c r="A13125" s="16"/>
    </row>
    <row r="13126" spans="1:1" x14ac:dyDescent="0.25">
      <c r="A13126" s="16"/>
    </row>
    <row r="13127" spans="1:1" x14ac:dyDescent="0.25">
      <c r="A13127" s="16"/>
    </row>
    <row r="13128" spans="1:1" x14ac:dyDescent="0.25">
      <c r="A13128" s="16"/>
    </row>
    <row r="13129" spans="1:1" x14ac:dyDescent="0.25">
      <c r="A13129" s="16"/>
    </row>
    <row r="13130" spans="1:1" x14ac:dyDescent="0.25">
      <c r="A13130" s="16"/>
    </row>
    <row r="13131" spans="1:1" x14ac:dyDescent="0.25">
      <c r="A13131" s="16"/>
    </row>
    <row r="13132" spans="1:1" x14ac:dyDescent="0.25">
      <c r="A13132" s="16"/>
    </row>
    <row r="13133" spans="1:1" x14ac:dyDescent="0.25">
      <c r="A13133" s="16"/>
    </row>
    <row r="13134" spans="1:1" x14ac:dyDescent="0.25">
      <c r="A13134" s="16"/>
    </row>
    <row r="13135" spans="1:1" x14ac:dyDescent="0.25">
      <c r="A13135" s="16"/>
    </row>
    <row r="13136" spans="1:1" x14ac:dyDescent="0.25">
      <c r="A13136" s="16"/>
    </row>
    <row r="13137" spans="1:1" x14ac:dyDescent="0.25">
      <c r="A13137" s="16"/>
    </row>
    <row r="13138" spans="1:1" x14ac:dyDescent="0.25">
      <c r="A13138" s="16"/>
    </row>
    <row r="13139" spans="1:1" x14ac:dyDescent="0.25">
      <c r="A13139" s="16"/>
    </row>
    <row r="13140" spans="1:1" x14ac:dyDescent="0.25">
      <c r="A13140" s="16"/>
    </row>
    <row r="13141" spans="1:1" x14ac:dyDescent="0.25">
      <c r="A13141" s="16"/>
    </row>
    <row r="13142" spans="1:1" x14ac:dyDescent="0.25">
      <c r="A13142" s="16"/>
    </row>
    <row r="13143" spans="1:1" x14ac:dyDescent="0.25">
      <c r="A13143" s="16"/>
    </row>
    <row r="13144" spans="1:1" x14ac:dyDescent="0.25">
      <c r="A13144" s="16"/>
    </row>
    <row r="13145" spans="1:1" x14ac:dyDescent="0.25">
      <c r="A13145" s="16"/>
    </row>
    <row r="13146" spans="1:1" x14ac:dyDescent="0.25">
      <c r="A13146" s="16"/>
    </row>
    <row r="13147" spans="1:1" x14ac:dyDescent="0.25">
      <c r="A13147" s="16"/>
    </row>
    <row r="13148" spans="1:1" x14ac:dyDescent="0.25">
      <c r="A13148" s="16"/>
    </row>
    <row r="13149" spans="1:1" x14ac:dyDescent="0.25">
      <c r="A13149" s="16"/>
    </row>
    <row r="13150" spans="1:1" x14ac:dyDescent="0.25">
      <c r="A13150" s="16"/>
    </row>
    <row r="13151" spans="1:1" x14ac:dyDescent="0.25">
      <c r="A13151" s="16"/>
    </row>
    <row r="13152" spans="1:1" x14ac:dyDescent="0.25">
      <c r="A13152" s="16"/>
    </row>
    <row r="13153" spans="1:1" x14ac:dyDescent="0.25">
      <c r="A13153" s="16"/>
    </row>
    <row r="13154" spans="1:1" x14ac:dyDescent="0.25">
      <c r="A13154" s="16"/>
    </row>
    <row r="13155" spans="1:1" x14ac:dyDescent="0.25">
      <c r="A13155" s="16"/>
    </row>
    <row r="13156" spans="1:1" x14ac:dyDescent="0.25">
      <c r="A13156" s="16"/>
    </row>
    <row r="13157" spans="1:1" x14ac:dyDescent="0.25">
      <c r="A13157" s="16"/>
    </row>
    <row r="13158" spans="1:1" x14ac:dyDescent="0.25">
      <c r="A13158" s="16"/>
    </row>
    <row r="13159" spans="1:1" x14ac:dyDescent="0.25">
      <c r="A13159" s="16"/>
    </row>
    <row r="13160" spans="1:1" x14ac:dyDescent="0.25">
      <c r="A13160" s="16"/>
    </row>
    <row r="13161" spans="1:1" x14ac:dyDescent="0.25">
      <c r="A13161" s="16"/>
    </row>
    <row r="13162" spans="1:1" x14ac:dyDescent="0.25">
      <c r="A13162" s="16"/>
    </row>
    <row r="13163" spans="1:1" x14ac:dyDescent="0.25">
      <c r="A13163" s="16"/>
    </row>
    <row r="13164" spans="1:1" x14ac:dyDescent="0.25">
      <c r="A13164" s="16"/>
    </row>
    <row r="13165" spans="1:1" x14ac:dyDescent="0.25">
      <c r="A13165" s="16"/>
    </row>
    <row r="13166" spans="1:1" x14ac:dyDescent="0.25">
      <c r="A13166" s="16"/>
    </row>
    <row r="13167" spans="1:1" x14ac:dyDescent="0.25">
      <c r="A13167" s="16"/>
    </row>
    <row r="13168" spans="1:1" x14ac:dyDescent="0.25">
      <c r="A13168" s="16"/>
    </row>
    <row r="13169" spans="1:1" x14ac:dyDescent="0.25">
      <c r="A13169" s="16"/>
    </row>
    <row r="13170" spans="1:1" x14ac:dyDescent="0.25">
      <c r="A13170" s="16"/>
    </row>
    <row r="13171" spans="1:1" x14ac:dyDescent="0.25">
      <c r="A13171" s="16"/>
    </row>
    <row r="13172" spans="1:1" x14ac:dyDescent="0.25">
      <c r="A13172" s="16"/>
    </row>
    <row r="13173" spans="1:1" x14ac:dyDescent="0.25">
      <c r="A13173" s="16"/>
    </row>
    <row r="13174" spans="1:1" x14ac:dyDescent="0.25">
      <c r="A13174" s="16"/>
    </row>
    <row r="13175" spans="1:1" x14ac:dyDescent="0.25">
      <c r="A13175" s="16"/>
    </row>
    <row r="13176" spans="1:1" x14ac:dyDescent="0.25">
      <c r="A13176" s="16"/>
    </row>
    <row r="13177" spans="1:1" x14ac:dyDescent="0.25">
      <c r="A13177" s="16"/>
    </row>
    <row r="13178" spans="1:1" x14ac:dyDescent="0.25">
      <c r="A13178" s="16"/>
    </row>
    <row r="13179" spans="1:1" x14ac:dyDescent="0.25">
      <c r="A13179" s="16"/>
    </row>
    <row r="13180" spans="1:1" x14ac:dyDescent="0.25">
      <c r="A13180" s="16"/>
    </row>
    <row r="13181" spans="1:1" x14ac:dyDescent="0.25">
      <c r="A13181" s="16"/>
    </row>
    <row r="13182" spans="1:1" x14ac:dyDescent="0.25">
      <c r="A13182" s="16"/>
    </row>
    <row r="13183" spans="1:1" x14ac:dyDescent="0.25">
      <c r="A13183" s="16"/>
    </row>
    <row r="13184" spans="1:1" x14ac:dyDescent="0.25">
      <c r="A13184" s="16"/>
    </row>
    <row r="13185" spans="1:1" x14ac:dyDescent="0.25">
      <c r="A13185" s="16"/>
    </row>
    <row r="13186" spans="1:1" x14ac:dyDescent="0.25">
      <c r="A13186" s="16"/>
    </row>
    <row r="13187" spans="1:1" x14ac:dyDescent="0.25">
      <c r="A13187" s="16"/>
    </row>
    <row r="13188" spans="1:1" x14ac:dyDescent="0.25">
      <c r="A13188" s="16"/>
    </row>
    <row r="13189" spans="1:1" x14ac:dyDescent="0.25">
      <c r="A13189" s="16"/>
    </row>
    <row r="13190" spans="1:1" x14ac:dyDescent="0.25">
      <c r="A13190" s="16"/>
    </row>
    <row r="13191" spans="1:1" x14ac:dyDescent="0.25">
      <c r="A13191" s="16"/>
    </row>
    <row r="13192" spans="1:1" x14ac:dyDescent="0.25">
      <c r="A13192" s="16"/>
    </row>
    <row r="13193" spans="1:1" x14ac:dyDescent="0.25">
      <c r="A13193" s="16"/>
    </row>
    <row r="13194" spans="1:1" x14ac:dyDescent="0.25">
      <c r="A13194" s="16"/>
    </row>
    <row r="13195" spans="1:1" x14ac:dyDescent="0.25">
      <c r="A13195" s="16"/>
    </row>
    <row r="13196" spans="1:1" x14ac:dyDescent="0.25">
      <c r="A13196" s="16"/>
    </row>
    <row r="13197" spans="1:1" x14ac:dyDescent="0.25">
      <c r="A13197" s="16"/>
    </row>
    <row r="13198" spans="1:1" x14ac:dyDescent="0.25">
      <c r="A13198" s="16"/>
    </row>
    <row r="13199" spans="1:1" x14ac:dyDescent="0.25">
      <c r="A13199" s="16"/>
    </row>
    <row r="13200" spans="1:1" x14ac:dyDescent="0.25">
      <c r="A13200" s="16"/>
    </row>
    <row r="13201" spans="1:1" x14ac:dyDescent="0.25">
      <c r="A13201" s="16"/>
    </row>
    <row r="13202" spans="1:1" x14ac:dyDescent="0.25">
      <c r="A13202" s="16"/>
    </row>
    <row r="13203" spans="1:1" x14ac:dyDescent="0.25">
      <c r="A13203" s="16"/>
    </row>
    <row r="13204" spans="1:1" x14ac:dyDescent="0.25">
      <c r="A13204" s="16"/>
    </row>
    <row r="13205" spans="1:1" x14ac:dyDescent="0.25">
      <c r="A13205" s="16"/>
    </row>
    <row r="13206" spans="1:1" x14ac:dyDescent="0.25">
      <c r="A13206" s="16"/>
    </row>
    <row r="13207" spans="1:1" x14ac:dyDescent="0.25">
      <c r="A13207" s="16"/>
    </row>
    <row r="13208" spans="1:1" x14ac:dyDescent="0.25">
      <c r="A13208" s="16"/>
    </row>
    <row r="13209" spans="1:1" x14ac:dyDescent="0.25">
      <c r="A13209" s="16"/>
    </row>
    <row r="13210" spans="1:1" x14ac:dyDescent="0.25">
      <c r="A13210" s="16"/>
    </row>
    <row r="13211" spans="1:1" x14ac:dyDescent="0.25">
      <c r="A13211" s="16"/>
    </row>
    <row r="13212" spans="1:1" x14ac:dyDescent="0.25">
      <c r="A13212" s="16"/>
    </row>
    <row r="13213" spans="1:1" x14ac:dyDescent="0.25">
      <c r="A13213" s="16"/>
    </row>
    <row r="13214" spans="1:1" x14ac:dyDescent="0.25">
      <c r="A13214" s="16"/>
    </row>
    <row r="13215" spans="1:1" x14ac:dyDescent="0.25">
      <c r="A13215" s="16"/>
    </row>
    <row r="13216" spans="1:1" x14ac:dyDescent="0.25">
      <c r="A13216" s="16"/>
    </row>
    <row r="13217" spans="1:1" x14ac:dyDescent="0.25">
      <c r="A13217" s="16"/>
    </row>
    <row r="13218" spans="1:1" x14ac:dyDescent="0.25">
      <c r="A13218" s="16"/>
    </row>
    <row r="13219" spans="1:1" x14ac:dyDescent="0.25">
      <c r="A13219" s="16"/>
    </row>
    <row r="13220" spans="1:1" x14ac:dyDescent="0.25">
      <c r="A13220" s="16"/>
    </row>
    <row r="13221" spans="1:1" x14ac:dyDescent="0.25">
      <c r="A13221" s="16"/>
    </row>
    <row r="13222" spans="1:1" x14ac:dyDescent="0.25">
      <c r="A13222" s="16"/>
    </row>
    <row r="13223" spans="1:1" x14ac:dyDescent="0.25">
      <c r="A13223" s="16"/>
    </row>
    <row r="13224" spans="1:1" x14ac:dyDescent="0.25">
      <c r="A13224" s="16"/>
    </row>
    <row r="13225" spans="1:1" x14ac:dyDescent="0.25">
      <c r="A13225" s="16"/>
    </row>
    <row r="13226" spans="1:1" x14ac:dyDescent="0.25">
      <c r="A13226" s="16"/>
    </row>
    <row r="13227" spans="1:1" x14ac:dyDescent="0.25">
      <c r="A13227" s="16"/>
    </row>
    <row r="13228" spans="1:1" x14ac:dyDescent="0.25">
      <c r="A13228" s="16"/>
    </row>
    <row r="13229" spans="1:1" x14ac:dyDescent="0.25">
      <c r="A13229" s="16"/>
    </row>
    <row r="13230" spans="1:1" x14ac:dyDescent="0.25">
      <c r="A13230" s="16"/>
    </row>
    <row r="13231" spans="1:1" x14ac:dyDescent="0.25">
      <c r="A13231" s="16"/>
    </row>
    <row r="13232" spans="1:1" x14ac:dyDescent="0.25">
      <c r="A13232" s="16"/>
    </row>
    <row r="13233" spans="1:1" x14ac:dyDescent="0.25">
      <c r="A13233" s="16"/>
    </row>
    <row r="13234" spans="1:1" x14ac:dyDescent="0.25">
      <c r="A13234" s="16"/>
    </row>
    <row r="13235" spans="1:1" x14ac:dyDescent="0.25">
      <c r="A13235" s="16"/>
    </row>
    <row r="13236" spans="1:1" x14ac:dyDescent="0.25">
      <c r="A13236" s="16"/>
    </row>
    <row r="13237" spans="1:1" x14ac:dyDescent="0.25">
      <c r="A13237" s="16"/>
    </row>
    <row r="13238" spans="1:1" x14ac:dyDescent="0.25">
      <c r="A13238" s="16"/>
    </row>
    <row r="13239" spans="1:1" x14ac:dyDescent="0.25">
      <c r="A13239" s="16"/>
    </row>
    <row r="13240" spans="1:1" x14ac:dyDescent="0.25">
      <c r="A13240" s="16"/>
    </row>
    <row r="13241" spans="1:1" x14ac:dyDescent="0.25">
      <c r="A13241" s="16"/>
    </row>
    <row r="13242" spans="1:1" x14ac:dyDescent="0.25">
      <c r="A13242" s="16"/>
    </row>
    <row r="13243" spans="1:1" x14ac:dyDescent="0.25">
      <c r="A13243" s="16"/>
    </row>
    <row r="13244" spans="1:1" x14ac:dyDescent="0.25">
      <c r="A13244" s="16"/>
    </row>
    <row r="13245" spans="1:1" x14ac:dyDescent="0.25">
      <c r="A13245" s="16"/>
    </row>
    <row r="13246" spans="1:1" x14ac:dyDescent="0.25">
      <c r="A13246" s="16"/>
    </row>
    <row r="13247" spans="1:1" x14ac:dyDescent="0.25">
      <c r="A13247" s="16"/>
    </row>
    <row r="13248" spans="1:1" x14ac:dyDescent="0.25">
      <c r="A13248" s="16"/>
    </row>
    <row r="13249" spans="1:1" x14ac:dyDescent="0.25">
      <c r="A13249" s="16"/>
    </row>
    <row r="13250" spans="1:1" x14ac:dyDescent="0.25">
      <c r="A13250" s="16"/>
    </row>
    <row r="13251" spans="1:1" x14ac:dyDescent="0.25">
      <c r="A13251" s="16"/>
    </row>
    <row r="13252" spans="1:1" x14ac:dyDescent="0.25">
      <c r="A13252" s="16"/>
    </row>
    <row r="13253" spans="1:1" x14ac:dyDescent="0.25">
      <c r="A13253" s="16"/>
    </row>
    <row r="13254" spans="1:1" x14ac:dyDescent="0.25">
      <c r="A13254" s="16"/>
    </row>
    <row r="13255" spans="1:1" x14ac:dyDescent="0.25">
      <c r="A13255" s="16"/>
    </row>
    <row r="13256" spans="1:1" x14ac:dyDescent="0.25">
      <c r="A13256" s="16"/>
    </row>
    <row r="13257" spans="1:1" x14ac:dyDescent="0.25">
      <c r="A13257" s="16"/>
    </row>
    <row r="13258" spans="1:1" x14ac:dyDescent="0.25">
      <c r="A13258" s="16"/>
    </row>
    <row r="13259" spans="1:1" x14ac:dyDescent="0.25">
      <c r="A13259" s="16"/>
    </row>
    <row r="13260" spans="1:1" x14ac:dyDescent="0.25">
      <c r="A13260" s="16"/>
    </row>
    <row r="13261" spans="1:1" x14ac:dyDescent="0.25">
      <c r="A13261" s="16"/>
    </row>
    <row r="13262" spans="1:1" x14ac:dyDescent="0.25">
      <c r="A13262" s="16"/>
    </row>
    <row r="13263" spans="1:1" x14ac:dyDescent="0.25">
      <c r="A13263" s="16"/>
    </row>
    <row r="13264" spans="1:1" x14ac:dyDescent="0.25">
      <c r="A13264" s="16"/>
    </row>
    <row r="13265" spans="1:1" x14ac:dyDescent="0.25">
      <c r="A13265" s="16"/>
    </row>
    <row r="13266" spans="1:1" x14ac:dyDescent="0.25">
      <c r="A13266" s="16"/>
    </row>
    <row r="13267" spans="1:1" x14ac:dyDescent="0.25">
      <c r="A13267" s="16"/>
    </row>
    <row r="13268" spans="1:1" x14ac:dyDescent="0.25">
      <c r="A13268" s="16"/>
    </row>
    <row r="13269" spans="1:1" x14ac:dyDescent="0.25">
      <c r="A13269" s="16"/>
    </row>
    <row r="13270" spans="1:1" x14ac:dyDescent="0.25">
      <c r="A13270" s="16"/>
    </row>
    <row r="13271" spans="1:1" x14ac:dyDescent="0.25">
      <c r="A13271" s="16"/>
    </row>
    <row r="13272" spans="1:1" x14ac:dyDescent="0.25">
      <c r="A13272" s="16"/>
    </row>
    <row r="13273" spans="1:1" x14ac:dyDescent="0.25">
      <c r="A13273" s="16"/>
    </row>
    <row r="13274" spans="1:1" x14ac:dyDescent="0.25">
      <c r="A13274" s="16"/>
    </row>
    <row r="13275" spans="1:1" x14ac:dyDescent="0.25">
      <c r="A13275" s="16"/>
    </row>
    <row r="13276" spans="1:1" x14ac:dyDescent="0.25">
      <c r="A13276" s="16"/>
    </row>
    <row r="13277" spans="1:1" x14ac:dyDescent="0.25">
      <c r="A13277" s="16"/>
    </row>
    <row r="13278" spans="1:1" x14ac:dyDescent="0.25">
      <c r="A13278" s="16"/>
    </row>
    <row r="13279" spans="1:1" x14ac:dyDescent="0.25">
      <c r="A13279" s="16"/>
    </row>
    <row r="13280" spans="1:1" x14ac:dyDescent="0.25">
      <c r="A13280" s="16"/>
    </row>
    <row r="13281" spans="1:1" x14ac:dyDescent="0.25">
      <c r="A13281" s="16"/>
    </row>
    <row r="13282" spans="1:1" x14ac:dyDescent="0.25">
      <c r="A13282" s="16"/>
    </row>
    <row r="13283" spans="1:1" x14ac:dyDescent="0.25">
      <c r="A13283" s="16"/>
    </row>
    <row r="13284" spans="1:1" x14ac:dyDescent="0.25">
      <c r="A13284" s="16"/>
    </row>
    <row r="13285" spans="1:1" x14ac:dyDescent="0.25">
      <c r="A13285" s="16"/>
    </row>
    <row r="13286" spans="1:1" x14ac:dyDescent="0.25">
      <c r="A13286" s="16"/>
    </row>
    <row r="13287" spans="1:1" x14ac:dyDescent="0.25">
      <c r="A13287" s="16"/>
    </row>
    <row r="13288" spans="1:1" x14ac:dyDescent="0.25">
      <c r="A13288" s="16"/>
    </row>
    <row r="13289" spans="1:1" x14ac:dyDescent="0.25">
      <c r="A13289" s="16"/>
    </row>
    <row r="13290" spans="1:1" x14ac:dyDescent="0.25">
      <c r="A13290" s="16"/>
    </row>
    <row r="13291" spans="1:1" x14ac:dyDescent="0.25">
      <c r="A13291" s="16"/>
    </row>
    <row r="13292" spans="1:1" x14ac:dyDescent="0.25">
      <c r="A13292" s="16"/>
    </row>
    <row r="13293" spans="1:1" x14ac:dyDescent="0.25">
      <c r="A13293" s="16"/>
    </row>
    <row r="13294" spans="1:1" x14ac:dyDescent="0.25">
      <c r="A13294" s="16"/>
    </row>
    <row r="13295" spans="1:1" x14ac:dyDescent="0.25">
      <c r="A13295" s="16"/>
    </row>
    <row r="13296" spans="1:1" x14ac:dyDescent="0.25">
      <c r="A13296" s="16"/>
    </row>
    <row r="13297" spans="1:1" x14ac:dyDescent="0.25">
      <c r="A13297" s="16"/>
    </row>
    <row r="13298" spans="1:1" x14ac:dyDescent="0.25">
      <c r="A13298" s="16"/>
    </row>
    <row r="13299" spans="1:1" x14ac:dyDescent="0.25">
      <c r="A13299" s="16"/>
    </row>
    <row r="13300" spans="1:1" x14ac:dyDescent="0.25">
      <c r="A13300" s="16"/>
    </row>
    <row r="13301" spans="1:1" x14ac:dyDescent="0.25">
      <c r="A13301" s="16"/>
    </row>
    <row r="13302" spans="1:1" x14ac:dyDescent="0.25">
      <c r="A13302" s="16"/>
    </row>
    <row r="13303" spans="1:1" x14ac:dyDescent="0.25">
      <c r="A13303" s="16"/>
    </row>
    <row r="13304" spans="1:1" x14ac:dyDescent="0.25">
      <c r="A13304" s="16"/>
    </row>
    <row r="13305" spans="1:1" x14ac:dyDescent="0.25">
      <c r="A13305" s="16"/>
    </row>
    <row r="13306" spans="1:1" x14ac:dyDescent="0.25">
      <c r="A13306" s="16"/>
    </row>
    <row r="13307" spans="1:1" x14ac:dyDescent="0.25">
      <c r="A13307" s="16"/>
    </row>
    <row r="13308" spans="1:1" x14ac:dyDescent="0.25">
      <c r="A13308" s="16"/>
    </row>
    <row r="13309" spans="1:1" x14ac:dyDescent="0.25">
      <c r="A13309" s="16"/>
    </row>
    <row r="13310" spans="1:1" x14ac:dyDescent="0.25">
      <c r="A13310" s="16"/>
    </row>
    <row r="13311" spans="1:1" x14ac:dyDescent="0.25">
      <c r="A13311" s="16"/>
    </row>
    <row r="13312" spans="1:1" x14ac:dyDescent="0.25">
      <c r="A13312" s="16"/>
    </row>
    <row r="13313" spans="1:1" x14ac:dyDescent="0.25">
      <c r="A13313" s="16"/>
    </row>
    <row r="13314" spans="1:1" x14ac:dyDescent="0.25">
      <c r="A13314" s="16"/>
    </row>
    <row r="13315" spans="1:1" x14ac:dyDescent="0.25">
      <c r="A13315" s="16"/>
    </row>
    <row r="13316" spans="1:1" x14ac:dyDescent="0.25">
      <c r="A13316" s="16"/>
    </row>
    <row r="13317" spans="1:1" x14ac:dyDescent="0.25">
      <c r="A13317" s="16"/>
    </row>
    <row r="13318" spans="1:1" x14ac:dyDescent="0.25">
      <c r="A13318" s="16"/>
    </row>
    <row r="13319" spans="1:1" x14ac:dyDescent="0.25">
      <c r="A13319" s="16"/>
    </row>
    <row r="13320" spans="1:1" x14ac:dyDescent="0.25">
      <c r="A13320" s="16"/>
    </row>
    <row r="13321" spans="1:1" x14ac:dyDescent="0.25">
      <c r="A13321" s="16"/>
    </row>
    <row r="13322" spans="1:1" x14ac:dyDescent="0.25">
      <c r="A13322" s="16"/>
    </row>
    <row r="13323" spans="1:1" x14ac:dyDescent="0.25">
      <c r="A13323" s="16"/>
    </row>
    <row r="13324" spans="1:1" x14ac:dyDescent="0.25">
      <c r="A13324" s="16"/>
    </row>
    <row r="13325" spans="1:1" x14ac:dyDescent="0.25">
      <c r="A13325" s="16"/>
    </row>
    <row r="13326" spans="1:1" x14ac:dyDescent="0.25">
      <c r="A13326" s="16"/>
    </row>
    <row r="13327" spans="1:1" x14ac:dyDescent="0.25">
      <c r="A13327" s="16"/>
    </row>
    <row r="13328" spans="1:1" x14ac:dyDescent="0.25">
      <c r="A13328" s="16"/>
    </row>
    <row r="13329" spans="1:1" x14ac:dyDescent="0.25">
      <c r="A13329" s="16"/>
    </row>
    <row r="13330" spans="1:1" x14ac:dyDescent="0.25">
      <c r="A13330" s="16"/>
    </row>
    <row r="13331" spans="1:1" x14ac:dyDescent="0.25">
      <c r="A13331" s="16"/>
    </row>
    <row r="13332" spans="1:1" x14ac:dyDescent="0.25">
      <c r="A13332" s="16"/>
    </row>
    <row r="13333" spans="1:1" x14ac:dyDescent="0.25">
      <c r="A13333" s="16"/>
    </row>
    <row r="13334" spans="1:1" x14ac:dyDescent="0.25">
      <c r="A13334" s="16"/>
    </row>
    <row r="13335" spans="1:1" x14ac:dyDescent="0.25">
      <c r="A13335" s="16"/>
    </row>
    <row r="13336" spans="1:1" x14ac:dyDescent="0.25">
      <c r="A13336" s="16"/>
    </row>
    <row r="13337" spans="1:1" x14ac:dyDescent="0.25">
      <c r="A13337" s="16"/>
    </row>
    <row r="13338" spans="1:1" x14ac:dyDescent="0.25">
      <c r="A13338" s="16"/>
    </row>
    <row r="13339" spans="1:1" x14ac:dyDescent="0.25">
      <c r="A13339" s="16"/>
    </row>
    <row r="13340" spans="1:1" x14ac:dyDescent="0.25">
      <c r="A13340" s="16"/>
    </row>
    <row r="13341" spans="1:1" x14ac:dyDescent="0.25">
      <c r="A13341" s="16"/>
    </row>
    <row r="13342" spans="1:1" x14ac:dyDescent="0.25">
      <c r="A13342" s="16"/>
    </row>
    <row r="13343" spans="1:1" x14ac:dyDescent="0.25">
      <c r="A13343" s="16"/>
    </row>
    <row r="13344" spans="1:1" x14ac:dyDescent="0.25">
      <c r="A13344" s="16"/>
    </row>
    <row r="13345" spans="1:1" x14ac:dyDescent="0.25">
      <c r="A13345" s="16"/>
    </row>
    <row r="13346" spans="1:1" x14ac:dyDescent="0.25">
      <c r="A13346" s="16"/>
    </row>
    <row r="13347" spans="1:1" x14ac:dyDescent="0.25">
      <c r="A13347" s="16"/>
    </row>
    <row r="13348" spans="1:1" x14ac:dyDescent="0.25">
      <c r="A13348" s="16"/>
    </row>
    <row r="13349" spans="1:1" x14ac:dyDescent="0.25">
      <c r="A13349" s="16"/>
    </row>
    <row r="13350" spans="1:1" x14ac:dyDescent="0.25">
      <c r="A13350" s="16"/>
    </row>
    <row r="13351" spans="1:1" x14ac:dyDescent="0.25">
      <c r="A13351" s="16"/>
    </row>
    <row r="13352" spans="1:1" x14ac:dyDescent="0.25">
      <c r="A13352" s="16"/>
    </row>
    <row r="13353" spans="1:1" x14ac:dyDescent="0.25">
      <c r="A13353" s="16"/>
    </row>
    <row r="13354" spans="1:1" x14ac:dyDescent="0.25">
      <c r="A13354" s="16"/>
    </row>
    <row r="13355" spans="1:1" x14ac:dyDescent="0.25">
      <c r="A13355" s="16"/>
    </row>
    <row r="13356" spans="1:1" x14ac:dyDescent="0.25">
      <c r="A13356" s="16"/>
    </row>
    <row r="13357" spans="1:1" x14ac:dyDescent="0.25">
      <c r="A13357" s="16"/>
    </row>
    <row r="13358" spans="1:1" x14ac:dyDescent="0.25">
      <c r="A13358" s="16"/>
    </row>
    <row r="13359" spans="1:1" x14ac:dyDescent="0.25">
      <c r="A13359" s="16"/>
    </row>
    <row r="13360" spans="1:1" x14ac:dyDescent="0.25">
      <c r="A13360" s="16"/>
    </row>
    <row r="13361" spans="1:1" x14ac:dyDescent="0.25">
      <c r="A13361" s="16"/>
    </row>
    <row r="13362" spans="1:1" x14ac:dyDescent="0.25">
      <c r="A13362" s="16"/>
    </row>
    <row r="13363" spans="1:1" x14ac:dyDescent="0.25">
      <c r="A13363" s="16"/>
    </row>
    <row r="13364" spans="1:1" x14ac:dyDescent="0.25">
      <c r="A13364" s="16"/>
    </row>
    <row r="13365" spans="1:1" x14ac:dyDescent="0.25">
      <c r="A13365" s="16"/>
    </row>
    <row r="13366" spans="1:1" x14ac:dyDescent="0.25">
      <c r="A13366" s="16"/>
    </row>
    <row r="13367" spans="1:1" x14ac:dyDescent="0.25">
      <c r="A13367" s="16"/>
    </row>
    <row r="13368" spans="1:1" x14ac:dyDescent="0.25">
      <c r="A13368" s="16"/>
    </row>
    <row r="13369" spans="1:1" x14ac:dyDescent="0.25">
      <c r="A13369" s="16"/>
    </row>
    <row r="13370" spans="1:1" x14ac:dyDescent="0.25">
      <c r="A13370" s="16"/>
    </row>
    <row r="13371" spans="1:1" x14ac:dyDescent="0.25">
      <c r="A13371" s="16"/>
    </row>
    <row r="13372" spans="1:1" x14ac:dyDescent="0.25">
      <c r="A13372" s="16"/>
    </row>
    <row r="13373" spans="1:1" x14ac:dyDescent="0.25">
      <c r="A13373" s="16"/>
    </row>
    <row r="13374" spans="1:1" x14ac:dyDescent="0.25">
      <c r="A13374" s="16"/>
    </row>
    <row r="13375" spans="1:1" x14ac:dyDescent="0.25">
      <c r="A13375" s="16"/>
    </row>
    <row r="13376" spans="1:1" x14ac:dyDescent="0.25">
      <c r="A13376" s="16"/>
    </row>
    <row r="13377" spans="1:1" x14ac:dyDescent="0.25">
      <c r="A13377" s="16"/>
    </row>
    <row r="13378" spans="1:1" x14ac:dyDescent="0.25">
      <c r="A13378" s="16"/>
    </row>
    <row r="13379" spans="1:1" x14ac:dyDescent="0.25">
      <c r="A13379" s="16"/>
    </row>
    <row r="13380" spans="1:1" x14ac:dyDescent="0.25">
      <c r="A13380" s="16"/>
    </row>
    <row r="13381" spans="1:1" x14ac:dyDescent="0.25">
      <c r="A13381" s="16"/>
    </row>
    <row r="13382" spans="1:1" x14ac:dyDescent="0.25">
      <c r="A13382" s="16"/>
    </row>
    <row r="13383" spans="1:1" x14ac:dyDescent="0.25">
      <c r="A13383" s="16"/>
    </row>
    <row r="13384" spans="1:1" x14ac:dyDescent="0.25">
      <c r="A13384" s="16"/>
    </row>
    <row r="13385" spans="1:1" x14ac:dyDescent="0.25">
      <c r="A13385" s="16"/>
    </row>
    <row r="13386" spans="1:1" x14ac:dyDescent="0.25">
      <c r="A13386" s="16"/>
    </row>
    <row r="13387" spans="1:1" x14ac:dyDescent="0.25">
      <c r="A13387" s="16"/>
    </row>
    <row r="13388" spans="1:1" x14ac:dyDescent="0.25">
      <c r="A13388" s="16"/>
    </row>
    <row r="13389" spans="1:1" x14ac:dyDescent="0.25">
      <c r="A13389" s="16"/>
    </row>
    <row r="13390" spans="1:1" x14ac:dyDescent="0.25">
      <c r="A13390" s="16"/>
    </row>
    <row r="13391" spans="1:1" x14ac:dyDescent="0.25">
      <c r="A13391" s="16"/>
    </row>
    <row r="13392" spans="1:1" x14ac:dyDescent="0.25">
      <c r="A13392" s="16"/>
    </row>
    <row r="13393" spans="1:1" x14ac:dyDescent="0.25">
      <c r="A13393" s="16"/>
    </row>
    <row r="13394" spans="1:1" x14ac:dyDescent="0.25">
      <c r="A13394" s="16"/>
    </row>
    <row r="13395" spans="1:1" x14ac:dyDescent="0.25">
      <c r="A13395" s="16"/>
    </row>
    <row r="13396" spans="1:1" x14ac:dyDescent="0.25">
      <c r="A13396" s="16"/>
    </row>
    <row r="13397" spans="1:1" x14ac:dyDescent="0.25">
      <c r="A13397" s="16"/>
    </row>
    <row r="13398" spans="1:1" x14ac:dyDescent="0.25">
      <c r="A13398" s="16"/>
    </row>
    <row r="13399" spans="1:1" x14ac:dyDescent="0.25">
      <c r="A13399" s="16"/>
    </row>
    <row r="13400" spans="1:1" x14ac:dyDescent="0.25">
      <c r="A13400" s="16"/>
    </row>
    <row r="13401" spans="1:1" x14ac:dyDescent="0.25">
      <c r="A13401" s="16"/>
    </row>
    <row r="13402" spans="1:1" x14ac:dyDescent="0.25">
      <c r="A13402" s="16"/>
    </row>
    <row r="13403" spans="1:1" x14ac:dyDescent="0.25">
      <c r="A13403" s="16"/>
    </row>
    <row r="13404" spans="1:1" x14ac:dyDescent="0.25">
      <c r="A13404" s="16"/>
    </row>
    <row r="13405" spans="1:1" x14ac:dyDescent="0.25">
      <c r="A13405" s="16"/>
    </row>
    <row r="13406" spans="1:1" x14ac:dyDescent="0.25">
      <c r="A13406" s="16"/>
    </row>
    <row r="13407" spans="1:1" x14ac:dyDescent="0.25">
      <c r="A13407" s="16"/>
    </row>
    <row r="13408" spans="1:1" x14ac:dyDescent="0.25">
      <c r="A13408" s="16"/>
    </row>
    <row r="13409" spans="1:1" x14ac:dyDescent="0.25">
      <c r="A13409" s="16"/>
    </row>
    <row r="13410" spans="1:1" x14ac:dyDescent="0.25">
      <c r="A13410" s="16"/>
    </row>
    <row r="13411" spans="1:1" x14ac:dyDescent="0.25">
      <c r="A13411" s="16"/>
    </row>
    <row r="13412" spans="1:1" x14ac:dyDescent="0.25">
      <c r="A13412" s="16"/>
    </row>
    <row r="13413" spans="1:1" x14ac:dyDescent="0.25">
      <c r="A13413" s="16"/>
    </row>
    <row r="13414" spans="1:1" x14ac:dyDescent="0.25">
      <c r="A13414" s="16"/>
    </row>
    <row r="13415" spans="1:1" x14ac:dyDescent="0.25">
      <c r="A13415" s="16"/>
    </row>
    <row r="13416" spans="1:1" x14ac:dyDescent="0.25">
      <c r="A13416" s="16"/>
    </row>
    <row r="13417" spans="1:1" x14ac:dyDescent="0.25">
      <c r="A13417" s="16"/>
    </row>
    <row r="13418" spans="1:1" x14ac:dyDescent="0.25">
      <c r="A13418" s="16"/>
    </row>
    <row r="13419" spans="1:1" x14ac:dyDescent="0.25">
      <c r="A13419" s="16"/>
    </row>
    <row r="13420" spans="1:1" x14ac:dyDescent="0.25">
      <c r="A13420" s="16"/>
    </row>
    <row r="13421" spans="1:1" x14ac:dyDescent="0.25">
      <c r="A13421" s="16"/>
    </row>
    <row r="13422" spans="1:1" x14ac:dyDescent="0.25">
      <c r="A13422" s="16"/>
    </row>
    <row r="13423" spans="1:1" x14ac:dyDescent="0.25">
      <c r="A13423" s="16"/>
    </row>
    <row r="13424" spans="1:1" x14ac:dyDescent="0.25">
      <c r="A13424" s="16"/>
    </row>
    <row r="13425" spans="1:1" x14ac:dyDescent="0.25">
      <c r="A13425" s="16"/>
    </row>
    <row r="13426" spans="1:1" x14ac:dyDescent="0.25">
      <c r="A13426" s="16"/>
    </row>
    <row r="13427" spans="1:1" x14ac:dyDescent="0.25">
      <c r="A13427" s="16"/>
    </row>
    <row r="13428" spans="1:1" x14ac:dyDescent="0.25">
      <c r="A13428" s="16"/>
    </row>
    <row r="13429" spans="1:1" x14ac:dyDescent="0.25">
      <c r="A13429" s="16"/>
    </row>
    <row r="13430" spans="1:1" x14ac:dyDescent="0.25">
      <c r="A13430" s="16"/>
    </row>
    <row r="13431" spans="1:1" x14ac:dyDescent="0.25">
      <c r="A13431" s="16"/>
    </row>
    <row r="13432" spans="1:1" x14ac:dyDescent="0.25">
      <c r="A13432" s="16"/>
    </row>
    <row r="13433" spans="1:1" x14ac:dyDescent="0.25">
      <c r="A13433" s="16"/>
    </row>
    <row r="13434" spans="1:1" x14ac:dyDescent="0.25">
      <c r="A13434" s="16"/>
    </row>
    <row r="13435" spans="1:1" x14ac:dyDescent="0.25">
      <c r="A13435" s="16"/>
    </row>
    <row r="13436" spans="1:1" x14ac:dyDescent="0.25">
      <c r="A13436" s="16"/>
    </row>
    <row r="13437" spans="1:1" x14ac:dyDescent="0.25">
      <c r="A13437" s="16"/>
    </row>
    <row r="13438" spans="1:1" x14ac:dyDescent="0.25">
      <c r="A13438" s="16"/>
    </row>
    <row r="13439" spans="1:1" x14ac:dyDescent="0.25">
      <c r="A13439" s="16"/>
    </row>
    <row r="13440" spans="1:1" x14ac:dyDescent="0.25">
      <c r="A13440" s="16"/>
    </row>
    <row r="13441" spans="1:1" x14ac:dyDescent="0.25">
      <c r="A13441" s="16"/>
    </row>
    <row r="13442" spans="1:1" x14ac:dyDescent="0.25">
      <c r="A13442" s="16"/>
    </row>
    <row r="13443" spans="1:1" x14ac:dyDescent="0.25">
      <c r="A13443" s="16"/>
    </row>
    <row r="13444" spans="1:1" x14ac:dyDescent="0.25">
      <c r="A13444" s="16"/>
    </row>
    <row r="13445" spans="1:1" x14ac:dyDescent="0.25">
      <c r="A13445" s="16"/>
    </row>
    <row r="13446" spans="1:1" x14ac:dyDescent="0.25">
      <c r="A13446" s="16"/>
    </row>
    <row r="13447" spans="1:1" x14ac:dyDescent="0.25">
      <c r="A13447" s="16"/>
    </row>
    <row r="13448" spans="1:1" x14ac:dyDescent="0.25">
      <c r="A13448" s="16"/>
    </row>
    <row r="13449" spans="1:1" x14ac:dyDescent="0.25">
      <c r="A13449" s="16"/>
    </row>
    <row r="13450" spans="1:1" x14ac:dyDescent="0.25">
      <c r="A13450" s="16"/>
    </row>
    <row r="13451" spans="1:1" x14ac:dyDescent="0.25">
      <c r="A13451" s="16"/>
    </row>
    <row r="13452" spans="1:1" x14ac:dyDescent="0.25">
      <c r="A13452" s="16"/>
    </row>
    <row r="13453" spans="1:1" x14ac:dyDescent="0.25">
      <c r="A13453" s="16"/>
    </row>
    <row r="13454" spans="1:1" x14ac:dyDescent="0.25">
      <c r="A13454" s="16"/>
    </row>
    <row r="13455" spans="1:1" x14ac:dyDescent="0.25">
      <c r="A13455" s="16"/>
    </row>
    <row r="13456" spans="1:1" x14ac:dyDescent="0.25">
      <c r="A13456" s="16"/>
    </row>
    <row r="13457" spans="1:1" x14ac:dyDescent="0.25">
      <c r="A13457" s="16"/>
    </row>
    <row r="13458" spans="1:1" x14ac:dyDescent="0.25">
      <c r="A13458" s="16"/>
    </row>
    <row r="13459" spans="1:1" x14ac:dyDescent="0.25">
      <c r="A13459" s="16"/>
    </row>
    <row r="13460" spans="1:1" x14ac:dyDescent="0.25">
      <c r="A13460" s="16"/>
    </row>
    <row r="13461" spans="1:1" x14ac:dyDescent="0.25">
      <c r="A13461" s="16"/>
    </row>
    <row r="13462" spans="1:1" x14ac:dyDescent="0.25">
      <c r="A13462" s="16"/>
    </row>
    <row r="13463" spans="1:1" x14ac:dyDescent="0.25">
      <c r="A13463" s="16"/>
    </row>
    <row r="13464" spans="1:1" x14ac:dyDescent="0.25">
      <c r="A13464" s="16"/>
    </row>
    <row r="13465" spans="1:1" x14ac:dyDescent="0.25">
      <c r="A13465" s="16"/>
    </row>
    <row r="13466" spans="1:1" x14ac:dyDescent="0.25">
      <c r="A13466" s="16"/>
    </row>
    <row r="13467" spans="1:1" x14ac:dyDescent="0.25">
      <c r="A13467" s="16"/>
    </row>
    <row r="13468" spans="1:1" x14ac:dyDescent="0.25">
      <c r="A13468" s="16"/>
    </row>
    <row r="13469" spans="1:1" x14ac:dyDescent="0.25">
      <c r="A13469" s="16"/>
    </row>
    <row r="13470" spans="1:1" x14ac:dyDescent="0.25">
      <c r="A13470" s="16"/>
    </row>
    <row r="13471" spans="1:1" x14ac:dyDescent="0.25">
      <c r="A13471" s="16"/>
    </row>
    <row r="13472" spans="1:1" x14ac:dyDescent="0.25">
      <c r="A13472" s="16"/>
    </row>
    <row r="13473" spans="1:1" x14ac:dyDescent="0.25">
      <c r="A13473" s="16"/>
    </row>
    <row r="13474" spans="1:1" x14ac:dyDescent="0.25">
      <c r="A13474" s="16"/>
    </row>
    <row r="13475" spans="1:1" x14ac:dyDescent="0.25">
      <c r="A13475" s="16"/>
    </row>
    <row r="13476" spans="1:1" x14ac:dyDescent="0.25">
      <c r="A13476" s="16"/>
    </row>
    <row r="13477" spans="1:1" x14ac:dyDescent="0.25">
      <c r="A13477" s="16"/>
    </row>
    <row r="13478" spans="1:1" x14ac:dyDescent="0.25">
      <c r="A13478" s="16"/>
    </row>
    <row r="13479" spans="1:1" x14ac:dyDescent="0.25">
      <c r="A13479" s="16"/>
    </row>
    <row r="13480" spans="1:1" x14ac:dyDescent="0.25">
      <c r="A13480" s="16"/>
    </row>
    <row r="13481" spans="1:1" x14ac:dyDescent="0.25">
      <c r="A13481" s="16"/>
    </row>
    <row r="13482" spans="1:1" x14ac:dyDescent="0.25">
      <c r="A13482" s="16"/>
    </row>
    <row r="13483" spans="1:1" x14ac:dyDescent="0.25">
      <c r="A13483" s="16"/>
    </row>
    <row r="13484" spans="1:1" x14ac:dyDescent="0.25">
      <c r="A13484" s="16"/>
    </row>
    <row r="13485" spans="1:1" x14ac:dyDescent="0.25">
      <c r="A13485" s="16"/>
    </row>
    <row r="13486" spans="1:1" x14ac:dyDescent="0.25">
      <c r="A13486" s="16"/>
    </row>
    <row r="13487" spans="1:1" x14ac:dyDescent="0.25">
      <c r="A13487" s="16"/>
    </row>
    <row r="13488" spans="1:1" x14ac:dyDescent="0.25">
      <c r="A13488" s="16"/>
    </row>
    <row r="13489" spans="1:1" x14ac:dyDescent="0.25">
      <c r="A13489" s="16"/>
    </row>
    <row r="13490" spans="1:1" x14ac:dyDescent="0.25">
      <c r="A13490" s="16"/>
    </row>
    <row r="13491" spans="1:1" x14ac:dyDescent="0.25">
      <c r="A13491" s="16"/>
    </row>
    <row r="13492" spans="1:1" x14ac:dyDescent="0.25">
      <c r="A13492" s="16"/>
    </row>
    <row r="13493" spans="1:1" x14ac:dyDescent="0.25">
      <c r="A13493" s="16"/>
    </row>
    <row r="13494" spans="1:1" x14ac:dyDescent="0.25">
      <c r="A13494" s="16"/>
    </row>
    <row r="13495" spans="1:1" x14ac:dyDescent="0.25">
      <c r="A13495" s="16"/>
    </row>
    <row r="13496" spans="1:1" x14ac:dyDescent="0.25">
      <c r="A13496" s="16"/>
    </row>
    <row r="13497" spans="1:1" x14ac:dyDescent="0.25">
      <c r="A13497" s="16"/>
    </row>
    <row r="13498" spans="1:1" x14ac:dyDescent="0.25">
      <c r="A13498" s="16"/>
    </row>
    <row r="13499" spans="1:1" x14ac:dyDescent="0.25">
      <c r="A13499" s="16"/>
    </row>
    <row r="13500" spans="1:1" x14ac:dyDescent="0.25">
      <c r="A13500" s="16"/>
    </row>
    <row r="13501" spans="1:1" x14ac:dyDescent="0.25">
      <c r="A13501" s="16"/>
    </row>
    <row r="13502" spans="1:1" x14ac:dyDescent="0.25">
      <c r="A13502" s="16"/>
    </row>
    <row r="13503" spans="1:1" x14ac:dyDescent="0.25">
      <c r="A13503" s="16"/>
    </row>
    <row r="13504" spans="1:1" x14ac:dyDescent="0.25">
      <c r="A13504" s="16"/>
    </row>
    <row r="13505" spans="1:1" x14ac:dyDescent="0.25">
      <c r="A13505" s="16"/>
    </row>
    <row r="13506" spans="1:1" x14ac:dyDescent="0.25">
      <c r="A13506" s="16"/>
    </row>
    <row r="13507" spans="1:1" x14ac:dyDescent="0.25">
      <c r="A13507" s="16"/>
    </row>
    <row r="13508" spans="1:1" x14ac:dyDescent="0.25">
      <c r="A13508" s="16"/>
    </row>
    <row r="13509" spans="1:1" x14ac:dyDescent="0.25">
      <c r="A13509" s="16"/>
    </row>
    <row r="13510" spans="1:1" x14ac:dyDescent="0.25">
      <c r="A13510" s="16"/>
    </row>
    <row r="13511" spans="1:1" x14ac:dyDescent="0.25">
      <c r="A13511" s="16"/>
    </row>
    <row r="13512" spans="1:1" x14ac:dyDescent="0.25">
      <c r="A13512" s="16"/>
    </row>
    <row r="13513" spans="1:1" x14ac:dyDescent="0.25">
      <c r="A13513" s="16"/>
    </row>
    <row r="13514" spans="1:1" x14ac:dyDescent="0.25">
      <c r="A13514" s="16"/>
    </row>
    <row r="13515" spans="1:1" x14ac:dyDescent="0.25">
      <c r="A13515" s="16"/>
    </row>
    <row r="13516" spans="1:1" x14ac:dyDescent="0.25">
      <c r="A13516" s="16"/>
    </row>
    <row r="13517" spans="1:1" x14ac:dyDescent="0.25">
      <c r="A13517" s="16"/>
    </row>
    <row r="13518" spans="1:1" x14ac:dyDescent="0.25">
      <c r="A13518" s="16"/>
    </row>
    <row r="13519" spans="1:1" x14ac:dyDescent="0.25">
      <c r="A13519" s="16"/>
    </row>
    <row r="13520" spans="1:1" x14ac:dyDescent="0.25">
      <c r="A13520" s="16"/>
    </row>
    <row r="13521" spans="1:1" x14ac:dyDescent="0.25">
      <c r="A13521" s="16"/>
    </row>
    <row r="13522" spans="1:1" x14ac:dyDescent="0.25">
      <c r="A13522" s="16"/>
    </row>
    <row r="13523" spans="1:1" x14ac:dyDescent="0.25">
      <c r="A13523" s="16"/>
    </row>
    <row r="13524" spans="1:1" x14ac:dyDescent="0.25">
      <c r="A13524" s="16"/>
    </row>
    <row r="13525" spans="1:1" x14ac:dyDescent="0.25">
      <c r="A13525" s="16"/>
    </row>
    <row r="13526" spans="1:1" x14ac:dyDescent="0.25">
      <c r="A13526" s="16"/>
    </row>
    <row r="13527" spans="1:1" x14ac:dyDescent="0.25">
      <c r="A13527" s="16"/>
    </row>
    <row r="13528" spans="1:1" x14ac:dyDescent="0.25">
      <c r="A13528" s="16"/>
    </row>
    <row r="13529" spans="1:1" x14ac:dyDescent="0.25">
      <c r="A13529" s="16"/>
    </row>
    <row r="13530" spans="1:1" x14ac:dyDescent="0.25">
      <c r="A13530" s="16"/>
    </row>
    <row r="13531" spans="1:1" x14ac:dyDescent="0.25">
      <c r="A13531" s="16"/>
    </row>
    <row r="13532" spans="1:1" x14ac:dyDescent="0.25">
      <c r="A13532" s="16"/>
    </row>
    <row r="13533" spans="1:1" x14ac:dyDescent="0.25">
      <c r="A13533" s="16"/>
    </row>
    <row r="13534" spans="1:1" x14ac:dyDescent="0.25">
      <c r="A13534" s="16"/>
    </row>
    <row r="13535" spans="1:1" x14ac:dyDescent="0.25">
      <c r="A13535" s="16"/>
    </row>
    <row r="13536" spans="1:1" x14ac:dyDescent="0.25">
      <c r="A13536" s="16"/>
    </row>
    <row r="13537" spans="1:1" x14ac:dyDescent="0.25">
      <c r="A13537" s="16"/>
    </row>
    <row r="13538" spans="1:1" x14ac:dyDescent="0.25">
      <c r="A13538" s="16"/>
    </row>
    <row r="13539" spans="1:1" x14ac:dyDescent="0.25">
      <c r="A13539" s="16"/>
    </row>
    <row r="13540" spans="1:1" x14ac:dyDescent="0.25">
      <c r="A13540" s="16"/>
    </row>
    <row r="13541" spans="1:1" x14ac:dyDescent="0.25">
      <c r="A13541" s="16"/>
    </row>
    <row r="13542" spans="1:1" x14ac:dyDescent="0.25">
      <c r="A13542" s="16"/>
    </row>
    <row r="13543" spans="1:1" x14ac:dyDescent="0.25">
      <c r="A13543" s="16"/>
    </row>
    <row r="13544" spans="1:1" x14ac:dyDescent="0.25">
      <c r="A13544" s="16"/>
    </row>
    <row r="13545" spans="1:1" x14ac:dyDescent="0.25">
      <c r="A13545" s="16"/>
    </row>
    <row r="13546" spans="1:1" x14ac:dyDescent="0.25">
      <c r="A13546" s="16"/>
    </row>
    <row r="13547" spans="1:1" x14ac:dyDescent="0.25">
      <c r="A13547" s="16"/>
    </row>
    <row r="13548" spans="1:1" x14ac:dyDescent="0.25">
      <c r="A13548" s="16"/>
    </row>
    <row r="13549" spans="1:1" x14ac:dyDescent="0.25">
      <c r="A13549" s="16"/>
    </row>
    <row r="13550" spans="1:1" x14ac:dyDescent="0.25">
      <c r="A13550" s="16"/>
    </row>
    <row r="13551" spans="1:1" x14ac:dyDescent="0.25">
      <c r="A13551" s="16"/>
    </row>
    <row r="13552" spans="1:1" x14ac:dyDescent="0.25">
      <c r="A13552" s="16"/>
    </row>
    <row r="13553" spans="1:1" x14ac:dyDescent="0.25">
      <c r="A13553" s="16"/>
    </row>
    <row r="13554" spans="1:1" x14ac:dyDescent="0.25">
      <c r="A13554" s="16"/>
    </row>
    <row r="13555" spans="1:1" x14ac:dyDescent="0.25">
      <c r="A13555" s="16"/>
    </row>
    <row r="13556" spans="1:1" x14ac:dyDescent="0.25">
      <c r="A13556" s="16"/>
    </row>
    <row r="13557" spans="1:1" x14ac:dyDescent="0.25">
      <c r="A13557" s="16"/>
    </row>
    <row r="13558" spans="1:1" x14ac:dyDescent="0.25">
      <c r="A13558" s="16"/>
    </row>
    <row r="13559" spans="1:1" x14ac:dyDescent="0.25">
      <c r="A13559" s="16"/>
    </row>
    <row r="13560" spans="1:1" x14ac:dyDescent="0.25">
      <c r="A13560" s="16"/>
    </row>
    <row r="13561" spans="1:1" x14ac:dyDescent="0.25">
      <c r="A13561" s="16"/>
    </row>
    <row r="13562" spans="1:1" x14ac:dyDescent="0.25">
      <c r="A13562" s="16"/>
    </row>
    <row r="13563" spans="1:1" x14ac:dyDescent="0.25">
      <c r="A13563" s="16"/>
    </row>
    <row r="13564" spans="1:1" x14ac:dyDescent="0.25">
      <c r="A13564" s="16"/>
    </row>
    <row r="13565" spans="1:1" x14ac:dyDescent="0.25">
      <c r="A13565" s="16"/>
    </row>
    <row r="13566" spans="1:1" x14ac:dyDescent="0.25">
      <c r="A13566" s="16"/>
    </row>
    <row r="13567" spans="1:1" x14ac:dyDescent="0.25">
      <c r="A13567" s="16"/>
    </row>
    <row r="13568" spans="1:1" x14ac:dyDescent="0.25">
      <c r="A13568" s="16"/>
    </row>
    <row r="13569" spans="1:1" x14ac:dyDescent="0.25">
      <c r="A13569" s="16"/>
    </row>
    <row r="13570" spans="1:1" x14ac:dyDescent="0.25">
      <c r="A13570" s="16"/>
    </row>
    <row r="13571" spans="1:1" x14ac:dyDescent="0.25">
      <c r="A13571" s="16"/>
    </row>
    <row r="13572" spans="1:1" x14ac:dyDescent="0.25">
      <c r="A13572" s="16"/>
    </row>
    <row r="13573" spans="1:1" x14ac:dyDescent="0.25">
      <c r="A13573" s="16"/>
    </row>
    <row r="13574" spans="1:1" x14ac:dyDescent="0.25">
      <c r="A13574" s="16"/>
    </row>
    <row r="13575" spans="1:1" x14ac:dyDescent="0.25">
      <c r="A13575" s="16"/>
    </row>
    <row r="13576" spans="1:1" x14ac:dyDescent="0.25">
      <c r="A13576" s="16"/>
    </row>
    <row r="13577" spans="1:1" x14ac:dyDescent="0.25">
      <c r="A13577" s="16"/>
    </row>
    <row r="13578" spans="1:1" x14ac:dyDescent="0.25">
      <c r="A13578" s="16"/>
    </row>
    <row r="13579" spans="1:1" x14ac:dyDescent="0.25">
      <c r="A13579" s="16"/>
    </row>
    <row r="13580" spans="1:1" x14ac:dyDescent="0.25">
      <c r="A13580" s="16"/>
    </row>
    <row r="13581" spans="1:1" x14ac:dyDescent="0.25">
      <c r="A13581" s="16"/>
    </row>
    <row r="13582" spans="1:1" x14ac:dyDescent="0.25">
      <c r="A13582" s="16"/>
    </row>
    <row r="13583" spans="1:1" x14ac:dyDescent="0.25">
      <c r="A13583" s="16"/>
    </row>
    <row r="13584" spans="1:1" x14ac:dyDescent="0.25">
      <c r="A13584" s="16"/>
    </row>
    <row r="13585" spans="1:1" x14ac:dyDescent="0.25">
      <c r="A13585" s="16"/>
    </row>
    <row r="13586" spans="1:1" x14ac:dyDescent="0.25">
      <c r="A13586" s="16"/>
    </row>
    <row r="13587" spans="1:1" x14ac:dyDescent="0.25">
      <c r="A13587" s="16"/>
    </row>
    <row r="13588" spans="1:1" x14ac:dyDescent="0.25">
      <c r="A13588" s="16"/>
    </row>
    <row r="13589" spans="1:1" x14ac:dyDescent="0.25">
      <c r="A13589" s="16"/>
    </row>
    <row r="13590" spans="1:1" x14ac:dyDescent="0.25">
      <c r="A13590" s="16"/>
    </row>
    <row r="13591" spans="1:1" x14ac:dyDescent="0.25">
      <c r="A13591" s="16"/>
    </row>
    <row r="13592" spans="1:1" x14ac:dyDescent="0.25">
      <c r="A13592" s="16"/>
    </row>
    <row r="13593" spans="1:1" x14ac:dyDescent="0.25">
      <c r="A13593" s="16"/>
    </row>
    <row r="13594" spans="1:1" x14ac:dyDescent="0.25">
      <c r="A13594" s="16"/>
    </row>
    <row r="13595" spans="1:1" x14ac:dyDescent="0.25">
      <c r="A13595" s="16"/>
    </row>
    <row r="13596" spans="1:1" x14ac:dyDescent="0.25">
      <c r="A13596" s="16"/>
    </row>
    <row r="13597" spans="1:1" x14ac:dyDescent="0.25">
      <c r="A13597" s="16"/>
    </row>
    <row r="13598" spans="1:1" x14ac:dyDescent="0.25">
      <c r="A13598" s="16"/>
    </row>
    <row r="13599" spans="1:1" x14ac:dyDescent="0.25">
      <c r="A13599" s="16"/>
    </row>
    <row r="13600" spans="1:1" x14ac:dyDescent="0.25">
      <c r="A13600" s="16"/>
    </row>
    <row r="13601" spans="1:1" x14ac:dyDescent="0.25">
      <c r="A13601" s="16"/>
    </row>
    <row r="13602" spans="1:1" x14ac:dyDescent="0.25">
      <c r="A13602" s="16"/>
    </row>
    <row r="13603" spans="1:1" x14ac:dyDescent="0.25">
      <c r="A13603" s="16"/>
    </row>
    <row r="13604" spans="1:1" x14ac:dyDescent="0.25">
      <c r="A13604" s="16"/>
    </row>
    <row r="13605" spans="1:1" x14ac:dyDescent="0.25">
      <c r="A13605" s="16"/>
    </row>
    <row r="13606" spans="1:1" x14ac:dyDescent="0.25">
      <c r="A13606" s="16"/>
    </row>
    <row r="13607" spans="1:1" x14ac:dyDescent="0.25">
      <c r="A13607" s="16"/>
    </row>
    <row r="13608" spans="1:1" x14ac:dyDescent="0.25">
      <c r="A13608" s="16"/>
    </row>
    <row r="13609" spans="1:1" x14ac:dyDescent="0.25">
      <c r="A13609" s="16"/>
    </row>
    <row r="13610" spans="1:1" x14ac:dyDescent="0.25">
      <c r="A13610" s="16"/>
    </row>
    <row r="13611" spans="1:1" x14ac:dyDescent="0.25">
      <c r="A13611" s="16"/>
    </row>
    <row r="13612" spans="1:1" x14ac:dyDescent="0.25">
      <c r="A13612" s="16"/>
    </row>
    <row r="13613" spans="1:1" x14ac:dyDescent="0.25">
      <c r="A13613" s="16"/>
    </row>
    <row r="13614" spans="1:1" x14ac:dyDescent="0.25">
      <c r="A13614" s="16"/>
    </row>
    <row r="13615" spans="1:1" x14ac:dyDescent="0.25">
      <c r="A13615" s="16"/>
    </row>
    <row r="13616" spans="1:1" x14ac:dyDescent="0.25">
      <c r="A13616" s="16"/>
    </row>
    <row r="13617" spans="1:1" x14ac:dyDescent="0.25">
      <c r="A13617" s="16"/>
    </row>
    <row r="13618" spans="1:1" x14ac:dyDescent="0.25">
      <c r="A13618" s="16"/>
    </row>
    <row r="13619" spans="1:1" x14ac:dyDescent="0.25">
      <c r="A13619" s="16"/>
    </row>
    <row r="13620" spans="1:1" x14ac:dyDescent="0.25">
      <c r="A13620" s="16"/>
    </row>
    <row r="13621" spans="1:1" x14ac:dyDescent="0.25">
      <c r="A13621" s="16"/>
    </row>
    <row r="13622" spans="1:1" x14ac:dyDescent="0.25">
      <c r="A13622" s="16"/>
    </row>
    <row r="13623" spans="1:1" x14ac:dyDescent="0.25">
      <c r="A13623" s="16"/>
    </row>
    <row r="13624" spans="1:1" x14ac:dyDescent="0.25">
      <c r="A13624" s="16"/>
    </row>
    <row r="13625" spans="1:1" x14ac:dyDescent="0.25">
      <c r="A13625" s="16"/>
    </row>
    <row r="13626" spans="1:1" x14ac:dyDescent="0.25">
      <c r="A13626" s="16"/>
    </row>
    <row r="13627" spans="1:1" x14ac:dyDescent="0.25">
      <c r="A13627" s="16"/>
    </row>
    <row r="13628" spans="1:1" x14ac:dyDescent="0.25">
      <c r="A13628" s="16"/>
    </row>
    <row r="13629" spans="1:1" x14ac:dyDescent="0.25">
      <c r="A13629" s="16"/>
    </row>
    <row r="13630" spans="1:1" x14ac:dyDescent="0.25">
      <c r="A13630" s="16"/>
    </row>
    <row r="13631" spans="1:1" x14ac:dyDescent="0.25">
      <c r="A13631" s="16"/>
    </row>
    <row r="13632" spans="1:1" x14ac:dyDescent="0.25">
      <c r="A13632" s="16"/>
    </row>
    <row r="13633" spans="1:1" x14ac:dyDescent="0.25">
      <c r="A13633" s="16"/>
    </row>
    <row r="13634" spans="1:1" x14ac:dyDescent="0.25">
      <c r="A13634" s="16"/>
    </row>
    <row r="13635" spans="1:1" x14ac:dyDescent="0.25">
      <c r="A13635" s="16"/>
    </row>
    <row r="13636" spans="1:1" x14ac:dyDescent="0.25">
      <c r="A13636" s="16"/>
    </row>
    <row r="13637" spans="1:1" x14ac:dyDescent="0.25">
      <c r="A13637" s="16"/>
    </row>
    <row r="13638" spans="1:1" x14ac:dyDescent="0.25">
      <c r="A13638" s="16"/>
    </row>
    <row r="13639" spans="1:1" x14ac:dyDescent="0.25">
      <c r="A13639" s="16"/>
    </row>
    <row r="13640" spans="1:1" x14ac:dyDescent="0.25">
      <c r="A13640" s="16"/>
    </row>
    <row r="13641" spans="1:1" x14ac:dyDescent="0.25">
      <c r="A13641" s="16"/>
    </row>
    <row r="13642" spans="1:1" x14ac:dyDescent="0.25">
      <c r="A13642" s="16"/>
    </row>
    <row r="13643" spans="1:1" x14ac:dyDescent="0.25">
      <c r="A13643" s="16"/>
    </row>
    <row r="13644" spans="1:1" x14ac:dyDescent="0.25">
      <c r="A13644" s="16"/>
    </row>
    <row r="13645" spans="1:1" x14ac:dyDescent="0.25">
      <c r="A13645" s="16"/>
    </row>
    <row r="13646" spans="1:1" x14ac:dyDescent="0.25">
      <c r="A13646" s="16"/>
    </row>
    <row r="13647" spans="1:1" x14ac:dyDescent="0.25">
      <c r="A13647" s="16"/>
    </row>
    <row r="13648" spans="1:1" x14ac:dyDescent="0.25">
      <c r="A13648" s="16"/>
    </row>
    <row r="13649" spans="1:1" x14ac:dyDescent="0.25">
      <c r="A13649" s="16"/>
    </row>
    <row r="13650" spans="1:1" x14ac:dyDescent="0.25">
      <c r="A13650" s="16"/>
    </row>
    <row r="13651" spans="1:1" x14ac:dyDescent="0.25">
      <c r="A13651" s="16"/>
    </row>
    <row r="13652" spans="1:1" x14ac:dyDescent="0.25">
      <c r="A13652" s="16"/>
    </row>
    <row r="13653" spans="1:1" x14ac:dyDescent="0.25">
      <c r="A13653" s="16"/>
    </row>
    <row r="13654" spans="1:1" x14ac:dyDescent="0.25">
      <c r="A13654" s="16"/>
    </row>
    <row r="13655" spans="1:1" x14ac:dyDescent="0.25">
      <c r="A13655" s="16"/>
    </row>
    <row r="13656" spans="1:1" x14ac:dyDescent="0.25">
      <c r="A13656" s="16"/>
    </row>
    <row r="13657" spans="1:1" x14ac:dyDescent="0.25">
      <c r="A13657" s="16"/>
    </row>
    <row r="13658" spans="1:1" x14ac:dyDescent="0.25">
      <c r="A13658" s="16"/>
    </row>
    <row r="13659" spans="1:1" x14ac:dyDescent="0.25">
      <c r="A13659" s="16"/>
    </row>
    <row r="13660" spans="1:1" x14ac:dyDescent="0.25">
      <c r="A13660" s="16"/>
    </row>
    <row r="13661" spans="1:1" x14ac:dyDescent="0.25">
      <c r="A13661" s="16"/>
    </row>
    <row r="13662" spans="1:1" x14ac:dyDescent="0.25">
      <c r="A13662" s="16"/>
    </row>
    <row r="13663" spans="1:1" x14ac:dyDescent="0.25">
      <c r="A13663" s="16"/>
    </row>
    <row r="13664" spans="1:1" x14ac:dyDescent="0.25">
      <c r="A13664" s="16"/>
    </row>
    <row r="13665" spans="1:1" x14ac:dyDescent="0.25">
      <c r="A13665" s="16"/>
    </row>
    <row r="13666" spans="1:1" x14ac:dyDescent="0.25">
      <c r="A13666" s="16"/>
    </row>
    <row r="13667" spans="1:1" x14ac:dyDescent="0.25">
      <c r="A13667" s="16"/>
    </row>
    <row r="13668" spans="1:1" x14ac:dyDescent="0.25">
      <c r="A13668" s="16"/>
    </row>
    <row r="13669" spans="1:1" x14ac:dyDescent="0.25">
      <c r="A13669" s="16"/>
    </row>
    <row r="13670" spans="1:1" x14ac:dyDescent="0.25">
      <c r="A13670" s="16"/>
    </row>
    <row r="13671" spans="1:1" x14ac:dyDescent="0.25">
      <c r="A13671" s="16"/>
    </row>
    <row r="13672" spans="1:1" x14ac:dyDescent="0.25">
      <c r="A13672" s="16"/>
    </row>
    <row r="13673" spans="1:1" x14ac:dyDescent="0.25">
      <c r="A13673" s="16"/>
    </row>
    <row r="13674" spans="1:1" x14ac:dyDescent="0.25">
      <c r="A13674" s="16"/>
    </row>
    <row r="13675" spans="1:1" x14ac:dyDescent="0.25">
      <c r="A13675" s="16"/>
    </row>
    <row r="13676" spans="1:1" x14ac:dyDescent="0.25">
      <c r="A13676" s="16"/>
    </row>
    <row r="13677" spans="1:1" x14ac:dyDescent="0.25">
      <c r="A13677" s="16"/>
    </row>
    <row r="13678" spans="1:1" x14ac:dyDescent="0.25">
      <c r="A13678" s="16"/>
    </row>
    <row r="13679" spans="1:1" x14ac:dyDescent="0.25">
      <c r="A13679" s="16"/>
    </row>
    <row r="13680" spans="1:1" x14ac:dyDescent="0.25">
      <c r="A13680" s="16"/>
    </row>
    <row r="13681" spans="1:1" x14ac:dyDescent="0.25">
      <c r="A13681" s="16"/>
    </row>
    <row r="13682" spans="1:1" x14ac:dyDescent="0.25">
      <c r="A13682" s="16"/>
    </row>
    <row r="13683" spans="1:1" x14ac:dyDescent="0.25">
      <c r="A13683" s="16"/>
    </row>
    <row r="13684" spans="1:1" x14ac:dyDescent="0.25">
      <c r="A13684" s="16"/>
    </row>
    <row r="13685" spans="1:1" x14ac:dyDescent="0.25">
      <c r="A13685" s="16"/>
    </row>
    <row r="13686" spans="1:1" x14ac:dyDescent="0.25">
      <c r="A13686" s="16"/>
    </row>
    <row r="13687" spans="1:1" x14ac:dyDescent="0.25">
      <c r="A13687" s="16"/>
    </row>
    <row r="13688" spans="1:1" x14ac:dyDescent="0.25">
      <c r="A13688" s="16"/>
    </row>
    <row r="13689" spans="1:1" x14ac:dyDescent="0.25">
      <c r="A13689" s="16"/>
    </row>
    <row r="13690" spans="1:1" x14ac:dyDescent="0.25">
      <c r="A13690" s="16"/>
    </row>
    <row r="13691" spans="1:1" x14ac:dyDescent="0.25">
      <c r="A13691" s="16"/>
    </row>
    <row r="13692" spans="1:1" x14ac:dyDescent="0.25">
      <c r="A13692" s="16"/>
    </row>
    <row r="13693" spans="1:1" x14ac:dyDescent="0.25">
      <c r="A13693" s="16"/>
    </row>
    <row r="13694" spans="1:1" x14ac:dyDescent="0.25">
      <c r="A13694" s="16"/>
    </row>
    <row r="13695" spans="1:1" x14ac:dyDescent="0.25">
      <c r="A13695" s="16"/>
    </row>
    <row r="13696" spans="1:1" x14ac:dyDescent="0.25">
      <c r="A13696" s="16"/>
    </row>
    <row r="13697" spans="1:1" x14ac:dyDescent="0.25">
      <c r="A13697" s="16"/>
    </row>
    <row r="13698" spans="1:1" x14ac:dyDescent="0.25">
      <c r="A13698" s="16"/>
    </row>
    <row r="13699" spans="1:1" x14ac:dyDescent="0.25">
      <c r="A13699" s="16"/>
    </row>
    <row r="13700" spans="1:1" x14ac:dyDescent="0.25">
      <c r="A13700" s="16"/>
    </row>
    <row r="13701" spans="1:1" x14ac:dyDescent="0.25">
      <c r="A13701" s="16"/>
    </row>
    <row r="13702" spans="1:1" x14ac:dyDescent="0.25">
      <c r="A13702" s="16"/>
    </row>
    <row r="13703" spans="1:1" x14ac:dyDescent="0.25">
      <c r="A13703" s="16"/>
    </row>
    <row r="13704" spans="1:1" x14ac:dyDescent="0.25">
      <c r="A13704" s="16"/>
    </row>
    <row r="13705" spans="1:1" x14ac:dyDescent="0.25">
      <c r="A13705" s="16"/>
    </row>
    <row r="13706" spans="1:1" x14ac:dyDescent="0.25">
      <c r="A13706" s="16"/>
    </row>
    <row r="13707" spans="1:1" x14ac:dyDescent="0.25">
      <c r="A13707" s="16"/>
    </row>
    <row r="13708" spans="1:1" x14ac:dyDescent="0.25">
      <c r="A13708" s="16"/>
    </row>
    <row r="13709" spans="1:1" x14ac:dyDescent="0.25">
      <c r="A13709" s="16"/>
    </row>
    <row r="13710" spans="1:1" x14ac:dyDescent="0.25">
      <c r="A13710" s="16"/>
    </row>
    <row r="13711" spans="1:1" x14ac:dyDescent="0.25">
      <c r="A13711" s="16"/>
    </row>
    <row r="13712" spans="1:1" x14ac:dyDescent="0.25">
      <c r="A13712" s="16"/>
    </row>
    <row r="13713" spans="1:1" x14ac:dyDescent="0.25">
      <c r="A13713" s="16"/>
    </row>
    <row r="13714" spans="1:1" x14ac:dyDescent="0.25">
      <c r="A13714" s="16"/>
    </row>
    <row r="13715" spans="1:1" x14ac:dyDescent="0.25">
      <c r="A13715" s="16"/>
    </row>
    <row r="13716" spans="1:1" x14ac:dyDescent="0.25">
      <c r="A13716" s="16"/>
    </row>
    <row r="13717" spans="1:1" x14ac:dyDescent="0.25">
      <c r="A13717" s="16"/>
    </row>
    <row r="13718" spans="1:1" x14ac:dyDescent="0.25">
      <c r="A13718" s="16"/>
    </row>
    <row r="13719" spans="1:1" x14ac:dyDescent="0.25">
      <c r="A13719" s="16"/>
    </row>
    <row r="13720" spans="1:1" x14ac:dyDescent="0.25">
      <c r="A13720" s="16"/>
    </row>
    <row r="13721" spans="1:1" x14ac:dyDescent="0.25">
      <c r="A13721" s="16"/>
    </row>
    <row r="13722" spans="1:1" x14ac:dyDescent="0.25">
      <c r="A13722" s="16"/>
    </row>
    <row r="13723" spans="1:1" x14ac:dyDescent="0.25">
      <c r="A13723" s="16"/>
    </row>
    <row r="13724" spans="1:1" x14ac:dyDescent="0.25">
      <c r="A13724" s="16"/>
    </row>
    <row r="13725" spans="1:1" x14ac:dyDescent="0.25">
      <c r="A13725" s="16"/>
    </row>
    <row r="13726" spans="1:1" x14ac:dyDescent="0.25">
      <c r="A13726" s="16"/>
    </row>
    <row r="13727" spans="1:1" x14ac:dyDescent="0.25">
      <c r="A13727" s="16"/>
    </row>
    <row r="13728" spans="1:1" x14ac:dyDescent="0.25">
      <c r="A13728" s="16"/>
    </row>
    <row r="13729" spans="1:1" x14ac:dyDescent="0.25">
      <c r="A13729" s="16"/>
    </row>
    <row r="13730" spans="1:1" x14ac:dyDescent="0.25">
      <c r="A13730" s="16"/>
    </row>
    <row r="13731" spans="1:1" x14ac:dyDescent="0.25">
      <c r="A13731" s="16"/>
    </row>
    <row r="13732" spans="1:1" x14ac:dyDescent="0.25">
      <c r="A13732" s="16"/>
    </row>
    <row r="13733" spans="1:1" x14ac:dyDescent="0.25">
      <c r="A13733" s="16"/>
    </row>
    <row r="13734" spans="1:1" x14ac:dyDescent="0.25">
      <c r="A13734" s="16"/>
    </row>
    <row r="13735" spans="1:1" x14ac:dyDescent="0.25">
      <c r="A13735" s="16"/>
    </row>
    <row r="13736" spans="1:1" x14ac:dyDescent="0.25">
      <c r="A13736" s="16"/>
    </row>
    <row r="13737" spans="1:1" x14ac:dyDescent="0.25">
      <c r="A13737" s="16"/>
    </row>
    <row r="13738" spans="1:1" x14ac:dyDescent="0.25">
      <c r="A13738" s="16"/>
    </row>
    <row r="13739" spans="1:1" x14ac:dyDescent="0.25">
      <c r="A13739" s="16"/>
    </row>
    <row r="13740" spans="1:1" x14ac:dyDescent="0.25">
      <c r="A13740" s="16"/>
    </row>
    <row r="13741" spans="1:1" x14ac:dyDescent="0.25">
      <c r="A13741" s="16"/>
    </row>
    <row r="13742" spans="1:1" x14ac:dyDescent="0.25">
      <c r="A13742" s="16"/>
    </row>
    <row r="13743" spans="1:1" x14ac:dyDescent="0.25">
      <c r="A13743" s="16"/>
    </row>
    <row r="13744" spans="1:1" x14ac:dyDescent="0.25">
      <c r="A13744" s="16"/>
    </row>
    <row r="13745" spans="1:1" x14ac:dyDescent="0.25">
      <c r="A13745" s="16"/>
    </row>
    <row r="13746" spans="1:1" x14ac:dyDescent="0.25">
      <c r="A13746" s="16"/>
    </row>
    <row r="13747" spans="1:1" x14ac:dyDescent="0.25">
      <c r="A13747" s="16"/>
    </row>
    <row r="13748" spans="1:1" x14ac:dyDescent="0.25">
      <c r="A13748" s="16"/>
    </row>
    <row r="13749" spans="1:1" x14ac:dyDescent="0.25">
      <c r="A13749" s="16"/>
    </row>
    <row r="13750" spans="1:1" x14ac:dyDescent="0.25">
      <c r="A13750" s="16"/>
    </row>
    <row r="13751" spans="1:1" x14ac:dyDescent="0.25">
      <c r="A13751" s="16"/>
    </row>
    <row r="13752" spans="1:1" x14ac:dyDescent="0.25">
      <c r="A13752" s="16"/>
    </row>
    <row r="13753" spans="1:1" x14ac:dyDescent="0.25">
      <c r="A13753" s="16"/>
    </row>
    <row r="13754" spans="1:1" x14ac:dyDescent="0.25">
      <c r="A13754" s="16"/>
    </row>
    <row r="13755" spans="1:1" x14ac:dyDescent="0.25">
      <c r="A13755" s="16"/>
    </row>
    <row r="13756" spans="1:1" x14ac:dyDescent="0.25">
      <c r="A13756" s="16"/>
    </row>
    <row r="13757" spans="1:1" x14ac:dyDescent="0.25">
      <c r="A13757" s="16"/>
    </row>
    <row r="13758" spans="1:1" x14ac:dyDescent="0.25">
      <c r="A13758" s="16"/>
    </row>
    <row r="13759" spans="1:1" x14ac:dyDescent="0.25">
      <c r="A13759" s="16"/>
    </row>
    <row r="13760" spans="1:1" x14ac:dyDescent="0.25">
      <c r="A13760" s="16"/>
    </row>
    <row r="13761" spans="1:1" x14ac:dyDescent="0.25">
      <c r="A13761" s="16"/>
    </row>
    <row r="13762" spans="1:1" x14ac:dyDescent="0.25">
      <c r="A13762" s="16"/>
    </row>
    <row r="13763" spans="1:1" x14ac:dyDescent="0.25">
      <c r="A13763" s="16"/>
    </row>
    <row r="13764" spans="1:1" x14ac:dyDescent="0.25">
      <c r="A13764" s="16"/>
    </row>
    <row r="13765" spans="1:1" x14ac:dyDescent="0.25">
      <c r="A13765" s="16"/>
    </row>
    <row r="13766" spans="1:1" x14ac:dyDescent="0.25">
      <c r="A13766" s="16"/>
    </row>
    <row r="13767" spans="1:1" x14ac:dyDescent="0.25">
      <c r="A13767" s="16"/>
    </row>
    <row r="13768" spans="1:1" x14ac:dyDescent="0.25">
      <c r="A13768" s="16"/>
    </row>
    <row r="13769" spans="1:1" x14ac:dyDescent="0.25">
      <c r="A13769" s="16"/>
    </row>
    <row r="13770" spans="1:1" x14ac:dyDescent="0.25">
      <c r="A13770" s="16"/>
    </row>
    <row r="13771" spans="1:1" x14ac:dyDescent="0.25">
      <c r="A13771" s="16"/>
    </row>
    <row r="13772" spans="1:1" x14ac:dyDescent="0.25">
      <c r="A13772" s="16"/>
    </row>
    <row r="13773" spans="1:1" x14ac:dyDescent="0.25">
      <c r="A13773" s="16"/>
    </row>
    <row r="13774" spans="1:1" x14ac:dyDescent="0.25">
      <c r="A13774" s="16"/>
    </row>
    <row r="13775" spans="1:1" x14ac:dyDescent="0.25">
      <c r="A13775" s="16"/>
    </row>
    <row r="13776" spans="1:1" x14ac:dyDescent="0.25">
      <c r="A13776" s="16"/>
    </row>
    <row r="13777" spans="1:1" x14ac:dyDescent="0.25">
      <c r="A13777" s="16"/>
    </row>
    <row r="13778" spans="1:1" x14ac:dyDescent="0.25">
      <c r="A13778" s="16"/>
    </row>
    <row r="13779" spans="1:1" x14ac:dyDescent="0.25">
      <c r="A13779" s="16"/>
    </row>
    <row r="13780" spans="1:1" x14ac:dyDescent="0.25">
      <c r="A13780" s="16"/>
    </row>
    <row r="13781" spans="1:1" x14ac:dyDescent="0.25">
      <c r="A13781" s="16"/>
    </row>
    <row r="13782" spans="1:1" x14ac:dyDescent="0.25">
      <c r="A13782" s="16"/>
    </row>
    <row r="13783" spans="1:1" x14ac:dyDescent="0.25">
      <c r="A13783" s="16"/>
    </row>
    <row r="13784" spans="1:1" x14ac:dyDescent="0.25">
      <c r="A13784" s="16"/>
    </row>
    <row r="13785" spans="1:1" x14ac:dyDescent="0.25">
      <c r="A13785" s="16"/>
    </row>
    <row r="13786" spans="1:1" x14ac:dyDescent="0.25">
      <c r="A13786" s="16"/>
    </row>
    <row r="13787" spans="1:1" x14ac:dyDescent="0.25">
      <c r="A13787" s="16"/>
    </row>
    <row r="13788" spans="1:1" x14ac:dyDescent="0.25">
      <c r="A13788" s="16"/>
    </row>
    <row r="13789" spans="1:1" x14ac:dyDescent="0.25">
      <c r="A13789" s="16"/>
    </row>
    <row r="13790" spans="1:1" x14ac:dyDescent="0.25">
      <c r="A13790" s="16"/>
    </row>
    <row r="13791" spans="1:1" x14ac:dyDescent="0.25">
      <c r="A13791" s="16"/>
    </row>
    <row r="13792" spans="1:1" x14ac:dyDescent="0.25">
      <c r="A13792" s="16"/>
    </row>
    <row r="13793" spans="1:1" x14ac:dyDescent="0.25">
      <c r="A13793" s="16"/>
    </row>
    <row r="13794" spans="1:1" x14ac:dyDescent="0.25">
      <c r="A13794" s="16"/>
    </row>
    <row r="13795" spans="1:1" x14ac:dyDescent="0.25">
      <c r="A13795" s="16"/>
    </row>
    <row r="13796" spans="1:1" x14ac:dyDescent="0.25">
      <c r="A13796" s="16"/>
    </row>
    <row r="13797" spans="1:1" x14ac:dyDescent="0.25">
      <c r="A13797" s="16"/>
    </row>
    <row r="13798" spans="1:1" x14ac:dyDescent="0.25">
      <c r="A13798" s="16"/>
    </row>
    <row r="13799" spans="1:1" x14ac:dyDescent="0.25">
      <c r="A13799" s="16"/>
    </row>
    <row r="13800" spans="1:1" x14ac:dyDescent="0.25">
      <c r="A13800" s="16"/>
    </row>
    <row r="13801" spans="1:1" x14ac:dyDescent="0.25">
      <c r="A13801" s="16"/>
    </row>
    <row r="13802" spans="1:1" x14ac:dyDescent="0.25">
      <c r="A13802" s="16"/>
    </row>
    <row r="13803" spans="1:1" x14ac:dyDescent="0.25">
      <c r="A13803" s="16"/>
    </row>
    <row r="13804" spans="1:1" x14ac:dyDescent="0.25">
      <c r="A13804" s="16"/>
    </row>
    <row r="13805" spans="1:1" x14ac:dyDescent="0.25">
      <c r="A13805" s="16"/>
    </row>
    <row r="13806" spans="1:1" x14ac:dyDescent="0.25">
      <c r="A13806" s="16"/>
    </row>
    <row r="13807" spans="1:1" x14ac:dyDescent="0.25">
      <c r="A13807" s="16"/>
    </row>
    <row r="13808" spans="1:1" x14ac:dyDescent="0.25">
      <c r="A13808" s="16"/>
    </row>
    <row r="13809" spans="1:1" x14ac:dyDescent="0.25">
      <c r="A13809" s="16"/>
    </row>
    <row r="13810" spans="1:1" x14ac:dyDescent="0.25">
      <c r="A13810" s="16"/>
    </row>
    <row r="13811" spans="1:1" x14ac:dyDescent="0.25">
      <c r="A13811" s="16"/>
    </row>
    <row r="13812" spans="1:1" x14ac:dyDescent="0.25">
      <c r="A13812" s="16"/>
    </row>
    <row r="13813" spans="1:1" x14ac:dyDescent="0.25">
      <c r="A13813" s="16"/>
    </row>
    <row r="13814" spans="1:1" x14ac:dyDescent="0.25">
      <c r="A13814" s="16"/>
    </row>
    <row r="13815" spans="1:1" x14ac:dyDescent="0.25">
      <c r="A13815" s="16"/>
    </row>
    <row r="13816" spans="1:1" x14ac:dyDescent="0.25">
      <c r="A13816" s="16"/>
    </row>
    <row r="13817" spans="1:1" x14ac:dyDescent="0.25">
      <c r="A13817" s="16"/>
    </row>
    <row r="13818" spans="1:1" x14ac:dyDescent="0.25">
      <c r="A13818" s="16"/>
    </row>
    <row r="13819" spans="1:1" x14ac:dyDescent="0.25">
      <c r="A13819" s="16"/>
    </row>
    <row r="13820" spans="1:1" x14ac:dyDescent="0.25">
      <c r="A13820" s="16"/>
    </row>
    <row r="13821" spans="1:1" x14ac:dyDescent="0.25">
      <c r="A13821" s="16"/>
    </row>
    <row r="13822" spans="1:1" x14ac:dyDescent="0.25">
      <c r="A13822" s="16"/>
    </row>
    <row r="13823" spans="1:1" x14ac:dyDescent="0.25">
      <c r="A13823" s="16"/>
    </row>
    <row r="13824" spans="1:1" x14ac:dyDescent="0.25">
      <c r="A13824" s="16"/>
    </row>
    <row r="13825" spans="1:1" x14ac:dyDescent="0.25">
      <c r="A13825" s="16"/>
    </row>
    <row r="13826" spans="1:1" x14ac:dyDescent="0.25">
      <c r="A13826" s="16"/>
    </row>
    <row r="13827" spans="1:1" x14ac:dyDescent="0.25">
      <c r="A13827" s="16"/>
    </row>
    <row r="13828" spans="1:1" x14ac:dyDescent="0.25">
      <c r="A13828" s="16"/>
    </row>
    <row r="13829" spans="1:1" x14ac:dyDescent="0.25">
      <c r="A13829" s="16"/>
    </row>
    <row r="13830" spans="1:1" x14ac:dyDescent="0.25">
      <c r="A13830" s="16"/>
    </row>
    <row r="13831" spans="1:1" x14ac:dyDescent="0.25">
      <c r="A13831" s="16"/>
    </row>
    <row r="13832" spans="1:1" x14ac:dyDescent="0.25">
      <c r="A13832" s="16"/>
    </row>
    <row r="13833" spans="1:1" x14ac:dyDescent="0.25">
      <c r="A13833" s="16"/>
    </row>
    <row r="13834" spans="1:1" x14ac:dyDescent="0.25">
      <c r="A13834" s="16"/>
    </row>
    <row r="13835" spans="1:1" x14ac:dyDescent="0.25">
      <c r="A13835" s="16"/>
    </row>
    <row r="13836" spans="1:1" x14ac:dyDescent="0.25">
      <c r="A13836" s="16"/>
    </row>
    <row r="13837" spans="1:1" x14ac:dyDescent="0.25">
      <c r="A13837" s="16"/>
    </row>
    <row r="13838" spans="1:1" x14ac:dyDescent="0.25">
      <c r="A13838" s="16"/>
    </row>
    <row r="13839" spans="1:1" x14ac:dyDescent="0.25">
      <c r="A13839" s="16"/>
    </row>
    <row r="13840" spans="1:1" x14ac:dyDescent="0.25">
      <c r="A13840" s="16"/>
    </row>
    <row r="13841" spans="1:1" x14ac:dyDescent="0.25">
      <c r="A13841" s="16"/>
    </row>
    <row r="13842" spans="1:1" x14ac:dyDescent="0.25">
      <c r="A13842" s="16"/>
    </row>
    <row r="13843" spans="1:1" x14ac:dyDescent="0.25">
      <c r="A13843" s="16"/>
    </row>
    <row r="13844" spans="1:1" x14ac:dyDescent="0.25">
      <c r="A13844" s="16"/>
    </row>
    <row r="13845" spans="1:1" x14ac:dyDescent="0.25">
      <c r="A13845" s="16"/>
    </row>
    <row r="13846" spans="1:1" x14ac:dyDescent="0.25">
      <c r="A13846" s="16"/>
    </row>
    <row r="13847" spans="1:1" x14ac:dyDescent="0.25">
      <c r="A13847" s="16"/>
    </row>
    <row r="13848" spans="1:1" x14ac:dyDescent="0.25">
      <c r="A13848" s="16"/>
    </row>
    <row r="13849" spans="1:1" x14ac:dyDescent="0.25">
      <c r="A13849" s="16"/>
    </row>
    <row r="13850" spans="1:1" x14ac:dyDescent="0.25">
      <c r="A13850" s="16"/>
    </row>
    <row r="13851" spans="1:1" x14ac:dyDescent="0.25">
      <c r="A13851" s="16"/>
    </row>
    <row r="13852" spans="1:1" x14ac:dyDescent="0.25">
      <c r="A13852" s="16"/>
    </row>
    <row r="13853" spans="1:1" x14ac:dyDescent="0.25">
      <c r="A13853" s="16"/>
    </row>
    <row r="13854" spans="1:1" x14ac:dyDescent="0.25">
      <c r="A13854" s="16"/>
    </row>
    <row r="13855" spans="1:1" x14ac:dyDescent="0.25">
      <c r="A13855" s="16"/>
    </row>
    <row r="13856" spans="1:1" x14ac:dyDescent="0.25">
      <c r="A13856" s="16"/>
    </row>
    <row r="13857" spans="1:1" x14ac:dyDescent="0.25">
      <c r="A13857" s="16"/>
    </row>
    <row r="13858" spans="1:1" x14ac:dyDescent="0.25">
      <c r="A13858" s="16"/>
    </row>
    <row r="13859" spans="1:1" x14ac:dyDescent="0.25">
      <c r="A13859" s="16"/>
    </row>
    <row r="13860" spans="1:1" x14ac:dyDescent="0.25">
      <c r="A13860" s="16"/>
    </row>
    <row r="13861" spans="1:1" x14ac:dyDescent="0.25">
      <c r="A13861" s="16"/>
    </row>
    <row r="13862" spans="1:1" x14ac:dyDescent="0.25">
      <c r="A13862" s="16"/>
    </row>
    <row r="13863" spans="1:1" x14ac:dyDescent="0.25">
      <c r="A13863" s="16"/>
    </row>
    <row r="13864" spans="1:1" x14ac:dyDescent="0.25">
      <c r="A13864" s="16"/>
    </row>
    <row r="13865" spans="1:1" x14ac:dyDescent="0.25">
      <c r="A13865" s="16"/>
    </row>
    <row r="13866" spans="1:1" x14ac:dyDescent="0.25">
      <c r="A13866" s="16"/>
    </row>
    <row r="13867" spans="1:1" x14ac:dyDescent="0.25">
      <c r="A13867" s="16"/>
    </row>
    <row r="13868" spans="1:1" x14ac:dyDescent="0.25">
      <c r="A13868" s="16"/>
    </row>
    <row r="13869" spans="1:1" x14ac:dyDescent="0.25">
      <c r="A13869" s="16"/>
    </row>
    <row r="13870" spans="1:1" x14ac:dyDescent="0.25">
      <c r="A13870" s="16"/>
    </row>
    <row r="13871" spans="1:1" x14ac:dyDescent="0.25">
      <c r="A13871" s="16"/>
    </row>
    <row r="13872" spans="1:1" x14ac:dyDescent="0.25">
      <c r="A13872" s="16"/>
    </row>
    <row r="13873" spans="1:1" x14ac:dyDescent="0.25">
      <c r="A13873" s="16"/>
    </row>
    <row r="13874" spans="1:1" x14ac:dyDescent="0.25">
      <c r="A13874" s="16"/>
    </row>
    <row r="13875" spans="1:1" x14ac:dyDescent="0.25">
      <c r="A13875" s="16"/>
    </row>
    <row r="13876" spans="1:1" x14ac:dyDescent="0.25">
      <c r="A13876" s="16"/>
    </row>
    <row r="13877" spans="1:1" x14ac:dyDescent="0.25">
      <c r="A13877" s="16"/>
    </row>
    <row r="13878" spans="1:1" x14ac:dyDescent="0.25">
      <c r="A13878" s="16"/>
    </row>
    <row r="13879" spans="1:1" x14ac:dyDescent="0.25">
      <c r="A13879" s="16"/>
    </row>
    <row r="13880" spans="1:1" x14ac:dyDescent="0.25">
      <c r="A13880" s="16"/>
    </row>
    <row r="13881" spans="1:1" x14ac:dyDescent="0.25">
      <c r="A13881" s="16"/>
    </row>
    <row r="13882" spans="1:1" x14ac:dyDescent="0.25">
      <c r="A13882" s="16"/>
    </row>
    <row r="13883" spans="1:1" x14ac:dyDescent="0.25">
      <c r="A13883" s="16"/>
    </row>
    <row r="13884" spans="1:1" x14ac:dyDescent="0.25">
      <c r="A13884" s="16"/>
    </row>
    <row r="13885" spans="1:1" x14ac:dyDescent="0.25">
      <c r="A13885" s="16"/>
    </row>
    <row r="13886" spans="1:1" x14ac:dyDescent="0.25">
      <c r="A13886" s="16"/>
    </row>
    <row r="13887" spans="1:1" x14ac:dyDescent="0.25">
      <c r="A13887" s="16"/>
    </row>
    <row r="13888" spans="1:1" x14ac:dyDescent="0.25">
      <c r="A13888" s="16"/>
    </row>
    <row r="13889" spans="1:1" x14ac:dyDescent="0.25">
      <c r="A13889" s="16"/>
    </row>
    <row r="13890" spans="1:1" x14ac:dyDescent="0.25">
      <c r="A13890" s="16"/>
    </row>
    <row r="13891" spans="1:1" x14ac:dyDescent="0.25">
      <c r="A13891" s="16"/>
    </row>
    <row r="13892" spans="1:1" x14ac:dyDescent="0.25">
      <c r="A13892" s="16"/>
    </row>
    <row r="13893" spans="1:1" x14ac:dyDescent="0.25">
      <c r="A13893" s="16"/>
    </row>
    <row r="13894" spans="1:1" x14ac:dyDescent="0.25">
      <c r="A13894" s="16"/>
    </row>
    <row r="13895" spans="1:1" x14ac:dyDescent="0.25">
      <c r="A13895" s="16"/>
    </row>
    <row r="13896" spans="1:1" x14ac:dyDescent="0.25">
      <c r="A13896" s="16"/>
    </row>
    <row r="13897" spans="1:1" x14ac:dyDescent="0.25">
      <c r="A13897" s="16"/>
    </row>
    <row r="13898" spans="1:1" x14ac:dyDescent="0.25">
      <c r="A13898" s="16"/>
    </row>
    <row r="13899" spans="1:1" x14ac:dyDescent="0.25">
      <c r="A13899" s="16"/>
    </row>
    <row r="13900" spans="1:1" x14ac:dyDescent="0.25">
      <c r="A13900" s="16"/>
    </row>
    <row r="13901" spans="1:1" x14ac:dyDescent="0.25">
      <c r="A13901" s="16"/>
    </row>
    <row r="13902" spans="1:1" x14ac:dyDescent="0.25">
      <c r="A13902" s="16"/>
    </row>
    <row r="13903" spans="1:1" x14ac:dyDescent="0.25">
      <c r="A13903" s="16"/>
    </row>
    <row r="13904" spans="1:1" x14ac:dyDescent="0.25">
      <c r="A13904" s="16"/>
    </row>
    <row r="13905" spans="1:1" x14ac:dyDescent="0.25">
      <c r="A13905" s="16"/>
    </row>
    <row r="13906" spans="1:1" x14ac:dyDescent="0.25">
      <c r="A13906" s="16"/>
    </row>
    <row r="13907" spans="1:1" x14ac:dyDescent="0.25">
      <c r="A13907" s="16"/>
    </row>
    <row r="13908" spans="1:1" x14ac:dyDescent="0.25">
      <c r="A13908" s="16"/>
    </row>
    <row r="13909" spans="1:1" x14ac:dyDescent="0.25">
      <c r="A13909" s="16"/>
    </row>
    <row r="13910" spans="1:1" x14ac:dyDescent="0.25">
      <c r="A13910" s="16"/>
    </row>
    <row r="13911" spans="1:1" x14ac:dyDescent="0.25">
      <c r="A13911" s="16"/>
    </row>
    <row r="13912" spans="1:1" x14ac:dyDescent="0.25">
      <c r="A13912" s="16"/>
    </row>
    <row r="13913" spans="1:1" x14ac:dyDescent="0.25">
      <c r="A13913" s="16"/>
    </row>
    <row r="13914" spans="1:1" x14ac:dyDescent="0.25">
      <c r="A13914" s="16"/>
    </row>
    <row r="13915" spans="1:1" x14ac:dyDescent="0.25">
      <c r="A13915" s="16"/>
    </row>
    <row r="13916" spans="1:1" x14ac:dyDescent="0.25">
      <c r="A13916" s="16"/>
    </row>
    <row r="13917" spans="1:1" x14ac:dyDescent="0.25">
      <c r="A13917" s="16"/>
    </row>
    <row r="13918" spans="1:1" x14ac:dyDescent="0.25">
      <c r="A13918" s="16"/>
    </row>
    <row r="13919" spans="1:1" x14ac:dyDescent="0.25">
      <c r="A13919" s="16"/>
    </row>
    <row r="13920" spans="1:1" x14ac:dyDescent="0.25">
      <c r="A13920" s="16"/>
    </row>
    <row r="13921" spans="1:1" x14ac:dyDescent="0.25">
      <c r="A13921" s="16"/>
    </row>
    <row r="13922" spans="1:1" x14ac:dyDescent="0.25">
      <c r="A13922" s="16"/>
    </row>
    <row r="13923" spans="1:1" x14ac:dyDescent="0.25">
      <c r="A13923" s="16"/>
    </row>
    <row r="13924" spans="1:1" x14ac:dyDescent="0.25">
      <c r="A13924" s="16"/>
    </row>
    <row r="13925" spans="1:1" x14ac:dyDescent="0.25">
      <c r="A13925" s="16"/>
    </row>
    <row r="13926" spans="1:1" x14ac:dyDescent="0.25">
      <c r="A13926" s="16"/>
    </row>
    <row r="13927" spans="1:1" x14ac:dyDescent="0.25">
      <c r="A13927" s="16"/>
    </row>
    <row r="13928" spans="1:1" x14ac:dyDescent="0.25">
      <c r="A13928" s="16"/>
    </row>
    <row r="13929" spans="1:1" x14ac:dyDescent="0.25">
      <c r="A13929" s="16"/>
    </row>
    <row r="13930" spans="1:1" x14ac:dyDescent="0.25">
      <c r="A13930" s="16"/>
    </row>
    <row r="13931" spans="1:1" x14ac:dyDescent="0.25">
      <c r="A13931" s="16"/>
    </row>
    <row r="13932" spans="1:1" x14ac:dyDescent="0.25">
      <c r="A13932" s="16"/>
    </row>
    <row r="13933" spans="1:1" x14ac:dyDescent="0.25">
      <c r="A13933" s="16"/>
    </row>
    <row r="13934" spans="1:1" x14ac:dyDescent="0.25">
      <c r="A13934" s="16"/>
    </row>
    <row r="13935" spans="1:1" x14ac:dyDescent="0.25">
      <c r="A13935" s="16"/>
    </row>
    <row r="13936" spans="1:1" x14ac:dyDescent="0.25">
      <c r="A13936" s="16"/>
    </row>
    <row r="13937" spans="1:1" x14ac:dyDescent="0.25">
      <c r="A13937" s="16"/>
    </row>
    <row r="13938" spans="1:1" x14ac:dyDescent="0.25">
      <c r="A13938" s="16"/>
    </row>
    <row r="13939" spans="1:1" x14ac:dyDescent="0.25">
      <c r="A13939" s="16"/>
    </row>
    <row r="13940" spans="1:1" x14ac:dyDescent="0.25">
      <c r="A13940" s="16"/>
    </row>
    <row r="13941" spans="1:1" x14ac:dyDescent="0.25">
      <c r="A13941" s="16"/>
    </row>
    <row r="13942" spans="1:1" x14ac:dyDescent="0.25">
      <c r="A13942" s="16"/>
    </row>
    <row r="13943" spans="1:1" x14ac:dyDescent="0.25">
      <c r="A13943" s="16"/>
    </row>
    <row r="13944" spans="1:1" x14ac:dyDescent="0.25">
      <c r="A13944" s="16"/>
    </row>
    <row r="13945" spans="1:1" x14ac:dyDescent="0.25">
      <c r="A13945" s="16"/>
    </row>
    <row r="13946" spans="1:1" x14ac:dyDescent="0.25">
      <c r="A13946" s="16"/>
    </row>
    <row r="13947" spans="1:1" x14ac:dyDescent="0.25">
      <c r="A13947" s="16"/>
    </row>
    <row r="13948" spans="1:1" x14ac:dyDescent="0.25">
      <c r="A13948" s="16"/>
    </row>
    <row r="13949" spans="1:1" x14ac:dyDescent="0.25">
      <c r="A13949" s="16"/>
    </row>
    <row r="13950" spans="1:1" x14ac:dyDescent="0.25">
      <c r="A13950" s="16"/>
    </row>
    <row r="13951" spans="1:1" x14ac:dyDescent="0.25">
      <c r="A13951" s="16"/>
    </row>
    <row r="13952" spans="1:1" x14ac:dyDescent="0.25">
      <c r="A13952" s="16"/>
    </row>
    <row r="13953" spans="1:1" x14ac:dyDescent="0.25">
      <c r="A13953" s="16"/>
    </row>
    <row r="13954" spans="1:1" x14ac:dyDescent="0.25">
      <c r="A13954" s="16"/>
    </row>
    <row r="13955" spans="1:1" x14ac:dyDescent="0.25">
      <c r="A13955" s="16"/>
    </row>
    <row r="13956" spans="1:1" x14ac:dyDescent="0.25">
      <c r="A13956" s="16"/>
    </row>
    <row r="13957" spans="1:1" x14ac:dyDescent="0.25">
      <c r="A13957" s="16"/>
    </row>
    <row r="13958" spans="1:1" x14ac:dyDescent="0.25">
      <c r="A13958" s="16"/>
    </row>
    <row r="13959" spans="1:1" x14ac:dyDescent="0.25">
      <c r="A13959" s="16"/>
    </row>
    <row r="13960" spans="1:1" x14ac:dyDescent="0.25">
      <c r="A13960" s="16"/>
    </row>
    <row r="13961" spans="1:1" x14ac:dyDescent="0.25">
      <c r="A13961" s="16"/>
    </row>
    <row r="13962" spans="1:1" x14ac:dyDescent="0.25">
      <c r="A13962" s="16"/>
    </row>
    <row r="13963" spans="1:1" x14ac:dyDescent="0.25">
      <c r="A13963" s="16"/>
    </row>
    <row r="13964" spans="1:1" x14ac:dyDescent="0.25">
      <c r="A13964" s="16"/>
    </row>
    <row r="13965" spans="1:1" x14ac:dyDescent="0.25">
      <c r="A13965" s="16"/>
    </row>
    <row r="13966" spans="1:1" x14ac:dyDescent="0.25">
      <c r="A13966" s="16"/>
    </row>
    <row r="13967" spans="1:1" x14ac:dyDescent="0.25">
      <c r="A13967" s="16"/>
    </row>
    <row r="13968" spans="1:1" x14ac:dyDescent="0.25">
      <c r="A13968" s="16"/>
    </row>
    <row r="13969" spans="1:1" x14ac:dyDescent="0.25">
      <c r="A13969" s="16"/>
    </row>
    <row r="13970" spans="1:1" x14ac:dyDescent="0.25">
      <c r="A13970" s="16"/>
    </row>
    <row r="13971" spans="1:1" x14ac:dyDescent="0.25">
      <c r="A13971" s="16"/>
    </row>
    <row r="13972" spans="1:1" x14ac:dyDescent="0.25">
      <c r="A13972" s="16"/>
    </row>
    <row r="13973" spans="1:1" x14ac:dyDescent="0.25">
      <c r="A13973" s="16"/>
    </row>
    <row r="13974" spans="1:1" x14ac:dyDescent="0.25">
      <c r="A13974" s="16"/>
    </row>
    <row r="13975" spans="1:1" x14ac:dyDescent="0.25">
      <c r="A13975" s="16"/>
    </row>
    <row r="13976" spans="1:1" x14ac:dyDescent="0.25">
      <c r="A13976" s="16"/>
    </row>
    <row r="13977" spans="1:1" x14ac:dyDescent="0.25">
      <c r="A13977" s="16"/>
    </row>
    <row r="13978" spans="1:1" x14ac:dyDescent="0.25">
      <c r="A13978" s="16"/>
    </row>
    <row r="13979" spans="1:1" x14ac:dyDescent="0.25">
      <c r="A13979" s="16"/>
    </row>
    <row r="13980" spans="1:1" x14ac:dyDescent="0.25">
      <c r="A13980" s="16"/>
    </row>
    <row r="13981" spans="1:1" x14ac:dyDescent="0.25">
      <c r="A13981" s="16"/>
    </row>
    <row r="13982" spans="1:1" x14ac:dyDescent="0.25">
      <c r="A13982" s="16"/>
    </row>
    <row r="13983" spans="1:1" x14ac:dyDescent="0.25">
      <c r="A13983" s="16"/>
    </row>
    <row r="13984" spans="1:1" x14ac:dyDescent="0.25">
      <c r="A13984" s="16"/>
    </row>
    <row r="13985" spans="1:1" x14ac:dyDescent="0.25">
      <c r="A13985" s="16"/>
    </row>
    <row r="13986" spans="1:1" x14ac:dyDescent="0.25">
      <c r="A13986" s="16"/>
    </row>
    <row r="13987" spans="1:1" x14ac:dyDescent="0.25">
      <c r="A13987" s="16"/>
    </row>
    <row r="13988" spans="1:1" x14ac:dyDescent="0.25">
      <c r="A13988" s="16"/>
    </row>
    <row r="13989" spans="1:1" x14ac:dyDescent="0.25">
      <c r="A13989" s="16"/>
    </row>
    <row r="13990" spans="1:1" x14ac:dyDescent="0.25">
      <c r="A13990" s="16"/>
    </row>
    <row r="13991" spans="1:1" x14ac:dyDescent="0.25">
      <c r="A13991" s="16"/>
    </row>
    <row r="13992" spans="1:1" x14ac:dyDescent="0.25">
      <c r="A13992" s="16"/>
    </row>
    <row r="13993" spans="1:1" x14ac:dyDescent="0.25">
      <c r="A13993" s="16"/>
    </row>
    <row r="13994" spans="1:1" x14ac:dyDescent="0.25">
      <c r="A13994" s="16"/>
    </row>
    <row r="13995" spans="1:1" x14ac:dyDescent="0.25">
      <c r="A13995" s="16"/>
    </row>
    <row r="13996" spans="1:1" x14ac:dyDescent="0.25">
      <c r="A13996" s="16"/>
    </row>
    <row r="13997" spans="1:1" x14ac:dyDescent="0.25">
      <c r="A13997" s="16"/>
    </row>
    <row r="13998" spans="1:1" x14ac:dyDescent="0.25">
      <c r="A13998" s="16"/>
    </row>
    <row r="13999" spans="1:1" x14ac:dyDescent="0.25">
      <c r="A13999" s="16"/>
    </row>
    <row r="14000" spans="1:1" x14ac:dyDescent="0.25">
      <c r="A14000" s="16"/>
    </row>
    <row r="14001" spans="1:1" x14ac:dyDescent="0.25">
      <c r="A14001" s="16"/>
    </row>
    <row r="14002" spans="1:1" x14ac:dyDescent="0.25">
      <c r="A14002" s="16"/>
    </row>
    <row r="14003" spans="1:1" x14ac:dyDescent="0.25">
      <c r="A14003" s="16"/>
    </row>
    <row r="14004" spans="1:1" x14ac:dyDescent="0.25">
      <c r="A14004" s="16"/>
    </row>
    <row r="14005" spans="1:1" x14ac:dyDescent="0.25">
      <c r="A14005" s="16"/>
    </row>
    <row r="14006" spans="1:1" x14ac:dyDescent="0.25">
      <c r="A14006" s="16"/>
    </row>
    <row r="14007" spans="1:1" x14ac:dyDescent="0.25">
      <c r="A14007" s="16"/>
    </row>
    <row r="14008" spans="1:1" x14ac:dyDescent="0.25">
      <c r="A14008" s="16"/>
    </row>
    <row r="14009" spans="1:1" x14ac:dyDescent="0.25">
      <c r="A14009" s="16"/>
    </row>
    <row r="14010" spans="1:1" x14ac:dyDescent="0.25">
      <c r="A14010" s="16"/>
    </row>
    <row r="14011" spans="1:1" x14ac:dyDescent="0.25">
      <c r="A14011" s="16"/>
    </row>
    <row r="14012" spans="1:1" x14ac:dyDescent="0.25">
      <c r="A14012" s="16"/>
    </row>
    <row r="14013" spans="1:1" x14ac:dyDescent="0.25">
      <c r="A14013" s="16"/>
    </row>
    <row r="14014" spans="1:1" x14ac:dyDescent="0.25">
      <c r="A14014" s="16"/>
    </row>
    <row r="14015" spans="1:1" x14ac:dyDescent="0.25">
      <c r="A14015" s="16"/>
    </row>
    <row r="14016" spans="1:1" x14ac:dyDescent="0.25">
      <c r="A14016" s="16"/>
    </row>
    <row r="14017" spans="1:1" x14ac:dyDescent="0.25">
      <c r="A14017" s="16"/>
    </row>
    <row r="14018" spans="1:1" x14ac:dyDescent="0.25">
      <c r="A14018" s="16"/>
    </row>
    <row r="14019" spans="1:1" x14ac:dyDescent="0.25">
      <c r="A14019" s="16"/>
    </row>
    <row r="14020" spans="1:1" x14ac:dyDescent="0.25">
      <c r="A14020" s="16"/>
    </row>
    <row r="14021" spans="1:1" x14ac:dyDescent="0.25">
      <c r="A14021" s="16"/>
    </row>
    <row r="14022" spans="1:1" x14ac:dyDescent="0.25">
      <c r="A14022" s="16"/>
    </row>
    <row r="14023" spans="1:1" x14ac:dyDescent="0.25">
      <c r="A14023" s="16"/>
    </row>
    <row r="14024" spans="1:1" x14ac:dyDescent="0.25">
      <c r="A14024" s="16"/>
    </row>
    <row r="14025" spans="1:1" x14ac:dyDescent="0.25">
      <c r="A14025" s="16"/>
    </row>
    <row r="14026" spans="1:1" x14ac:dyDescent="0.25">
      <c r="A14026" s="16"/>
    </row>
    <row r="14027" spans="1:1" x14ac:dyDescent="0.25">
      <c r="A14027" s="16"/>
    </row>
    <row r="14028" spans="1:1" x14ac:dyDescent="0.25">
      <c r="A14028" s="16"/>
    </row>
    <row r="14029" spans="1:1" x14ac:dyDescent="0.25">
      <c r="A14029" s="16"/>
    </row>
    <row r="14030" spans="1:1" x14ac:dyDescent="0.25">
      <c r="A14030" s="16"/>
    </row>
    <row r="14031" spans="1:1" x14ac:dyDescent="0.25">
      <c r="A14031" s="16"/>
    </row>
    <row r="14032" spans="1:1" x14ac:dyDescent="0.25">
      <c r="A14032" s="16"/>
    </row>
    <row r="14033" spans="1:1" x14ac:dyDescent="0.25">
      <c r="A14033" s="16"/>
    </row>
    <row r="14034" spans="1:1" x14ac:dyDescent="0.25">
      <c r="A14034" s="16"/>
    </row>
    <row r="14035" spans="1:1" x14ac:dyDescent="0.25">
      <c r="A14035" s="16"/>
    </row>
    <row r="14036" spans="1:1" x14ac:dyDescent="0.25">
      <c r="A14036" s="16"/>
    </row>
    <row r="14037" spans="1:1" x14ac:dyDescent="0.25">
      <c r="A14037" s="16"/>
    </row>
    <row r="14038" spans="1:1" x14ac:dyDescent="0.25">
      <c r="A14038" s="16"/>
    </row>
    <row r="14039" spans="1:1" x14ac:dyDescent="0.25">
      <c r="A14039" s="16"/>
    </row>
    <row r="14040" spans="1:1" x14ac:dyDescent="0.25">
      <c r="A14040" s="16"/>
    </row>
    <row r="14041" spans="1:1" x14ac:dyDescent="0.25">
      <c r="A14041" s="16"/>
    </row>
    <row r="14042" spans="1:1" x14ac:dyDescent="0.25">
      <c r="A14042" s="16"/>
    </row>
    <row r="14043" spans="1:1" x14ac:dyDescent="0.25">
      <c r="A14043" s="16"/>
    </row>
    <row r="14044" spans="1:1" x14ac:dyDescent="0.25">
      <c r="A14044" s="16"/>
    </row>
    <row r="14045" spans="1:1" x14ac:dyDescent="0.25">
      <c r="A14045" s="16"/>
    </row>
    <row r="14046" spans="1:1" x14ac:dyDescent="0.25">
      <c r="A14046" s="16"/>
    </row>
    <row r="14047" spans="1:1" x14ac:dyDescent="0.25">
      <c r="A14047" s="16"/>
    </row>
    <row r="14048" spans="1:1" x14ac:dyDescent="0.25">
      <c r="A14048" s="16"/>
    </row>
    <row r="14049" spans="1:1" x14ac:dyDescent="0.25">
      <c r="A14049" s="16"/>
    </row>
    <row r="14050" spans="1:1" x14ac:dyDescent="0.25">
      <c r="A14050" s="16"/>
    </row>
    <row r="14051" spans="1:1" x14ac:dyDescent="0.25">
      <c r="A14051" s="16"/>
    </row>
    <row r="14052" spans="1:1" x14ac:dyDescent="0.25">
      <c r="A14052" s="16"/>
    </row>
    <row r="14053" spans="1:1" x14ac:dyDescent="0.25">
      <c r="A14053" s="16"/>
    </row>
    <row r="14054" spans="1:1" x14ac:dyDescent="0.25">
      <c r="A14054" s="16"/>
    </row>
    <row r="14055" spans="1:1" x14ac:dyDescent="0.25">
      <c r="A14055" s="16"/>
    </row>
    <row r="14056" spans="1:1" x14ac:dyDescent="0.25">
      <c r="A14056" s="16"/>
    </row>
    <row r="14057" spans="1:1" x14ac:dyDescent="0.25">
      <c r="A14057" s="16"/>
    </row>
    <row r="14058" spans="1:1" x14ac:dyDescent="0.25">
      <c r="A14058" s="16"/>
    </row>
    <row r="14059" spans="1:1" x14ac:dyDescent="0.25">
      <c r="A14059" s="16"/>
    </row>
    <row r="14060" spans="1:1" x14ac:dyDescent="0.25">
      <c r="A14060" s="16"/>
    </row>
    <row r="14061" spans="1:1" x14ac:dyDescent="0.25">
      <c r="A14061" s="16"/>
    </row>
    <row r="14062" spans="1:1" x14ac:dyDescent="0.25">
      <c r="A14062" s="16"/>
    </row>
    <row r="14063" spans="1:1" x14ac:dyDescent="0.25">
      <c r="A14063" s="16"/>
    </row>
    <row r="14064" spans="1:1" x14ac:dyDescent="0.25">
      <c r="A14064" s="16"/>
    </row>
    <row r="14065" spans="1:1" x14ac:dyDescent="0.25">
      <c r="A14065" s="16"/>
    </row>
    <row r="14066" spans="1:1" x14ac:dyDescent="0.25">
      <c r="A14066" s="16"/>
    </row>
    <row r="14067" spans="1:1" x14ac:dyDescent="0.25">
      <c r="A14067" s="16"/>
    </row>
    <row r="14068" spans="1:1" x14ac:dyDescent="0.25">
      <c r="A14068" s="16"/>
    </row>
    <row r="14069" spans="1:1" x14ac:dyDescent="0.25">
      <c r="A14069" s="16"/>
    </row>
    <row r="14070" spans="1:1" x14ac:dyDescent="0.25">
      <c r="A14070" s="16"/>
    </row>
    <row r="14071" spans="1:1" x14ac:dyDescent="0.25">
      <c r="A14071" s="16"/>
    </row>
    <row r="14072" spans="1:1" x14ac:dyDescent="0.25">
      <c r="A14072" s="16"/>
    </row>
    <row r="14073" spans="1:1" x14ac:dyDescent="0.25">
      <c r="A14073" s="16"/>
    </row>
    <row r="14074" spans="1:1" x14ac:dyDescent="0.25">
      <c r="A14074" s="16"/>
    </row>
    <row r="14075" spans="1:1" x14ac:dyDescent="0.25">
      <c r="A14075" s="16"/>
    </row>
    <row r="14076" spans="1:1" x14ac:dyDescent="0.25">
      <c r="A14076" s="16"/>
    </row>
    <row r="14077" spans="1:1" x14ac:dyDescent="0.25">
      <c r="A14077" s="16"/>
    </row>
    <row r="14078" spans="1:1" x14ac:dyDescent="0.25">
      <c r="A14078" s="16"/>
    </row>
    <row r="14079" spans="1:1" x14ac:dyDescent="0.25">
      <c r="A14079" s="16"/>
    </row>
    <row r="14080" spans="1:1" x14ac:dyDescent="0.25">
      <c r="A14080" s="16"/>
    </row>
    <row r="14081" spans="1:1" x14ac:dyDescent="0.25">
      <c r="A14081" s="16"/>
    </row>
    <row r="14082" spans="1:1" x14ac:dyDescent="0.25">
      <c r="A14082" s="16"/>
    </row>
    <row r="14083" spans="1:1" x14ac:dyDescent="0.25">
      <c r="A14083" s="16"/>
    </row>
    <row r="14084" spans="1:1" x14ac:dyDescent="0.25">
      <c r="A14084" s="16"/>
    </row>
    <row r="14085" spans="1:1" x14ac:dyDescent="0.25">
      <c r="A14085" s="16"/>
    </row>
    <row r="14086" spans="1:1" x14ac:dyDescent="0.25">
      <c r="A14086" s="16"/>
    </row>
    <row r="14087" spans="1:1" x14ac:dyDescent="0.25">
      <c r="A14087" s="16"/>
    </row>
    <row r="14088" spans="1:1" x14ac:dyDescent="0.25">
      <c r="A14088" s="16"/>
    </row>
    <row r="14089" spans="1:1" x14ac:dyDescent="0.25">
      <c r="A14089" s="16"/>
    </row>
    <row r="14090" spans="1:1" x14ac:dyDescent="0.25">
      <c r="A14090" s="16"/>
    </row>
    <row r="14091" spans="1:1" x14ac:dyDescent="0.25">
      <c r="A14091" s="16"/>
    </row>
    <row r="14092" spans="1:1" x14ac:dyDescent="0.25">
      <c r="A14092" s="16"/>
    </row>
    <row r="14093" spans="1:1" x14ac:dyDescent="0.25">
      <c r="A14093" s="16"/>
    </row>
    <row r="14094" spans="1:1" x14ac:dyDescent="0.25">
      <c r="A14094" s="16"/>
    </row>
    <row r="14095" spans="1:1" x14ac:dyDescent="0.25">
      <c r="A14095" s="16"/>
    </row>
    <row r="14096" spans="1:1" x14ac:dyDescent="0.25">
      <c r="A14096" s="16"/>
    </row>
    <row r="14097" spans="1:1" x14ac:dyDescent="0.25">
      <c r="A14097" s="16"/>
    </row>
    <row r="14098" spans="1:1" x14ac:dyDescent="0.25">
      <c r="A14098" s="16"/>
    </row>
    <row r="14099" spans="1:1" x14ac:dyDescent="0.25">
      <c r="A14099" s="16"/>
    </row>
    <row r="14100" spans="1:1" x14ac:dyDescent="0.25">
      <c r="A14100" s="16"/>
    </row>
    <row r="14101" spans="1:1" x14ac:dyDescent="0.25">
      <c r="A14101" s="16"/>
    </row>
    <row r="14102" spans="1:1" x14ac:dyDescent="0.25">
      <c r="A14102" s="16"/>
    </row>
    <row r="14103" spans="1:1" x14ac:dyDescent="0.25">
      <c r="A14103" s="16"/>
    </row>
    <row r="14104" spans="1:1" x14ac:dyDescent="0.25">
      <c r="A14104" s="16"/>
    </row>
    <row r="14105" spans="1:1" x14ac:dyDescent="0.25">
      <c r="A14105" s="16"/>
    </row>
    <row r="14106" spans="1:1" x14ac:dyDescent="0.25">
      <c r="A14106" s="16"/>
    </row>
    <row r="14107" spans="1:1" x14ac:dyDescent="0.25">
      <c r="A14107" s="16"/>
    </row>
    <row r="14108" spans="1:1" x14ac:dyDescent="0.25">
      <c r="A14108" s="16"/>
    </row>
    <row r="14109" spans="1:1" x14ac:dyDescent="0.25">
      <c r="A14109" s="16"/>
    </row>
    <row r="14110" spans="1:1" x14ac:dyDescent="0.25">
      <c r="A14110" s="16"/>
    </row>
    <row r="14111" spans="1:1" x14ac:dyDescent="0.25">
      <c r="A14111" s="16"/>
    </row>
    <row r="14112" spans="1:1" x14ac:dyDescent="0.25">
      <c r="A14112" s="16"/>
    </row>
    <row r="14113" spans="1:1" x14ac:dyDescent="0.25">
      <c r="A14113" s="16"/>
    </row>
    <row r="14114" spans="1:1" x14ac:dyDescent="0.25">
      <c r="A14114" s="16"/>
    </row>
    <row r="14115" spans="1:1" x14ac:dyDescent="0.25">
      <c r="A14115" s="16"/>
    </row>
    <row r="14116" spans="1:1" x14ac:dyDescent="0.25">
      <c r="A14116" s="16"/>
    </row>
    <row r="14117" spans="1:1" x14ac:dyDescent="0.25">
      <c r="A14117" s="16"/>
    </row>
    <row r="14118" spans="1:1" x14ac:dyDescent="0.25">
      <c r="A14118" s="16"/>
    </row>
    <row r="14119" spans="1:1" x14ac:dyDescent="0.25">
      <c r="A14119" s="16"/>
    </row>
    <row r="14120" spans="1:1" x14ac:dyDescent="0.25">
      <c r="A14120" s="16"/>
    </row>
    <row r="14121" spans="1:1" x14ac:dyDescent="0.25">
      <c r="A14121" s="16"/>
    </row>
    <row r="14122" spans="1:1" x14ac:dyDescent="0.25">
      <c r="A14122" s="16"/>
    </row>
    <row r="14123" spans="1:1" x14ac:dyDescent="0.25">
      <c r="A14123" s="16"/>
    </row>
    <row r="14124" spans="1:1" x14ac:dyDescent="0.25">
      <c r="A14124" s="16"/>
    </row>
    <row r="14125" spans="1:1" x14ac:dyDescent="0.25">
      <c r="A14125" s="16"/>
    </row>
    <row r="14126" spans="1:1" x14ac:dyDescent="0.25">
      <c r="A14126" s="16"/>
    </row>
    <row r="14127" spans="1:1" x14ac:dyDescent="0.25">
      <c r="A14127" s="16"/>
    </row>
    <row r="14128" spans="1:1" x14ac:dyDescent="0.25">
      <c r="A14128" s="16"/>
    </row>
    <row r="14129" spans="1:1" x14ac:dyDescent="0.25">
      <c r="A14129" s="16"/>
    </row>
    <row r="14130" spans="1:1" x14ac:dyDescent="0.25">
      <c r="A14130" s="16"/>
    </row>
    <row r="14131" spans="1:1" x14ac:dyDescent="0.25">
      <c r="A14131" s="16"/>
    </row>
    <row r="14132" spans="1:1" x14ac:dyDescent="0.25">
      <c r="A14132" s="16"/>
    </row>
    <row r="14133" spans="1:1" x14ac:dyDescent="0.25">
      <c r="A14133" s="16"/>
    </row>
    <row r="14134" spans="1:1" x14ac:dyDescent="0.25">
      <c r="A14134" s="16"/>
    </row>
    <row r="14135" spans="1:1" x14ac:dyDescent="0.25">
      <c r="A14135" s="16"/>
    </row>
    <row r="14136" spans="1:1" x14ac:dyDescent="0.25">
      <c r="A14136" s="16"/>
    </row>
    <row r="14137" spans="1:1" x14ac:dyDescent="0.25">
      <c r="A14137" s="16"/>
    </row>
    <row r="14138" spans="1:1" x14ac:dyDescent="0.25">
      <c r="A14138" s="16"/>
    </row>
    <row r="14139" spans="1:1" x14ac:dyDescent="0.25">
      <c r="A14139" s="16"/>
    </row>
    <row r="14140" spans="1:1" x14ac:dyDescent="0.25">
      <c r="A14140" s="16"/>
    </row>
    <row r="14141" spans="1:1" x14ac:dyDescent="0.25">
      <c r="A14141" s="16"/>
    </row>
    <row r="14142" spans="1:1" x14ac:dyDescent="0.25">
      <c r="A14142" s="16"/>
    </row>
    <row r="14143" spans="1:1" x14ac:dyDescent="0.25">
      <c r="A14143" s="16"/>
    </row>
    <row r="14144" spans="1:1" x14ac:dyDescent="0.25">
      <c r="A14144" s="16"/>
    </row>
    <row r="14145" spans="1:1" x14ac:dyDescent="0.25">
      <c r="A14145" s="16"/>
    </row>
    <row r="14146" spans="1:1" x14ac:dyDescent="0.25">
      <c r="A14146" s="16"/>
    </row>
    <row r="14147" spans="1:1" x14ac:dyDescent="0.25">
      <c r="A14147" s="16"/>
    </row>
    <row r="14148" spans="1:1" x14ac:dyDescent="0.25">
      <c r="A14148" s="16"/>
    </row>
    <row r="14149" spans="1:1" x14ac:dyDescent="0.25">
      <c r="A14149" s="16"/>
    </row>
    <row r="14150" spans="1:1" x14ac:dyDescent="0.25">
      <c r="A14150" s="16"/>
    </row>
    <row r="14151" spans="1:1" x14ac:dyDescent="0.25">
      <c r="A14151" s="16"/>
    </row>
    <row r="14152" spans="1:1" x14ac:dyDescent="0.25">
      <c r="A14152" s="16"/>
    </row>
    <row r="14153" spans="1:1" x14ac:dyDescent="0.25">
      <c r="A14153" s="16"/>
    </row>
    <row r="14154" spans="1:1" x14ac:dyDescent="0.25">
      <c r="A14154" s="16"/>
    </row>
    <row r="14155" spans="1:1" x14ac:dyDescent="0.25">
      <c r="A14155" s="16"/>
    </row>
    <row r="14156" spans="1:1" x14ac:dyDescent="0.25">
      <c r="A14156" s="16"/>
    </row>
    <row r="14157" spans="1:1" x14ac:dyDescent="0.25">
      <c r="A14157" s="16"/>
    </row>
    <row r="14158" spans="1:1" x14ac:dyDescent="0.25">
      <c r="A14158" s="16"/>
    </row>
    <row r="14159" spans="1:1" x14ac:dyDescent="0.25">
      <c r="A14159" s="16"/>
    </row>
    <row r="14160" spans="1:1" x14ac:dyDescent="0.25">
      <c r="A14160" s="16"/>
    </row>
    <row r="14161" spans="1:1" x14ac:dyDescent="0.25">
      <c r="A14161" s="16"/>
    </row>
    <row r="14162" spans="1:1" x14ac:dyDescent="0.25">
      <c r="A14162" s="16"/>
    </row>
    <row r="14163" spans="1:1" x14ac:dyDescent="0.25">
      <c r="A14163" s="16"/>
    </row>
    <row r="14164" spans="1:1" x14ac:dyDescent="0.25">
      <c r="A14164" s="16"/>
    </row>
    <row r="14165" spans="1:1" x14ac:dyDescent="0.25">
      <c r="A14165" s="16"/>
    </row>
    <row r="14166" spans="1:1" x14ac:dyDescent="0.25">
      <c r="A14166" s="16"/>
    </row>
    <row r="14167" spans="1:1" x14ac:dyDescent="0.25">
      <c r="A14167" s="16"/>
    </row>
    <row r="14168" spans="1:1" x14ac:dyDescent="0.25">
      <c r="A14168" s="16"/>
    </row>
    <row r="14169" spans="1:1" x14ac:dyDescent="0.25">
      <c r="A14169" s="16"/>
    </row>
    <row r="14170" spans="1:1" x14ac:dyDescent="0.25">
      <c r="A14170" s="16"/>
    </row>
    <row r="14171" spans="1:1" x14ac:dyDescent="0.25">
      <c r="A14171" s="16"/>
    </row>
    <row r="14172" spans="1:1" x14ac:dyDescent="0.25">
      <c r="A14172" s="16"/>
    </row>
    <row r="14173" spans="1:1" x14ac:dyDescent="0.25">
      <c r="A14173" s="16"/>
    </row>
    <row r="14174" spans="1:1" x14ac:dyDescent="0.25">
      <c r="A14174" s="16"/>
    </row>
    <row r="14175" spans="1:1" x14ac:dyDescent="0.25">
      <c r="A14175" s="16"/>
    </row>
    <row r="14176" spans="1:1" x14ac:dyDescent="0.25">
      <c r="A14176" s="16"/>
    </row>
    <row r="14177" spans="1:1" x14ac:dyDescent="0.25">
      <c r="A14177" s="16"/>
    </row>
    <row r="14178" spans="1:1" x14ac:dyDescent="0.25">
      <c r="A14178" s="16"/>
    </row>
    <row r="14179" spans="1:1" x14ac:dyDescent="0.25">
      <c r="A14179" s="16"/>
    </row>
    <row r="14180" spans="1:1" x14ac:dyDescent="0.25">
      <c r="A14180" s="16"/>
    </row>
    <row r="14181" spans="1:1" x14ac:dyDescent="0.25">
      <c r="A14181" s="16"/>
    </row>
    <row r="14182" spans="1:1" x14ac:dyDescent="0.25">
      <c r="A14182" s="16"/>
    </row>
    <row r="14183" spans="1:1" x14ac:dyDescent="0.25">
      <c r="A14183" s="16"/>
    </row>
    <row r="14184" spans="1:1" x14ac:dyDescent="0.25">
      <c r="A14184" s="16"/>
    </row>
    <row r="14185" spans="1:1" x14ac:dyDescent="0.25">
      <c r="A14185" s="16"/>
    </row>
    <row r="14186" spans="1:1" x14ac:dyDescent="0.25">
      <c r="A14186" s="16"/>
    </row>
    <row r="14187" spans="1:1" x14ac:dyDescent="0.25">
      <c r="A14187" s="16"/>
    </row>
    <row r="14188" spans="1:1" x14ac:dyDescent="0.25">
      <c r="A14188" s="16"/>
    </row>
    <row r="14189" spans="1:1" x14ac:dyDescent="0.25">
      <c r="A14189" s="16"/>
    </row>
    <row r="14190" spans="1:1" x14ac:dyDescent="0.25">
      <c r="A14190" s="16"/>
    </row>
    <row r="14191" spans="1:1" x14ac:dyDescent="0.25">
      <c r="A14191" s="16"/>
    </row>
    <row r="14192" spans="1:1" x14ac:dyDescent="0.25">
      <c r="A14192" s="16"/>
    </row>
    <row r="14193" spans="1:1" x14ac:dyDescent="0.25">
      <c r="A14193" s="16"/>
    </row>
    <row r="14194" spans="1:1" x14ac:dyDescent="0.25">
      <c r="A14194" s="16"/>
    </row>
    <row r="14195" spans="1:1" x14ac:dyDescent="0.25">
      <c r="A14195" s="16"/>
    </row>
    <row r="14196" spans="1:1" x14ac:dyDescent="0.25">
      <c r="A14196" s="16"/>
    </row>
    <row r="14197" spans="1:1" x14ac:dyDescent="0.25">
      <c r="A14197" s="16"/>
    </row>
    <row r="14198" spans="1:1" x14ac:dyDescent="0.25">
      <c r="A14198" s="16"/>
    </row>
    <row r="14199" spans="1:1" x14ac:dyDescent="0.25">
      <c r="A14199" s="16"/>
    </row>
    <row r="14200" spans="1:1" x14ac:dyDescent="0.25">
      <c r="A14200" s="16"/>
    </row>
    <row r="14201" spans="1:1" x14ac:dyDescent="0.25">
      <c r="A14201" s="16"/>
    </row>
    <row r="14202" spans="1:1" x14ac:dyDescent="0.25">
      <c r="A14202" s="16"/>
    </row>
    <row r="14203" spans="1:1" x14ac:dyDescent="0.25">
      <c r="A14203" s="16"/>
    </row>
    <row r="14204" spans="1:1" x14ac:dyDescent="0.25">
      <c r="A14204" s="16"/>
    </row>
    <row r="14205" spans="1:1" x14ac:dyDescent="0.25">
      <c r="A14205" s="16"/>
    </row>
    <row r="14206" spans="1:1" x14ac:dyDescent="0.25">
      <c r="A14206" s="16"/>
    </row>
    <row r="14207" spans="1:1" x14ac:dyDescent="0.25">
      <c r="A14207" s="16"/>
    </row>
    <row r="14208" spans="1:1" x14ac:dyDescent="0.25">
      <c r="A14208" s="16"/>
    </row>
    <row r="14209" spans="1:1" x14ac:dyDescent="0.25">
      <c r="A14209" s="16"/>
    </row>
    <row r="14210" spans="1:1" x14ac:dyDescent="0.25">
      <c r="A14210" s="16"/>
    </row>
    <row r="14211" spans="1:1" x14ac:dyDescent="0.25">
      <c r="A14211" s="16"/>
    </row>
    <row r="14212" spans="1:1" x14ac:dyDescent="0.25">
      <c r="A14212" s="16"/>
    </row>
    <row r="14213" spans="1:1" x14ac:dyDescent="0.25">
      <c r="A14213" s="16"/>
    </row>
    <row r="14214" spans="1:1" x14ac:dyDescent="0.25">
      <c r="A14214" s="16"/>
    </row>
    <row r="14215" spans="1:1" x14ac:dyDescent="0.25">
      <c r="A14215" s="16"/>
    </row>
    <row r="14216" spans="1:1" x14ac:dyDescent="0.25">
      <c r="A14216" s="16"/>
    </row>
    <row r="14217" spans="1:1" x14ac:dyDescent="0.25">
      <c r="A14217" s="16"/>
    </row>
    <row r="14218" spans="1:1" x14ac:dyDescent="0.25">
      <c r="A14218" s="16"/>
    </row>
    <row r="14219" spans="1:1" x14ac:dyDescent="0.25">
      <c r="A14219" s="16"/>
    </row>
    <row r="14220" spans="1:1" x14ac:dyDescent="0.25">
      <c r="A14220" s="16"/>
    </row>
    <row r="14221" spans="1:1" x14ac:dyDescent="0.25">
      <c r="A14221" s="16"/>
    </row>
    <row r="14222" spans="1:1" x14ac:dyDescent="0.25">
      <c r="A14222" s="16"/>
    </row>
    <row r="14223" spans="1:1" x14ac:dyDescent="0.25">
      <c r="A14223" s="16"/>
    </row>
    <row r="14224" spans="1:1" x14ac:dyDescent="0.25">
      <c r="A14224" s="16"/>
    </row>
    <row r="14225" spans="1:1" x14ac:dyDescent="0.25">
      <c r="A14225" s="16"/>
    </row>
    <row r="14226" spans="1:1" x14ac:dyDescent="0.25">
      <c r="A14226" s="16"/>
    </row>
    <row r="14227" spans="1:1" x14ac:dyDescent="0.25">
      <c r="A14227" s="16"/>
    </row>
    <row r="14228" spans="1:1" x14ac:dyDescent="0.25">
      <c r="A14228" s="16"/>
    </row>
    <row r="14229" spans="1:1" x14ac:dyDescent="0.25">
      <c r="A14229" s="16"/>
    </row>
    <row r="14230" spans="1:1" x14ac:dyDescent="0.25">
      <c r="A14230" s="16"/>
    </row>
    <row r="14231" spans="1:1" x14ac:dyDescent="0.25">
      <c r="A14231" s="16"/>
    </row>
    <row r="14232" spans="1:1" x14ac:dyDescent="0.25">
      <c r="A14232" s="16"/>
    </row>
    <row r="14233" spans="1:1" x14ac:dyDescent="0.25">
      <c r="A14233" s="16"/>
    </row>
    <row r="14234" spans="1:1" x14ac:dyDescent="0.25">
      <c r="A14234" s="16"/>
    </row>
    <row r="14235" spans="1:1" x14ac:dyDescent="0.25">
      <c r="A14235" s="16"/>
    </row>
    <row r="14236" spans="1:1" x14ac:dyDescent="0.25">
      <c r="A14236" s="16"/>
    </row>
    <row r="14237" spans="1:1" x14ac:dyDescent="0.25">
      <c r="A14237" s="16"/>
    </row>
    <row r="14238" spans="1:1" x14ac:dyDescent="0.25">
      <c r="A14238" s="16"/>
    </row>
    <row r="14239" spans="1:1" x14ac:dyDescent="0.25">
      <c r="A14239" s="16"/>
    </row>
    <row r="14240" spans="1:1" x14ac:dyDescent="0.25">
      <c r="A14240" s="16"/>
    </row>
    <row r="14241" spans="1:1" x14ac:dyDescent="0.25">
      <c r="A14241" s="16"/>
    </row>
    <row r="14242" spans="1:1" x14ac:dyDescent="0.25">
      <c r="A14242" s="16"/>
    </row>
    <row r="14243" spans="1:1" x14ac:dyDescent="0.25">
      <c r="A14243" s="16"/>
    </row>
    <row r="14244" spans="1:1" x14ac:dyDescent="0.25">
      <c r="A14244" s="16"/>
    </row>
    <row r="14245" spans="1:1" x14ac:dyDescent="0.25">
      <c r="A14245" s="16"/>
    </row>
    <row r="14246" spans="1:1" x14ac:dyDescent="0.25">
      <c r="A14246" s="16"/>
    </row>
    <row r="14247" spans="1:1" x14ac:dyDescent="0.25">
      <c r="A14247" s="16"/>
    </row>
    <row r="14248" spans="1:1" x14ac:dyDescent="0.25">
      <c r="A14248" s="16"/>
    </row>
    <row r="14249" spans="1:1" x14ac:dyDescent="0.25">
      <c r="A14249" s="16"/>
    </row>
    <row r="14250" spans="1:1" x14ac:dyDescent="0.25">
      <c r="A14250" s="16"/>
    </row>
    <row r="14251" spans="1:1" x14ac:dyDescent="0.25">
      <c r="A14251" s="16"/>
    </row>
    <row r="14252" spans="1:1" x14ac:dyDescent="0.25">
      <c r="A14252" s="16"/>
    </row>
    <row r="14253" spans="1:1" x14ac:dyDescent="0.25">
      <c r="A14253" s="16"/>
    </row>
    <row r="14254" spans="1:1" x14ac:dyDescent="0.25">
      <c r="A14254" s="16"/>
    </row>
    <row r="14255" spans="1:1" x14ac:dyDescent="0.25">
      <c r="A14255" s="16"/>
    </row>
    <row r="14256" spans="1:1" x14ac:dyDescent="0.25">
      <c r="A14256" s="16"/>
    </row>
    <row r="14257" spans="1:1" x14ac:dyDescent="0.25">
      <c r="A14257" s="16"/>
    </row>
    <row r="14258" spans="1:1" x14ac:dyDescent="0.25">
      <c r="A14258" s="16"/>
    </row>
    <row r="14259" spans="1:1" x14ac:dyDescent="0.25">
      <c r="A14259" s="16"/>
    </row>
    <row r="14260" spans="1:1" x14ac:dyDescent="0.25">
      <c r="A14260" s="16"/>
    </row>
    <row r="14261" spans="1:1" x14ac:dyDescent="0.25">
      <c r="A14261" s="16"/>
    </row>
    <row r="14262" spans="1:1" x14ac:dyDescent="0.25">
      <c r="A14262" s="16"/>
    </row>
    <row r="14263" spans="1:1" x14ac:dyDescent="0.25">
      <c r="A14263" s="16"/>
    </row>
    <row r="14264" spans="1:1" x14ac:dyDescent="0.25">
      <c r="A14264" s="16"/>
    </row>
    <row r="14265" spans="1:1" x14ac:dyDescent="0.25">
      <c r="A14265" s="16"/>
    </row>
    <row r="14266" spans="1:1" x14ac:dyDescent="0.25">
      <c r="A14266" s="16"/>
    </row>
    <row r="14267" spans="1:1" x14ac:dyDescent="0.25">
      <c r="A14267" s="16"/>
    </row>
    <row r="14268" spans="1:1" x14ac:dyDescent="0.25">
      <c r="A14268" s="16"/>
    </row>
    <row r="14269" spans="1:1" x14ac:dyDescent="0.25">
      <c r="A14269" s="16"/>
    </row>
    <row r="14270" spans="1:1" x14ac:dyDescent="0.25">
      <c r="A14270" s="16"/>
    </row>
    <row r="14271" spans="1:1" x14ac:dyDescent="0.25">
      <c r="A14271" s="16"/>
    </row>
    <row r="14272" spans="1:1" x14ac:dyDescent="0.25">
      <c r="A14272" s="16"/>
    </row>
    <row r="14273" spans="1:1" x14ac:dyDescent="0.25">
      <c r="A14273" s="16"/>
    </row>
    <row r="14274" spans="1:1" x14ac:dyDescent="0.25">
      <c r="A14274" s="16"/>
    </row>
    <row r="14275" spans="1:1" x14ac:dyDescent="0.25">
      <c r="A14275" s="16"/>
    </row>
    <row r="14276" spans="1:1" x14ac:dyDescent="0.25">
      <c r="A14276" s="16"/>
    </row>
    <row r="14277" spans="1:1" x14ac:dyDescent="0.25">
      <c r="A14277" s="16"/>
    </row>
    <row r="14278" spans="1:1" x14ac:dyDescent="0.25">
      <c r="A14278" s="16"/>
    </row>
    <row r="14279" spans="1:1" x14ac:dyDescent="0.25">
      <c r="A14279" s="16"/>
    </row>
    <row r="14280" spans="1:1" x14ac:dyDescent="0.25">
      <c r="A14280" s="16"/>
    </row>
    <row r="14281" spans="1:1" x14ac:dyDescent="0.25">
      <c r="A14281" s="16"/>
    </row>
    <row r="14282" spans="1:1" x14ac:dyDescent="0.25">
      <c r="A14282" s="16"/>
    </row>
    <row r="14283" spans="1:1" x14ac:dyDescent="0.25">
      <c r="A14283" s="16"/>
    </row>
    <row r="14284" spans="1:1" x14ac:dyDescent="0.25">
      <c r="A14284" s="16"/>
    </row>
    <row r="14285" spans="1:1" x14ac:dyDescent="0.25">
      <c r="A14285" s="16"/>
    </row>
    <row r="14286" spans="1:1" x14ac:dyDescent="0.25">
      <c r="A14286" s="16"/>
    </row>
    <row r="14287" spans="1:1" x14ac:dyDescent="0.25">
      <c r="A14287" s="16"/>
    </row>
    <row r="14288" spans="1:1" x14ac:dyDescent="0.25">
      <c r="A14288" s="16"/>
    </row>
    <row r="14289" spans="1:1" x14ac:dyDescent="0.25">
      <c r="A14289" s="16"/>
    </row>
    <row r="14290" spans="1:1" x14ac:dyDescent="0.25">
      <c r="A14290" s="16"/>
    </row>
    <row r="14291" spans="1:1" x14ac:dyDescent="0.25">
      <c r="A14291" s="16"/>
    </row>
    <row r="14292" spans="1:1" x14ac:dyDescent="0.25">
      <c r="A14292" s="16"/>
    </row>
    <row r="14293" spans="1:1" x14ac:dyDescent="0.25">
      <c r="A14293" s="16"/>
    </row>
    <row r="14294" spans="1:1" x14ac:dyDescent="0.25">
      <c r="A14294" s="16"/>
    </row>
    <row r="14295" spans="1:1" x14ac:dyDescent="0.25">
      <c r="A14295" s="16"/>
    </row>
    <row r="14296" spans="1:1" x14ac:dyDescent="0.25">
      <c r="A14296" s="16"/>
    </row>
    <row r="14297" spans="1:1" x14ac:dyDescent="0.25">
      <c r="A14297" s="16"/>
    </row>
    <row r="14298" spans="1:1" x14ac:dyDescent="0.25">
      <c r="A14298" s="16"/>
    </row>
    <row r="14299" spans="1:1" x14ac:dyDescent="0.25">
      <c r="A14299" s="16"/>
    </row>
    <row r="14300" spans="1:1" x14ac:dyDescent="0.25">
      <c r="A14300" s="16"/>
    </row>
    <row r="14301" spans="1:1" x14ac:dyDescent="0.25">
      <c r="A14301" s="16"/>
    </row>
    <row r="14302" spans="1:1" x14ac:dyDescent="0.25">
      <c r="A14302" s="16"/>
    </row>
    <row r="14303" spans="1:1" x14ac:dyDescent="0.25">
      <c r="A14303" s="16"/>
    </row>
    <row r="14304" spans="1:1" x14ac:dyDescent="0.25">
      <c r="A14304" s="16"/>
    </row>
    <row r="14305" spans="1:1" x14ac:dyDescent="0.25">
      <c r="A14305" s="16"/>
    </row>
    <row r="14306" spans="1:1" x14ac:dyDescent="0.25">
      <c r="A14306" s="16"/>
    </row>
    <row r="14307" spans="1:1" x14ac:dyDescent="0.25">
      <c r="A14307" s="16"/>
    </row>
    <row r="14308" spans="1:1" x14ac:dyDescent="0.25">
      <c r="A14308" s="16"/>
    </row>
    <row r="14309" spans="1:1" x14ac:dyDescent="0.25">
      <c r="A14309" s="16"/>
    </row>
    <row r="14310" spans="1:1" x14ac:dyDescent="0.25">
      <c r="A14310" s="16"/>
    </row>
    <row r="14311" spans="1:1" x14ac:dyDescent="0.25">
      <c r="A14311" s="16"/>
    </row>
    <row r="14312" spans="1:1" x14ac:dyDescent="0.25">
      <c r="A14312" s="16"/>
    </row>
    <row r="14313" spans="1:1" x14ac:dyDescent="0.25">
      <c r="A14313" s="16"/>
    </row>
    <row r="14314" spans="1:1" x14ac:dyDescent="0.25">
      <c r="A14314" s="16"/>
    </row>
    <row r="14315" spans="1:1" x14ac:dyDescent="0.25">
      <c r="A14315" s="16"/>
    </row>
    <row r="14316" spans="1:1" x14ac:dyDescent="0.25">
      <c r="A14316" s="16"/>
    </row>
    <row r="14317" spans="1:1" x14ac:dyDescent="0.25">
      <c r="A14317" s="16"/>
    </row>
    <row r="14318" spans="1:1" x14ac:dyDescent="0.25">
      <c r="A14318" s="16"/>
    </row>
    <row r="14319" spans="1:1" x14ac:dyDescent="0.25">
      <c r="A14319" s="16"/>
    </row>
    <row r="14320" spans="1:1" x14ac:dyDescent="0.25">
      <c r="A14320" s="16"/>
    </row>
    <row r="14321" spans="1:1" x14ac:dyDescent="0.25">
      <c r="A14321" s="16"/>
    </row>
    <row r="14322" spans="1:1" x14ac:dyDescent="0.25">
      <c r="A14322" s="16"/>
    </row>
    <row r="14323" spans="1:1" x14ac:dyDescent="0.25">
      <c r="A14323" s="16"/>
    </row>
    <row r="14324" spans="1:1" x14ac:dyDescent="0.25">
      <c r="A14324" s="16"/>
    </row>
    <row r="14325" spans="1:1" x14ac:dyDescent="0.25">
      <c r="A14325" s="16"/>
    </row>
    <row r="14326" spans="1:1" x14ac:dyDescent="0.25">
      <c r="A14326" s="16"/>
    </row>
    <row r="14327" spans="1:1" x14ac:dyDescent="0.25">
      <c r="A14327" s="16"/>
    </row>
    <row r="14328" spans="1:1" x14ac:dyDescent="0.25">
      <c r="A14328" s="16"/>
    </row>
    <row r="14329" spans="1:1" x14ac:dyDescent="0.25">
      <c r="A14329" s="16"/>
    </row>
    <row r="14330" spans="1:1" x14ac:dyDescent="0.25">
      <c r="A14330" s="16"/>
    </row>
    <row r="14331" spans="1:1" x14ac:dyDescent="0.25">
      <c r="A14331" s="16"/>
    </row>
    <row r="14332" spans="1:1" x14ac:dyDescent="0.25">
      <c r="A14332" s="16"/>
    </row>
    <row r="14333" spans="1:1" x14ac:dyDescent="0.25">
      <c r="A14333" s="16"/>
    </row>
    <row r="14334" spans="1:1" x14ac:dyDescent="0.25">
      <c r="A14334" s="16"/>
    </row>
    <row r="14335" spans="1:1" x14ac:dyDescent="0.25">
      <c r="A14335" s="16"/>
    </row>
    <row r="14336" spans="1:1" x14ac:dyDescent="0.25">
      <c r="A14336" s="16"/>
    </row>
    <row r="14337" spans="1:1" x14ac:dyDescent="0.25">
      <c r="A14337" s="16"/>
    </row>
    <row r="14338" spans="1:1" x14ac:dyDescent="0.25">
      <c r="A14338" s="16"/>
    </row>
    <row r="14339" spans="1:1" x14ac:dyDescent="0.25">
      <c r="A14339" s="16"/>
    </row>
    <row r="14340" spans="1:1" x14ac:dyDescent="0.25">
      <c r="A14340" s="16"/>
    </row>
    <row r="14341" spans="1:1" x14ac:dyDescent="0.25">
      <c r="A14341" s="16"/>
    </row>
    <row r="14342" spans="1:1" x14ac:dyDescent="0.25">
      <c r="A14342" s="16"/>
    </row>
    <row r="14343" spans="1:1" x14ac:dyDescent="0.25">
      <c r="A14343" s="16"/>
    </row>
    <row r="14344" spans="1:1" x14ac:dyDescent="0.25">
      <c r="A14344" s="16"/>
    </row>
    <row r="14345" spans="1:1" x14ac:dyDescent="0.25">
      <c r="A14345" s="16"/>
    </row>
    <row r="14346" spans="1:1" x14ac:dyDescent="0.25">
      <c r="A14346" s="16"/>
    </row>
    <row r="14347" spans="1:1" x14ac:dyDescent="0.25">
      <c r="A14347" s="16"/>
    </row>
    <row r="14348" spans="1:1" x14ac:dyDescent="0.25">
      <c r="A14348" s="16"/>
    </row>
    <row r="14349" spans="1:1" x14ac:dyDescent="0.25">
      <c r="A14349" s="16"/>
    </row>
    <row r="14350" spans="1:1" x14ac:dyDescent="0.25">
      <c r="A14350" s="16"/>
    </row>
    <row r="14351" spans="1:1" x14ac:dyDescent="0.25">
      <c r="A14351" s="16"/>
    </row>
    <row r="14352" spans="1:1" x14ac:dyDescent="0.25">
      <c r="A14352" s="16"/>
    </row>
    <row r="14353" spans="1:1" x14ac:dyDescent="0.25">
      <c r="A14353" s="16"/>
    </row>
    <row r="14354" spans="1:1" x14ac:dyDescent="0.25">
      <c r="A14354" s="16"/>
    </row>
    <row r="14355" spans="1:1" x14ac:dyDescent="0.25">
      <c r="A14355" s="16"/>
    </row>
    <row r="14356" spans="1:1" x14ac:dyDescent="0.25">
      <c r="A14356" s="16"/>
    </row>
    <row r="14357" spans="1:1" x14ac:dyDescent="0.25">
      <c r="A14357" s="16"/>
    </row>
    <row r="14358" spans="1:1" x14ac:dyDescent="0.25">
      <c r="A14358" s="16"/>
    </row>
    <row r="14359" spans="1:1" x14ac:dyDescent="0.25">
      <c r="A14359" s="16"/>
    </row>
    <row r="14360" spans="1:1" x14ac:dyDescent="0.25">
      <c r="A14360" s="16"/>
    </row>
    <row r="14361" spans="1:1" x14ac:dyDescent="0.25">
      <c r="A14361" s="16"/>
    </row>
    <row r="14362" spans="1:1" x14ac:dyDescent="0.25">
      <c r="A14362" s="16"/>
    </row>
    <row r="14363" spans="1:1" x14ac:dyDescent="0.25">
      <c r="A14363" s="16"/>
    </row>
    <row r="14364" spans="1:1" x14ac:dyDescent="0.25">
      <c r="A14364" s="16"/>
    </row>
    <row r="14365" spans="1:1" x14ac:dyDescent="0.25">
      <c r="A14365" s="16"/>
    </row>
    <row r="14366" spans="1:1" x14ac:dyDescent="0.25">
      <c r="A14366" s="16"/>
    </row>
    <row r="14367" spans="1:1" x14ac:dyDescent="0.25">
      <c r="A14367" s="16"/>
    </row>
    <row r="14368" spans="1:1" x14ac:dyDescent="0.25">
      <c r="A14368" s="16"/>
    </row>
    <row r="14369" spans="1:1" x14ac:dyDescent="0.25">
      <c r="A14369" s="16"/>
    </row>
    <row r="14370" spans="1:1" x14ac:dyDescent="0.25">
      <c r="A14370" s="16"/>
    </row>
    <row r="14371" spans="1:1" x14ac:dyDescent="0.25">
      <c r="A14371" s="16"/>
    </row>
    <row r="14372" spans="1:1" x14ac:dyDescent="0.25">
      <c r="A14372" s="16"/>
    </row>
    <row r="14373" spans="1:1" x14ac:dyDescent="0.25">
      <c r="A14373" s="16"/>
    </row>
    <row r="14374" spans="1:1" x14ac:dyDescent="0.25">
      <c r="A14374" s="16"/>
    </row>
    <row r="14375" spans="1:1" x14ac:dyDescent="0.25">
      <c r="A14375" s="16"/>
    </row>
    <row r="14376" spans="1:1" x14ac:dyDescent="0.25">
      <c r="A14376" s="16"/>
    </row>
    <row r="14377" spans="1:1" x14ac:dyDescent="0.25">
      <c r="A14377" s="16"/>
    </row>
    <row r="14378" spans="1:1" x14ac:dyDescent="0.25">
      <c r="A14378" s="16"/>
    </row>
    <row r="14379" spans="1:1" x14ac:dyDescent="0.25">
      <c r="A14379" s="16"/>
    </row>
    <row r="14380" spans="1:1" x14ac:dyDescent="0.25">
      <c r="A14380" s="16"/>
    </row>
    <row r="14381" spans="1:1" x14ac:dyDescent="0.25">
      <c r="A14381" s="16"/>
    </row>
    <row r="14382" spans="1:1" x14ac:dyDescent="0.25">
      <c r="A14382" s="16"/>
    </row>
    <row r="14383" spans="1:1" x14ac:dyDescent="0.25">
      <c r="A14383" s="16"/>
    </row>
    <row r="14384" spans="1:1" x14ac:dyDescent="0.25">
      <c r="A14384" s="16"/>
    </row>
    <row r="14385" spans="1:1" x14ac:dyDescent="0.25">
      <c r="A14385" s="16"/>
    </row>
    <row r="14386" spans="1:1" x14ac:dyDescent="0.25">
      <c r="A14386" s="16"/>
    </row>
    <row r="14387" spans="1:1" x14ac:dyDescent="0.25">
      <c r="A14387" s="16"/>
    </row>
    <row r="14388" spans="1:1" x14ac:dyDescent="0.25">
      <c r="A14388" s="16"/>
    </row>
    <row r="14389" spans="1:1" x14ac:dyDescent="0.25">
      <c r="A14389" s="16"/>
    </row>
    <row r="14390" spans="1:1" x14ac:dyDescent="0.25">
      <c r="A14390" s="16"/>
    </row>
    <row r="14391" spans="1:1" x14ac:dyDescent="0.25">
      <c r="A14391" s="16"/>
    </row>
    <row r="14392" spans="1:1" x14ac:dyDescent="0.25">
      <c r="A14392" s="16"/>
    </row>
    <row r="14393" spans="1:1" x14ac:dyDescent="0.25">
      <c r="A14393" s="16"/>
    </row>
    <row r="14394" spans="1:1" x14ac:dyDescent="0.25">
      <c r="A14394" s="16"/>
    </row>
    <row r="14395" spans="1:1" x14ac:dyDescent="0.25">
      <c r="A14395" s="16"/>
    </row>
    <row r="14396" spans="1:1" x14ac:dyDescent="0.25">
      <c r="A14396" s="16"/>
    </row>
    <row r="14397" spans="1:1" x14ac:dyDescent="0.25">
      <c r="A14397" s="16"/>
    </row>
    <row r="14398" spans="1:1" x14ac:dyDescent="0.25">
      <c r="A14398" s="16"/>
    </row>
    <row r="14399" spans="1:1" x14ac:dyDescent="0.25">
      <c r="A14399" s="16"/>
    </row>
    <row r="14400" spans="1:1" x14ac:dyDescent="0.25">
      <c r="A14400" s="16"/>
    </row>
    <row r="14401" spans="1:1" x14ac:dyDescent="0.25">
      <c r="A14401" s="16"/>
    </row>
    <row r="14402" spans="1:1" x14ac:dyDescent="0.25">
      <c r="A14402" s="16"/>
    </row>
    <row r="14403" spans="1:1" x14ac:dyDescent="0.25">
      <c r="A14403" s="16"/>
    </row>
    <row r="14404" spans="1:1" x14ac:dyDescent="0.25">
      <c r="A14404" s="16"/>
    </row>
    <row r="14405" spans="1:1" x14ac:dyDescent="0.25">
      <c r="A14405" s="16"/>
    </row>
    <row r="14406" spans="1:1" x14ac:dyDescent="0.25">
      <c r="A14406" s="16"/>
    </row>
    <row r="14407" spans="1:1" x14ac:dyDescent="0.25">
      <c r="A14407" s="16"/>
    </row>
    <row r="14408" spans="1:1" x14ac:dyDescent="0.25">
      <c r="A14408" s="16"/>
    </row>
    <row r="14409" spans="1:1" x14ac:dyDescent="0.25">
      <c r="A14409" s="16"/>
    </row>
    <row r="14410" spans="1:1" x14ac:dyDescent="0.25">
      <c r="A14410" s="16"/>
    </row>
    <row r="14411" spans="1:1" x14ac:dyDescent="0.25">
      <c r="A14411" s="16"/>
    </row>
    <row r="14412" spans="1:1" x14ac:dyDescent="0.25">
      <c r="A14412" s="16"/>
    </row>
    <row r="14413" spans="1:1" x14ac:dyDescent="0.25">
      <c r="A14413" s="16"/>
    </row>
    <row r="14414" spans="1:1" x14ac:dyDescent="0.25">
      <c r="A14414" s="16"/>
    </row>
    <row r="14415" spans="1:1" x14ac:dyDescent="0.25">
      <c r="A14415" s="16"/>
    </row>
    <row r="14416" spans="1:1" x14ac:dyDescent="0.25">
      <c r="A14416" s="16"/>
    </row>
    <row r="14417" spans="1:1" x14ac:dyDescent="0.25">
      <c r="A14417" s="16"/>
    </row>
    <row r="14418" spans="1:1" x14ac:dyDescent="0.25">
      <c r="A14418" s="16"/>
    </row>
    <row r="14419" spans="1:1" x14ac:dyDescent="0.25">
      <c r="A14419" s="16"/>
    </row>
    <row r="14420" spans="1:1" x14ac:dyDescent="0.25">
      <c r="A14420" s="16"/>
    </row>
    <row r="14421" spans="1:1" x14ac:dyDescent="0.25">
      <c r="A14421" s="16"/>
    </row>
    <row r="14422" spans="1:1" x14ac:dyDescent="0.25">
      <c r="A14422" s="16"/>
    </row>
    <row r="14423" spans="1:1" x14ac:dyDescent="0.25">
      <c r="A14423" s="16"/>
    </row>
    <row r="14424" spans="1:1" x14ac:dyDescent="0.25">
      <c r="A14424" s="16"/>
    </row>
    <row r="14425" spans="1:1" x14ac:dyDescent="0.25">
      <c r="A14425" s="16"/>
    </row>
    <row r="14426" spans="1:1" x14ac:dyDescent="0.25">
      <c r="A14426" s="16"/>
    </row>
    <row r="14427" spans="1:1" x14ac:dyDescent="0.25">
      <c r="A14427" s="16"/>
    </row>
    <row r="14428" spans="1:1" x14ac:dyDescent="0.25">
      <c r="A14428" s="16"/>
    </row>
    <row r="14429" spans="1:1" x14ac:dyDescent="0.25">
      <c r="A14429" s="16"/>
    </row>
    <row r="14430" spans="1:1" x14ac:dyDescent="0.25">
      <c r="A14430" s="16"/>
    </row>
    <row r="14431" spans="1:1" x14ac:dyDescent="0.25">
      <c r="A14431" s="16"/>
    </row>
    <row r="14432" spans="1:1" x14ac:dyDescent="0.25">
      <c r="A14432" s="16"/>
    </row>
    <row r="14433" spans="1:1" x14ac:dyDescent="0.25">
      <c r="A14433" s="16"/>
    </row>
    <row r="14434" spans="1:1" x14ac:dyDescent="0.25">
      <c r="A14434" s="16"/>
    </row>
    <row r="14435" spans="1:1" x14ac:dyDescent="0.25">
      <c r="A14435" s="16"/>
    </row>
    <row r="14436" spans="1:1" x14ac:dyDescent="0.25">
      <c r="A14436" s="16"/>
    </row>
    <row r="14437" spans="1:1" x14ac:dyDescent="0.25">
      <c r="A14437" s="16"/>
    </row>
    <row r="14438" spans="1:1" x14ac:dyDescent="0.25">
      <c r="A14438" s="16"/>
    </row>
    <row r="14439" spans="1:1" x14ac:dyDescent="0.25">
      <c r="A14439" s="16"/>
    </row>
    <row r="14440" spans="1:1" x14ac:dyDescent="0.25">
      <c r="A14440" s="16"/>
    </row>
    <row r="14441" spans="1:1" x14ac:dyDescent="0.25">
      <c r="A14441" s="16"/>
    </row>
    <row r="14442" spans="1:1" x14ac:dyDescent="0.25">
      <c r="A14442" s="16"/>
    </row>
    <row r="14443" spans="1:1" x14ac:dyDescent="0.25">
      <c r="A14443" s="16"/>
    </row>
    <row r="14444" spans="1:1" x14ac:dyDescent="0.25">
      <c r="A14444" s="16"/>
    </row>
    <row r="14445" spans="1:1" x14ac:dyDescent="0.25">
      <c r="A14445" s="16"/>
    </row>
    <row r="14446" spans="1:1" x14ac:dyDescent="0.25">
      <c r="A14446" s="16"/>
    </row>
    <row r="14447" spans="1:1" x14ac:dyDescent="0.25">
      <c r="A14447" s="16"/>
    </row>
    <row r="14448" spans="1:1" x14ac:dyDescent="0.25">
      <c r="A14448" s="16"/>
    </row>
    <row r="14449" spans="1:1" x14ac:dyDescent="0.25">
      <c r="A14449" s="16"/>
    </row>
    <row r="14450" spans="1:1" x14ac:dyDescent="0.25">
      <c r="A14450" s="16"/>
    </row>
    <row r="14451" spans="1:1" x14ac:dyDescent="0.25">
      <c r="A14451" s="16"/>
    </row>
    <row r="14452" spans="1:1" x14ac:dyDescent="0.25">
      <c r="A14452" s="16"/>
    </row>
    <row r="14453" spans="1:1" x14ac:dyDescent="0.25">
      <c r="A14453" s="16"/>
    </row>
    <row r="14454" spans="1:1" x14ac:dyDescent="0.25">
      <c r="A14454" s="16"/>
    </row>
    <row r="14455" spans="1:1" x14ac:dyDescent="0.25">
      <c r="A14455" s="16"/>
    </row>
    <row r="14456" spans="1:1" x14ac:dyDescent="0.25">
      <c r="A14456" s="16"/>
    </row>
    <row r="14457" spans="1:1" x14ac:dyDescent="0.25">
      <c r="A14457" s="16"/>
    </row>
    <row r="14458" spans="1:1" x14ac:dyDescent="0.25">
      <c r="A14458" s="16"/>
    </row>
    <row r="14459" spans="1:1" x14ac:dyDescent="0.25">
      <c r="A14459" s="16"/>
    </row>
    <row r="14460" spans="1:1" x14ac:dyDescent="0.25">
      <c r="A14460" s="16"/>
    </row>
    <row r="14461" spans="1:1" x14ac:dyDescent="0.25">
      <c r="A14461" s="16"/>
    </row>
    <row r="14462" spans="1:1" x14ac:dyDescent="0.25">
      <c r="A14462" s="16"/>
    </row>
    <row r="14463" spans="1:1" x14ac:dyDescent="0.25">
      <c r="A14463" s="16"/>
    </row>
    <row r="14464" spans="1:1" x14ac:dyDescent="0.25">
      <c r="A14464" s="16"/>
    </row>
    <row r="14465" spans="1:1" x14ac:dyDescent="0.25">
      <c r="A14465" s="16"/>
    </row>
    <row r="14466" spans="1:1" x14ac:dyDescent="0.25">
      <c r="A14466" s="16"/>
    </row>
    <row r="14467" spans="1:1" x14ac:dyDescent="0.25">
      <c r="A14467" s="16"/>
    </row>
    <row r="14468" spans="1:1" x14ac:dyDescent="0.25">
      <c r="A14468" s="16"/>
    </row>
    <row r="14469" spans="1:1" x14ac:dyDescent="0.25">
      <c r="A14469" s="16"/>
    </row>
    <row r="14470" spans="1:1" x14ac:dyDescent="0.25">
      <c r="A14470" s="16"/>
    </row>
    <row r="14471" spans="1:1" x14ac:dyDescent="0.25">
      <c r="A14471" s="16"/>
    </row>
    <row r="14472" spans="1:1" x14ac:dyDescent="0.25">
      <c r="A14472" s="16"/>
    </row>
    <row r="14473" spans="1:1" x14ac:dyDescent="0.25">
      <c r="A14473" s="16"/>
    </row>
    <row r="14474" spans="1:1" x14ac:dyDescent="0.25">
      <c r="A14474" s="16"/>
    </row>
    <row r="14475" spans="1:1" x14ac:dyDescent="0.25">
      <c r="A14475" s="16"/>
    </row>
    <row r="14476" spans="1:1" x14ac:dyDescent="0.25">
      <c r="A14476" s="16"/>
    </row>
    <row r="14477" spans="1:1" x14ac:dyDescent="0.25">
      <c r="A14477" s="16"/>
    </row>
    <row r="14478" spans="1:1" x14ac:dyDescent="0.25">
      <c r="A14478" s="16"/>
    </row>
    <row r="14479" spans="1:1" x14ac:dyDescent="0.25">
      <c r="A14479" s="16"/>
    </row>
    <row r="14480" spans="1:1" x14ac:dyDescent="0.25">
      <c r="A14480" s="16"/>
    </row>
    <row r="14481" spans="1:1" x14ac:dyDescent="0.25">
      <c r="A14481" s="16"/>
    </row>
    <row r="14482" spans="1:1" x14ac:dyDescent="0.25">
      <c r="A14482" s="16"/>
    </row>
    <row r="14483" spans="1:1" x14ac:dyDescent="0.25">
      <c r="A14483" s="16"/>
    </row>
    <row r="14484" spans="1:1" x14ac:dyDescent="0.25">
      <c r="A14484" s="16"/>
    </row>
    <row r="14485" spans="1:1" x14ac:dyDescent="0.25">
      <c r="A14485" s="16"/>
    </row>
    <row r="14486" spans="1:1" x14ac:dyDescent="0.25">
      <c r="A14486" s="16"/>
    </row>
    <row r="14487" spans="1:1" x14ac:dyDescent="0.25">
      <c r="A14487" s="16"/>
    </row>
    <row r="14488" spans="1:1" x14ac:dyDescent="0.25">
      <c r="A14488" s="16"/>
    </row>
    <row r="14489" spans="1:1" x14ac:dyDescent="0.25">
      <c r="A14489" s="16"/>
    </row>
    <row r="14490" spans="1:1" x14ac:dyDescent="0.25">
      <c r="A14490" s="16"/>
    </row>
    <row r="14491" spans="1:1" x14ac:dyDescent="0.25">
      <c r="A14491" s="16"/>
    </row>
    <row r="14492" spans="1:1" x14ac:dyDescent="0.25">
      <c r="A14492" s="16"/>
    </row>
    <row r="14493" spans="1:1" x14ac:dyDescent="0.25">
      <c r="A14493" s="16"/>
    </row>
    <row r="14494" spans="1:1" x14ac:dyDescent="0.25">
      <c r="A14494" s="16"/>
    </row>
    <row r="14495" spans="1:1" x14ac:dyDescent="0.25">
      <c r="A14495" s="16"/>
    </row>
    <row r="14496" spans="1:1" x14ac:dyDescent="0.25">
      <c r="A14496" s="16"/>
    </row>
    <row r="14497" spans="1:1" x14ac:dyDescent="0.25">
      <c r="A14497" s="16"/>
    </row>
    <row r="14498" spans="1:1" x14ac:dyDescent="0.25">
      <c r="A14498" s="16"/>
    </row>
    <row r="14499" spans="1:1" x14ac:dyDescent="0.25">
      <c r="A14499" s="16"/>
    </row>
    <row r="14500" spans="1:1" x14ac:dyDescent="0.25">
      <c r="A14500" s="16"/>
    </row>
    <row r="14501" spans="1:1" x14ac:dyDescent="0.25">
      <c r="A14501" s="16"/>
    </row>
    <row r="14502" spans="1:1" x14ac:dyDescent="0.25">
      <c r="A14502" s="16"/>
    </row>
    <row r="14503" spans="1:1" x14ac:dyDescent="0.25">
      <c r="A14503" s="16"/>
    </row>
    <row r="14504" spans="1:1" x14ac:dyDescent="0.25">
      <c r="A14504" s="16"/>
    </row>
    <row r="14505" spans="1:1" x14ac:dyDescent="0.25">
      <c r="A14505" s="16"/>
    </row>
    <row r="14506" spans="1:1" x14ac:dyDescent="0.25">
      <c r="A14506" s="16"/>
    </row>
    <row r="14507" spans="1:1" x14ac:dyDescent="0.25">
      <c r="A14507" s="16"/>
    </row>
    <row r="14508" spans="1:1" x14ac:dyDescent="0.25">
      <c r="A14508" s="16"/>
    </row>
    <row r="14509" spans="1:1" x14ac:dyDescent="0.25">
      <c r="A14509" s="16"/>
    </row>
    <row r="14510" spans="1:1" x14ac:dyDescent="0.25">
      <c r="A14510" s="16"/>
    </row>
    <row r="14511" spans="1:1" x14ac:dyDescent="0.25">
      <c r="A14511" s="16"/>
    </row>
    <row r="14512" spans="1:1" x14ac:dyDescent="0.25">
      <c r="A14512" s="16"/>
    </row>
    <row r="14513" spans="1:1" x14ac:dyDescent="0.25">
      <c r="A14513" s="16"/>
    </row>
    <row r="14514" spans="1:1" x14ac:dyDescent="0.25">
      <c r="A14514" s="16"/>
    </row>
    <row r="14515" spans="1:1" x14ac:dyDescent="0.25">
      <c r="A14515" s="16"/>
    </row>
    <row r="14516" spans="1:1" x14ac:dyDescent="0.25">
      <c r="A14516" s="16"/>
    </row>
    <row r="14517" spans="1:1" x14ac:dyDescent="0.25">
      <c r="A14517" s="16"/>
    </row>
    <row r="14518" spans="1:1" x14ac:dyDescent="0.25">
      <c r="A14518" s="16"/>
    </row>
    <row r="14519" spans="1:1" x14ac:dyDescent="0.25">
      <c r="A14519" s="16"/>
    </row>
    <row r="14520" spans="1:1" x14ac:dyDescent="0.25">
      <c r="A14520" s="16"/>
    </row>
    <row r="14521" spans="1:1" x14ac:dyDescent="0.25">
      <c r="A14521" s="16"/>
    </row>
    <row r="14522" spans="1:1" x14ac:dyDescent="0.25">
      <c r="A14522" s="16"/>
    </row>
    <row r="14523" spans="1:1" x14ac:dyDescent="0.25">
      <c r="A14523" s="16"/>
    </row>
    <row r="14524" spans="1:1" x14ac:dyDescent="0.25">
      <c r="A14524" s="16"/>
    </row>
    <row r="14525" spans="1:1" x14ac:dyDescent="0.25">
      <c r="A14525" s="16"/>
    </row>
    <row r="14526" spans="1:1" x14ac:dyDescent="0.25">
      <c r="A14526" s="16"/>
    </row>
    <row r="14527" spans="1:1" x14ac:dyDescent="0.25">
      <c r="A14527" s="16"/>
    </row>
    <row r="14528" spans="1:1" x14ac:dyDescent="0.25">
      <c r="A14528" s="16"/>
    </row>
    <row r="14529" spans="1:1" x14ac:dyDescent="0.25">
      <c r="A14529" s="16"/>
    </row>
    <row r="14530" spans="1:1" x14ac:dyDescent="0.25">
      <c r="A14530" s="16"/>
    </row>
    <row r="14531" spans="1:1" x14ac:dyDescent="0.25">
      <c r="A14531" s="16"/>
    </row>
    <row r="14532" spans="1:1" x14ac:dyDescent="0.25">
      <c r="A14532" s="16"/>
    </row>
    <row r="14533" spans="1:1" x14ac:dyDescent="0.25">
      <c r="A14533" s="16"/>
    </row>
    <row r="14534" spans="1:1" x14ac:dyDescent="0.25">
      <c r="A14534" s="16"/>
    </row>
    <row r="14535" spans="1:1" x14ac:dyDescent="0.25">
      <c r="A14535" s="16"/>
    </row>
    <row r="14536" spans="1:1" x14ac:dyDescent="0.25">
      <c r="A14536" s="16"/>
    </row>
    <row r="14537" spans="1:1" x14ac:dyDescent="0.25">
      <c r="A14537" s="16"/>
    </row>
    <row r="14538" spans="1:1" x14ac:dyDescent="0.25">
      <c r="A14538" s="16"/>
    </row>
    <row r="14539" spans="1:1" x14ac:dyDescent="0.25">
      <c r="A14539" s="16"/>
    </row>
    <row r="14540" spans="1:1" x14ac:dyDescent="0.25">
      <c r="A14540" s="16"/>
    </row>
    <row r="14541" spans="1:1" x14ac:dyDescent="0.25">
      <c r="A14541" s="16"/>
    </row>
    <row r="14542" spans="1:1" x14ac:dyDescent="0.25">
      <c r="A14542" s="16"/>
    </row>
    <row r="14543" spans="1:1" x14ac:dyDescent="0.25">
      <c r="A14543" s="16"/>
    </row>
    <row r="14544" spans="1:1" x14ac:dyDescent="0.25">
      <c r="A14544" s="16"/>
    </row>
    <row r="14545" spans="1:1" x14ac:dyDescent="0.25">
      <c r="A14545" s="16"/>
    </row>
    <row r="14546" spans="1:1" x14ac:dyDescent="0.25">
      <c r="A14546" s="16"/>
    </row>
    <row r="14547" spans="1:1" x14ac:dyDescent="0.25">
      <c r="A14547" s="16"/>
    </row>
    <row r="14548" spans="1:1" x14ac:dyDescent="0.25">
      <c r="A14548" s="16"/>
    </row>
    <row r="14549" spans="1:1" x14ac:dyDescent="0.25">
      <c r="A14549" s="16"/>
    </row>
    <row r="14550" spans="1:1" x14ac:dyDescent="0.25">
      <c r="A14550" s="16"/>
    </row>
    <row r="14551" spans="1:1" x14ac:dyDescent="0.25">
      <c r="A14551" s="16"/>
    </row>
    <row r="14552" spans="1:1" x14ac:dyDescent="0.25">
      <c r="A14552" s="16"/>
    </row>
    <row r="14553" spans="1:1" x14ac:dyDescent="0.25">
      <c r="A14553" s="16"/>
    </row>
    <row r="14554" spans="1:1" x14ac:dyDescent="0.25">
      <c r="A14554" s="16"/>
    </row>
    <row r="14555" spans="1:1" x14ac:dyDescent="0.25">
      <c r="A14555" s="16"/>
    </row>
    <row r="14556" spans="1:1" x14ac:dyDescent="0.25">
      <c r="A14556" s="16"/>
    </row>
    <row r="14557" spans="1:1" x14ac:dyDescent="0.25">
      <c r="A14557" s="16"/>
    </row>
    <row r="14558" spans="1:1" x14ac:dyDescent="0.25">
      <c r="A14558" s="16"/>
    </row>
    <row r="14559" spans="1:1" x14ac:dyDescent="0.25">
      <c r="A14559" s="16"/>
    </row>
    <row r="14560" spans="1:1" x14ac:dyDescent="0.25">
      <c r="A14560" s="16"/>
    </row>
    <row r="14561" spans="1:1" x14ac:dyDescent="0.25">
      <c r="A14561" s="16"/>
    </row>
    <row r="14562" spans="1:1" x14ac:dyDescent="0.25">
      <c r="A14562" s="16"/>
    </row>
    <row r="14563" spans="1:1" x14ac:dyDescent="0.25">
      <c r="A14563" s="16"/>
    </row>
    <row r="14564" spans="1:1" x14ac:dyDescent="0.25">
      <c r="A14564" s="16"/>
    </row>
    <row r="14565" spans="1:1" x14ac:dyDescent="0.25">
      <c r="A14565" s="16"/>
    </row>
    <row r="14566" spans="1:1" x14ac:dyDescent="0.25">
      <c r="A14566" s="16"/>
    </row>
    <row r="14567" spans="1:1" x14ac:dyDescent="0.25">
      <c r="A14567" s="16"/>
    </row>
    <row r="14568" spans="1:1" x14ac:dyDescent="0.25">
      <c r="A14568" s="16"/>
    </row>
    <row r="14569" spans="1:1" x14ac:dyDescent="0.25">
      <c r="A14569" s="16"/>
    </row>
    <row r="14570" spans="1:1" x14ac:dyDescent="0.25">
      <c r="A14570" s="16"/>
    </row>
    <row r="14571" spans="1:1" x14ac:dyDescent="0.25">
      <c r="A14571" s="16"/>
    </row>
    <row r="14572" spans="1:1" x14ac:dyDescent="0.25">
      <c r="A14572" s="16"/>
    </row>
    <row r="14573" spans="1:1" x14ac:dyDescent="0.25">
      <c r="A14573" s="16"/>
    </row>
    <row r="14574" spans="1:1" x14ac:dyDescent="0.25">
      <c r="A14574" s="16"/>
    </row>
    <row r="14575" spans="1:1" x14ac:dyDescent="0.25">
      <c r="A14575" s="16"/>
    </row>
    <row r="14576" spans="1:1" x14ac:dyDescent="0.25">
      <c r="A14576" s="16"/>
    </row>
    <row r="14577" spans="1:1" x14ac:dyDescent="0.25">
      <c r="A14577" s="16"/>
    </row>
    <row r="14578" spans="1:1" x14ac:dyDescent="0.25">
      <c r="A14578" s="16"/>
    </row>
    <row r="14579" spans="1:1" x14ac:dyDescent="0.25">
      <c r="A14579" s="16"/>
    </row>
    <row r="14580" spans="1:1" x14ac:dyDescent="0.25">
      <c r="A14580" s="16"/>
    </row>
    <row r="14581" spans="1:1" x14ac:dyDescent="0.25">
      <c r="A14581" s="16"/>
    </row>
    <row r="14582" spans="1:1" x14ac:dyDescent="0.25">
      <c r="A14582" s="16"/>
    </row>
    <row r="14583" spans="1:1" x14ac:dyDescent="0.25">
      <c r="A14583" s="16"/>
    </row>
    <row r="14584" spans="1:1" x14ac:dyDescent="0.25">
      <c r="A14584" s="16"/>
    </row>
    <row r="14585" spans="1:1" x14ac:dyDescent="0.25">
      <c r="A14585" s="16"/>
    </row>
    <row r="14586" spans="1:1" x14ac:dyDescent="0.25">
      <c r="A14586" s="16"/>
    </row>
    <row r="14587" spans="1:1" x14ac:dyDescent="0.25">
      <c r="A14587" s="16"/>
    </row>
    <row r="14588" spans="1:1" x14ac:dyDescent="0.25">
      <c r="A14588" s="16"/>
    </row>
    <row r="14589" spans="1:1" x14ac:dyDescent="0.25">
      <c r="A14589" s="16"/>
    </row>
    <row r="14590" spans="1:1" x14ac:dyDescent="0.25">
      <c r="A14590" s="16"/>
    </row>
    <row r="14591" spans="1:1" x14ac:dyDescent="0.25">
      <c r="A14591" s="16"/>
    </row>
    <row r="14592" spans="1:1" x14ac:dyDescent="0.25">
      <c r="A14592" s="16"/>
    </row>
    <row r="14593" spans="1:1" x14ac:dyDescent="0.25">
      <c r="A14593" s="16"/>
    </row>
    <row r="14594" spans="1:1" x14ac:dyDescent="0.25">
      <c r="A14594" s="16"/>
    </row>
    <row r="14595" spans="1:1" x14ac:dyDescent="0.25">
      <c r="A14595" s="16"/>
    </row>
    <row r="14596" spans="1:1" x14ac:dyDescent="0.25">
      <c r="A14596" s="16"/>
    </row>
    <row r="14597" spans="1:1" x14ac:dyDescent="0.25">
      <c r="A14597" s="16"/>
    </row>
    <row r="14598" spans="1:1" x14ac:dyDescent="0.25">
      <c r="A14598" s="16"/>
    </row>
    <row r="14599" spans="1:1" x14ac:dyDescent="0.25">
      <c r="A14599" s="16"/>
    </row>
    <row r="14600" spans="1:1" x14ac:dyDescent="0.25">
      <c r="A14600" s="16"/>
    </row>
    <row r="14601" spans="1:1" x14ac:dyDescent="0.25">
      <c r="A14601" s="16"/>
    </row>
    <row r="14602" spans="1:1" x14ac:dyDescent="0.25">
      <c r="A14602" s="16"/>
    </row>
    <row r="14603" spans="1:1" x14ac:dyDescent="0.25">
      <c r="A14603" s="16"/>
    </row>
    <row r="14604" spans="1:1" x14ac:dyDescent="0.25">
      <c r="A14604" s="16"/>
    </row>
    <row r="14605" spans="1:1" x14ac:dyDescent="0.25">
      <c r="A14605" s="16"/>
    </row>
    <row r="14606" spans="1:1" x14ac:dyDescent="0.25">
      <c r="A14606" s="16"/>
    </row>
    <row r="14607" spans="1:1" x14ac:dyDescent="0.25">
      <c r="A14607" s="16"/>
    </row>
    <row r="14608" spans="1:1" x14ac:dyDescent="0.25">
      <c r="A14608" s="16"/>
    </row>
    <row r="14609" spans="1:1" x14ac:dyDescent="0.25">
      <c r="A14609" s="16"/>
    </row>
    <row r="14610" spans="1:1" x14ac:dyDescent="0.25">
      <c r="A14610" s="16"/>
    </row>
    <row r="14611" spans="1:1" x14ac:dyDescent="0.25">
      <c r="A14611" s="16"/>
    </row>
    <row r="14612" spans="1:1" x14ac:dyDescent="0.25">
      <c r="A14612" s="16"/>
    </row>
    <row r="14613" spans="1:1" x14ac:dyDescent="0.25">
      <c r="A14613" s="16"/>
    </row>
    <row r="14614" spans="1:1" x14ac:dyDescent="0.25">
      <c r="A14614" s="16"/>
    </row>
    <row r="14615" spans="1:1" x14ac:dyDescent="0.25">
      <c r="A14615" s="16"/>
    </row>
    <row r="14616" spans="1:1" x14ac:dyDescent="0.25">
      <c r="A14616" s="16"/>
    </row>
    <row r="14617" spans="1:1" x14ac:dyDescent="0.25">
      <c r="A14617" s="16"/>
    </row>
    <row r="14618" spans="1:1" x14ac:dyDescent="0.25">
      <c r="A14618" s="16"/>
    </row>
    <row r="14619" spans="1:1" x14ac:dyDescent="0.25">
      <c r="A14619" s="16"/>
    </row>
    <row r="14620" spans="1:1" x14ac:dyDescent="0.25">
      <c r="A14620" s="16"/>
    </row>
    <row r="14621" spans="1:1" x14ac:dyDescent="0.25">
      <c r="A14621" s="16"/>
    </row>
    <row r="14622" spans="1:1" x14ac:dyDescent="0.25">
      <c r="A14622" s="16"/>
    </row>
    <row r="14623" spans="1:1" x14ac:dyDescent="0.25">
      <c r="A14623" s="16"/>
    </row>
    <row r="14624" spans="1:1" x14ac:dyDescent="0.25">
      <c r="A14624" s="16"/>
    </row>
    <row r="14625" spans="1:1" x14ac:dyDescent="0.25">
      <c r="A14625" s="16"/>
    </row>
    <row r="14626" spans="1:1" x14ac:dyDescent="0.25">
      <c r="A14626" s="16"/>
    </row>
    <row r="14627" spans="1:1" x14ac:dyDescent="0.25">
      <c r="A14627" s="16"/>
    </row>
    <row r="14628" spans="1:1" x14ac:dyDescent="0.25">
      <c r="A14628" s="16"/>
    </row>
    <row r="14629" spans="1:1" x14ac:dyDescent="0.25">
      <c r="A14629" s="16"/>
    </row>
    <row r="14630" spans="1:1" x14ac:dyDescent="0.25">
      <c r="A14630" s="16"/>
    </row>
    <row r="14631" spans="1:1" x14ac:dyDescent="0.25">
      <c r="A14631" s="16"/>
    </row>
    <row r="14632" spans="1:1" x14ac:dyDescent="0.25">
      <c r="A14632" s="16"/>
    </row>
    <row r="14633" spans="1:1" x14ac:dyDescent="0.25">
      <c r="A14633" s="16"/>
    </row>
    <row r="14634" spans="1:1" x14ac:dyDescent="0.25">
      <c r="A14634" s="16"/>
    </row>
    <row r="14635" spans="1:1" x14ac:dyDescent="0.25">
      <c r="A14635" s="16"/>
    </row>
    <row r="14636" spans="1:1" x14ac:dyDescent="0.25">
      <c r="A14636" s="16"/>
    </row>
    <row r="14637" spans="1:1" x14ac:dyDescent="0.25">
      <c r="A14637" s="16"/>
    </row>
    <row r="14638" spans="1:1" x14ac:dyDescent="0.25">
      <c r="A14638" s="16"/>
    </row>
    <row r="14639" spans="1:1" x14ac:dyDescent="0.25">
      <c r="A14639" s="16"/>
    </row>
    <row r="14640" spans="1:1" x14ac:dyDescent="0.25">
      <c r="A14640" s="16"/>
    </row>
    <row r="14641" spans="1:1" x14ac:dyDescent="0.25">
      <c r="A14641" s="16"/>
    </row>
    <row r="14642" spans="1:1" x14ac:dyDescent="0.25">
      <c r="A14642" s="16"/>
    </row>
    <row r="14643" spans="1:1" x14ac:dyDescent="0.25">
      <c r="A14643" s="16"/>
    </row>
    <row r="14644" spans="1:1" x14ac:dyDescent="0.25">
      <c r="A14644" s="16"/>
    </row>
    <row r="14645" spans="1:1" x14ac:dyDescent="0.25">
      <c r="A14645" s="16"/>
    </row>
    <row r="14646" spans="1:1" x14ac:dyDescent="0.25">
      <c r="A14646" s="16"/>
    </row>
    <row r="14647" spans="1:1" x14ac:dyDescent="0.25">
      <c r="A14647" s="16"/>
    </row>
    <row r="14648" spans="1:1" x14ac:dyDescent="0.25">
      <c r="A14648" s="16"/>
    </row>
    <row r="14649" spans="1:1" x14ac:dyDescent="0.25">
      <c r="A14649" s="16"/>
    </row>
    <row r="14650" spans="1:1" x14ac:dyDescent="0.25">
      <c r="A14650" s="16"/>
    </row>
    <row r="14651" spans="1:1" x14ac:dyDescent="0.25">
      <c r="A14651" s="16"/>
    </row>
    <row r="14652" spans="1:1" x14ac:dyDescent="0.25">
      <c r="A14652" s="16"/>
    </row>
    <row r="14653" spans="1:1" x14ac:dyDescent="0.25">
      <c r="A14653" s="16"/>
    </row>
    <row r="14654" spans="1:1" x14ac:dyDescent="0.25">
      <c r="A14654" s="16"/>
    </row>
    <row r="14655" spans="1:1" x14ac:dyDescent="0.25">
      <c r="A14655" s="16"/>
    </row>
    <row r="14656" spans="1:1" x14ac:dyDescent="0.25">
      <c r="A14656" s="16"/>
    </row>
    <row r="14657" spans="1:1" x14ac:dyDescent="0.25">
      <c r="A14657" s="16"/>
    </row>
    <row r="14658" spans="1:1" x14ac:dyDescent="0.25">
      <c r="A14658" s="16"/>
    </row>
    <row r="14659" spans="1:1" x14ac:dyDescent="0.25">
      <c r="A14659" s="16"/>
    </row>
    <row r="14660" spans="1:1" x14ac:dyDescent="0.25">
      <c r="A14660" s="16"/>
    </row>
    <row r="14661" spans="1:1" x14ac:dyDescent="0.25">
      <c r="A14661" s="16"/>
    </row>
    <row r="14662" spans="1:1" x14ac:dyDescent="0.25">
      <c r="A14662" s="16"/>
    </row>
    <row r="14663" spans="1:1" x14ac:dyDescent="0.25">
      <c r="A14663" s="16"/>
    </row>
    <row r="14664" spans="1:1" x14ac:dyDescent="0.25">
      <c r="A14664" s="16"/>
    </row>
    <row r="14665" spans="1:1" x14ac:dyDescent="0.25">
      <c r="A14665" s="16"/>
    </row>
    <row r="14666" spans="1:1" x14ac:dyDescent="0.25">
      <c r="A14666" s="16"/>
    </row>
    <row r="14667" spans="1:1" x14ac:dyDescent="0.25">
      <c r="A14667" s="16"/>
    </row>
    <row r="14668" spans="1:1" x14ac:dyDescent="0.25">
      <c r="A14668" s="16"/>
    </row>
    <row r="14669" spans="1:1" x14ac:dyDescent="0.25">
      <c r="A14669" s="16"/>
    </row>
    <row r="14670" spans="1:1" x14ac:dyDescent="0.25">
      <c r="A14670" s="16"/>
    </row>
    <row r="14671" spans="1:1" x14ac:dyDescent="0.25">
      <c r="A14671" s="16"/>
    </row>
    <row r="14672" spans="1:1" x14ac:dyDescent="0.25">
      <c r="A14672" s="16"/>
    </row>
    <row r="14673" spans="1:1" x14ac:dyDescent="0.25">
      <c r="A14673" s="16"/>
    </row>
    <row r="14674" spans="1:1" x14ac:dyDescent="0.25">
      <c r="A14674" s="16"/>
    </row>
    <row r="14675" spans="1:1" x14ac:dyDescent="0.25">
      <c r="A14675" s="16"/>
    </row>
    <row r="14676" spans="1:1" x14ac:dyDescent="0.25">
      <c r="A14676" s="16"/>
    </row>
    <row r="14677" spans="1:1" x14ac:dyDescent="0.25">
      <c r="A14677" s="16"/>
    </row>
    <row r="14678" spans="1:1" x14ac:dyDescent="0.25">
      <c r="A14678" s="16"/>
    </row>
    <row r="14679" spans="1:1" x14ac:dyDescent="0.25">
      <c r="A14679" s="16"/>
    </row>
    <row r="14680" spans="1:1" x14ac:dyDescent="0.25">
      <c r="A14680" s="16"/>
    </row>
    <row r="14681" spans="1:1" x14ac:dyDescent="0.25">
      <c r="A14681" s="16"/>
    </row>
    <row r="14682" spans="1:1" x14ac:dyDescent="0.25">
      <c r="A14682" s="16"/>
    </row>
    <row r="14683" spans="1:1" x14ac:dyDescent="0.25">
      <c r="A14683" s="16"/>
    </row>
    <row r="14684" spans="1:1" x14ac:dyDescent="0.25">
      <c r="A14684" s="16"/>
    </row>
    <row r="14685" spans="1:1" x14ac:dyDescent="0.25">
      <c r="A14685" s="16"/>
    </row>
    <row r="14686" spans="1:1" x14ac:dyDescent="0.25">
      <c r="A14686" s="16"/>
    </row>
    <row r="14687" spans="1:1" x14ac:dyDescent="0.25">
      <c r="A14687" s="16"/>
    </row>
    <row r="14688" spans="1:1" x14ac:dyDescent="0.25">
      <c r="A14688" s="16"/>
    </row>
    <row r="14689" spans="1:1" x14ac:dyDescent="0.25">
      <c r="A14689" s="16"/>
    </row>
    <row r="14690" spans="1:1" x14ac:dyDescent="0.25">
      <c r="A14690" s="16"/>
    </row>
    <row r="14691" spans="1:1" x14ac:dyDescent="0.25">
      <c r="A14691" s="16"/>
    </row>
    <row r="14692" spans="1:1" x14ac:dyDescent="0.25">
      <c r="A14692" s="16"/>
    </row>
    <row r="14693" spans="1:1" x14ac:dyDescent="0.25">
      <c r="A14693" s="16"/>
    </row>
    <row r="14694" spans="1:1" x14ac:dyDescent="0.25">
      <c r="A14694" s="16"/>
    </row>
    <row r="14695" spans="1:1" x14ac:dyDescent="0.25">
      <c r="A14695" s="16"/>
    </row>
    <row r="14696" spans="1:1" x14ac:dyDescent="0.25">
      <c r="A14696" s="16"/>
    </row>
    <row r="14697" spans="1:1" x14ac:dyDescent="0.25">
      <c r="A14697" s="16"/>
    </row>
    <row r="14698" spans="1:1" x14ac:dyDescent="0.25">
      <c r="A14698" s="16"/>
    </row>
    <row r="14699" spans="1:1" x14ac:dyDescent="0.25">
      <c r="A14699" s="16"/>
    </row>
    <row r="14700" spans="1:1" x14ac:dyDescent="0.25">
      <c r="A14700" s="16"/>
    </row>
    <row r="14701" spans="1:1" x14ac:dyDescent="0.25">
      <c r="A14701" s="16"/>
    </row>
    <row r="14702" spans="1:1" x14ac:dyDescent="0.25">
      <c r="A14702" s="16"/>
    </row>
    <row r="14703" spans="1:1" x14ac:dyDescent="0.25">
      <c r="A14703" s="16"/>
    </row>
    <row r="14704" spans="1:1" x14ac:dyDescent="0.25">
      <c r="A14704" s="16"/>
    </row>
    <row r="14705" spans="1:1" x14ac:dyDescent="0.25">
      <c r="A14705" s="16"/>
    </row>
    <row r="14706" spans="1:1" x14ac:dyDescent="0.25">
      <c r="A14706" s="16"/>
    </row>
    <row r="14707" spans="1:1" x14ac:dyDescent="0.25">
      <c r="A14707" s="16"/>
    </row>
    <row r="14708" spans="1:1" x14ac:dyDescent="0.25">
      <c r="A14708" s="16"/>
    </row>
    <row r="14709" spans="1:1" x14ac:dyDescent="0.25">
      <c r="A14709" s="16"/>
    </row>
    <row r="14710" spans="1:1" x14ac:dyDescent="0.25">
      <c r="A14710" s="16"/>
    </row>
    <row r="14711" spans="1:1" x14ac:dyDescent="0.25">
      <c r="A14711" s="16"/>
    </row>
    <row r="14712" spans="1:1" x14ac:dyDescent="0.25">
      <c r="A14712" s="16"/>
    </row>
    <row r="14713" spans="1:1" x14ac:dyDescent="0.25">
      <c r="A14713" s="16"/>
    </row>
    <row r="14714" spans="1:1" x14ac:dyDescent="0.25">
      <c r="A14714" s="16"/>
    </row>
    <row r="14715" spans="1:1" x14ac:dyDescent="0.25">
      <c r="A14715" s="16"/>
    </row>
    <row r="14716" spans="1:1" x14ac:dyDescent="0.25">
      <c r="A14716" s="16"/>
    </row>
    <row r="14717" spans="1:1" x14ac:dyDescent="0.25">
      <c r="A14717" s="16"/>
    </row>
    <row r="14718" spans="1:1" x14ac:dyDescent="0.25">
      <c r="A14718" s="16"/>
    </row>
    <row r="14719" spans="1:1" x14ac:dyDescent="0.25">
      <c r="A14719" s="16"/>
    </row>
    <row r="14720" spans="1:1" x14ac:dyDescent="0.25">
      <c r="A14720" s="16"/>
    </row>
    <row r="14721" spans="1:1" x14ac:dyDescent="0.25">
      <c r="A14721" s="16"/>
    </row>
    <row r="14722" spans="1:1" x14ac:dyDescent="0.25">
      <c r="A14722" s="16"/>
    </row>
    <row r="14723" spans="1:1" x14ac:dyDescent="0.25">
      <c r="A14723" s="16"/>
    </row>
    <row r="14724" spans="1:1" x14ac:dyDescent="0.25">
      <c r="A14724" s="16"/>
    </row>
    <row r="14725" spans="1:1" x14ac:dyDescent="0.25">
      <c r="A14725" s="16"/>
    </row>
    <row r="14726" spans="1:1" x14ac:dyDescent="0.25">
      <c r="A14726" s="16"/>
    </row>
    <row r="14727" spans="1:1" x14ac:dyDescent="0.25">
      <c r="A14727" s="16"/>
    </row>
    <row r="14728" spans="1:1" x14ac:dyDescent="0.25">
      <c r="A14728" s="16"/>
    </row>
    <row r="14729" spans="1:1" x14ac:dyDescent="0.25">
      <c r="A14729" s="16"/>
    </row>
    <row r="14730" spans="1:1" x14ac:dyDescent="0.25">
      <c r="A14730" s="16"/>
    </row>
    <row r="14731" spans="1:1" x14ac:dyDescent="0.25">
      <c r="A14731" s="16"/>
    </row>
    <row r="14732" spans="1:1" x14ac:dyDescent="0.25">
      <c r="A14732" s="16"/>
    </row>
    <row r="14733" spans="1:1" x14ac:dyDescent="0.25">
      <c r="A14733" s="16"/>
    </row>
    <row r="14734" spans="1:1" x14ac:dyDescent="0.25">
      <c r="A14734" s="16"/>
    </row>
    <row r="14735" spans="1:1" x14ac:dyDescent="0.25">
      <c r="A14735" s="16"/>
    </row>
    <row r="14736" spans="1:1" x14ac:dyDescent="0.25">
      <c r="A14736" s="16"/>
    </row>
    <row r="14737" spans="1:1" x14ac:dyDescent="0.25">
      <c r="A14737" s="16"/>
    </row>
    <row r="14738" spans="1:1" x14ac:dyDescent="0.25">
      <c r="A14738" s="16"/>
    </row>
    <row r="14739" spans="1:1" x14ac:dyDescent="0.25">
      <c r="A14739" s="16"/>
    </row>
    <row r="14740" spans="1:1" x14ac:dyDescent="0.25">
      <c r="A14740" s="16"/>
    </row>
    <row r="14741" spans="1:1" x14ac:dyDescent="0.25">
      <c r="A14741" s="16"/>
    </row>
    <row r="14742" spans="1:1" x14ac:dyDescent="0.25">
      <c r="A14742" s="16"/>
    </row>
    <row r="14743" spans="1:1" x14ac:dyDescent="0.25">
      <c r="A14743" s="16"/>
    </row>
    <row r="14744" spans="1:1" x14ac:dyDescent="0.25">
      <c r="A14744" s="16"/>
    </row>
    <row r="14745" spans="1:1" x14ac:dyDescent="0.25">
      <c r="A14745" s="16"/>
    </row>
    <row r="14746" spans="1:1" x14ac:dyDescent="0.25">
      <c r="A14746" s="16"/>
    </row>
    <row r="14747" spans="1:1" x14ac:dyDescent="0.25">
      <c r="A14747" s="16"/>
    </row>
    <row r="14748" spans="1:1" x14ac:dyDescent="0.25">
      <c r="A14748" s="16"/>
    </row>
    <row r="14749" spans="1:1" x14ac:dyDescent="0.25">
      <c r="A14749" s="16"/>
    </row>
    <row r="14750" spans="1:1" x14ac:dyDescent="0.25">
      <c r="A14750" s="16"/>
    </row>
    <row r="14751" spans="1:1" x14ac:dyDescent="0.25">
      <c r="A14751" s="16"/>
    </row>
    <row r="14752" spans="1:1" x14ac:dyDescent="0.25">
      <c r="A14752" s="16"/>
    </row>
    <row r="14753" spans="1:1" x14ac:dyDescent="0.25">
      <c r="A14753" s="16"/>
    </row>
    <row r="14754" spans="1:1" x14ac:dyDescent="0.25">
      <c r="A14754" s="16"/>
    </row>
    <row r="14755" spans="1:1" x14ac:dyDescent="0.25">
      <c r="A14755" s="16"/>
    </row>
    <row r="14756" spans="1:1" x14ac:dyDescent="0.25">
      <c r="A14756" s="16"/>
    </row>
    <row r="14757" spans="1:1" x14ac:dyDescent="0.25">
      <c r="A14757" s="16"/>
    </row>
    <row r="14758" spans="1:1" x14ac:dyDescent="0.25">
      <c r="A14758" s="16"/>
    </row>
    <row r="14759" spans="1:1" x14ac:dyDescent="0.25">
      <c r="A14759" s="16"/>
    </row>
    <row r="14760" spans="1:1" x14ac:dyDescent="0.25">
      <c r="A14760" s="16"/>
    </row>
    <row r="14761" spans="1:1" x14ac:dyDescent="0.25">
      <c r="A14761" s="16"/>
    </row>
    <row r="14762" spans="1:1" x14ac:dyDescent="0.25">
      <c r="A14762" s="16"/>
    </row>
    <row r="14763" spans="1:1" x14ac:dyDescent="0.25">
      <c r="A14763" s="16"/>
    </row>
    <row r="14764" spans="1:1" x14ac:dyDescent="0.25">
      <c r="A14764" s="16"/>
    </row>
    <row r="14765" spans="1:1" x14ac:dyDescent="0.25">
      <c r="A14765" s="16"/>
    </row>
    <row r="14766" spans="1:1" x14ac:dyDescent="0.25">
      <c r="A14766" s="16"/>
    </row>
    <row r="14767" spans="1:1" x14ac:dyDescent="0.25">
      <c r="A14767" s="16"/>
    </row>
    <row r="14768" spans="1:1" x14ac:dyDescent="0.25">
      <c r="A14768" s="16"/>
    </row>
    <row r="14769" spans="1:1" x14ac:dyDescent="0.25">
      <c r="A14769" s="16"/>
    </row>
    <row r="14770" spans="1:1" x14ac:dyDescent="0.25">
      <c r="A14770" s="16"/>
    </row>
    <row r="14771" spans="1:1" x14ac:dyDescent="0.25">
      <c r="A14771" s="16"/>
    </row>
    <row r="14772" spans="1:1" x14ac:dyDescent="0.25">
      <c r="A14772" s="16"/>
    </row>
    <row r="14773" spans="1:1" x14ac:dyDescent="0.25">
      <c r="A14773" s="16"/>
    </row>
    <row r="14774" spans="1:1" x14ac:dyDescent="0.25">
      <c r="A14774" s="16"/>
    </row>
    <row r="14775" spans="1:1" x14ac:dyDescent="0.25">
      <c r="A14775" s="16"/>
    </row>
    <row r="14776" spans="1:1" x14ac:dyDescent="0.25">
      <c r="A14776" s="16"/>
    </row>
    <row r="14777" spans="1:1" x14ac:dyDescent="0.25">
      <c r="A14777" s="16"/>
    </row>
    <row r="14778" spans="1:1" x14ac:dyDescent="0.25">
      <c r="A14778" s="16"/>
    </row>
    <row r="14779" spans="1:1" x14ac:dyDescent="0.25">
      <c r="A14779" s="16"/>
    </row>
    <row r="14780" spans="1:1" x14ac:dyDescent="0.25">
      <c r="A14780" s="16"/>
    </row>
    <row r="14781" spans="1:1" x14ac:dyDescent="0.25">
      <c r="A14781" s="16"/>
    </row>
    <row r="14782" spans="1:1" x14ac:dyDescent="0.25">
      <c r="A14782" s="16"/>
    </row>
    <row r="14783" spans="1:1" x14ac:dyDescent="0.25">
      <c r="A14783" s="16"/>
    </row>
    <row r="14784" spans="1:1" x14ac:dyDescent="0.25">
      <c r="A14784" s="16"/>
    </row>
    <row r="14785" spans="1:1" x14ac:dyDescent="0.25">
      <c r="A14785" s="16"/>
    </row>
    <row r="14786" spans="1:1" x14ac:dyDescent="0.25">
      <c r="A14786" s="16"/>
    </row>
    <row r="14787" spans="1:1" x14ac:dyDescent="0.25">
      <c r="A14787" s="16"/>
    </row>
    <row r="14788" spans="1:1" x14ac:dyDescent="0.25">
      <c r="A14788" s="16"/>
    </row>
    <row r="14789" spans="1:1" x14ac:dyDescent="0.25">
      <c r="A14789" s="16"/>
    </row>
    <row r="14790" spans="1:1" x14ac:dyDescent="0.25">
      <c r="A14790" s="16"/>
    </row>
    <row r="14791" spans="1:1" x14ac:dyDescent="0.25">
      <c r="A14791" s="16"/>
    </row>
    <row r="14792" spans="1:1" x14ac:dyDescent="0.25">
      <c r="A14792" s="16"/>
    </row>
    <row r="14793" spans="1:1" x14ac:dyDescent="0.25">
      <c r="A14793" s="16"/>
    </row>
    <row r="14794" spans="1:1" x14ac:dyDescent="0.25">
      <c r="A14794" s="16"/>
    </row>
    <row r="14795" spans="1:1" x14ac:dyDescent="0.25">
      <c r="A14795" s="16"/>
    </row>
    <row r="14796" spans="1:1" x14ac:dyDescent="0.25">
      <c r="A14796" s="16"/>
    </row>
    <row r="14797" spans="1:1" x14ac:dyDescent="0.25">
      <c r="A14797" s="16"/>
    </row>
    <row r="14798" spans="1:1" x14ac:dyDescent="0.25">
      <c r="A14798" s="16"/>
    </row>
    <row r="14799" spans="1:1" x14ac:dyDescent="0.25">
      <c r="A14799" s="16"/>
    </row>
    <row r="14800" spans="1:1" x14ac:dyDescent="0.25">
      <c r="A14800" s="16"/>
    </row>
    <row r="14801" spans="1:1" x14ac:dyDescent="0.25">
      <c r="A14801" s="16"/>
    </row>
    <row r="14802" spans="1:1" x14ac:dyDescent="0.25">
      <c r="A14802" s="16"/>
    </row>
    <row r="14803" spans="1:1" x14ac:dyDescent="0.25">
      <c r="A14803" s="16"/>
    </row>
    <row r="14804" spans="1:1" x14ac:dyDescent="0.25">
      <c r="A14804" s="16"/>
    </row>
    <row r="14805" spans="1:1" x14ac:dyDescent="0.25">
      <c r="A14805" s="16"/>
    </row>
    <row r="14806" spans="1:1" x14ac:dyDescent="0.25">
      <c r="A14806" s="16"/>
    </row>
    <row r="14807" spans="1:1" x14ac:dyDescent="0.25">
      <c r="A14807" s="16"/>
    </row>
    <row r="14808" spans="1:1" x14ac:dyDescent="0.25">
      <c r="A14808" s="16"/>
    </row>
    <row r="14809" spans="1:1" x14ac:dyDescent="0.25">
      <c r="A14809" s="16"/>
    </row>
    <row r="14810" spans="1:1" x14ac:dyDescent="0.25">
      <c r="A14810" s="16"/>
    </row>
    <row r="14811" spans="1:1" x14ac:dyDescent="0.25">
      <c r="A14811" s="16"/>
    </row>
    <row r="14812" spans="1:1" x14ac:dyDescent="0.25">
      <c r="A14812" s="16"/>
    </row>
    <row r="14813" spans="1:1" x14ac:dyDescent="0.25">
      <c r="A14813" s="16"/>
    </row>
    <row r="14814" spans="1:1" x14ac:dyDescent="0.25">
      <c r="A14814" s="16"/>
    </row>
    <row r="14815" spans="1:1" x14ac:dyDescent="0.25">
      <c r="A14815" s="16"/>
    </row>
    <row r="14816" spans="1:1" x14ac:dyDescent="0.25">
      <c r="A14816" s="16"/>
    </row>
    <row r="14817" spans="1:1" x14ac:dyDescent="0.25">
      <c r="A14817" s="16"/>
    </row>
    <row r="14818" spans="1:1" x14ac:dyDescent="0.25">
      <c r="A14818" s="16"/>
    </row>
    <row r="14819" spans="1:1" x14ac:dyDescent="0.25">
      <c r="A14819" s="16"/>
    </row>
    <row r="14820" spans="1:1" x14ac:dyDescent="0.25">
      <c r="A14820" s="16"/>
    </row>
    <row r="14821" spans="1:1" x14ac:dyDescent="0.25">
      <c r="A14821" s="16"/>
    </row>
    <row r="14822" spans="1:1" x14ac:dyDescent="0.25">
      <c r="A14822" s="16"/>
    </row>
    <row r="14823" spans="1:1" x14ac:dyDescent="0.25">
      <c r="A14823" s="16"/>
    </row>
    <row r="14824" spans="1:1" x14ac:dyDescent="0.25">
      <c r="A14824" s="16"/>
    </row>
    <row r="14825" spans="1:1" x14ac:dyDescent="0.25">
      <c r="A14825" s="16"/>
    </row>
    <row r="14826" spans="1:1" x14ac:dyDescent="0.25">
      <c r="A14826" s="16"/>
    </row>
    <row r="14827" spans="1:1" x14ac:dyDescent="0.25">
      <c r="A14827" s="16"/>
    </row>
    <row r="14828" spans="1:1" x14ac:dyDescent="0.25">
      <c r="A14828" s="16"/>
    </row>
    <row r="14829" spans="1:1" x14ac:dyDescent="0.25">
      <c r="A14829" s="16"/>
    </row>
    <row r="14830" spans="1:1" x14ac:dyDescent="0.25">
      <c r="A14830" s="16"/>
    </row>
    <row r="14831" spans="1:1" x14ac:dyDescent="0.25">
      <c r="A14831" s="16"/>
    </row>
    <row r="14832" spans="1:1" x14ac:dyDescent="0.25">
      <c r="A14832" s="16"/>
    </row>
    <row r="14833" spans="1:1" x14ac:dyDescent="0.25">
      <c r="A14833" s="16"/>
    </row>
    <row r="14834" spans="1:1" x14ac:dyDescent="0.25">
      <c r="A14834" s="16"/>
    </row>
    <row r="14835" spans="1:1" x14ac:dyDescent="0.25">
      <c r="A14835" s="16"/>
    </row>
    <row r="14836" spans="1:1" x14ac:dyDescent="0.25">
      <c r="A14836" s="16"/>
    </row>
    <row r="14837" spans="1:1" x14ac:dyDescent="0.25">
      <c r="A14837" s="16"/>
    </row>
    <row r="14838" spans="1:1" x14ac:dyDescent="0.25">
      <c r="A14838" s="16"/>
    </row>
    <row r="14839" spans="1:1" x14ac:dyDescent="0.25">
      <c r="A14839" s="16"/>
    </row>
    <row r="14840" spans="1:1" x14ac:dyDescent="0.25">
      <c r="A14840" s="16"/>
    </row>
    <row r="14841" spans="1:1" x14ac:dyDescent="0.25">
      <c r="A14841" s="16"/>
    </row>
    <row r="14842" spans="1:1" x14ac:dyDescent="0.25">
      <c r="A14842" s="16"/>
    </row>
    <row r="14843" spans="1:1" x14ac:dyDescent="0.25">
      <c r="A14843" s="16"/>
    </row>
    <row r="14844" spans="1:1" x14ac:dyDescent="0.25">
      <c r="A14844" s="16"/>
    </row>
    <row r="14845" spans="1:1" x14ac:dyDescent="0.25">
      <c r="A14845" s="16"/>
    </row>
    <row r="14846" spans="1:1" x14ac:dyDescent="0.25">
      <c r="A14846" s="16"/>
    </row>
    <row r="14847" spans="1:1" x14ac:dyDescent="0.25">
      <c r="A14847" s="16"/>
    </row>
    <row r="14848" spans="1:1" x14ac:dyDescent="0.25">
      <c r="A14848" s="16"/>
    </row>
    <row r="14849" spans="1:1" x14ac:dyDescent="0.25">
      <c r="A14849" s="16"/>
    </row>
    <row r="14850" spans="1:1" x14ac:dyDescent="0.25">
      <c r="A14850" s="16"/>
    </row>
    <row r="14851" spans="1:1" x14ac:dyDescent="0.25">
      <c r="A14851" s="16"/>
    </row>
    <row r="14852" spans="1:1" x14ac:dyDescent="0.25">
      <c r="A14852" s="16"/>
    </row>
    <row r="14853" spans="1:1" x14ac:dyDescent="0.25">
      <c r="A14853" s="16"/>
    </row>
    <row r="14854" spans="1:1" x14ac:dyDescent="0.25">
      <c r="A14854" s="16"/>
    </row>
    <row r="14855" spans="1:1" x14ac:dyDescent="0.25">
      <c r="A14855" s="16"/>
    </row>
    <row r="14856" spans="1:1" x14ac:dyDescent="0.25">
      <c r="A14856" s="16"/>
    </row>
    <row r="14857" spans="1:1" x14ac:dyDescent="0.25">
      <c r="A14857" s="16"/>
    </row>
    <row r="14858" spans="1:1" x14ac:dyDescent="0.25">
      <c r="A14858" s="16"/>
    </row>
    <row r="14859" spans="1:1" x14ac:dyDescent="0.25">
      <c r="A14859" s="16"/>
    </row>
    <row r="14860" spans="1:1" x14ac:dyDescent="0.25">
      <c r="A14860" s="16"/>
    </row>
    <row r="14861" spans="1:1" x14ac:dyDescent="0.25">
      <c r="A14861" s="16"/>
    </row>
    <row r="14862" spans="1:1" x14ac:dyDescent="0.25">
      <c r="A14862" s="16"/>
    </row>
    <row r="14863" spans="1:1" x14ac:dyDescent="0.25">
      <c r="A14863" s="16"/>
    </row>
    <row r="14864" spans="1:1" x14ac:dyDescent="0.25">
      <c r="A14864" s="16"/>
    </row>
    <row r="14865" spans="1:1" x14ac:dyDescent="0.25">
      <c r="A14865" s="16"/>
    </row>
    <row r="14866" spans="1:1" x14ac:dyDescent="0.25">
      <c r="A14866" s="16"/>
    </row>
    <row r="14867" spans="1:1" x14ac:dyDescent="0.25">
      <c r="A14867" s="16"/>
    </row>
    <row r="14868" spans="1:1" x14ac:dyDescent="0.25">
      <c r="A14868" s="16"/>
    </row>
    <row r="14869" spans="1:1" x14ac:dyDescent="0.25">
      <c r="A14869" s="16"/>
    </row>
    <row r="14870" spans="1:1" x14ac:dyDescent="0.25">
      <c r="A14870" s="16"/>
    </row>
    <row r="14871" spans="1:1" x14ac:dyDescent="0.25">
      <c r="A14871" s="16"/>
    </row>
    <row r="14872" spans="1:1" x14ac:dyDescent="0.25">
      <c r="A14872" s="16"/>
    </row>
    <row r="14873" spans="1:1" x14ac:dyDescent="0.25">
      <c r="A14873" s="16"/>
    </row>
    <row r="14874" spans="1:1" x14ac:dyDescent="0.25">
      <c r="A14874" s="16"/>
    </row>
    <row r="14875" spans="1:1" x14ac:dyDescent="0.25">
      <c r="A14875" s="16"/>
    </row>
    <row r="14876" spans="1:1" x14ac:dyDescent="0.25">
      <c r="A14876" s="16"/>
    </row>
    <row r="14877" spans="1:1" x14ac:dyDescent="0.25">
      <c r="A14877" s="16"/>
    </row>
    <row r="14878" spans="1:1" x14ac:dyDescent="0.25">
      <c r="A14878" s="16"/>
    </row>
    <row r="14879" spans="1:1" x14ac:dyDescent="0.25">
      <c r="A14879" s="16"/>
    </row>
    <row r="14880" spans="1:1" x14ac:dyDescent="0.25">
      <c r="A14880" s="16"/>
    </row>
    <row r="14881" spans="1:1" x14ac:dyDescent="0.25">
      <c r="A14881" s="16"/>
    </row>
    <row r="14882" spans="1:1" x14ac:dyDescent="0.25">
      <c r="A14882" s="16"/>
    </row>
    <row r="14883" spans="1:1" x14ac:dyDescent="0.25">
      <c r="A14883" s="16"/>
    </row>
    <row r="14884" spans="1:1" x14ac:dyDescent="0.25">
      <c r="A14884" s="16"/>
    </row>
    <row r="14885" spans="1:1" x14ac:dyDescent="0.25">
      <c r="A14885" s="16"/>
    </row>
    <row r="14886" spans="1:1" x14ac:dyDescent="0.25">
      <c r="A14886" s="16"/>
    </row>
    <row r="14887" spans="1:1" x14ac:dyDescent="0.25">
      <c r="A14887" s="16"/>
    </row>
    <row r="14888" spans="1:1" x14ac:dyDescent="0.25">
      <c r="A14888" s="16"/>
    </row>
    <row r="14889" spans="1:1" x14ac:dyDescent="0.25">
      <c r="A14889" s="16"/>
    </row>
    <row r="14890" spans="1:1" x14ac:dyDescent="0.25">
      <c r="A14890" s="16"/>
    </row>
    <row r="14891" spans="1:1" x14ac:dyDescent="0.25">
      <c r="A14891" s="16"/>
    </row>
    <row r="14892" spans="1:1" x14ac:dyDescent="0.25">
      <c r="A14892" s="16"/>
    </row>
    <row r="14893" spans="1:1" x14ac:dyDescent="0.25">
      <c r="A14893" s="16"/>
    </row>
    <row r="14894" spans="1:1" x14ac:dyDescent="0.25">
      <c r="A14894" s="16"/>
    </row>
    <row r="14895" spans="1:1" x14ac:dyDescent="0.25">
      <c r="A14895" s="16"/>
    </row>
    <row r="14896" spans="1:1" x14ac:dyDescent="0.25">
      <c r="A14896" s="16"/>
    </row>
    <row r="14897" spans="1:1" x14ac:dyDescent="0.25">
      <c r="A14897" s="16"/>
    </row>
    <row r="14898" spans="1:1" x14ac:dyDescent="0.25">
      <c r="A14898" s="16"/>
    </row>
    <row r="14899" spans="1:1" x14ac:dyDescent="0.25">
      <c r="A14899" s="16"/>
    </row>
    <row r="14900" spans="1:1" x14ac:dyDescent="0.25">
      <c r="A14900" s="16"/>
    </row>
    <row r="14901" spans="1:1" x14ac:dyDescent="0.25">
      <c r="A14901" s="16"/>
    </row>
    <row r="14902" spans="1:1" x14ac:dyDescent="0.25">
      <c r="A14902" s="16"/>
    </row>
    <row r="14903" spans="1:1" x14ac:dyDescent="0.25">
      <c r="A14903" s="16"/>
    </row>
    <row r="14904" spans="1:1" x14ac:dyDescent="0.25">
      <c r="A14904" s="16"/>
    </row>
    <row r="14905" spans="1:1" x14ac:dyDescent="0.25">
      <c r="A14905" s="16"/>
    </row>
    <row r="14906" spans="1:1" x14ac:dyDescent="0.25">
      <c r="A14906" s="16"/>
    </row>
    <row r="14907" spans="1:1" x14ac:dyDescent="0.25">
      <c r="A14907" s="16"/>
    </row>
    <row r="14908" spans="1:1" x14ac:dyDescent="0.25">
      <c r="A14908" s="16"/>
    </row>
    <row r="14909" spans="1:1" x14ac:dyDescent="0.25">
      <c r="A14909" s="16"/>
    </row>
    <row r="14910" spans="1:1" x14ac:dyDescent="0.25">
      <c r="A14910" s="16"/>
    </row>
    <row r="14911" spans="1:1" x14ac:dyDescent="0.25">
      <c r="A14911" s="16"/>
    </row>
    <row r="14912" spans="1:1" x14ac:dyDescent="0.25">
      <c r="A14912" s="16"/>
    </row>
    <row r="14913" spans="1:1" x14ac:dyDescent="0.25">
      <c r="A14913" s="16"/>
    </row>
    <row r="14914" spans="1:1" x14ac:dyDescent="0.25">
      <c r="A14914" s="16"/>
    </row>
    <row r="14915" spans="1:1" x14ac:dyDescent="0.25">
      <c r="A14915" s="16"/>
    </row>
    <row r="14916" spans="1:1" x14ac:dyDescent="0.25">
      <c r="A14916" s="16"/>
    </row>
    <row r="14917" spans="1:1" x14ac:dyDescent="0.25">
      <c r="A14917" s="16"/>
    </row>
    <row r="14918" spans="1:1" x14ac:dyDescent="0.25">
      <c r="A14918" s="16"/>
    </row>
    <row r="14919" spans="1:1" x14ac:dyDescent="0.25">
      <c r="A14919" s="16"/>
    </row>
    <row r="14920" spans="1:1" x14ac:dyDescent="0.25">
      <c r="A14920" s="16"/>
    </row>
    <row r="14921" spans="1:1" x14ac:dyDescent="0.25">
      <c r="A14921" s="16"/>
    </row>
    <row r="14922" spans="1:1" x14ac:dyDescent="0.25">
      <c r="A14922" s="16"/>
    </row>
    <row r="14923" spans="1:1" x14ac:dyDescent="0.25">
      <c r="A14923" s="16"/>
    </row>
    <row r="14924" spans="1:1" x14ac:dyDescent="0.25">
      <c r="A14924" s="16"/>
    </row>
    <row r="14925" spans="1:1" x14ac:dyDescent="0.25">
      <c r="A14925" s="16"/>
    </row>
    <row r="14926" spans="1:1" x14ac:dyDescent="0.25">
      <c r="A14926" s="16"/>
    </row>
    <row r="14927" spans="1:1" x14ac:dyDescent="0.25">
      <c r="A14927" s="16"/>
    </row>
    <row r="14928" spans="1:1" x14ac:dyDescent="0.25">
      <c r="A14928" s="16"/>
    </row>
    <row r="14929" spans="1:1" x14ac:dyDescent="0.25">
      <c r="A14929" s="16"/>
    </row>
    <row r="14930" spans="1:1" x14ac:dyDescent="0.25">
      <c r="A14930" s="16"/>
    </row>
    <row r="14931" spans="1:1" x14ac:dyDescent="0.25">
      <c r="A14931" s="16"/>
    </row>
    <row r="14932" spans="1:1" x14ac:dyDescent="0.25">
      <c r="A14932" s="16"/>
    </row>
    <row r="14933" spans="1:1" x14ac:dyDescent="0.25">
      <c r="A14933" s="16"/>
    </row>
    <row r="14934" spans="1:1" x14ac:dyDescent="0.25">
      <c r="A14934" s="16"/>
    </row>
    <row r="14935" spans="1:1" x14ac:dyDescent="0.25">
      <c r="A14935" s="16"/>
    </row>
    <row r="14936" spans="1:1" x14ac:dyDescent="0.25">
      <c r="A14936" s="16"/>
    </row>
    <row r="14937" spans="1:1" x14ac:dyDescent="0.25">
      <c r="A14937" s="16"/>
    </row>
    <row r="14938" spans="1:1" x14ac:dyDescent="0.25">
      <c r="A14938" s="16"/>
    </row>
    <row r="14939" spans="1:1" x14ac:dyDescent="0.25">
      <c r="A14939" s="16"/>
    </row>
    <row r="14940" spans="1:1" x14ac:dyDescent="0.25">
      <c r="A14940" s="16"/>
    </row>
    <row r="14941" spans="1:1" x14ac:dyDescent="0.25">
      <c r="A14941" s="16"/>
    </row>
    <row r="14942" spans="1:1" x14ac:dyDescent="0.25">
      <c r="A14942" s="16"/>
    </row>
    <row r="14943" spans="1:1" x14ac:dyDescent="0.25">
      <c r="A14943" s="16"/>
    </row>
    <row r="14944" spans="1:1" x14ac:dyDescent="0.25">
      <c r="A14944" s="16"/>
    </row>
    <row r="14945" spans="1:1" x14ac:dyDescent="0.25">
      <c r="A14945" s="16"/>
    </row>
    <row r="14946" spans="1:1" x14ac:dyDescent="0.25">
      <c r="A14946" s="16"/>
    </row>
    <row r="14947" spans="1:1" x14ac:dyDescent="0.25">
      <c r="A14947" s="16"/>
    </row>
    <row r="14948" spans="1:1" x14ac:dyDescent="0.25">
      <c r="A14948" s="16"/>
    </row>
    <row r="14949" spans="1:1" x14ac:dyDescent="0.25">
      <c r="A14949" s="16"/>
    </row>
    <row r="14950" spans="1:1" x14ac:dyDescent="0.25">
      <c r="A14950" s="16"/>
    </row>
    <row r="14951" spans="1:1" x14ac:dyDescent="0.25">
      <c r="A14951" s="16"/>
    </row>
    <row r="14952" spans="1:1" x14ac:dyDescent="0.25">
      <c r="A14952" s="16"/>
    </row>
    <row r="14953" spans="1:1" x14ac:dyDescent="0.25">
      <c r="A14953" s="16"/>
    </row>
    <row r="14954" spans="1:1" x14ac:dyDescent="0.25">
      <c r="A14954" s="16"/>
    </row>
    <row r="14955" spans="1:1" x14ac:dyDescent="0.25">
      <c r="A14955" s="16"/>
    </row>
    <row r="14956" spans="1:1" x14ac:dyDescent="0.25">
      <c r="A14956" s="16"/>
    </row>
    <row r="14957" spans="1:1" x14ac:dyDescent="0.25">
      <c r="A14957" s="16"/>
    </row>
    <row r="14958" spans="1:1" x14ac:dyDescent="0.25">
      <c r="A14958" s="16"/>
    </row>
    <row r="14959" spans="1:1" x14ac:dyDescent="0.25">
      <c r="A14959" s="16"/>
    </row>
    <row r="14960" spans="1:1" x14ac:dyDescent="0.25">
      <c r="A14960" s="16"/>
    </row>
    <row r="14961" spans="1:1" x14ac:dyDescent="0.25">
      <c r="A14961" s="16"/>
    </row>
    <row r="14962" spans="1:1" x14ac:dyDescent="0.25">
      <c r="A14962" s="16"/>
    </row>
    <row r="14963" spans="1:1" x14ac:dyDescent="0.25">
      <c r="A14963" s="16"/>
    </row>
    <row r="14964" spans="1:1" x14ac:dyDescent="0.25">
      <c r="A14964" s="16"/>
    </row>
    <row r="14965" spans="1:1" x14ac:dyDescent="0.25">
      <c r="A14965" s="16"/>
    </row>
    <row r="14966" spans="1:1" x14ac:dyDescent="0.25">
      <c r="A14966" s="16"/>
    </row>
    <row r="14967" spans="1:1" x14ac:dyDescent="0.25">
      <c r="A14967" s="16"/>
    </row>
    <row r="14968" spans="1:1" x14ac:dyDescent="0.25">
      <c r="A14968" s="16"/>
    </row>
    <row r="14969" spans="1:1" x14ac:dyDescent="0.25">
      <c r="A14969" s="16"/>
    </row>
    <row r="14970" spans="1:1" x14ac:dyDescent="0.25">
      <c r="A14970" s="16"/>
    </row>
    <row r="14971" spans="1:1" x14ac:dyDescent="0.25">
      <c r="A14971" s="16"/>
    </row>
    <row r="14972" spans="1:1" x14ac:dyDescent="0.25">
      <c r="A14972" s="16"/>
    </row>
    <row r="14973" spans="1:1" x14ac:dyDescent="0.25">
      <c r="A14973" s="16"/>
    </row>
    <row r="14974" spans="1:1" x14ac:dyDescent="0.25">
      <c r="A14974" s="16"/>
    </row>
    <row r="14975" spans="1:1" x14ac:dyDescent="0.25">
      <c r="A14975" s="16"/>
    </row>
    <row r="14976" spans="1:1" x14ac:dyDescent="0.25">
      <c r="A14976" s="16"/>
    </row>
    <row r="14977" spans="1:1" x14ac:dyDescent="0.25">
      <c r="A14977" s="16"/>
    </row>
    <row r="14978" spans="1:1" x14ac:dyDescent="0.25">
      <c r="A14978" s="16"/>
    </row>
    <row r="14979" spans="1:1" x14ac:dyDescent="0.25">
      <c r="A14979" s="16"/>
    </row>
    <row r="14980" spans="1:1" x14ac:dyDescent="0.25">
      <c r="A14980" s="16"/>
    </row>
    <row r="14981" spans="1:1" x14ac:dyDescent="0.25">
      <c r="A14981" s="16"/>
    </row>
    <row r="14982" spans="1:1" x14ac:dyDescent="0.25">
      <c r="A14982" s="16"/>
    </row>
    <row r="14983" spans="1:1" x14ac:dyDescent="0.25">
      <c r="A14983" s="16"/>
    </row>
    <row r="14984" spans="1:1" x14ac:dyDescent="0.25">
      <c r="A14984" s="16"/>
    </row>
    <row r="14985" spans="1:1" x14ac:dyDescent="0.25">
      <c r="A14985" s="16"/>
    </row>
    <row r="14986" spans="1:1" x14ac:dyDescent="0.25">
      <c r="A14986" s="16"/>
    </row>
    <row r="14987" spans="1:1" x14ac:dyDescent="0.25">
      <c r="A14987" s="16"/>
    </row>
    <row r="14988" spans="1:1" x14ac:dyDescent="0.25">
      <c r="A14988" s="16"/>
    </row>
    <row r="14989" spans="1:1" x14ac:dyDescent="0.25">
      <c r="A14989" s="16"/>
    </row>
    <row r="14990" spans="1:1" x14ac:dyDescent="0.25">
      <c r="A14990" s="16"/>
    </row>
    <row r="14991" spans="1:1" x14ac:dyDescent="0.25">
      <c r="A14991" s="16"/>
    </row>
    <row r="14992" spans="1:1" x14ac:dyDescent="0.25">
      <c r="A14992" s="16"/>
    </row>
    <row r="14993" spans="1:1" x14ac:dyDescent="0.25">
      <c r="A14993" s="16"/>
    </row>
    <row r="14994" spans="1:1" x14ac:dyDescent="0.25">
      <c r="A14994" s="16"/>
    </row>
    <row r="14995" spans="1:1" x14ac:dyDescent="0.25">
      <c r="A14995" s="16"/>
    </row>
    <row r="14996" spans="1:1" x14ac:dyDescent="0.25">
      <c r="A14996" s="16"/>
    </row>
    <row r="14997" spans="1:1" x14ac:dyDescent="0.25">
      <c r="A14997" s="16"/>
    </row>
    <row r="14998" spans="1:1" x14ac:dyDescent="0.25">
      <c r="A14998" s="16"/>
    </row>
    <row r="14999" spans="1:1" x14ac:dyDescent="0.25">
      <c r="A14999" s="16"/>
    </row>
    <row r="15000" spans="1:1" x14ac:dyDescent="0.25">
      <c r="A15000" s="16"/>
    </row>
    <row r="15001" spans="1:1" x14ac:dyDescent="0.25">
      <c r="A15001" s="16"/>
    </row>
    <row r="15002" spans="1:1" x14ac:dyDescent="0.25">
      <c r="A15002" s="16"/>
    </row>
    <row r="15003" spans="1:1" x14ac:dyDescent="0.25">
      <c r="A15003" s="16"/>
    </row>
    <row r="15004" spans="1:1" x14ac:dyDescent="0.25">
      <c r="A15004" s="16"/>
    </row>
    <row r="15005" spans="1:1" x14ac:dyDescent="0.25">
      <c r="A15005" s="16"/>
    </row>
    <row r="15006" spans="1:1" x14ac:dyDescent="0.25">
      <c r="A15006" s="16"/>
    </row>
    <row r="15007" spans="1:1" x14ac:dyDescent="0.25">
      <c r="A15007" s="16"/>
    </row>
    <row r="15008" spans="1:1" x14ac:dyDescent="0.25">
      <c r="A15008" s="16"/>
    </row>
    <row r="15009" spans="1:1" x14ac:dyDescent="0.25">
      <c r="A15009" s="16"/>
    </row>
    <row r="15010" spans="1:1" x14ac:dyDescent="0.25">
      <c r="A15010" s="16"/>
    </row>
    <row r="15011" spans="1:1" x14ac:dyDescent="0.25">
      <c r="A15011" s="16"/>
    </row>
    <row r="15012" spans="1:1" x14ac:dyDescent="0.25">
      <c r="A15012" s="16"/>
    </row>
    <row r="15013" spans="1:1" x14ac:dyDescent="0.25">
      <c r="A15013" s="16"/>
    </row>
    <row r="15014" spans="1:1" x14ac:dyDescent="0.25">
      <c r="A15014" s="16"/>
    </row>
    <row r="15015" spans="1:1" x14ac:dyDescent="0.25">
      <c r="A15015" s="16"/>
    </row>
    <row r="15016" spans="1:1" x14ac:dyDescent="0.25">
      <c r="A15016" s="16"/>
    </row>
    <row r="15017" spans="1:1" x14ac:dyDescent="0.25">
      <c r="A15017" s="16"/>
    </row>
    <row r="15018" spans="1:1" x14ac:dyDescent="0.25">
      <c r="A15018" s="16"/>
    </row>
    <row r="15019" spans="1:1" x14ac:dyDescent="0.25">
      <c r="A15019" s="16"/>
    </row>
    <row r="15020" spans="1:1" x14ac:dyDescent="0.25">
      <c r="A15020" s="16"/>
    </row>
    <row r="15021" spans="1:1" x14ac:dyDescent="0.25">
      <c r="A15021" s="16"/>
    </row>
    <row r="15022" spans="1:1" x14ac:dyDescent="0.25">
      <c r="A15022" s="16"/>
    </row>
    <row r="15023" spans="1:1" x14ac:dyDescent="0.25">
      <c r="A15023" s="16"/>
    </row>
    <row r="15024" spans="1:1" x14ac:dyDescent="0.25">
      <c r="A15024" s="16"/>
    </row>
    <row r="15025" spans="1:1" x14ac:dyDescent="0.25">
      <c r="A15025" s="16"/>
    </row>
    <row r="15026" spans="1:1" x14ac:dyDescent="0.25">
      <c r="A15026" s="16"/>
    </row>
    <row r="15027" spans="1:1" x14ac:dyDescent="0.25">
      <c r="A15027" s="16"/>
    </row>
    <row r="15028" spans="1:1" x14ac:dyDescent="0.25">
      <c r="A15028" s="16"/>
    </row>
    <row r="15029" spans="1:1" x14ac:dyDescent="0.25">
      <c r="A15029" s="16"/>
    </row>
    <row r="15030" spans="1:1" x14ac:dyDescent="0.25">
      <c r="A15030" s="16"/>
    </row>
    <row r="15031" spans="1:1" x14ac:dyDescent="0.25">
      <c r="A15031" s="16"/>
    </row>
    <row r="15032" spans="1:1" x14ac:dyDescent="0.25">
      <c r="A15032" s="16"/>
    </row>
    <row r="15033" spans="1:1" x14ac:dyDescent="0.25">
      <c r="A15033" s="16"/>
    </row>
    <row r="15034" spans="1:1" x14ac:dyDescent="0.25">
      <c r="A15034" s="16"/>
    </row>
    <row r="15035" spans="1:1" x14ac:dyDescent="0.25">
      <c r="A15035" s="16"/>
    </row>
    <row r="15036" spans="1:1" x14ac:dyDescent="0.25">
      <c r="A15036" s="16"/>
    </row>
    <row r="15037" spans="1:1" x14ac:dyDescent="0.25">
      <c r="A15037" s="16"/>
    </row>
    <row r="15038" spans="1:1" x14ac:dyDescent="0.25">
      <c r="A15038" s="16"/>
    </row>
    <row r="15039" spans="1:1" x14ac:dyDescent="0.25">
      <c r="A15039" s="16"/>
    </row>
    <row r="15040" spans="1:1" x14ac:dyDescent="0.25">
      <c r="A15040" s="16"/>
    </row>
    <row r="15041" spans="1:1" x14ac:dyDescent="0.25">
      <c r="A15041" s="16"/>
    </row>
    <row r="15042" spans="1:1" x14ac:dyDescent="0.25">
      <c r="A15042" s="16"/>
    </row>
    <row r="15043" spans="1:1" x14ac:dyDescent="0.25">
      <c r="A15043" s="16"/>
    </row>
    <row r="15044" spans="1:1" x14ac:dyDescent="0.25">
      <c r="A15044" s="16"/>
    </row>
    <row r="15045" spans="1:1" x14ac:dyDescent="0.25">
      <c r="A15045" s="16"/>
    </row>
    <row r="15046" spans="1:1" x14ac:dyDescent="0.25">
      <c r="A15046" s="16"/>
    </row>
    <row r="15047" spans="1:1" x14ac:dyDescent="0.25">
      <c r="A15047" s="16"/>
    </row>
    <row r="15048" spans="1:1" x14ac:dyDescent="0.25">
      <c r="A15048" s="16"/>
    </row>
    <row r="15049" spans="1:1" x14ac:dyDescent="0.25">
      <c r="A15049" s="16"/>
    </row>
    <row r="15050" spans="1:1" x14ac:dyDescent="0.25">
      <c r="A15050" s="16"/>
    </row>
    <row r="15051" spans="1:1" x14ac:dyDescent="0.25">
      <c r="A15051" s="16"/>
    </row>
    <row r="15052" spans="1:1" x14ac:dyDescent="0.25">
      <c r="A15052" s="16"/>
    </row>
    <row r="15053" spans="1:1" x14ac:dyDescent="0.25">
      <c r="A15053" s="16"/>
    </row>
    <row r="15054" spans="1:1" x14ac:dyDescent="0.25">
      <c r="A15054" s="16"/>
    </row>
    <row r="15055" spans="1:1" x14ac:dyDescent="0.25">
      <c r="A15055" s="16"/>
    </row>
    <row r="15056" spans="1:1" x14ac:dyDescent="0.25">
      <c r="A15056" s="16"/>
    </row>
    <row r="15057" spans="1:1" x14ac:dyDescent="0.25">
      <c r="A15057" s="16"/>
    </row>
    <row r="15058" spans="1:1" x14ac:dyDescent="0.25">
      <c r="A15058" s="16"/>
    </row>
    <row r="15059" spans="1:1" x14ac:dyDescent="0.25">
      <c r="A15059" s="16"/>
    </row>
    <row r="15060" spans="1:1" x14ac:dyDescent="0.25">
      <c r="A15060" s="16"/>
    </row>
    <row r="15061" spans="1:1" x14ac:dyDescent="0.25">
      <c r="A15061" s="16"/>
    </row>
    <row r="15062" spans="1:1" x14ac:dyDescent="0.25">
      <c r="A15062" s="16"/>
    </row>
    <row r="15063" spans="1:1" x14ac:dyDescent="0.25">
      <c r="A15063" s="16"/>
    </row>
    <row r="15064" spans="1:1" x14ac:dyDescent="0.25">
      <c r="A15064" s="16"/>
    </row>
    <row r="15065" spans="1:1" x14ac:dyDescent="0.25">
      <c r="A15065" s="16"/>
    </row>
    <row r="15066" spans="1:1" x14ac:dyDescent="0.25">
      <c r="A15066" s="16"/>
    </row>
    <row r="15067" spans="1:1" x14ac:dyDescent="0.25">
      <c r="A15067" s="16"/>
    </row>
    <row r="15068" spans="1:1" x14ac:dyDescent="0.25">
      <c r="A15068" s="16"/>
    </row>
    <row r="15069" spans="1:1" x14ac:dyDescent="0.25">
      <c r="A15069" s="16"/>
    </row>
    <row r="15070" spans="1:1" x14ac:dyDescent="0.25">
      <c r="A15070" s="16"/>
    </row>
    <row r="15071" spans="1:1" x14ac:dyDescent="0.25">
      <c r="A15071" s="16"/>
    </row>
    <row r="15072" spans="1:1" x14ac:dyDescent="0.25">
      <c r="A15072" s="16"/>
    </row>
    <row r="15073" spans="1:1" x14ac:dyDescent="0.25">
      <c r="A15073" s="16"/>
    </row>
    <row r="15074" spans="1:1" x14ac:dyDescent="0.25">
      <c r="A15074" s="16"/>
    </row>
    <row r="15075" spans="1:1" x14ac:dyDescent="0.25">
      <c r="A15075" s="16"/>
    </row>
    <row r="15076" spans="1:1" x14ac:dyDescent="0.25">
      <c r="A15076" s="16"/>
    </row>
    <row r="15077" spans="1:1" x14ac:dyDescent="0.25">
      <c r="A15077" s="16"/>
    </row>
    <row r="15078" spans="1:1" x14ac:dyDescent="0.25">
      <c r="A15078" s="16"/>
    </row>
    <row r="15079" spans="1:1" x14ac:dyDescent="0.25">
      <c r="A15079" s="16"/>
    </row>
    <row r="15080" spans="1:1" x14ac:dyDescent="0.25">
      <c r="A15080" s="16"/>
    </row>
    <row r="15081" spans="1:1" x14ac:dyDescent="0.25">
      <c r="A15081" s="16"/>
    </row>
    <row r="15082" spans="1:1" x14ac:dyDescent="0.25">
      <c r="A15082" s="16"/>
    </row>
    <row r="15083" spans="1:1" x14ac:dyDescent="0.25">
      <c r="A15083" s="16"/>
    </row>
    <row r="15084" spans="1:1" x14ac:dyDescent="0.25">
      <c r="A15084" s="16"/>
    </row>
    <row r="15085" spans="1:1" x14ac:dyDescent="0.25">
      <c r="A15085" s="16"/>
    </row>
    <row r="15086" spans="1:1" x14ac:dyDescent="0.25">
      <c r="A15086" s="16"/>
    </row>
    <row r="15087" spans="1:1" x14ac:dyDescent="0.25">
      <c r="A15087" s="16"/>
    </row>
    <row r="15088" spans="1:1" x14ac:dyDescent="0.25">
      <c r="A15088" s="16"/>
    </row>
    <row r="15089" spans="1:1" x14ac:dyDescent="0.25">
      <c r="A15089" s="16"/>
    </row>
    <row r="15090" spans="1:1" x14ac:dyDescent="0.25">
      <c r="A15090" s="16"/>
    </row>
    <row r="15091" spans="1:1" x14ac:dyDescent="0.25">
      <c r="A15091" s="16"/>
    </row>
    <row r="15092" spans="1:1" x14ac:dyDescent="0.25">
      <c r="A15092" s="16"/>
    </row>
    <row r="15093" spans="1:1" x14ac:dyDescent="0.25">
      <c r="A15093" s="16"/>
    </row>
    <row r="15094" spans="1:1" x14ac:dyDescent="0.25">
      <c r="A15094" s="16"/>
    </row>
    <row r="15095" spans="1:1" x14ac:dyDescent="0.25">
      <c r="A15095" s="16"/>
    </row>
    <row r="15096" spans="1:1" x14ac:dyDescent="0.25">
      <c r="A15096" s="16"/>
    </row>
    <row r="15097" spans="1:1" x14ac:dyDescent="0.25">
      <c r="A15097" s="16"/>
    </row>
    <row r="15098" spans="1:1" x14ac:dyDescent="0.25">
      <c r="A15098" s="16"/>
    </row>
    <row r="15099" spans="1:1" x14ac:dyDescent="0.25">
      <c r="A15099" s="16"/>
    </row>
    <row r="15100" spans="1:1" x14ac:dyDescent="0.25">
      <c r="A15100" s="16"/>
    </row>
    <row r="15101" spans="1:1" x14ac:dyDescent="0.25">
      <c r="A15101" s="16"/>
    </row>
    <row r="15102" spans="1:1" x14ac:dyDescent="0.25">
      <c r="A15102" s="16"/>
    </row>
    <row r="15103" spans="1:1" x14ac:dyDescent="0.25">
      <c r="A15103" s="16"/>
    </row>
    <row r="15104" spans="1:1" x14ac:dyDescent="0.25">
      <c r="A15104" s="16"/>
    </row>
    <row r="15105" spans="1:1" x14ac:dyDescent="0.25">
      <c r="A15105" s="16"/>
    </row>
    <row r="15106" spans="1:1" x14ac:dyDescent="0.25">
      <c r="A15106" s="16"/>
    </row>
    <row r="15107" spans="1:1" x14ac:dyDescent="0.25">
      <c r="A15107" s="16"/>
    </row>
    <row r="15108" spans="1:1" x14ac:dyDescent="0.25">
      <c r="A15108" s="16"/>
    </row>
    <row r="15109" spans="1:1" x14ac:dyDescent="0.25">
      <c r="A15109" s="16"/>
    </row>
    <row r="15110" spans="1:1" x14ac:dyDescent="0.25">
      <c r="A15110" s="16"/>
    </row>
    <row r="15111" spans="1:1" x14ac:dyDescent="0.25">
      <c r="A15111" s="16"/>
    </row>
    <row r="15112" spans="1:1" x14ac:dyDescent="0.25">
      <c r="A15112" s="16"/>
    </row>
    <row r="15113" spans="1:1" x14ac:dyDescent="0.25">
      <c r="A15113" s="16"/>
    </row>
    <row r="15114" spans="1:1" x14ac:dyDescent="0.25">
      <c r="A15114" s="16"/>
    </row>
    <row r="15115" spans="1:1" x14ac:dyDescent="0.25">
      <c r="A15115" s="16"/>
    </row>
    <row r="15116" spans="1:1" x14ac:dyDescent="0.25">
      <c r="A15116" s="16"/>
    </row>
    <row r="15117" spans="1:1" x14ac:dyDescent="0.25">
      <c r="A15117" s="16"/>
    </row>
    <row r="15118" spans="1:1" x14ac:dyDescent="0.25">
      <c r="A15118" s="16"/>
    </row>
    <row r="15119" spans="1:1" x14ac:dyDescent="0.25">
      <c r="A15119" s="16"/>
    </row>
    <row r="15120" spans="1:1" x14ac:dyDescent="0.25">
      <c r="A15120" s="16"/>
    </row>
    <row r="15121" spans="1:1" x14ac:dyDescent="0.25">
      <c r="A15121" s="16"/>
    </row>
    <row r="15122" spans="1:1" x14ac:dyDescent="0.25">
      <c r="A15122" s="16"/>
    </row>
    <row r="15123" spans="1:1" x14ac:dyDescent="0.25">
      <c r="A15123" s="16"/>
    </row>
    <row r="15124" spans="1:1" x14ac:dyDescent="0.25">
      <c r="A15124" s="16"/>
    </row>
    <row r="15125" spans="1:1" x14ac:dyDescent="0.25">
      <c r="A15125" s="16"/>
    </row>
    <row r="15126" spans="1:1" x14ac:dyDescent="0.25">
      <c r="A15126" s="16"/>
    </row>
    <row r="15127" spans="1:1" x14ac:dyDescent="0.25">
      <c r="A15127" s="16"/>
    </row>
    <row r="15128" spans="1:1" x14ac:dyDescent="0.25">
      <c r="A15128" s="16"/>
    </row>
    <row r="15129" spans="1:1" x14ac:dyDescent="0.25">
      <c r="A15129" s="16"/>
    </row>
    <row r="15130" spans="1:1" x14ac:dyDescent="0.25">
      <c r="A15130" s="16"/>
    </row>
    <row r="15131" spans="1:1" x14ac:dyDescent="0.25">
      <c r="A15131" s="16"/>
    </row>
    <row r="15132" spans="1:1" x14ac:dyDescent="0.25">
      <c r="A15132" s="16"/>
    </row>
    <row r="15133" spans="1:1" x14ac:dyDescent="0.25">
      <c r="A15133" s="16"/>
    </row>
    <row r="15134" spans="1:1" x14ac:dyDescent="0.25">
      <c r="A15134" s="16"/>
    </row>
    <row r="15135" spans="1:1" x14ac:dyDescent="0.25">
      <c r="A15135" s="16"/>
    </row>
    <row r="15136" spans="1:1" x14ac:dyDescent="0.25">
      <c r="A15136" s="16"/>
    </row>
    <row r="15137" spans="1:1" x14ac:dyDescent="0.25">
      <c r="A15137" s="16"/>
    </row>
    <row r="15138" spans="1:1" x14ac:dyDescent="0.25">
      <c r="A15138" s="16"/>
    </row>
    <row r="15139" spans="1:1" x14ac:dyDescent="0.25">
      <c r="A15139" s="16"/>
    </row>
    <row r="15140" spans="1:1" x14ac:dyDescent="0.25">
      <c r="A15140" s="16"/>
    </row>
    <row r="15141" spans="1:1" x14ac:dyDescent="0.25">
      <c r="A15141" s="16"/>
    </row>
    <row r="15142" spans="1:1" x14ac:dyDescent="0.25">
      <c r="A15142" s="16"/>
    </row>
    <row r="15143" spans="1:1" x14ac:dyDescent="0.25">
      <c r="A15143" s="16"/>
    </row>
    <row r="15144" spans="1:1" x14ac:dyDescent="0.25">
      <c r="A15144" s="16"/>
    </row>
    <row r="15145" spans="1:1" x14ac:dyDescent="0.25">
      <c r="A15145" s="16"/>
    </row>
    <row r="15146" spans="1:1" x14ac:dyDescent="0.25">
      <c r="A15146" s="16"/>
    </row>
    <row r="15147" spans="1:1" x14ac:dyDescent="0.25">
      <c r="A15147" s="16"/>
    </row>
    <row r="15148" spans="1:1" x14ac:dyDescent="0.25">
      <c r="A15148" s="16"/>
    </row>
    <row r="15149" spans="1:1" x14ac:dyDescent="0.25">
      <c r="A15149" s="16"/>
    </row>
    <row r="15150" spans="1:1" x14ac:dyDescent="0.25">
      <c r="A15150" s="16"/>
    </row>
    <row r="15151" spans="1:1" x14ac:dyDescent="0.25">
      <c r="A15151" s="16"/>
    </row>
    <row r="15152" spans="1:1" x14ac:dyDescent="0.25">
      <c r="A15152" s="16"/>
    </row>
    <row r="15153" spans="1:1" x14ac:dyDescent="0.25">
      <c r="A15153" s="16"/>
    </row>
    <row r="15154" spans="1:1" x14ac:dyDescent="0.25">
      <c r="A15154" s="16"/>
    </row>
    <row r="15155" spans="1:1" x14ac:dyDescent="0.25">
      <c r="A15155" s="16"/>
    </row>
    <row r="15156" spans="1:1" x14ac:dyDescent="0.25">
      <c r="A15156" s="16"/>
    </row>
    <row r="15157" spans="1:1" x14ac:dyDescent="0.25">
      <c r="A15157" s="16"/>
    </row>
    <row r="15158" spans="1:1" x14ac:dyDescent="0.25">
      <c r="A15158" s="16"/>
    </row>
    <row r="15159" spans="1:1" x14ac:dyDescent="0.25">
      <c r="A15159" s="16"/>
    </row>
    <row r="15160" spans="1:1" x14ac:dyDescent="0.25">
      <c r="A15160" s="16"/>
    </row>
    <row r="15161" spans="1:1" x14ac:dyDescent="0.25">
      <c r="A15161" s="16"/>
    </row>
    <row r="15162" spans="1:1" x14ac:dyDescent="0.25">
      <c r="A15162" s="16"/>
    </row>
    <row r="15163" spans="1:1" x14ac:dyDescent="0.25">
      <c r="A15163" s="16"/>
    </row>
    <row r="15164" spans="1:1" x14ac:dyDescent="0.25">
      <c r="A15164" s="16"/>
    </row>
    <row r="15165" spans="1:1" x14ac:dyDescent="0.25">
      <c r="A15165" s="16"/>
    </row>
    <row r="15166" spans="1:1" x14ac:dyDescent="0.25">
      <c r="A15166" s="16"/>
    </row>
    <row r="15167" spans="1:1" x14ac:dyDescent="0.25">
      <c r="A15167" s="16"/>
    </row>
    <row r="15168" spans="1:1" x14ac:dyDescent="0.25">
      <c r="A15168" s="16"/>
    </row>
    <row r="15169" spans="1:1" x14ac:dyDescent="0.25">
      <c r="A15169" s="16"/>
    </row>
    <row r="15170" spans="1:1" x14ac:dyDescent="0.25">
      <c r="A15170" s="16"/>
    </row>
    <row r="15171" spans="1:1" x14ac:dyDescent="0.25">
      <c r="A15171" s="16"/>
    </row>
    <row r="15172" spans="1:1" x14ac:dyDescent="0.25">
      <c r="A15172" s="16"/>
    </row>
    <row r="15173" spans="1:1" x14ac:dyDescent="0.25">
      <c r="A15173" s="16"/>
    </row>
    <row r="15174" spans="1:1" x14ac:dyDescent="0.25">
      <c r="A15174" s="16"/>
    </row>
    <row r="15175" spans="1:1" x14ac:dyDescent="0.25">
      <c r="A15175" s="16"/>
    </row>
    <row r="15176" spans="1:1" x14ac:dyDescent="0.25">
      <c r="A15176" s="16"/>
    </row>
    <row r="15177" spans="1:1" x14ac:dyDescent="0.25">
      <c r="A15177" s="16"/>
    </row>
    <row r="15178" spans="1:1" x14ac:dyDescent="0.25">
      <c r="A15178" s="16"/>
    </row>
    <row r="15179" spans="1:1" x14ac:dyDescent="0.25">
      <c r="A15179" s="16"/>
    </row>
    <row r="15180" spans="1:1" x14ac:dyDescent="0.25">
      <c r="A15180" s="16"/>
    </row>
    <row r="15181" spans="1:1" x14ac:dyDescent="0.25">
      <c r="A15181" s="16"/>
    </row>
    <row r="15182" spans="1:1" x14ac:dyDescent="0.25">
      <c r="A15182" s="16"/>
    </row>
    <row r="15183" spans="1:1" x14ac:dyDescent="0.25">
      <c r="A15183" s="16"/>
    </row>
    <row r="15184" spans="1:1" x14ac:dyDescent="0.25">
      <c r="A15184" s="16"/>
    </row>
    <row r="15185" spans="1:1" x14ac:dyDescent="0.25">
      <c r="A15185" s="16"/>
    </row>
    <row r="15186" spans="1:1" x14ac:dyDescent="0.25">
      <c r="A15186" s="16"/>
    </row>
    <row r="15187" spans="1:1" x14ac:dyDescent="0.25">
      <c r="A15187" s="16"/>
    </row>
    <row r="15188" spans="1:1" x14ac:dyDescent="0.25">
      <c r="A15188" s="16"/>
    </row>
    <row r="15189" spans="1:1" x14ac:dyDescent="0.25">
      <c r="A15189" s="16"/>
    </row>
    <row r="15190" spans="1:1" x14ac:dyDescent="0.25">
      <c r="A15190" s="16"/>
    </row>
    <row r="15191" spans="1:1" x14ac:dyDescent="0.25">
      <c r="A15191" s="16"/>
    </row>
    <row r="15192" spans="1:1" x14ac:dyDescent="0.25">
      <c r="A15192" s="16"/>
    </row>
    <row r="15193" spans="1:1" x14ac:dyDescent="0.25">
      <c r="A15193" s="16"/>
    </row>
    <row r="15194" spans="1:1" x14ac:dyDescent="0.25">
      <c r="A15194" s="16"/>
    </row>
    <row r="15195" spans="1:1" x14ac:dyDescent="0.25">
      <c r="A15195" s="16"/>
    </row>
    <row r="15196" spans="1:1" x14ac:dyDescent="0.25">
      <c r="A15196" s="16"/>
    </row>
    <row r="15197" spans="1:1" x14ac:dyDescent="0.25">
      <c r="A15197" s="16"/>
    </row>
    <row r="15198" spans="1:1" x14ac:dyDescent="0.25">
      <c r="A15198" s="16"/>
    </row>
    <row r="15199" spans="1:1" x14ac:dyDescent="0.25">
      <c r="A15199" s="16"/>
    </row>
    <row r="15200" spans="1:1" x14ac:dyDescent="0.25">
      <c r="A15200" s="16"/>
    </row>
    <row r="15201" spans="1:1" x14ac:dyDescent="0.25">
      <c r="A15201" s="16"/>
    </row>
    <row r="15202" spans="1:1" x14ac:dyDescent="0.25">
      <c r="A15202" s="16"/>
    </row>
    <row r="15203" spans="1:1" x14ac:dyDescent="0.25">
      <c r="A15203" s="16"/>
    </row>
    <row r="15204" spans="1:1" x14ac:dyDescent="0.25">
      <c r="A15204" s="16"/>
    </row>
    <row r="15205" spans="1:1" x14ac:dyDescent="0.25">
      <c r="A15205" s="16"/>
    </row>
    <row r="15206" spans="1:1" x14ac:dyDescent="0.25">
      <c r="A15206" s="16"/>
    </row>
    <row r="15207" spans="1:1" x14ac:dyDescent="0.25">
      <c r="A15207" s="16"/>
    </row>
    <row r="15208" spans="1:1" x14ac:dyDescent="0.25">
      <c r="A15208" s="16"/>
    </row>
    <row r="15209" spans="1:1" x14ac:dyDescent="0.25">
      <c r="A15209" s="16"/>
    </row>
    <row r="15210" spans="1:1" x14ac:dyDescent="0.25">
      <c r="A15210" s="16"/>
    </row>
    <row r="15211" spans="1:1" x14ac:dyDescent="0.25">
      <c r="A15211" s="16"/>
    </row>
    <row r="15212" spans="1:1" x14ac:dyDescent="0.25">
      <c r="A15212" s="16"/>
    </row>
    <row r="15213" spans="1:1" x14ac:dyDescent="0.25">
      <c r="A15213" s="16"/>
    </row>
    <row r="15214" spans="1:1" x14ac:dyDescent="0.25">
      <c r="A15214" s="16"/>
    </row>
    <row r="15215" spans="1:1" x14ac:dyDescent="0.25">
      <c r="A15215" s="16"/>
    </row>
    <row r="15216" spans="1:1" x14ac:dyDescent="0.25">
      <c r="A15216" s="16"/>
    </row>
    <row r="15217" spans="1:1" x14ac:dyDescent="0.25">
      <c r="A15217" s="16"/>
    </row>
    <row r="15218" spans="1:1" x14ac:dyDescent="0.25">
      <c r="A15218" s="16"/>
    </row>
    <row r="15219" spans="1:1" x14ac:dyDescent="0.25">
      <c r="A15219" s="16"/>
    </row>
    <row r="15220" spans="1:1" x14ac:dyDescent="0.25">
      <c r="A15220" s="16"/>
    </row>
    <row r="15221" spans="1:1" x14ac:dyDescent="0.25">
      <c r="A15221" s="16"/>
    </row>
    <row r="15222" spans="1:1" x14ac:dyDescent="0.25">
      <c r="A15222" s="16"/>
    </row>
    <row r="15223" spans="1:1" x14ac:dyDescent="0.25">
      <c r="A15223" s="16"/>
    </row>
    <row r="15224" spans="1:1" x14ac:dyDescent="0.25">
      <c r="A15224" s="16"/>
    </row>
    <row r="15225" spans="1:1" x14ac:dyDescent="0.25">
      <c r="A15225" s="16"/>
    </row>
    <row r="15226" spans="1:1" x14ac:dyDescent="0.25">
      <c r="A15226" s="16"/>
    </row>
    <row r="15227" spans="1:1" x14ac:dyDescent="0.25">
      <c r="A15227" s="16"/>
    </row>
    <row r="15228" spans="1:1" x14ac:dyDescent="0.25">
      <c r="A15228" s="16"/>
    </row>
    <row r="15229" spans="1:1" x14ac:dyDescent="0.25">
      <c r="A15229" s="16"/>
    </row>
    <row r="15230" spans="1:1" x14ac:dyDescent="0.25">
      <c r="A15230" s="16"/>
    </row>
    <row r="15231" spans="1:1" x14ac:dyDescent="0.25">
      <c r="A15231" s="16"/>
    </row>
    <row r="15232" spans="1:1" x14ac:dyDescent="0.25">
      <c r="A15232" s="16"/>
    </row>
    <row r="15233" spans="1:1" x14ac:dyDescent="0.25">
      <c r="A15233" s="16"/>
    </row>
    <row r="15234" spans="1:1" x14ac:dyDescent="0.25">
      <c r="A15234" s="16"/>
    </row>
    <row r="15235" spans="1:1" x14ac:dyDescent="0.25">
      <c r="A15235" s="16"/>
    </row>
    <row r="15236" spans="1:1" x14ac:dyDescent="0.25">
      <c r="A15236" s="16"/>
    </row>
    <row r="15237" spans="1:1" x14ac:dyDescent="0.25">
      <c r="A15237" s="16"/>
    </row>
    <row r="15238" spans="1:1" x14ac:dyDescent="0.25">
      <c r="A15238" s="16"/>
    </row>
    <row r="15239" spans="1:1" x14ac:dyDescent="0.25">
      <c r="A15239" s="16"/>
    </row>
    <row r="15240" spans="1:1" x14ac:dyDescent="0.25">
      <c r="A15240" s="16"/>
    </row>
    <row r="15241" spans="1:1" x14ac:dyDescent="0.25">
      <c r="A15241" s="16"/>
    </row>
    <row r="15242" spans="1:1" x14ac:dyDescent="0.25">
      <c r="A15242" s="16"/>
    </row>
    <row r="15243" spans="1:1" x14ac:dyDescent="0.25">
      <c r="A15243" s="16"/>
    </row>
    <row r="15244" spans="1:1" x14ac:dyDescent="0.25">
      <c r="A15244" s="16"/>
    </row>
    <row r="15245" spans="1:1" x14ac:dyDescent="0.25">
      <c r="A15245" s="16"/>
    </row>
    <row r="15246" spans="1:1" x14ac:dyDescent="0.25">
      <c r="A15246" s="16"/>
    </row>
    <row r="15247" spans="1:1" x14ac:dyDescent="0.25">
      <c r="A15247" s="16"/>
    </row>
    <row r="15248" spans="1:1" x14ac:dyDescent="0.25">
      <c r="A15248" s="16"/>
    </row>
    <row r="15249" spans="1:1" x14ac:dyDescent="0.25">
      <c r="A15249" s="16"/>
    </row>
    <row r="15250" spans="1:1" x14ac:dyDescent="0.25">
      <c r="A15250" s="16"/>
    </row>
    <row r="15251" spans="1:1" x14ac:dyDescent="0.25">
      <c r="A15251" s="16"/>
    </row>
    <row r="15252" spans="1:1" x14ac:dyDescent="0.25">
      <c r="A15252" s="16"/>
    </row>
    <row r="15253" spans="1:1" x14ac:dyDescent="0.25">
      <c r="A15253" s="16"/>
    </row>
    <row r="15254" spans="1:1" x14ac:dyDescent="0.25">
      <c r="A15254" s="16"/>
    </row>
    <row r="15255" spans="1:1" x14ac:dyDescent="0.25">
      <c r="A15255" s="16"/>
    </row>
    <row r="15256" spans="1:1" x14ac:dyDescent="0.25">
      <c r="A15256" s="16"/>
    </row>
    <row r="15257" spans="1:1" x14ac:dyDescent="0.25">
      <c r="A15257" s="16"/>
    </row>
    <row r="15258" spans="1:1" x14ac:dyDescent="0.25">
      <c r="A15258" s="16"/>
    </row>
    <row r="15259" spans="1:1" x14ac:dyDescent="0.25">
      <c r="A15259" s="16"/>
    </row>
    <row r="15260" spans="1:1" x14ac:dyDescent="0.25">
      <c r="A15260" s="16"/>
    </row>
    <row r="15261" spans="1:1" x14ac:dyDescent="0.25">
      <c r="A15261" s="16"/>
    </row>
    <row r="15262" spans="1:1" x14ac:dyDescent="0.25">
      <c r="A15262" s="16"/>
    </row>
    <row r="15263" spans="1:1" x14ac:dyDescent="0.25">
      <c r="A15263" s="16"/>
    </row>
    <row r="15264" spans="1:1" x14ac:dyDescent="0.25">
      <c r="A15264" s="16"/>
    </row>
    <row r="15265" spans="1:1" x14ac:dyDescent="0.25">
      <c r="A15265" s="16"/>
    </row>
    <row r="15266" spans="1:1" x14ac:dyDescent="0.25">
      <c r="A15266" s="16"/>
    </row>
    <row r="15267" spans="1:1" x14ac:dyDescent="0.25">
      <c r="A15267" s="16"/>
    </row>
    <row r="15268" spans="1:1" x14ac:dyDescent="0.25">
      <c r="A15268" s="16"/>
    </row>
    <row r="15269" spans="1:1" x14ac:dyDescent="0.25">
      <c r="A15269" s="16"/>
    </row>
    <row r="15270" spans="1:1" x14ac:dyDescent="0.25">
      <c r="A15270" s="16"/>
    </row>
    <row r="15271" spans="1:1" x14ac:dyDescent="0.25">
      <c r="A15271" s="16"/>
    </row>
    <row r="15272" spans="1:1" x14ac:dyDescent="0.25">
      <c r="A15272" s="16"/>
    </row>
    <row r="15273" spans="1:1" x14ac:dyDescent="0.25">
      <c r="A15273" s="16"/>
    </row>
    <row r="15274" spans="1:1" x14ac:dyDescent="0.25">
      <c r="A15274" s="16"/>
    </row>
    <row r="15275" spans="1:1" x14ac:dyDescent="0.25">
      <c r="A15275" s="16"/>
    </row>
    <row r="15276" spans="1:1" x14ac:dyDescent="0.25">
      <c r="A15276" s="16"/>
    </row>
    <row r="15277" spans="1:1" x14ac:dyDescent="0.25">
      <c r="A15277" s="16"/>
    </row>
    <row r="15278" spans="1:1" x14ac:dyDescent="0.25">
      <c r="A15278" s="16"/>
    </row>
    <row r="15279" spans="1:1" x14ac:dyDescent="0.25">
      <c r="A15279" s="16"/>
    </row>
    <row r="15280" spans="1:1" x14ac:dyDescent="0.25">
      <c r="A15280" s="16"/>
    </row>
    <row r="15281" spans="1:1" x14ac:dyDescent="0.25">
      <c r="A15281" s="16"/>
    </row>
    <row r="15282" spans="1:1" x14ac:dyDescent="0.25">
      <c r="A15282" s="16"/>
    </row>
    <row r="15283" spans="1:1" x14ac:dyDescent="0.25">
      <c r="A15283" s="16"/>
    </row>
    <row r="15284" spans="1:1" x14ac:dyDescent="0.25">
      <c r="A15284" s="16"/>
    </row>
    <row r="15285" spans="1:1" x14ac:dyDescent="0.25">
      <c r="A15285" s="16"/>
    </row>
    <row r="15286" spans="1:1" x14ac:dyDescent="0.25">
      <c r="A15286" s="16"/>
    </row>
    <row r="15287" spans="1:1" x14ac:dyDescent="0.25">
      <c r="A15287" s="16"/>
    </row>
    <row r="15288" spans="1:1" x14ac:dyDescent="0.25">
      <c r="A15288" s="16"/>
    </row>
    <row r="15289" spans="1:1" x14ac:dyDescent="0.25">
      <c r="A15289" s="16"/>
    </row>
    <row r="15290" spans="1:1" x14ac:dyDescent="0.25">
      <c r="A15290" s="16"/>
    </row>
    <row r="15291" spans="1:1" x14ac:dyDescent="0.25">
      <c r="A15291" s="16"/>
    </row>
    <row r="15292" spans="1:1" x14ac:dyDescent="0.25">
      <c r="A15292" s="16"/>
    </row>
    <row r="15293" spans="1:1" x14ac:dyDescent="0.25">
      <c r="A15293" s="16"/>
    </row>
    <row r="15294" spans="1:1" x14ac:dyDescent="0.25">
      <c r="A15294" s="16"/>
    </row>
    <row r="15295" spans="1:1" x14ac:dyDescent="0.25">
      <c r="A15295" s="16"/>
    </row>
    <row r="15296" spans="1:1" x14ac:dyDescent="0.25">
      <c r="A15296" s="16"/>
    </row>
    <row r="15297" spans="1:1" x14ac:dyDescent="0.25">
      <c r="A15297" s="16"/>
    </row>
    <row r="15298" spans="1:1" x14ac:dyDescent="0.25">
      <c r="A15298" s="16"/>
    </row>
    <row r="15299" spans="1:1" x14ac:dyDescent="0.25">
      <c r="A15299" s="16"/>
    </row>
    <row r="15300" spans="1:1" x14ac:dyDescent="0.25">
      <c r="A15300" s="16"/>
    </row>
    <row r="15301" spans="1:1" x14ac:dyDescent="0.25">
      <c r="A15301" s="16"/>
    </row>
    <row r="15302" spans="1:1" x14ac:dyDescent="0.25">
      <c r="A15302" s="16"/>
    </row>
    <row r="15303" spans="1:1" x14ac:dyDescent="0.25">
      <c r="A15303" s="16"/>
    </row>
    <row r="15304" spans="1:1" x14ac:dyDescent="0.25">
      <c r="A15304" s="16"/>
    </row>
    <row r="15305" spans="1:1" x14ac:dyDescent="0.25">
      <c r="A15305" s="16"/>
    </row>
    <row r="15306" spans="1:1" x14ac:dyDescent="0.25">
      <c r="A15306" s="16"/>
    </row>
    <row r="15307" spans="1:1" x14ac:dyDescent="0.25">
      <c r="A15307" s="16"/>
    </row>
    <row r="15308" spans="1:1" x14ac:dyDescent="0.25">
      <c r="A15308" s="16"/>
    </row>
    <row r="15309" spans="1:1" x14ac:dyDescent="0.25">
      <c r="A15309" s="16"/>
    </row>
    <row r="15310" spans="1:1" x14ac:dyDescent="0.25">
      <c r="A15310" s="16"/>
    </row>
    <row r="15311" spans="1:1" x14ac:dyDescent="0.25">
      <c r="A15311" s="16"/>
    </row>
    <row r="15312" spans="1:1" x14ac:dyDescent="0.25">
      <c r="A15312" s="16"/>
    </row>
    <row r="15313" spans="1:1" x14ac:dyDescent="0.25">
      <c r="A15313" s="16"/>
    </row>
    <row r="15314" spans="1:1" x14ac:dyDescent="0.25">
      <c r="A15314" s="16"/>
    </row>
    <row r="15315" spans="1:1" x14ac:dyDescent="0.25">
      <c r="A15315" s="16"/>
    </row>
    <row r="15316" spans="1:1" x14ac:dyDescent="0.25">
      <c r="A15316" s="16"/>
    </row>
    <row r="15317" spans="1:1" x14ac:dyDescent="0.25">
      <c r="A15317" s="16"/>
    </row>
    <row r="15318" spans="1:1" x14ac:dyDescent="0.25">
      <c r="A15318" s="16"/>
    </row>
    <row r="15319" spans="1:1" x14ac:dyDescent="0.25">
      <c r="A15319" s="16"/>
    </row>
    <row r="15320" spans="1:1" x14ac:dyDescent="0.25">
      <c r="A15320" s="16"/>
    </row>
    <row r="15321" spans="1:1" x14ac:dyDescent="0.25">
      <c r="A15321" s="16"/>
    </row>
    <row r="15322" spans="1:1" x14ac:dyDescent="0.25">
      <c r="A15322" s="16"/>
    </row>
    <row r="15323" spans="1:1" x14ac:dyDescent="0.25">
      <c r="A15323" s="16"/>
    </row>
    <row r="15324" spans="1:1" x14ac:dyDescent="0.25">
      <c r="A15324" s="16"/>
    </row>
    <row r="15325" spans="1:1" x14ac:dyDescent="0.25">
      <c r="A15325" s="16"/>
    </row>
    <row r="15326" spans="1:1" x14ac:dyDescent="0.25">
      <c r="A15326" s="16"/>
    </row>
    <row r="15327" spans="1:1" x14ac:dyDescent="0.25">
      <c r="A15327" s="16"/>
    </row>
    <row r="15328" spans="1:1" x14ac:dyDescent="0.25">
      <c r="A15328" s="16"/>
    </row>
    <row r="15329" spans="1:1" x14ac:dyDescent="0.25">
      <c r="A15329" s="16"/>
    </row>
    <row r="15330" spans="1:1" x14ac:dyDescent="0.25">
      <c r="A15330" s="16"/>
    </row>
    <row r="15331" spans="1:1" x14ac:dyDescent="0.25">
      <c r="A15331" s="16"/>
    </row>
    <row r="15332" spans="1:1" x14ac:dyDescent="0.25">
      <c r="A15332" s="16"/>
    </row>
    <row r="15333" spans="1:1" x14ac:dyDescent="0.25">
      <c r="A15333" s="16"/>
    </row>
    <row r="15334" spans="1:1" x14ac:dyDescent="0.25">
      <c r="A15334" s="16"/>
    </row>
    <row r="15335" spans="1:1" x14ac:dyDescent="0.25">
      <c r="A15335" s="16"/>
    </row>
    <row r="15336" spans="1:1" x14ac:dyDescent="0.25">
      <c r="A15336" s="16"/>
    </row>
    <row r="15337" spans="1:1" x14ac:dyDescent="0.25">
      <c r="A15337" s="16"/>
    </row>
    <row r="15338" spans="1:1" x14ac:dyDescent="0.25">
      <c r="A15338" s="16"/>
    </row>
    <row r="15339" spans="1:1" x14ac:dyDescent="0.25">
      <c r="A15339" s="16"/>
    </row>
    <row r="15340" spans="1:1" x14ac:dyDescent="0.25">
      <c r="A15340" s="16"/>
    </row>
    <row r="15341" spans="1:1" x14ac:dyDescent="0.25">
      <c r="A15341" s="16"/>
    </row>
    <row r="15342" spans="1:1" x14ac:dyDescent="0.25">
      <c r="A15342" s="16"/>
    </row>
    <row r="15343" spans="1:1" x14ac:dyDescent="0.25">
      <c r="A15343" s="16"/>
    </row>
    <row r="15344" spans="1:1" x14ac:dyDescent="0.25">
      <c r="A15344" s="16"/>
    </row>
    <row r="15345" spans="1:1" x14ac:dyDescent="0.25">
      <c r="A15345" s="16"/>
    </row>
    <row r="15346" spans="1:1" x14ac:dyDescent="0.25">
      <c r="A15346" s="16"/>
    </row>
    <row r="15347" spans="1:1" x14ac:dyDescent="0.25">
      <c r="A15347" s="16"/>
    </row>
    <row r="15348" spans="1:1" x14ac:dyDescent="0.25">
      <c r="A15348" s="16"/>
    </row>
    <row r="15349" spans="1:1" x14ac:dyDescent="0.25">
      <c r="A15349" s="16"/>
    </row>
    <row r="15350" spans="1:1" x14ac:dyDescent="0.25">
      <c r="A15350" s="16"/>
    </row>
    <row r="15351" spans="1:1" x14ac:dyDescent="0.25">
      <c r="A15351" s="16"/>
    </row>
    <row r="15352" spans="1:1" x14ac:dyDescent="0.25">
      <c r="A15352" s="16"/>
    </row>
    <row r="15353" spans="1:1" x14ac:dyDescent="0.25">
      <c r="A15353" s="16"/>
    </row>
    <row r="15354" spans="1:1" x14ac:dyDescent="0.25">
      <c r="A15354" s="16"/>
    </row>
    <row r="15355" spans="1:1" x14ac:dyDescent="0.25">
      <c r="A15355" s="16"/>
    </row>
    <row r="15356" spans="1:1" x14ac:dyDescent="0.25">
      <c r="A15356" s="16"/>
    </row>
    <row r="15357" spans="1:1" x14ac:dyDescent="0.25">
      <c r="A15357" s="16"/>
    </row>
    <row r="15358" spans="1:1" x14ac:dyDescent="0.25">
      <c r="A15358" s="16"/>
    </row>
    <row r="15359" spans="1:1" x14ac:dyDescent="0.25">
      <c r="A15359" s="16"/>
    </row>
    <row r="15360" spans="1:1" x14ac:dyDescent="0.25">
      <c r="A15360" s="16"/>
    </row>
    <row r="15361" spans="1:1" x14ac:dyDescent="0.25">
      <c r="A15361" s="16"/>
    </row>
    <row r="15362" spans="1:1" x14ac:dyDescent="0.25">
      <c r="A15362" s="16"/>
    </row>
    <row r="15363" spans="1:1" x14ac:dyDescent="0.25">
      <c r="A15363" s="16"/>
    </row>
    <row r="15364" spans="1:1" x14ac:dyDescent="0.25">
      <c r="A15364" s="16"/>
    </row>
    <row r="15365" spans="1:1" x14ac:dyDescent="0.25">
      <c r="A15365" s="16"/>
    </row>
    <row r="15366" spans="1:1" x14ac:dyDescent="0.25">
      <c r="A15366" s="16"/>
    </row>
    <row r="15367" spans="1:1" x14ac:dyDescent="0.25">
      <c r="A15367" s="16"/>
    </row>
    <row r="15368" spans="1:1" x14ac:dyDescent="0.25">
      <c r="A15368" s="16"/>
    </row>
    <row r="15369" spans="1:1" x14ac:dyDescent="0.25">
      <c r="A15369" s="16"/>
    </row>
    <row r="15370" spans="1:1" x14ac:dyDescent="0.25">
      <c r="A15370" s="16"/>
    </row>
    <row r="15371" spans="1:1" x14ac:dyDescent="0.25">
      <c r="A15371" s="16"/>
    </row>
    <row r="15372" spans="1:1" x14ac:dyDescent="0.25">
      <c r="A15372" s="16"/>
    </row>
    <row r="15373" spans="1:1" x14ac:dyDescent="0.25">
      <c r="A15373" s="16"/>
    </row>
    <row r="15374" spans="1:1" x14ac:dyDescent="0.25">
      <c r="A15374" s="16"/>
    </row>
    <row r="15375" spans="1:1" x14ac:dyDescent="0.25">
      <c r="A15375" s="16"/>
    </row>
    <row r="15376" spans="1:1" x14ac:dyDescent="0.25">
      <c r="A15376" s="16"/>
    </row>
    <row r="15377" spans="1:1" x14ac:dyDescent="0.25">
      <c r="A15377" s="16"/>
    </row>
    <row r="15378" spans="1:1" x14ac:dyDescent="0.25">
      <c r="A15378" s="16"/>
    </row>
    <row r="15379" spans="1:1" x14ac:dyDescent="0.25">
      <c r="A15379" s="16"/>
    </row>
    <row r="15380" spans="1:1" x14ac:dyDescent="0.25">
      <c r="A15380" s="16"/>
    </row>
    <row r="15381" spans="1:1" x14ac:dyDescent="0.25">
      <c r="A15381" s="16"/>
    </row>
    <row r="15382" spans="1:1" x14ac:dyDescent="0.25">
      <c r="A15382" s="16"/>
    </row>
    <row r="15383" spans="1:1" x14ac:dyDescent="0.25">
      <c r="A15383" s="16"/>
    </row>
    <row r="15384" spans="1:1" x14ac:dyDescent="0.25">
      <c r="A15384" s="16"/>
    </row>
    <row r="15385" spans="1:1" x14ac:dyDescent="0.25">
      <c r="A15385" s="16"/>
    </row>
    <row r="15386" spans="1:1" x14ac:dyDescent="0.25">
      <c r="A15386" s="16"/>
    </row>
    <row r="15387" spans="1:1" x14ac:dyDescent="0.25">
      <c r="A15387" s="16"/>
    </row>
    <row r="15388" spans="1:1" x14ac:dyDescent="0.25">
      <c r="A15388" s="16"/>
    </row>
    <row r="15389" spans="1:1" x14ac:dyDescent="0.25">
      <c r="A15389" s="16"/>
    </row>
    <row r="15390" spans="1:1" x14ac:dyDescent="0.25">
      <c r="A15390" s="16"/>
    </row>
    <row r="15391" spans="1:1" x14ac:dyDescent="0.25">
      <c r="A15391" s="16"/>
    </row>
    <row r="15392" spans="1:1" x14ac:dyDescent="0.25">
      <c r="A15392" s="16"/>
    </row>
    <row r="15393" spans="1:1" x14ac:dyDescent="0.25">
      <c r="A15393" s="16"/>
    </row>
    <row r="15394" spans="1:1" x14ac:dyDescent="0.25">
      <c r="A15394" s="16"/>
    </row>
    <row r="15395" spans="1:1" x14ac:dyDescent="0.25">
      <c r="A15395" s="16"/>
    </row>
    <row r="15396" spans="1:1" x14ac:dyDescent="0.25">
      <c r="A15396" s="16"/>
    </row>
    <row r="15397" spans="1:1" x14ac:dyDescent="0.25">
      <c r="A15397" s="16"/>
    </row>
    <row r="15398" spans="1:1" x14ac:dyDescent="0.25">
      <c r="A15398" s="16"/>
    </row>
    <row r="15399" spans="1:1" x14ac:dyDescent="0.25">
      <c r="A15399" s="16"/>
    </row>
    <row r="15400" spans="1:1" x14ac:dyDescent="0.25">
      <c r="A15400" s="16"/>
    </row>
    <row r="15401" spans="1:1" x14ac:dyDescent="0.25">
      <c r="A15401" s="16"/>
    </row>
    <row r="15402" spans="1:1" x14ac:dyDescent="0.25">
      <c r="A15402" s="16"/>
    </row>
    <row r="15403" spans="1:1" x14ac:dyDescent="0.25">
      <c r="A15403" s="16"/>
    </row>
    <row r="15404" spans="1:1" x14ac:dyDescent="0.25">
      <c r="A15404" s="16"/>
    </row>
    <row r="15405" spans="1:1" x14ac:dyDescent="0.25">
      <c r="A15405" s="16"/>
    </row>
    <row r="15406" spans="1:1" x14ac:dyDescent="0.25">
      <c r="A15406" s="16"/>
    </row>
    <row r="15407" spans="1:1" x14ac:dyDescent="0.25">
      <c r="A15407" s="16"/>
    </row>
    <row r="15408" spans="1:1" x14ac:dyDescent="0.25">
      <c r="A15408" s="16"/>
    </row>
    <row r="15409" spans="1:1" x14ac:dyDescent="0.25">
      <c r="A15409" s="16"/>
    </row>
    <row r="15410" spans="1:1" x14ac:dyDescent="0.25">
      <c r="A15410" s="16"/>
    </row>
    <row r="15411" spans="1:1" x14ac:dyDescent="0.25">
      <c r="A15411" s="16"/>
    </row>
    <row r="15412" spans="1:1" x14ac:dyDescent="0.25">
      <c r="A15412" s="16"/>
    </row>
    <row r="15413" spans="1:1" x14ac:dyDescent="0.25">
      <c r="A15413" s="16"/>
    </row>
    <row r="15414" spans="1:1" x14ac:dyDescent="0.25">
      <c r="A15414" s="16"/>
    </row>
    <row r="15415" spans="1:1" x14ac:dyDescent="0.25">
      <c r="A15415" s="16"/>
    </row>
    <row r="15416" spans="1:1" x14ac:dyDescent="0.25">
      <c r="A15416" s="16"/>
    </row>
    <row r="15417" spans="1:1" x14ac:dyDescent="0.25">
      <c r="A15417" s="16"/>
    </row>
    <row r="15418" spans="1:1" x14ac:dyDescent="0.25">
      <c r="A15418" s="16"/>
    </row>
    <row r="15419" spans="1:1" x14ac:dyDescent="0.25">
      <c r="A15419" s="16"/>
    </row>
    <row r="15420" spans="1:1" x14ac:dyDescent="0.25">
      <c r="A15420" s="16"/>
    </row>
    <row r="15421" spans="1:1" x14ac:dyDescent="0.25">
      <c r="A15421" s="16"/>
    </row>
    <row r="15422" spans="1:1" x14ac:dyDescent="0.25">
      <c r="A15422" s="16"/>
    </row>
    <row r="15423" spans="1:1" x14ac:dyDescent="0.25">
      <c r="A15423" s="16"/>
    </row>
    <row r="15424" spans="1:1" x14ac:dyDescent="0.25">
      <c r="A15424" s="16"/>
    </row>
    <row r="15425" spans="1:1" x14ac:dyDescent="0.25">
      <c r="A15425" s="16"/>
    </row>
    <row r="15426" spans="1:1" x14ac:dyDescent="0.25">
      <c r="A15426" s="16"/>
    </row>
    <row r="15427" spans="1:1" x14ac:dyDescent="0.25">
      <c r="A15427" s="16"/>
    </row>
    <row r="15428" spans="1:1" x14ac:dyDescent="0.25">
      <c r="A15428" s="16"/>
    </row>
    <row r="15429" spans="1:1" x14ac:dyDescent="0.25">
      <c r="A15429" s="16"/>
    </row>
    <row r="15430" spans="1:1" x14ac:dyDescent="0.25">
      <c r="A15430" s="16"/>
    </row>
    <row r="15431" spans="1:1" x14ac:dyDescent="0.25">
      <c r="A15431" s="16"/>
    </row>
    <row r="15432" spans="1:1" x14ac:dyDescent="0.25">
      <c r="A15432" s="16"/>
    </row>
    <row r="15433" spans="1:1" x14ac:dyDescent="0.25">
      <c r="A15433" s="16"/>
    </row>
    <row r="15434" spans="1:1" x14ac:dyDescent="0.25">
      <c r="A15434" s="16"/>
    </row>
    <row r="15435" spans="1:1" x14ac:dyDescent="0.25">
      <c r="A15435" s="16"/>
    </row>
    <row r="15436" spans="1:1" x14ac:dyDescent="0.25">
      <c r="A15436" s="16"/>
    </row>
    <row r="15437" spans="1:1" x14ac:dyDescent="0.25">
      <c r="A15437" s="16"/>
    </row>
    <row r="15438" spans="1:1" x14ac:dyDescent="0.25">
      <c r="A15438" s="16"/>
    </row>
    <row r="15439" spans="1:1" x14ac:dyDescent="0.25">
      <c r="A15439" s="16"/>
    </row>
    <row r="15440" spans="1:1" x14ac:dyDescent="0.25">
      <c r="A15440" s="16"/>
    </row>
    <row r="15441" spans="1:1" x14ac:dyDescent="0.25">
      <c r="A15441" s="16"/>
    </row>
    <row r="15442" spans="1:1" x14ac:dyDescent="0.25">
      <c r="A15442" s="16"/>
    </row>
    <row r="15443" spans="1:1" x14ac:dyDescent="0.25">
      <c r="A15443" s="16"/>
    </row>
    <row r="15444" spans="1:1" x14ac:dyDescent="0.25">
      <c r="A15444" s="16"/>
    </row>
    <row r="15445" spans="1:1" x14ac:dyDescent="0.25">
      <c r="A15445" s="16"/>
    </row>
    <row r="15446" spans="1:1" x14ac:dyDescent="0.25">
      <c r="A15446" s="16"/>
    </row>
    <row r="15447" spans="1:1" x14ac:dyDescent="0.25">
      <c r="A15447" s="16"/>
    </row>
    <row r="15448" spans="1:1" x14ac:dyDescent="0.25">
      <c r="A15448" s="16"/>
    </row>
    <row r="15449" spans="1:1" x14ac:dyDescent="0.25">
      <c r="A15449" s="16"/>
    </row>
    <row r="15450" spans="1:1" x14ac:dyDescent="0.25">
      <c r="A15450" s="16"/>
    </row>
    <row r="15451" spans="1:1" x14ac:dyDescent="0.25">
      <c r="A15451" s="16"/>
    </row>
    <row r="15452" spans="1:1" x14ac:dyDescent="0.25">
      <c r="A15452" s="16"/>
    </row>
    <row r="15453" spans="1:1" x14ac:dyDescent="0.25">
      <c r="A15453" s="16"/>
    </row>
    <row r="15454" spans="1:1" x14ac:dyDescent="0.25">
      <c r="A15454" s="16"/>
    </row>
    <row r="15455" spans="1:1" x14ac:dyDescent="0.25">
      <c r="A15455" s="16"/>
    </row>
    <row r="15456" spans="1:1" x14ac:dyDescent="0.25">
      <c r="A15456" s="16"/>
    </row>
    <row r="15457" spans="1:1" x14ac:dyDescent="0.25">
      <c r="A15457" s="16"/>
    </row>
    <row r="15458" spans="1:1" x14ac:dyDescent="0.25">
      <c r="A15458" s="16"/>
    </row>
    <row r="15459" spans="1:1" x14ac:dyDescent="0.25">
      <c r="A15459" s="16"/>
    </row>
    <row r="15460" spans="1:1" x14ac:dyDescent="0.25">
      <c r="A15460" s="16"/>
    </row>
    <row r="15461" spans="1:1" x14ac:dyDescent="0.25">
      <c r="A15461" s="16"/>
    </row>
    <row r="15462" spans="1:1" x14ac:dyDescent="0.25">
      <c r="A15462" s="16"/>
    </row>
    <row r="15463" spans="1:1" x14ac:dyDescent="0.25">
      <c r="A15463" s="16"/>
    </row>
    <row r="15464" spans="1:1" x14ac:dyDescent="0.25">
      <c r="A15464" s="16"/>
    </row>
    <row r="15465" spans="1:1" x14ac:dyDescent="0.25">
      <c r="A15465" s="16"/>
    </row>
    <row r="15466" spans="1:1" x14ac:dyDescent="0.25">
      <c r="A15466" s="16"/>
    </row>
    <row r="15467" spans="1:1" x14ac:dyDescent="0.25">
      <c r="A15467" s="16"/>
    </row>
    <row r="15468" spans="1:1" x14ac:dyDescent="0.25">
      <c r="A15468" s="16"/>
    </row>
    <row r="15469" spans="1:1" x14ac:dyDescent="0.25">
      <c r="A15469" s="16"/>
    </row>
    <row r="15470" spans="1:1" x14ac:dyDescent="0.25">
      <c r="A15470" s="16"/>
    </row>
    <row r="15471" spans="1:1" x14ac:dyDescent="0.25">
      <c r="A15471" s="16"/>
    </row>
    <row r="15472" spans="1:1" x14ac:dyDescent="0.25">
      <c r="A15472" s="16"/>
    </row>
    <row r="15473" spans="1:1" x14ac:dyDescent="0.25">
      <c r="A15473" s="16"/>
    </row>
    <row r="15474" spans="1:1" x14ac:dyDescent="0.25">
      <c r="A15474" s="16"/>
    </row>
    <row r="15475" spans="1:1" x14ac:dyDescent="0.25">
      <c r="A15475" s="16"/>
    </row>
    <row r="15476" spans="1:1" x14ac:dyDescent="0.25">
      <c r="A15476" s="16"/>
    </row>
    <row r="15477" spans="1:1" x14ac:dyDescent="0.25">
      <c r="A15477" s="16"/>
    </row>
    <row r="15478" spans="1:1" x14ac:dyDescent="0.25">
      <c r="A15478" s="16"/>
    </row>
    <row r="15479" spans="1:1" x14ac:dyDescent="0.25">
      <c r="A15479" s="16"/>
    </row>
    <row r="15480" spans="1:1" x14ac:dyDescent="0.25">
      <c r="A15480" s="16"/>
    </row>
    <row r="15481" spans="1:1" x14ac:dyDescent="0.25">
      <c r="A15481" s="16"/>
    </row>
    <row r="15482" spans="1:1" x14ac:dyDescent="0.25">
      <c r="A15482" s="16"/>
    </row>
    <row r="15483" spans="1:1" x14ac:dyDescent="0.25">
      <c r="A15483" s="16"/>
    </row>
    <row r="15484" spans="1:1" x14ac:dyDescent="0.25">
      <c r="A15484" s="16"/>
    </row>
    <row r="15485" spans="1:1" x14ac:dyDescent="0.25">
      <c r="A15485" s="16"/>
    </row>
    <row r="15486" spans="1:1" x14ac:dyDescent="0.25">
      <c r="A15486" s="16"/>
    </row>
    <row r="15487" spans="1:1" x14ac:dyDescent="0.25">
      <c r="A15487" s="16"/>
    </row>
    <row r="15488" spans="1:1" x14ac:dyDescent="0.25">
      <c r="A15488" s="16"/>
    </row>
    <row r="15489" spans="1:1" x14ac:dyDescent="0.25">
      <c r="A15489" s="16"/>
    </row>
    <row r="15490" spans="1:1" x14ac:dyDescent="0.25">
      <c r="A15490" s="16"/>
    </row>
    <row r="15491" spans="1:1" x14ac:dyDescent="0.25">
      <c r="A15491" s="16"/>
    </row>
    <row r="15492" spans="1:1" x14ac:dyDescent="0.25">
      <c r="A15492" s="16"/>
    </row>
    <row r="15493" spans="1:1" x14ac:dyDescent="0.25">
      <c r="A15493" s="16"/>
    </row>
    <row r="15494" spans="1:1" x14ac:dyDescent="0.25">
      <c r="A15494" s="16"/>
    </row>
    <row r="15495" spans="1:1" x14ac:dyDescent="0.25">
      <c r="A15495" s="16"/>
    </row>
    <row r="15496" spans="1:1" x14ac:dyDescent="0.25">
      <c r="A15496" s="16"/>
    </row>
    <row r="15497" spans="1:1" x14ac:dyDescent="0.25">
      <c r="A15497" s="16"/>
    </row>
    <row r="15498" spans="1:1" x14ac:dyDescent="0.25">
      <c r="A15498" s="16"/>
    </row>
    <row r="15499" spans="1:1" x14ac:dyDescent="0.25">
      <c r="A15499" s="16"/>
    </row>
    <row r="15500" spans="1:1" x14ac:dyDescent="0.25">
      <c r="A15500" s="16"/>
    </row>
    <row r="15501" spans="1:1" x14ac:dyDescent="0.25">
      <c r="A15501" s="16"/>
    </row>
    <row r="15502" spans="1:1" x14ac:dyDescent="0.25">
      <c r="A15502" s="16"/>
    </row>
    <row r="15503" spans="1:1" x14ac:dyDescent="0.25">
      <c r="A15503" s="16"/>
    </row>
    <row r="15504" spans="1:1" x14ac:dyDescent="0.25">
      <c r="A15504" s="16"/>
    </row>
    <row r="15505" spans="1:1" x14ac:dyDescent="0.25">
      <c r="A15505" s="16"/>
    </row>
    <row r="15506" spans="1:1" x14ac:dyDescent="0.25">
      <c r="A15506" s="16"/>
    </row>
    <row r="15507" spans="1:1" x14ac:dyDescent="0.25">
      <c r="A15507" s="16"/>
    </row>
    <row r="15508" spans="1:1" x14ac:dyDescent="0.25">
      <c r="A15508" s="16"/>
    </row>
    <row r="15509" spans="1:1" x14ac:dyDescent="0.25">
      <c r="A15509" s="16"/>
    </row>
    <row r="15510" spans="1:1" x14ac:dyDescent="0.25">
      <c r="A15510" s="16"/>
    </row>
    <row r="15511" spans="1:1" x14ac:dyDescent="0.25">
      <c r="A15511" s="16"/>
    </row>
    <row r="15512" spans="1:1" x14ac:dyDescent="0.25">
      <c r="A15512" s="16"/>
    </row>
    <row r="15513" spans="1:1" x14ac:dyDescent="0.25">
      <c r="A15513" s="16"/>
    </row>
    <row r="15514" spans="1:1" x14ac:dyDescent="0.25">
      <c r="A15514" s="16"/>
    </row>
    <row r="15515" spans="1:1" x14ac:dyDescent="0.25">
      <c r="A15515" s="16"/>
    </row>
    <row r="15516" spans="1:1" x14ac:dyDescent="0.25">
      <c r="A15516" s="16"/>
    </row>
    <row r="15517" spans="1:1" x14ac:dyDescent="0.25">
      <c r="A15517" s="16"/>
    </row>
    <row r="15518" spans="1:1" x14ac:dyDescent="0.25">
      <c r="A15518" s="16"/>
    </row>
    <row r="15519" spans="1:1" x14ac:dyDescent="0.25">
      <c r="A15519" s="16"/>
    </row>
    <row r="15520" spans="1:1" x14ac:dyDescent="0.25">
      <c r="A15520" s="16"/>
    </row>
    <row r="15521" spans="1:1" x14ac:dyDescent="0.25">
      <c r="A15521" s="16"/>
    </row>
    <row r="15522" spans="1:1" x14ac:dyDescent="0.25">
      <c r="A15522" s="16"/>
    </row>
    <row r="15523" spans="1:1" x14ac:dyDescent="0.25">
      <c r="A15523" s="16"/>
    </row>
    <row r="15524" spans="1:1" x14ac:dyDescent="0.25">
      <c r="A15524" s="16"/>
    </row>
    <row r="15525" spans="1:1" x14ac:dyDescent="0.25">
      <c r="A15525" s="16"/>
    </row>
    <row r="15526" spans="1:1" x14ac:dyDescent="0.25">
      <c r="A15526" s="16"/>
    </row>
    <row r="15527" spans="1:1" x14ac:dyDescent="0.25">
      <c r="A15527" s="16"/>
    </row>
    <row r="15528" spans="1:1" x14ac:dyDescent="0.25">
      <c r="A15528" s="16"/>
    </row>
    <row r="15529" spans="1:1" x14ac:dyDescent="0.25">
      <c r="A15529" s="16"/>
    </row>
    <row r="15530" spans="1:1" x14ac:dyDescent="0.25">
      <c r="A15530" s="16"/>
    </row>
    <row r="15531" spans="1:1" x14ac:dyDescent="0.25">
      <c r="A15531" s="16"/>
    </row>
    <row r="15532" spans="1:1" x14ac:dyDescent="0.25">
      <c r="A15532" s="16"/>
    </row>
    <row r="15533" spans="1:1" x14ac:dyDescent="0.25">
      <c r="A15533" s="16"/>
    </row>
    <row r="15534" spans="1:1" x14ac:dyDescent="0.25">
      <c r="A15534" s="16"/>
    </row>
    <row r="15535" spans="1:1" x14ac:dyDescent="0.25">
      <c r="A15535" s="16"/>
    </row>
    <row r="15536" spans="1:1" x14ac:dyDescent="0.25">
      <c r="A15536" s="16"/>
    </row>
    <row r="15537" spans="1:1" x14ac:dyDescent="0.25">
      <c r="A15537" s="16"/>
    </row>
    <row r="15538" spans="1:1" x14ac:dyDescent="0.25">
      <c r="A15538" s="16"/>
    </row>
    <row r="15539" spans="1:1" x14ac:dyDescent="0.25">
      <c r="A15539" s="16"/>
    </row>
    <row r="15540" spans="1:1" x14ac:dyDescent="0.25">
      <c r="A15540" s="16"/>
    </row>
    <row r="15541" spans="1:1" x14ac:dyDescent="0.25">
      <c r="A15541" s="16"/>
    </row>
    <row r="15542" spans="1:1" x14ac:dyDescent="0.25">
      <c r="A15542" s="16"/>
    </row>
    <row r="15543" spans="1:1" x14ac:dyDescent="0.25">
      <c r="A15543" s="16"/>
    </row>
    <row r="15544" spans="1:1" x14ac:dyDescent="0.25">
      <c r="A15544" s="16"/>
    </row>
    <row r="15545" spans="1:1" x14ac:dyDescent="0.25">
      <c r="A15545" s="16"/>
    </row>
    <row r="15546" spans="1:1" x14ac:dyDescent="0.25">
      <c r="A15546" s="16"/>
    </row>
    <row r="15547" spans="1:1" x14ac:dyDescent="0.25">
      <c r="A15547" s="16"/>
    </row>
    <row r="15548" spans="1:1" x14ac:dyDescent="0.25">
      <c r="A15548" s="16"/>
    </row>
    <row r="15549" spans="1:1" x14ac:dyDescent="0.25">
      <c r="A15549" s="16"/>
    </row>
    <row r="15550" spans="1:1" x14ac:dyDescent="0.25">
      <c r="A15550" s="16"/>
    </row>
    <row r="15551" spans="1:1" x14ac:dyDescent="0.25">
      <c r="A15551" s="16"/>
    </row>
    <row r="15552" spans="1:1" x14ac:dyDescent="0.25">
      <c r="A15552" s="16"/>
    </row>
    <row r="15553" spans="1:1" x14ac:dyDescent="0.25">
      <c r="A15553" s="16"/>
    </row>
    <row r="15554" spans="1:1" x14ac:dyDescent="0.25">
      <c r="A15554" s="16"/>
    </row>
    <row r="15555" spans="1:1" x14ac:dyDescent="0.25">
      <c r="A15555" s="16"/>
    </row>
    <row r="15556" spans="1:1" x14ac:dyDescent="0.25">
      <c r="A15556" s="16"/>
    </row>
    <row r="15557" spans="1:1" x14ac:dyDescent="0.25">
      <c r="A15557" s="16"/>
    </row>
    <row r="15558" spans="1:1" x14ac:dyDescent="0.25">
      <c r="A15558" s="16"/>
    </row>
    <row r="15559" spans="1:1" x14ac:dyDescent="0.25">
      <c r="A15559" s="16"/>
    </row>
    <row r="15560" spans="1:1" x14ac:dyDescent="0.25">
      <c r="A15560" s="16"/>
    </row>
    <row r="15561" spans="1:1" x14ac:dyDescent="0.25">
      <c r="A15561" s="16"/>
    </row>
    <row r="15562" spans="1:1" x14ac:dyDescent="0.25">
      <c r="A15562" s="16"/>
    </row>
    <row r="15563" spans="1:1" x14ac:dyDescent="0.25">
      <c r="A15563" s="16"/>
    </row>
    <row r="15564" spans="1:1" x14ac:dyDescent="0.25">
      <c r="A15564" s="16"/>
    </row>
    <row r="15565" spans="1:1" x14ac:dyDescent="0.25">
      <c r="A15565" s="16"/>
    </row>
    <row r="15566" spans="1:1" x14ac:dyDescent="0.25">
      <c r="A15566" s="16"/>
    </row>
    <row r="15567" spans="1:1" x14ac:dyDescent="0.25">
      <c r="A15567" s="16"/>
    </row>
    <row r="15568" spans="1:1" x14ac:dyDescent="0.25">
      <c r="A15568" s="16"/>
    </row>
    <row r="15569" spans="1:1" x14ac:dyDescent="0.25">
      <c r="A15569" s="16"/>
    </row>
    <row r="15570" spans="1:1" x14ac:dyDescent="0.25">
      <c r="A15570" s="16"/>
    </row>
    <row r="15571" spans="1:1" x14ac:dyDescent="0.25">
      <c r="A15571" s="16"/>
    </row>
    <row r="15572" spans="1:1" x14ac:dyDescent="0.25">
      <c r="A15572" s="16"/>
    </row>
    <row r="15573" spans="1:1" x14ac:dyDescent="0.25">
      <c r="A15573" s="16"/>
    </row>
    <row r="15574" spans="1:1" x14ac:dyDescent="0.25">
      <c r="A15574" s="16"/>
    </row>
    <row r="15575" spans="1:1" x14ac:dyDescent="0.25">
      <c r="A15575" s="16"/>
    </row>
    <row r="15576" spans="1:1" x14ac:dyDescent="0.25">
      <c r="A15576" s="16"/>
    </row>
    <row r="15577" spans="1:1" x14ac:dyDescent="0.25">
      <c r="A15577" s="16"/>
    </row>
    <row r="15578" spans="1:1" x14ac:dyDescent="0.25">
      <c r="A15578" s="16"/>
    </row>
    <row r="15579" spans="1:1" x14ac:dyDescent="0.25">
      <c r="A15579" s="16"/>
    </row>
    <row r="15580" spans="1:1" x14ac:dyDescent="0.25">
      <c r="A15580" s="16"/>
    </row>
    <row r="15581" spans="1:1" x14ac:dyDescent="0.25">
      <c r="A15581" s="16"/>
    </row>
    <row r="15582" spans="1:1" x14ac:dyDescent="0.25">
      <c r="A15582" s="16"/>
    </row>
    <row r="15583" spans="1:1" x14ac:dyDescent="0.25">
      <c r="A15583" s="16"/>
    </row>
    <row r="15584" spans="1:1" x14ac:dyDescent="0.25">
      <c r="A15584" s="16"/>
    </row>
    <row r="15585" spans="1:1" x14ac:dyDescent="0.25">
      <c r="A15585" s="16"/>
    </row>
    <row r="15586" spans="1:1" x14ac:dyDescent="0.25">
      <c r="A15586" s="16"/>
    </row>
    <row r="15587" spans="1:1" x14ac:dyDescent="0.25">
      <c r="A15587" s="16"/>
    </row>
    <row r="15588" spans="1:1" x14ac:dyDescent="0.25">
      <c r="A15588" s="16"/>
    </row>
    <row r="15589" spans="1:1" x14ac:dyDescent="0.25">
      <c r="A15589" s="16"/>
    </row>
    <row r="15590" spans="1:1" x14ac:dyDescent="0.25">
      <c r="A15590" s="16"/>
    </row>
    <row r="15591" spans="1:1" x14ac:dyDescent="0.25">
      <c r="A15591" s="16"/>
    </row>
    <row r="15592" spans="1:1" x14ac:dyDescent="0.25">
      <c r="A15592" s="16"/>
    </row>
    <row r="15593" spans="1:1" x14ac:dyDescent="0.25">
      <c r="A15593" s="16"/>
    </row>
    <row r="15594" spans="1:1" x14ac:dyDescent="0.25">
      <c r="A15594" s="16"/>
    </row>
    <row r="15595" spans="1:1" x14ac:dyDescent="0.25">
      <c r="A15595" s="16"/>
    </row>
    <row r="15596" spans="1:1" x14ac:dyDescent="0.25">
      <c r="A15596" s="16"/>
    </row>
    <row r="15597" spans="1:1" x14ac:dyDescent="0.25">
      <c r="A15597" s="16"/>
    </row>
    <row r="15598" spans="1:1" x14ac:dyDescent="0.25">
      <c r="A15598" s="16"/>
    </row>
    <row r="15599" spans="1:1" x14ac:dyDescent="0.25">
      <c r="A15599" s="16"/>
    </row>
    <row r="15600" spans="1:1" x14ac:dyDescent="0.25">
      <c r="A15600" s="16"/>
    </row>
    <row r="15601" spans="1:1" x14ac:dyDescent="0.25">
      <c r="A15601" s="16"/>
    </row>
    <row r="15602" spans="1:1" x14ac:dyDescent="0.25">
      <c r="A15602" s="16"/>
    </row>
    <row r="15603" spans="1:1" x14ac:dyDescent="0.25">
      <c r="A15603" s="16"/>
    </row>
    <row r="15604" spans="1:1" x14ac:dyDescent="0.25">
      <c r="A15604" s="16"/>
    </row>
    <row r="15605" spans="1:1" x14ac:dyDescent="0.25">
      <c r="A15605" s="16"/>
    </row>
    <row r="15606" spans="1:1" x14ac:dyDescent="0.25">
      <c r="A15606" s="16"/>
    </row>
    <row r="15607" spans="1:1" x14ac:dyDescent="0.25">
      <c r="A15607" s="16"/>
    </row>
    <row r="15608" spans="1:1" x14ac:dyDescent="0.25">
      <c r="A15608" s="16"/>
    </row>
    <row r="15609" spans="1:1" x14ac:dyDescent="0.25">
      <c r="A15609" s="16"/>
    </row>
    <row r="15610" spans="1:1" x14ac:dyDescent="0.25">
      <c r="A15610" s="16"/>
    </row>
    <row r="15611" spans="1:1" x14ac:dyDescent="0.25">
      <c r="A15611" s="16"/>
    </row>
    <row r="15612" spans="1:1" x14ac:dyDescent="0.25">
      <c r="A15612" s="16"/>
    </row>
    <row r="15613" spans="1:1" x14ac:dyDescent="0.25">
      <c r="A15613" s="16"/>
    </row>
    <row r="15614" spans="1:1" x14ac:dyDescent="0.25">
      <c r="A15614" s="16"/>
    </row>
    <row r="15615" spans="1:1" x14ac:dyDescent="0.25">
      <c r="A15615" s="16"/>
    </row>
    <row r="15616" spans="1:1" x14ac:dyDescent="0.25">
      <c r="A15616" s="16"/>
    </row>
    <row r="15617" spans="1:1" x14ac:dyDescent="0.25">
      <c r="A15617" s="16"/>
    </row>
    <row r="15618" spans="1:1" x14ac:dyDescent="0.25">
      <c r="A15618" s="16"/>
    </row>
    <row r="15619" spans="1:1" x14ac:dyDescent="0.25">
      <c r="A15619" s="16"/>
    </row>
    <row r="15620" spans="1:1" x14ac:dyDescent="0.25">
      <c r="A15620" s="16"/>
    </row>
    <row r="15621" spans="1:1" x14ac:dyDescent="0.25">
      <c r="A15621" s="16"/>
    </row>
    <row r="15622" spans="1:1" x14ac:dyDescent="0.25">
      <c r="A15622" s="16"/>
    </row>
    <row r="15623" spans="1:1" x14ac:dyDescent="0.25">
      <c r="A15623" s="16"/>
    </row>
    <row r="15624" spans="1:1" x14ac:dyDescent="0.25">
      <c r="A15624" s="16"/>
    </row>
    <row r="15625" spans="1:1" x14ac:dyDescent="0.25">
      <c r="A15625" s="16"/>
    </row>
    <row r="15626" spans="1:1" x14ac:dyDescent="0.25">
      <c r="A15626" s="16"/>
    </row>
    <row r="15627" spans="1:1" x14ac:dyDescent="0.25">
      <c r="A15627" s="16"/>
    </row>
    <row r="15628" spans="1:1" x14ac:dyDescent="0.25">
      <c r="A15628" s="16"/>
    </row>
    <row r="15629" spans="1:1" x14ac:dyDescent="0.25">
      <c r="A15629" s="16"/>
    </row>
    <row r="15630" spans="1:1" x14ac:dyDescent="0.25">
      <c r="A15630" s="16"/>
    </row>
    <row r="15631" spans="1:1" x14ac:dyDescent="0.25">
      <c r="A15631" s="16"/>
    </row>
    <row r="15632" spans="1:1" x14ac:dyDescent="0.25">
      <c r="A15632" s="16"/>
    </row>
    <row r="15633" spans="1:1" x14ac:dyDescent="0.25">
      <c r="A15633" s="16"/>
    </row>
    <row r="15634" spans="1:1" x14ac:dyDescent="0.25">
      <c r="A15634" s="16"/>
    </row>
    <row r="15635" spans="1:1" x14ac:dyDescent="0.25">
      <c r="A15635" s="16"/>
    </row>
    <row r="15636" spans="1:1" x14ac:dyDescent="0.25">
      <c r="A15636" s="16"/>
    </row>
    <row r="15637" spans="1:1" x14ac:dyDescent="0.25">
      <c r="A15637" s="16"/>
    </row>
    <row r="15638" spans="1:1" x14ac:dyDescent="0.25">
      <c r="A15638" s="16"/>
    </row>
    <row r="15639" spans="1:1" x14ac:dyDescent="0.25">
      <c r="A15639" s="16"/>
    </row>
    <row r="15640" spans="1:1" x14ac:dyDescent="0.25">
      <c r="A15640" s="16"/>
    </row>
    <row r="15641" spans="1:1" x14ac:dyDescent="0.25">
      <c r="A15641" s="16"/>
    </row>
    <row r="15642" spans="1:1" x14ac:dyDescent="0.25">
      <c r="A15642" s="16"/>
    </row>
    <row r="15643" spans="1:1" x14ac:dyDescent="0.25">
      <c r="A15643" s="16"/>
    </row>
    <row r="15644" spans="1:1" x14ac:dyDescent="0.25">
      <c r="A15644" s="16"/>
    </row>
    <row r="15645" spans="1:1" x14ac:dyDescent="0.25">
      <c r="A15645" s="16"/>
    </row>
    <row r="15646" spans="1:1" x14ac:dyDescent="0.25">
      <c r="A15646" s="16"/>
    </row>
    <row r="15647" spans="1:1" x14ac:dyDescent="0.25">
      <c r="A15647" s="16"/>
    </row>
    <row r="15648" spans="1:1" x14ac:dyDescent="0.25">
      <c r="A15648" s="16"/>
    </row>
    <row r="15649" spans="1:1" x14ac:dyDescent="0.25">
      <c r="A15649" s="16"/>
    </row>
    <row r="15650" spans="1:1" x14ac:dyDescent="0.25">
      <c r="A15650" s="16"/>
    </row>
    <row r="15651" spans="1:1" x14ac:dyDescent="0.25">
      <c r="A15651" s="16"/>
    </row>
    <row r="15652" spans="1:1" x14ac:dyDescent="0.25">
      <c r="A15652" s="16"/>
    </row>
    <row r="15653" spans="1:1" x14ac:dyDescent="0.25">
      <c r="A15653" s="16"/>
    </row>
    <row r="15654" spans="1:1" x14ac:dyDescent="0.25">
      <c r="A15654" s="16"/>
    </row>
    <row r="15655" spans="1:1" x14ac:dyDescent="0.25">
      <c r="A15655" s="16"/>
    </row>
    <row r="15656" spans="1:1" x14ac:dyDescent="0.25">
      <c r="A15656" s="16"/>
    </row>
    <row r="15657" spans="1:1" x14ac:dyDescent="0.25">
      <c r="A15657" s="16"/>
    </row>
    <row r="15658" spans="1:1" x14ac:dyDescent="0.25">
      <c r="A15658" s="16"/>
    </row>
    <row r="15659" spans="1:1" x14ac:dyDescent="0.25">
      <c r="A15659" s="16"/>
    </row>
    <row r="15660" spans="1:1" x14ac:dyDescent="0.25">
      <c r="A15660" s="16"/>
    </row>
    <row r="15661" spans="1:1" x14ac:dyDescent="0.25">
      <c r="A15661" s="16"/>
    </row>
    <row r="15662" spans="1:1" x14ac:dyDescent="0.25">
      <c r="A15662" s="16"/>
    </row>
    <row r="15663" spans="1:1" x14ac:dyDescent="0.25">
      <c r="A15663" s="16"/>
    </row>
    <row r="15664" spans="1:1" x14ac:dyDescent="0.25">
      <c r="A15664" s="16"/>
    </row>
    <row r="15665" spans="1:1" x14ac:dyDescent="0.25">
      <c r="A15665" s="16"/>
    </row>
    <row r="15666" spans="1:1" x14ac:dyDescent="0.25">
      <c r="A15666" s="16"/>
    </row>
    <row r="15667" spans="1:1" x14ac:dyDescent="0.25">
      <c r="A15667" s="16"/>
    </row>
    <row r="15668" spans="1:1" x14ac:dyDescent="0.25">
      <c r="A15668" s="16"/>
    </row>
    <row r="15669" spans="1:1" x14ac:dyDescent="0.25">
      <c r="A15669" s="16"/>
    </row>
    <row r="15670" spans="1:1" x14ac:dyDescent="0.25">
      <c r="A15670" s="16"/>
    </row>
    <row r="15671" spans="1:1" x14ac:dyDescent="0.25">
      <c r="A15671" s="16"/>
    </row>
    <row r="15672" spans="1:1" x14ac:dyDescent="0.25">
      <c r="A15672" s="16"/>
    </row>
    <row r="15673" spans="1:1" x14ac:dyDescent="0.25">
      <c r="A15673" s="16"/>
    </row>
    <row r="15674" spans="1:1" x14ac:dyDescent="0.25">
      <c r="A15674" s="16"/>
    </row>
    <row r="15675" spans="1:1" x14ac:dyDescent="0.25">
      <c r="A15675" s="16"/>
    </row>
    <row r="15676" spans="1:1" x14ac:dyDescent="0.25">
      <c r="A15676" s="16"/>
    </row>
    <row r="15677" spans="1:1" x14ac:dyDescent="0.25">
      <c r="A15677" s="16"/>
    </row>
    <row r="15678" spans="1:1" x14ac:dyDescent="0.25">
      <c r="A15678" s="16"/>
    </row>
    <row r="15679" spans="1:1" x14ac:dyDescent="0.25">
      <c r="A15679" s="16"/>
    </row>
    <row r="15680" spans="1:1" x14ac:dyDescent="0.25">
      <c r="A15680" s="16"/>
    </row>
    <row r="15681" spans="1:1" x14ac:dyDescent="0.25">
      <c r="A15681" s="16"/>
    </row>
    <row r="15682" spans="1:1" x14ac:dyDescent="0.25">
      <c r="A15682" s="16"/>
    </row>
    <row r="15683" spans="1:1" x14ac:dyDescent="0.25">
      <c r="A15683" s="16"/>
    </row>
    <row r="15684" spans="1:1" x14ac:dyDescent="0.25">
      <c r="A15684" s="16"/>
    </row>
    <row r="15685" spans="1:1" x14ac:dyDescent="0.25">
      <c r="A15685" s="16"/>
    </row>
    <row r="15686" spans="1:1" x14ac:dyDescent="0.25">
      <c r="A15686" s="16"/>
    </row>
    <row r="15687" spans="1:1" x14ac:dyDescent="0.25">
      <c r="A15687" s="16"/>
    </row>
    <row r="15688" spans="1:1" x14ac:dyDescent="0.25">
      <c r="A15688" s="16"/>
    </row>
    <row r="15689" spans="1:1" x14ac:dyDescent="0.25">
      <c r="A15689" s="16"/>
    </row>
    <row r="15690" spans="1:1" x14ac:dyDescent="0.25">
      <c r="A15690" s="16"/>
    </row>
    <row r="15691" spans="1:1" x14ac:dyDescent="0.25">
      <c r="A15691" s="16"/>
    </row>
    <row r="15692" spans="1:1" x14ac:dyDescent="0.25">
      <c r="A15692" s="16"/>
    </row>
    <row r="15693" spans="1:1" x14ac:dyDescent="0.25">
      <c r="A15693" s="16"/>
    </row>
    <row r="15694" spans="1:1" x14ac:dyDescent="0.25">
      <c r="A15694" s="16"/>
    </row>
    <row r="15695" spans="1:1" x14ac:dyDescent="0.25">
      <c r="A15695" s="16"/>
    </row>
    <row r="15696" spans="1:1" x14ac:dyDescent="0.25">
      <c r="A15696" s="16"/>
    </row>
    <row r="15697" spans="1:1" x14ac:dyDescent="0.25">
      <c r="A15697" s="16"/>
    </row>
    <row r="15698" spans="1:1" x14ac:dyDescent="0.25">
      <c r="A15698" s="16"/>
    </row>
    <row r="15699" spans="1:1" x14ac:dyDescent="0.25">
      <c r="A15699" s="16"/>
    </row>
    <row r="15700" spans="1:1" x14ac:dyDescent="0.25">
      <c r="A15700" s="16"/>
    </row>
    <row r="15701" spans="1:1" x14ac:dyDescent="0.25">
      <c r="A15701" s="16"/>
    </row>
    <row r="15702" spans="1:1" x14ac:dyDescent="0.25">
      <c r="A15702" s="16"/>
    </row>
    <row r="15703" spans="1:1" x14ac:dyDescent="0.25">
      <c r="A15703" s="16"/>
    </row>
    <row r="15704" spans="1:1" x14ac:dyDescent="0.25">
      <c r="A15704" s="16"/>
    </row>
    <row r="15705" spans="1:1" x14ac:dyDescent="0.25">
      <c r="A15705" s="16"/>
    </row>
    <row r="15706" spans="1:1" x14ac:dyDescent="0.25">
      <c r="A15706" s="16"/>
    </row>
    <row r="15707" spans="1:1" x14ac:dyDescent="0.25">
      <c r="A15707" s="16"/>
    </row>
    <row r="15708" spans="1:1" x14ac:dyDescent="0.25">
      <c r="A15708" s="16"/>
    </row>
    <row r="15709" spans="1:1" x14ac:dyDescent="0.25">
      <c r="A15709" s="16"/>
    </row>
    <row r="15710" spans="1:1" x14ac:dyDescent="0.25">
      <c r="A15710" s="16"/>
    </row>
    <row r="15711" spans="1:1" x14ac:dyDescent="0.25">
      <c r="A15711" s="16"/>
    </row>
    <row r="15712" spans="1:1" x14ac:dyDescent="0.25">
      <c r="A15712" s="16"/>
    </row>
    <row r="15713" spans="1:1" x14ac:dyDescent="0.25">
      <c r="A15713" s="16"/>
    </row>
    <row r="15714" spans="1:1" x14ac:dyDescent="0.25">
      <c r="A15714" s="16"/>
    </row>
    <row r="15715" spans="1:1" x14ac:dyDescent="0.25">
      <c r="A15715" s="16"/>
    </row>
    <row r="15716" spans="1:1" x14ac:dyDescent="0.25">
      <c r="A15716" s="16"/>
    </row>
    <row r="15717" spans="1:1" x14ac:dyDescent="0.25">
      <c r="A15717" s="16"/>
    </row>
    <row r="15718" spans="1:1" x14ac:dyDescent="0.25">
      <c r="A15718" s="16"/>
    </row>
    <row r="15719" spans="1:1" x14ac:dyDescent="0.25">
      <c r="A15719" s="16"/>
    </row>
    <row r="15720" spans="1:1" x14ac:dyDescent="0.25">
      <c r="A15720" s="16"/>
    </row>
    <row r="15721" spans="1:1" x14ac:dyDescent="0.25">
      <c r="A15721" s="16"/>
    </row>
    <row r="15722" spans="1:1" x14ac:dyDescent="0.25">
      <c r="A15722" s="16"/>
    </row>
    <row r="15723" spans="1:1" x14ac:dyDescent="0.25">
      <c r="A15723" s="16"/>
    </row>
    <row r="15724" spans="1:1" x14ac:dyDescent="0.25">
      <c r="A15724" s="16"/>
    </row>
    <row r="15725" spans="1:1" x14ac:dyDescent="0.25">
      <c r="A15725" s="16"/>
    </row>
    <row r="15726" spans="1:1" x14ac:dyDescent="0.25">
      <c r="A15726" s="16"/>
    </row>
    <row r="15727" spans="1:1" x14ac:dyDescent="0.25">
      <c r="A15727" s="16"/>
    </row>
    <row r="15728" spans="1:1" x14ac:dyDescent="0.25">
      <c r="A15728" s="16"/>
    </row>
    <row r="15729" spans="1:1" x14ac:dyDescent="0.25">
      <c r="A15729" s="16"/>
    </row>
    <row r="15730" spans="1:1" x14ac:dyDescent="0.25">
      <c r="A15730" s="16"/>
    </row>
    <row r="15731" spans="1:1" x14ac:dyDescent="0.25">
      <c r="A15731" s="16"/>
    </row>
    <row r="15732" spans="1:1" x14ac:dyDescent="0.25">
      <c r="A15732" s="16"/>
    </row>
    <row r="15733" spans="1:1" x14ac:dyDescent="0.25">
      <c r="A15733" s="16"/>
    </row>
    <row r="15734" spans="1:1" x14ac:dyDescent="0.25">
      <c r="A15734" s="16"/>
    </row>
    <row r="15735" spans="1:1" x14ac:dyDescent="0.25">
      <c r="A15735" s="16"/>
    </row>
    <row r="15736" spans="1:1" x14ac:dyDescent="0.25">
      <c r="A15736" s="16"/>
    </row>
    <row r="15737" spans="1:1" x14ac:dyDescent="0.25">
      <c r="A15737" s="16"/>
    </row>
    <row r="15738" spans="1:1" x14ac:dyDescent="0.25">
      <c r="A15738" s="16"/>
    </row>
    <row r="15739" spans="1:1" x14ac:dyDescent="0.25">
      <c r="A15739" s="16"/>
    </row>
    <row r="15740" spans="1:1" x14ac:dyDescent="0.25">
      <c r="A15740" s="16"/>
    </row>
    <row r="15741" spans="1:1" x14ac:dyDescent="0.25">
      <c r="A15741" s="16"/>
    </row>
    <row r="15742" spans="1:1" x14ac:dyDescent="0.25">
      <c r="A15742" s="16"/>
    </row>
    <row r="15743" spans="1:1" x14ac:dyDescent="0.25">
      <c r="A15743" s="16"/>
    </row>
    <row r="15744" spans="1:1" x14ac:dyDescent="0.25">
      <c r="A15744" s="16"/>
    </row>
    <row r="15745" spans="1:1" x14ac:dyDescent="0.25">
      <c r="A15745" s="16"/>
    </row>
    <row r="15746" spans="1:1" x14ac:dyDescent="0.25">
      <c r="A15746" s="16"/>
    </row>
    <row r="15747" spans="1:1" x14ac:dyDescent="0.25">
      <c r="A15747" s="16"/>
    </row>
    <row r="15748" spans="1:1" x14ac:dyDescent="0.25">
      <c r="A15748" s="16"/>
    </row>
    <row r="15749" spans="1:1" x14ac:dyDescent="0.25">
      <c r="A15749" s="16"/>
    </row>
    <row r="15750" spans="1:1" x14ac:dyDescent="0.25">
      <c r="A15750" s="16"/>
    </row>
    <row r="15751" spans="1:1" x14ac:dyDescent="0.25">
      <c r="A15751" s="16"/>
    </row>
    <row r="15752" spans="1:1" x14ac:dyDescent="0.25">
      <c r="A15752" s="16"/>
    </row>
    <row r="15753" spans="1:1" x14ac:dyDescent="0.25">
      <c r="A15753" s="16"/>
    </row>
    <row r="15754" spans="1:1" x14ac:dyDescent="0.25">
      <c r="A15754" s="16"/>
    </row>
    <row r="15755" spans="1:1" x14ac:dyDescent="0.25">
      <c r="A15755" s="16"/>
    </row>
    <row r="15756" spans="1:1" x14ac:dyDescent="0.25">
      <c r="A15756" s="16"/>
    </row>
    <row r="15757" spans="1:1" x14ac:dyDescent="0.25">
      <c r="A15757" s="16"/>
    </row>
    <row r="15758" spans="1:1" x14ac:dyDescent="0.25">
      <c r="A15758" s="16"/>
    </row>
    <row r="15759" spans="1:1" x14ac:dyDescent="0.25">
      <c r="A15759" s="16"/>
    </row>
    <row r="15760" spans="1:1" x14ac:dyDescent="0.25">
      <c r="A15760" s="16"/>
    </row>
    <row r="15761" spans="1:1" x14ac:dyDescent="0.25">
      <c r="A15761" s="16"/>
    </row>
    <row r="15762" spans="1:1" x14ac:dyDescent="0.25">
      <c r="A15762" s="16"/>
    </row>
    <row r="15763" spans="1:1" x14ac:dyDescent="0.25">
      <c r="A15763" s="16"/>
    </row>
    <row r="15764" spans="1:1" x14ac:dyDescent="0.25">
      <c r="A15764" s="16"/>
    </row>
    <row r="15765" spans="1:1" x14ac:dyDescent="0.25">
      <c r="A15765" s="16"/>
    </row>
    <row r="15766" spans="1:1" x14ac:dyDescent="0.25">
      <c r="A15766" s="16"/>
    </row>
    <row r="15767" spans="1:1" x14ac:dyDescent="0.25">
      <c r="A15767" s="16"/>
    </row>
    <row r="15768" spans="1:1" x14ac:dyDescent="0.25">
      <c r="A15768" s="16"/>
    </row>
    <row r="15769" spans="1:1" x14ac:dyDescent="0.25">
      <c r="A15769" s="16"/>
    </row>
    <row r="15770" spans="1:1" x14ac:dyDescent="0.25">
      <c r="A15770" s="16"/>
    </row>
    <row r="15771" spans="1:1" x14ac:dyDescent="0.25">
      <c r="A15771" s="16"/>
    </row>
    <row r="15772" spans="1:1" x14ac:dyDescent="0.25">
      <c r="A15772" s="16"/>
    </row>
    <row r="15773" spans="1:1" x14ac:dyDescent="0.25">
      <c r="A15773" s="16"/>
    </row>
    <row r="15774" spans="1:1" x14ac:dyDescent="0.25">
      <c r="A15774" s="16"/>
    </row>
    <row r="15775" spans="1:1" x14ac:dyDescent="0.25">
      <c r="A15775" s="16"/>
    </row>
    <row r="15776" spans="1:1" x14ac:dyDescent="0.25">
      <c r="A15776" s="16"/>
    </row>
    <row r="15777" spans="1:1" x14ac:dyDescent="0.25">
      <c r="A15777" s="16"/>
    </row>
    <row r="15778" spans="1:1" x14ac:dyDescent="0.25">
      <c r="A15778" s="16"/>
    </row>
    <row r="15779" spans="1:1" x14ac:dyDescent="0.25">
      <c r="A15779" s="16"/>
    </row>
    <row r="15780" spans="1:1" x14ac:dyDescent="0.25">
      <c r="A15780" s="16"/>
    </row>
    <row r="15781" spans="1:1" x14ac:dyDescent="0.25">
      <c r="A15781" s="16"/>
    </row>
    <row r="15782" spans="1:1" x14ac:dyDescent="0.25">
      <c r="A15782" s="16"/>
    </row>
    <row r="15783" spans="1:1" x14ac:dyDescent="0.25">
      <c r="A15783" s="16"/>
    </row>
    <row r="15784" spans="1:1" x14ac:dyDescent="0.25">
      <c r="A15784" s="16"/>
    </row>
    <row r="15785" spans="1:1" x14ac:dyDescent="0.25">
      <c r="A15785" s="16"/>
    </row>
    <row r="15786" spans="1:1" x14ac:dyDescent="0.25">
      <c r="A15786" s="16"/>
    </row>
    <row r="15787" spans="1:1" x14ac:dyDescent="0.25">
      <c r="A15787" s="16"/>
    </row>
    <row r="15788" spans="1:1" x14ac:dyDescent="0.25">
      <c r="A15788" s="16"/>
    </row>
    <row r="15789" spans="1:1" x14ac:dyDescent="0.25">
      <c r="A15789" s="16"/>
    </row>
    <row r="15790" spans="1:1" x14ac:dyDescent="0.25">
      <c r="A15790" s="16"/>
    </row>
    <row r="15791" spans="1:1" x14ac:dyDescent="0.25">
      <c r="A15791" s="16"/>
    </row>
    <row r="15792" spans="1:1" x14ac:dyDescent="0.25">
      <c r="A15792" s="16"/>
    </row>
    <row r="15793" spans="1:1" x14ac:dyDescent="0.25">
      <c r="A15793" s="16"/>
    </row>
    <row r="15794" spans="1:1" x14ac:dyDescent="0.25">
      <c r="A15794" s="16"/>
    </row>
    <row r="15795" spans="1:1" x14ac:dyDescent="0.25">
      <c r="A15795" s="16"/>
    </row>
    <row r="15796" spans="1:1" x14ac:dyDescent="0.25">
      <c r="A15796" s="16"/>
    </row>
    <row r="15797" spans="1:1" x14ac:dyDescent="0.25">
      <c r="A15797" s="16"/>
    </row>
    <row r="15798" spans="1:1" x14ac:dyDescent="0.25">
      <c r="A15798" s="16"/>
    </row>
    <row r="15799" spans="1:1" x14ac:dyDescent="0.25">
      <c r="A15799" s="16"/>
    </row>
    <row r="15800" spans="1:1" x14ac:dyDescent="0.25">
      <c r="A15800" s="16"/>
    </row>
    <row r="15801" spans="1:1" x14ac:dyDescent="0.25">
      <c r="A15801" s="16"/>
    </row>
    <row r="15802" spans="1:1" x14ac:dyDescent="0.25">
      <c r="A15802" s="16"/>
    </row>
    <row r="15803" spans="1:1" x14ac:dyDescent="0.25">
      <c r="A15803" s="16"/>
    </row>
    <row r="15804" spans="1:1" x14ac:dyDescent="0.25">
      <c r="A15804" s="16"/>
    </row>
    <row r="15805" spans="1:1" x14ac:dyDescent="0.25">
      <c r="A15805" s="16"/>
    </row>
    <row r="15806" spans="1:1" x14ac:dyDescent="0.25">
      <c r="A15806" s="16"/>
    </row>
    <row r="15807" spans="1:1" x14ac:dyDescent="0.25">
      <c r="A15807" s="16"/>
    </row>
    <row r="15808" spans="1:1" x14ac:dyDescent="0.25">
      <c r="A15808" s="16"/>
    </row>
    <row r="15809" spans="1:1" x14ac:dyDescent="0.25">
      <c r="A15809" s="16"/>
    </row>
    <row r="15810" spans="1:1" x14ac:dyDescent="0.25">
      <c r="A15810" s="16"/>
    </row>
    <row r="15811" spans="1:1" x14ac:dyDescent="0.25">
      <c r="A15811" s="16"/>
    </row>
    <row r="15812" spans="1:1" x14ac:dyDescent="0.25">
      <c r="A15812" s="16"/>
    </row>
    <row r="15813" spans="1:1" x14ac:dyDescent="0.25">
      <c r="A15813" s="16"/>
    </row>
    <row r="15814" spans="1:1" x14ac:dyDescent="0.25">
      <c r="A15814" s="16"/>
    </row>
    <row r="15815" spans="1:1" x14ac:dyDescent="0.25">
      <c r="A15815" s="16"/>
    </row>
    <row r="15816" spans="1:1" x14ac:dyDescent="0.25">
      <c r="A15816" s="16"/>
    </row>
    <row r="15817" spans="1:1" x14ac:dyDescent="0.25">
      <c r="A15817" s="16"/>
    </row>
    <row r="15818" spans="1:1" x14ac:dyDescent="0.25">
      <c r="A15818" s="16"/>
    </row>
    <row r="15819" spans="1:1" x14ac:dyDescent="0.25">
      <c r="A15819" s="16"/>
    </row>
    <row r="15820" spans="1:1" x14ac:dyDescent="0.25">
      <c r="A15820" s="16"/>
    </row>
    <row r="15821" spans="1:1" x14ac:dyDescent="0.25">
      <c r="A15821" s="16"/>
    </row>
    <row r="15822" spans="1:1" x14ac:dyDescent="0.25">
      <c r="A15822" s="16"/>
    </row>
    <row r="15823" spans="1:1" x14ac:dyDescent="0.25">
      <c r="A15823" s="16"/>
    </row>
    <row r="15824" spans="1:1" x14ac:dyDescent="0.25">
      <c r="A15824" s="16"/>
    </row>
    <row r="15825" spans="1:1" x14ac:dyDescent="0.25">
      <c r="A15825" s="16"/>
    </row>
    <row r="15826" spans="1:1" x14ac:dyDescent="0.25">
      <c r="A15826" s="16"/>
    </row>
    <row r="15827" spans="1:1" x14ac:dyDescent="0.25">
      <c r="A15827" s="16"/>
    </row>
    <row r="15828" spans="1:1" x14ac:dyDescent="0.25">
      <c r="A15828" s="16"/>
    </row>
    <row r="15829" spans="1:1" x14ac:dyDescent="0.25">
      <c r="A15829" s="16"/>
    </row>
    <row r="15830" spans="1:1" x14ac:dyDescent="0.25">
      <c r="A15830" s="16"/>
    </row>
    <row r="15831" spans="1:1" x14ac:dyDescent="0.25">
      <c r="A15831" s="16"/>
    </row>
    <row r="15832" spans="1:1" x14ac:dyDescent="0.25">
      <c r="A15832" s="16"/>
    </row>
    <row r="15833" spans="1:1" x14ac:dyDescent="0.25">
      <c r="A15833" s="16"/>
    </row>
    <row r="15834" spans="1:1" x14ac:dyDescent="0.25">
      <c r="A15834" s="16"/>
    </row>
    <row r="15835" spans="1:1" x14ac:dyDescent="0.25">
      <c r="A15835" s="16"/>
    </row>
    <row r="15836" spans="1:1" x14ac:dyDescent="0.25">
      <c r="A15836" s="16"/>
    </row>
    <row r="15837" spans="1:1" x14ac:dyDescent="0.25">
      <c r="A15837" s="16"/>
    </row>
    <row r="15838" spans="1:1" x14ac:dyDescent="0.25">
      <c r="A15838" s="16"/>
    </row>
    <row r="15839" spans="1:1" x14ac:dyDescent="0.25">
      <c r="A15839" s="16"/>
    </row>
    <row r="15840" spans="1:1" x14ac:dyDescent="0.25">
      <c r="A15840" s="16"/>
    </row>
    <row r="15841" spans="1:1" x14ac:dyDescent="0.25">
      <c r="A15841" s="16"/>
    </row>
    <row r="15842" spans="1:1" x14ac:dyDescent="0.25">
      <c r="A15842" s="16"/>
    </row>
    <row r="15843" spans="1:1" x14ac:dyDescent="0.25">
      <c r="A15843" s="16"/>
    </row>
    <row r="15844" spans="1:1" x14ac:dyDescent="0.25">
      <c r="A15844" s="16"/>
    </row>
    <row r="15845" spans="1:1" x14ac:dyDescent="0.25">
      <c r="A15845" s="16"/>
    </row>
    <row r="15846" spans="1:1" x14ac:dyDescent="0.25">
      <c r="A15846" s="16"/>
    </row>
    <row r="15847" spans="1:1" x14ac:dyDescent="0.25">
      <c r="A15847" s="16"/>
    </row>
    <row r="15848" spans="1:1" x14ac:dyDescent="0.25">
      <c r="A15848" s="16"/>
    </row>
    <row r="15849" spans="1:1" x14ac:dyDescent="0.25">
      <c r="A15849" s="16"/>
    </row>
    <row r="15850" spans="1:1" x14ac:dyDescent="0.25">
      <c r="A15850" s="16"/>
    </row>
    <row r="15851" spans="1:1" x14ac:dyDescent="0.25">
      <c r="A15851" s="16"/>
    </row>
    <row r="15852" spans="1:1" x14ac:dyDescent="0.25">
      <c r="A15852" s="16"/>
    </row>
    <row r="15853" spans="1:1" x14ac:dyDescent="0.25">
      <c r="A15853" s="16"/>
    </row>
    <row r="15854" spans="1:1" x14ac:dyDescent="0.25">
      <c r="A15854" s="16"/>
    </row>
    <row r="15855" spans="1:1" x14ac:dyDescent="0.25">
      <c r="A15855" s="16"/>
    </row>
    <row r="15856" spans="1:1" x14ac:dyDescent="0.25">
      <c r="A15856" s="16"/>
    </row>
    <row r="15857" spans="1:1" x14ac:dyDescent="0.25">
      <c r="A15857" s="16"/>
    </row>
    <row r="15858" spans="1:1" x14ac:dyDescent="0.25">
      <c r="A15858" s="16"/>
    </row>
    <row r="15859" spans="1:1" x14ac:dyDescent="0.25">
      <c r="A15859" s="16"/>
    </row>
    <row r="15860" spans="1:1" x14ac:dyDescent="0.25">
      <c r="A15860" s="16"/>
    </row>
    <row r="15861" spans="1:1" x14ac:dyDescent="0.25">
      <c r="A15861" s="16"/>
    </row>
    <row r="15862" spans="1:1" x14ac:dyDescent="0.25">
      <c r="A15862" s="16"/>
    </row>
    <row r="15863" spans="1:1" x14ac:dyDescent="0.25">
      <c r="A15863" s="16"/>
    </row>
    <row r="15864" spans="1:1" x14ac:dyDescent="0.25">
      <c r="A15864" s="16"/>
    </row>
    <row r="15865" spans="1:1" x14ac:dyDescent="0.25">
      <c r="A15865" s="16"/>
    </row>
    <row r="15866" spans="1:1" x14ac:dyDescent="0.25">
      <c r="A15866" s="16"/>
    </row>
    <row r="15867" spans="1:1" x14ac:dyDescent="0.25">
      <c r="A15867" s="16"/>
    </row>
    <row r="15868" spans="1:1" x14ac:dyDescent="0.25">
      <c r="A15868" s="16"/>
    </row>
    <row r="15869" spans="1:1" x14ac:dyDescent="0.25">
      <c r="A15869" s="16"/>
    </row>
    <row r="15870" spans="1:1" x14ac:dyDescent="0.25">
      <c r="A15870" s="16"/>
    </row>
    <row r="15871" spans="1:1" x14ac:dyDescent="0.25">
      <c r="A15871" s="16"/>
    </row>
    <row r="15872" spans="1:1" x14ac:dyDescent="0.25">
      <c r="A15872" s="16"/>
    </row>
    <row r="15873" spans="1:1" x14ac:dyDescent="0.25">
      <c r="A15873" s="16"/>
    </row>
    <row r="15874" spans="1:1" x14ac:dyDescent="0.25">
      <c r="A15874" s="16"/>
    </row>
    <row r="15875" spans="1:1" x14ac:dyDescent="0.25">
      <c r="A15875" s="16"/>
    </row>
    <row r="15876" spans="1:1" x14ac:dyDescent="0.25">
      <c r="A15876" s="16"/>
    </row>
    <row r="15877" spans="1:1" x14ac:dyDescent="0.25">
      <c r="A15877" s="16"/>
    </row>
    <row r="15878" spans="1:1" x14ac:dyDescent="0.25">
      <c r="A15878" s="16"/>
    </row>
    <row r="15879" spans="1:1" x14ac:dyDescent="0.25">
      <c r="A15879" s="16"/>
    </row>
    <row r="15880" spans="1:1" x14ac:dyDescent="0.25">
      <c r="A15880" s="16"/>
    </row>
    <row r="15881" spans="1:1" x14ac:dyDescent="0.25">
      <c r="A15881" s="16"/>
    </row>
    <row r="15882" spans="1:1" x14ac:dyDescent="0.25">
      <c r="A15882" s="16"/>
    </row>
    <row r="15883" spans="1:1" x14ac:dyDescent="0.25">
      <c r="A15883" s="16"/>
    </row>
    <row r="15884" spans="1:1" x14ac:dyDescent="0.25">
      <c r="A15884" s="16"/>
    </row>
    <row r="15885" spans="1:1" x14ac:dyDescent="0.25">
      <c r="A15885" s="16"/>
    </row>
    <row r="15886" spans="1:1" x14ac:dyDescent="0.25">
      <c r="A15886" s="16"/>
    </row>
    <row r="15887" spans="1:1" x14ac:dyDescent="0.25">
      <c r="A15887" s="16"/>
    </row>
    <row r="15888" spans="1:1" x14ac:dyDescent="0.25">
      <c r="A15888" s="16"/>
    </row>
    <row r="15889" spans="1:1" x14ac:dyDescent="0.25">
      <c r="A15889" s="16"/>
    </row>
    <row r="15890" spans="1:1" x14ac:dyDescent="0.25">
      <c r="A15890" s="16"/>
    </row>
    <row r="15891" spans="1:1" x14ac:dyDescent="0.25">
      <c r="A15891" s="16"/>
    </row>
    <row r="15892" spans="1:1" x14ac:dyDescent="0.25">
      <c r="A15892" s="16"/>
    </row>
    <row r="15893" spans="1:1" x14ac:dyDescent="0.25">
      <c r="A15893" s="16"/>
    </row>
    <row r="15894" spans="1:1" x14ac:dyDescent="0.25">
      <c r="A15894" s="16"/>
    </row>
    <row r="15895" spans="1:1" x14ac:dyDescent="0.25">
      <c r="A15895" s="16"/>
    </row>
    <row r="15896" spans="1:1" x14ac:dyDescent="0.25">
      <c r="A15896" s="16"/>
    </row>
    <row r="15897" spans="1:1" x14ac:dyDescent="0.25">
      <c r="A15897" s="16"/>
    </row>
    <row r="15898" spans="1:1" x14ac:dyDescent="0.25">
      <c r="A15898" s="16"/>
    </row>
    <row r="15899" spans="1:1" x14ac:dyDescent="0.25">
      <c r="A15899" s="16"/>
    </row>
    <row r="15900" spans="1:1" x14ac:dyDescent="0.25">
      <c r="A15900" s="16"/>
    </row>
    <row r="15901" spans="1:1" x14ac:dyDescent="0.25">
      <c r="A15901" s="16"/>
    </row>
    <row r="15902" spans="1:1" x14ac:dyDescent="0.25">
      <c r="A15902" s="16"/>
    </row>
    <row r="15903" spans="1:1" x14ac:dyDescent="0.25">
      <c r="A15903" s="16"/>
    </row>
    <row r="15904" spans="1:1" x14ac:dyDescent="0.25">
      <c r="A15904" s="16"/>
    </row>
    <row r="15905" spans="1:1" x14ac:dyDescent="0.25">
      <c r="A15905" s="16"/>
    </row>
    <row r="15906" spans="1:1" x14ac:dyDescent="0.25">
      <c r="A15906" s="16"/>
    </row>
    <row r="15907" spans="1:1" x14ac:dyDescent="0.25">
      <c r="A15907" s="16"/>
    </row>
    <row r="15908" spans="1:1" x14ac:dyDescent="0.25">
      <c r="A15908" s="16"/>
    </row>
    <row r="15909" spans="1:1" x14ac:dyDescent="0.25">
      <c r="A15909" s="16"/>
    </row>
    <row r="15910" spans="1:1" x14ac:dyDescent="0.25">
      <c r="A15910" s="16"/>
    </row>
    <row r="15911" spans="1:1" x14ac:dyDescent="0.25">
      <c r="A15911" s="16"/>
    </row>
    <row r="15912" spans="1:1" x14ac:dyDescent="0.25">
      <c r="A15912" s="16"/>
    </row>
    <row r="15913" spans="1:1" x14ac:dyDescent="0.25">
      <c r="A15913" s="16"/>
    </row>
    <row r="15914" spans="1:1" x14ac:dyDescent="0.25">
      <c r="A15914" s="16"/>
    </row>
    <row r="15915" spans="1:1" x14ac:dyDescent="0.25">
      <c r="A15915" s="16"/>
    </row>
    <row r="15916" spans="1:1" x14ac:dyDescent="0.25">
      <c r="A15916" s="16"/>
    </row>
    <row r="15917" spans="1:1" x14ac:dyDescent="0.25">
      <c r="A15917" s="16"/>
    </row>
    <row r="15918" spans="1:1" x14ac:dyDescent="0.25">
      <c r="A15918" s="16"/>
    </row>
    <row r="15919" spans="1:1" x14ac:dyDescent="0.25">
      <c r="A15919" s="16"/>
    </row>
    <row r="15920" spans="1:1" x14ac:dyDescent="0.25">
      <c r="A15920" s="16"/>
    </row>
    <row r="15921" spans="1:1" x14ac:dyDescent="0.25">
      <c r="A15921" s="16"/>
    </row>
    <row r="15922" spans="1:1" x14ac:dyDescent="0.25">
      <c r="A15922" s="16"/>
    </row>
    <row r="15923" spans="1:1" x14ac:dyDescent="0.25">
      <c r="A15923" s="16"/>
    </row>
    <row r="15924" spans="1:1" x14ac:dyDescent="0.25">
      <c r="A15924" s="16"/>
    </row>
    <row r="15925" spans="1:1" x14ac:dyDescent="0.25">
      <c r="A15925" s="16"/>
    </row>
    <row r="15926" spans="1:1" x14ac:dyDescent="0.25">
      <c r="A15926" s="16"/>
    </row>
    <row r="15927" spans="1:1" x14ac:dyDescent="0.25">
      <c r="A15927" s="16"/>
    </row>
    <row r="15928" spans="1:1" x14ac:dyDescent="0.25">
      <c r="A15928" s="16"/>
    </row>
    <row r="15929" spans="1:1" x14ac:dyDescent="0.25">
      <c r="A15929" s="16"/>
    </row>
    <row r="15930" spans="1:1" x14ac:dyDescent="0.25">
      <c r="A15930" s="16"/>
    </row>
    <row r="15931" spans="1:1" x14ac:dyDescent="0.25">
      <c r="A15931" s="16"/>
    </row>
    <row r="15932" spans="1:1" x14ac:dyDescent="0.25">
      <c r="A15932" s="16"/>
    </row>
    <row r="15933" spans="1:1" x14ac:dyDescent="0.25">
      <c r="A15933" s="16"/>
    </row>
    <row r="15934" spans="1:1" x14ac:dyDescent="0.25">
      <c r="A15934" s="16"/>
    </row>
    <row r="15935" spans="1:1" x14ac:dyDescent="0.25">
      <c r="A15935" s="16"/>
    </row>
    <row r="15936" spans="1:1" x14ac:dyDescent="0.25">
      <c r="A15936" s="16"/>
    </row>
    <row r="15937" spans="1:1" x14ac:dyDescent="0.25">
      <c r="A15937" s="16"/>
    </row>
    <row r="15938" spans="1:1" x14ac:dyDescent="0.25">
      <c r="A15938" s="16"/>
    </row>
    <row r="15939" spans="1:1" x14ac:dyDescent="0.25">
      <c r="A15939" s="16"/>
    </row>
    <row r="15940" spans="1:1" x14ac:dyDescent="0.25">
      <c r="A15940" s="16"/>
    </row>
    <row r="15941" spans="1:1" x14ac:dyDescent="0.25">
      <c r="A15941" s="16"/>
    </row>
    <row r="15942" spans="1:1" x14ac:dyDescent="0.25">
      <c r="A15942" s="16"/>
    </row>
    <row r="15943" spans="1:1" x14ac:dyDescent="0.25">
      <c r="A15943" s="16"/>
    </row>
    <row r="15944" spans="1:1" x14ac:dyDescent="0.25">
      <c r="A15944" s="16"/>
    </row>
    <row r="15945" spans="1:1" x14ac:dyDescent="0.25">
      <c r="A15945" s="16"/>
    </row>
    <row r="15946" spans="1:1" x14ac:dyDescent="0.25">
      <c r="A15946" s="16"/>
    </row>
    <row r="15947" spans="1:1" x14ac:dyDescent="0.25">
      <c r="A15947" s="16"/>
    </row>
    <row r="15948" spans="1:1" x14ac:dyDescent="0.25">
      <c r="A15948" s="16"/>
    </row>
    <row r="15949" spans="1:1" x14ac:dyDescent="0.25">
      <c r="A15949" s="16"/>
    </row>
    <row r="15950" spans="1:1" x14ac:dyDescent="0.25">
      <c r="A15950" s="16"/>
    </row>
    <row r="15951" spans="1:1" x14ac:dyDescent="0.25">
      <c r="A15951" s="16"/>
    </row>
    <row r="15952" spans="1:1" x14ac:dyDescent="0.25">
      <c r="A15952" s="16"/>
    </row>
    <row r="15953" spans="1:1" x14ac:dyDescent="0.25">
      <c r="A15953" s="16"/>
    </row>
    <row r="15954" spans="1:1" x14ac:dyDescent="0.25">
      <c r="A15954" s="16"/>
    </row>
    <row r="15955" spans="1:1" x14ac:dyDescent="0.25">
      <c r="A15955" s="16"/>
    </row>
    <row r="15956" spans="1:1" x14ac:dyDescent="0.25">
      <c r="A15956" s="16"/>
    </row>
    <row r="15957" spans="1:1" x14ac:dyDescent="0.25">
      <c r="A15957" s="16"/>
    </row>
    <row r="15958" spans="1:1" x14ac:dyDescent="0.25">
      <c r="A15958" s="16"/>
    </row>
    <row r="15959" spans="1:1" x14ac:dyDescent="0.25">
      <c r="A15959" s="16"/>
    </row>
    <row r="15960" spans="1:1" x14ac:dyDescent="0.25">
      <c r="A15960" s="16"/>
    </row>
    <row r="15961" spans="1:1" x14ac:dyDescent="0.25">
      <c r="A15961" s="16"/>
    </row>
    <row r="15962" spans="1:1" x14ac:dyDescent="0.25">
      <c r="A15962" s="16"/>
    </row>
    <row r="15963" spans="1:1" x14ac:dyDescent="0.25">
      <c r="A15963" s="16"/>
    </row>
    <row r="15964" spans="1:1" x14ac:dyDescent="0.25">
      <c r="A15964" s="16"/>
    </row>
    <row r="15965" spans="1:1" x14ac:dyDescent="0.25">
      <c r="A15965" s="16"/>
    </row>
    <row r="15966" spans="1:1" x14ac:dyDescent="0.25">
      <c r="A15966" s="16"/>
    </row>
    <row r="15967" spans="1:1" x14ac:dyDescent="0.25">
      <c r="A15967" s="16"/>
    </row>
    <row r="15968" spans="1:1" x14ac:dyDescent="0.25">
      <c r="A15968" s="16"/>
    </row>
    <row r="15969" spans="1:1" x14ac:dyDescent="0.25">
      <c r="A15969" s="16"/>
    </row>
    <row r="15970" spans="1:1" x14ac:dyDescent="0.25">
      <c r="A15970" s="16"/>
    </row>
    <row r="15971" spans="1:1" x14ac:dyDescent="0.25">
      <c r="A15971" s="16"/>
    </row>
    <row r="15972" spans="1:1" x14ac:dyDescent="0.25">
      <c r="A15972" s="16"/>
    </row>
    <row r="15973" spans="1:1" x14ac:dyDescent="0.25">
      <c r="A15973" s="16"/>
    </row>
    <row r="15974" spans="1:1" x14ac:dyDescent="0.25">
      <c r="A15974" s="16"/>
    </row>
    <row r="15975" spans="1:1" x14ac:dyDescent="0.25">
      <c r="A15975" s="16"/>
    </row>
    <row r="15976" spans="1:1" x14ac:dyDescent="0.25">
      <c r="A15976" s="16"/>
    </row>
    <row r="15977" spans="1:1" x14ac:dyDescent="0.25">
      <c r="A15977" s="16"/>
    </row>
    <row r="15978" spans="1:1" x14ac:dyDescent="0.25">
      <c r="A15978" s="16"/>
    </row>
    <row r="15979" spans="1:1" x14ac:dyDescent="0.25">
      <c r="A15979" s="16"/>
    </row>
    <row r="15980" spans="1:1" x14ac:dyDescent="0.25">
      <c r="A15980" s="16"/>
    </row>
    <row r="15981" spans="1:1" x14ac:dyDescent="0.25">
      <c r="A15981" s="16"/>
    </row>
    <row r="15982" spans="1:1" x14ac:dyDescent="0.25">
      <c r="A15982" s="16"/>
    </row>
    <row r="15983" spans="1:1" x14ac:dyDescent="0.25">
      <c r="A15983" s="16"/>
    </row>
    <row r="15984" spans="1:1" x14ac:dyDescent="0.25">
      <c r="A15984" s="16"/>
    </row>
    <row r="15985" spans="1:1" x14ac:dyDescent="0.25">
      <c r="A15985" s="16"/>
    </row>
    <row r="15986" spans="1:1" x14ac:dyDescent="0.25">
      <c r="A15986" s="16"/>
    </row>
    <row r="15987" spans="1:1" x14ac:dyDescent="0.25">
      <c r="A15987" s="16"/>
    </row>
    <row r="15988" spans="1:1" x14ac:dyDescent="0.25">
      <c r="A15988" s="16"/>
    </row>
    <row r="15989" spans="1:1" x14ac:dyDescent="0.25">
      <c r="A15989" s="16"/>
    </row>
    <row r="15990" spans="1:1" x14ac:dyDescent="0.25">
      <c r="A15990" s="16"/>
    </row>
    <row r="15991" spans="1:1" x14ac:dyDescent="0.25">
      <c r="A15991" s="16"/>
    </row>
    <row r="15992" spans="1:1" x14ac:dyDescent="0.25">
      <c r="A15992" s="16"/>
    </row>
    <row r="15993" spans="1:1" x14ac:dyDescent="0.25">
      <c r="A15993" s="16"/>
    </row>
    <row r="15994" spans="1:1" x14ac:dyDescent="0.25">
      <c r="A15994" s="16"/>
    </row>
    <row r="15995" spans="1:1" x14ac:dyDescent="0.25">
      <c r="A15995" s="16"/>
    </row>
    <row r="15996" spans="1:1" x14ac:dyDescent="0.25">
      <c r="A15996" s="16"/>
    </row>
    <row r="15997" spans="1:1" x14ac:dyDescent="0.25">
      <c r="A15997" s="16"/>
    </row>
    <row r="15998" spans="1:1" x14ac:dyDescent="0.25">
      <c r="A15998" s="16"/>
    </row>
    <row r="15999" spans="1:1" x14ac:dyDescent="0.25">
      <c r="A15999" s="16"/>
    </row>
    <row r="16000" spans="1:1" x14ac:dyDescent="0.25">
      <c r="A16000" s="16"/>
    </row>
    <row r="16001" spans="1:1" x14ac:dyDescent="0.25">
      <c r="A16001" s="16"/>
    </row>
    <row r="16002" spans="1:1" x14ac:dyDescent="0.25">
      <c r="A16002" s="16"/>
    </row>
    <row r="16003" spans="1:1" x14ac:dyDescent="0.25">
      <c r="A16003" s="16"/>
    </row>
    <row r="16004" spans="1:1" x14ac:dyDescent="0.25">
      <c r="A16004" s="16"/>
    </row>
    <row r="16005" spans="1:1" x14ac:dyDescent="0.25">
      <c r="A16005" s="16"/>
    </row>
    <row r="16006" spans="1:1" x14ac:dyDescent="0.25">
      <c r="A16006" s="16"/>
    </row>
    <row r="16007" spans="1:1" x14ac:dyDescent="0.25">
      <c r="A16007" s="16"/>
    </row>
    <row r="16008" spans="1:1" x14ac:dyDescent="0.25">
      <c r="A16008" s="16"/>
    </row>
    <row r="16009" spans="1:1" x14ac:dyDescent="0.25">
      <c r="A16009" s="16"/>
    </row>
    <row r="16010" spans="1:1" x14ac:dyDescent="0.25">
      <c r="A16010" s="16"/>
    </row>
    <row r="16011" spans="1:1" x14ac:dyDescent="0.25">
      <c r="A16011" s="16"/>
    </row>
    <row r="16012" spans="1:1" x14ac:dyDescent="0.25">
      <c r="A16012" s="16"/>
    </row>
    <row r="16013" spans="1:1" x14ac:dyDescent="0.25">
      <c r="A16013" s="16"/>
    </row>
    <row r="16014" spans="1:1" x14ac:dyDescent="0.25">
      <c r="A16014" s="16"/>
    </row>
    <row r="16015" spans="1:1" x14ac:dyDescent="0.25">
      <c r="A16015" s="16"/>
    </row>
    <row r="16016" spans="1:1" x14ac:dyDescent="0.25">
      <c r="A16016" s="16"/>
    </row>
    <row r="16017" spans="1:1" x14ac:dyDescent="0.25">
      <c r="A16017" s="16"/>
    </row>
    <row r="16018" spans="1:1" x14ac:dyDescent="0.25">
      <c r="A16018" s="16"/>
    </row>
    <row r="16019" spans="1:1" x14ac:dyDescent="0.25">
      <c r="A16019" s="16"/>
    </row>
    <row r="16020" spans="1:1" x14ac:dyDescent="0.25">
      <c r="A16020" s="16"/>
    </row>
    <row r="16021" spans="1:1" x14ac:dyDescent="0.25">
      <c r="A16021" s="16"/>
    </row>
    <row r="16022" spans="1:1" x14ac:dyDescent="0.25">
      <c r="A16022" s="16"/>
    </row>
    <row r="16023" spans="1:1" x14ac:dyDescent="0.25">
      <c r="A16023" s="16"/>
    </row>
    <row r="16024" spans="1:1" x14ac:dyDescent="0.25">
      <c r="A16024" s="16"/>
    </row>
    <row r="16025" spans="1:1" x14ac:dyDescent="0.25">
      <c r="A16025" s="16"/>
    </row>
    <row r="16026" spans="1:1" x14ac:dyDescent="0.25">
      <c r="A16026" s="16"/>
    </row>
    <row r="16027" spans="1:1" x14ac:dyDescent="0.25">
      <c r="A16027" s="16"/>
    </row>
    <row r="16028" spans="1:1" x14ac:dyDescent="0.25">
      <c r="A16028" s="16"/>
    </row>
    <row r="16029" spans="1:1" x14ac:dyDescent="0.25">
      <c r="A16029" s="16"/>
    </row>
    <row r="16030" spans="1:1" x14ac:dyDescent="0.25">
      <c r="A16030" s="16"/>
    </row>
    <row r="16031" spans="1:1" x14ac:dyDescent="0.25">
      <c r="A16031" s="16"/>
    </row>
    <row r="16032" spans="1:1" x14ac:dyDescent="0.25">
      <c r="A16032" s="16"/>
    </row>
    <row r="16033" spans="1:1" x14ac:dyDescent="0.25">
      <c r="A16033" s="16"/>
    </row>
    <row r="16034" spans="1:1" x14ac:dyDescent="0.25">
      <c r="A16034" s="16"/>
    </row>
    <row r="16035" spans="1:1" x14ac:dyDescent="0.25">
      <c r="A16035" s="16"/>
    </row>
    <row r="16036" spans="1:1" x14ac:dyDescent="0.25">
      <c r="A16036" s="16"/>
    </row>
    <row r="16037" spans="1:1" x14ac:dyDescent="0.25">
      <c r="A16037" s="16"/>
    </row>
    <row r="16038" spans="1:1" x14ac:dyDescent="0.25">
      <c r="A16038" s="16"/>
    </row>
    <row r="16039" spans="1:1" x14ac:dyDescent="0.25">
      <c r="A16039" s="16"/>
    </row>
    <row r="16040" spans="1:1" x14ac:dyDescent="0.25">
      <c r="A16040" s="16"/>
    </row>
    <row r="16041" spans="1:1" x14ac:dyDescent="0.25">
      <c r="A16041" s="16"/>
    </row>
    <row r="16042" spans="1:1" x14ac:dyDescent="0.25">
      <c r="A16042" s="16"/>
    </row>
    <row r="16043" spans="1:1" x14ac:dyDescent="0.25">
      <c r="A16043" s="16"/>
    </row>
    <row r="16044" spans="1:1" x14ac:dyDescent="0.25">
      <c r="A16044" s="16"/>
    </row>
    <row r="16045" spans="1:1" x14ac:dyDescent="0.25">
      <c r="A16045" s="16"/>
    </row>
    <row r="16046" spans="1:1" x14ac:dyDescent="0.25">
      <c r="A16046" s="16"/>
    </row>
    <row r="16047" spans="1:1" x14ac:dyDescent="0.25">
      <c r="A16047" s="16"/>
    </row>
    <row r="16048" spans="1:1" x14ac:dyDescent="0.25">
      <c r="A16048" s="16"/>
    </row>
    <row r="16049" spans="1:1" x14ac:dyDescent="0.25">
      <c r="A16049" s="16"/>
    </row>
    <row r="16050" spans="1:1" x14ac:dyDescent="0.25">
      <c r="A16050" s="16"/>
    </row>
    <row r="16051" spans="1:1" x14ac:dyDescent="0.25">
      <c r="A16051" s="16"/>
    </row>
    <row r="16052" spans="1:1" x14ac:dyDescent="0.25">
      <c r="A16052" s="16"/>
    </row>
    <row r="16053" spans="1:1" x14ac:dyDescent="0.25">
      <c r="A16053" s="16"/>
    </row>
    <row r="16054" spans="1:1" x14ac:dyDescent="0.25">
      <c r="A16054" s="16"/>
    </row>
    <row r="16055" spans="1:1" x14ac:dyDescent="0.25">
      <c r="A16055" s="16"/>
    </row>
    <row r="16056" spans="1:1" x14ac:dyDescent="0.25">
      <c r="A16056" s="16"/>
    </row>
    <row r="16057" spans="1:1" x14ac:dyDescent="0.25">
      <c r="A16057" s="16"/>
    </row>
    <row r="16058" spans="1:1" x14ac:dyDescent="0.25">
      <c r="A16058" s="16"/>
    </row>
    <row r="16059" spans="1:1" x14ac:dyDescent="0.25">
      <c r="A16059" s="16"/>
    </row>
    <row r="16060" spans="1:1" x14ac:dyDescent="0.25">
      <c r="A16060" s="16"/>
    </row>
    <row r="16061" spans="1:1" x14ac:dyDescent="0.25">
      <c r="A16061" s="16"/>
    </row>
    <row r="16062" spans="1:1" x14ac:dyDescent="0.25">
      <c r="A16062" s="16"/>
    </row>
    <row r="16063" spans="1:1" x14ac:dyDescent="0.25">
      <c r="A16063" s="16"/>
    </row>
    <row r="16064" spans="1:1" x14ac:dyDescent="0.25">
      <c r="A16064" s="16"/>
    </row>
    <row r="16065" spans="1:1" x14ac:dyDescent="0.25">
      <c r="A16065" s="16"/>
    </row>
    <row r="16066" spans="1:1" x14ac:dyDescent="0.25">
      <c r="A16066" s="16"/>
    </row>
    <row r="16067" spans="1:1" x14ac:dyDescent="0.25">
      <c r="A16067" s="16"/>
    </row>
    <row r="16068" spans="1:1" x14ac:dyDescent="0.25">
      <c r="A16068" s="16"/>
    </row>
    <row r="16069" spans="1:1" x14ac:dyDescent="0.25">
      <c r="A16069" s="16"/>
    </row>
    <row r="16070" spans="1:1" x14ac:dyDescent="0.25">
      <c r="A16070" s="16"/>
    </row>
    <row r="16071" spans="1:1" x14ac:dyDescent="0.25">
      <c r="A16071" s="16"/>
    </row>
    <row r="16072" spans="1:1" x14ac:dyDescent="0.25">
      <c r="A16072" s="16"/>
    </row>
    <row r="16073" spans="1:1" x14ac:dyDescent="0.25">
      <c r="A16073" s="16"/>
    </row>
    <row r="16074" spans="1:1" x14ac:dyDescent="0.25">
      <c r="A16074" s="16"/>
    </row>
    <row r="16075" spans="1:1" x14ac:dyDescent="0.25">
      <c r="A16075" s="16"/>
    </row>
    <row r="16076" spans="1:1" x14ac:dyDescent="0.25">
      <c r="A16076" s="16"/>
    </row>
    <row r="16077" spans="1:1" x14ac:dyDescent="0.25">
      <c r="A16077" s="16"/>
    </row>
    <row r="16078" spans="1:1" x14ac:dyDescent="0.25">
      <c r="A16078" s="16"/>
    </row>
    <row r="16079" spans="1:1" x14ac:dyDescent="0.25">
      <c r="A16079" s="16"/>
    </row>
    <row r="16080" spans="1:1" x14ac:dyDescent="0.25">
      <c r="A16080" s="16"/>
    </row>
    <row r="16081" spans="1:1" x14ac:dyDescent="0.25">
      <c r="A16081" s="16"/>
    </row>
    <row r="16082" spans="1:1" x14ac:dyDescent="0.25">
      <c r="A16082" s="16"/>
    </row>
    <row r="16083" spans="1:1" x14ac:dyDescent="0.25">
      <c r="A16083" s="16"/>
    </row>
    <row r="16084" spans="1:1" x14ac:dyDescent="0.25">
      <c r="A16084" s="16"/>
    </row>
    <row r="16085" spans="1:1" x14ac:dyDescent="0.25">
      <c r="A16085" s="16"/>
    </row>
    <row r="16086" spans="1:1" x14ac:dyDescent="0.25">
      <c r="A16086" s="16"/>
    </row>
    <row r="16087" spans="1:1" x14ac:dyDescent="0.25">
      <c r="A16087" s="16"/>
    </row>
    <row r="16088" spans="1:1" x14ac:dyDescent="0.25">
      <c r="A16088" s="16"/>
    </row>
    <row r="16089" spans="1:1" x14ac:dyDescent="0.25">
      <c r="A16089" s="16"/>
    </row>
    <row r="16090" spans="1:1" x14ac:dyDescent="0.25">
      <c r="A16090" s="16"/>
    </row>
    <row r="16091" spans="1:1" x14ac:dyDescent="0.25">
      <c r="A16091" s="16"/>
    </row>
    <row r="16092" spans="1:1" x14ac:dyDescent="0.25">
      <c r="A16092" s="16"/>
    </row>
    <row r="16093" spans="1:1" x14ac:dyDescent="0.25">
      <c r="A16093" s="16"/>
    </row>
    <row r="16094" spans="1:1" x14ac:dyDescent="0.25">
      <c r="A16094" s="16"/>
    </row>
    <row r="16095" spans="1:1" x14ac:dyDescent="0.25">
      <c r="A16095" s="16"/>
    </row>
    <row r="16096" spans="1:1" x14ac:dyDescent="0.25">
      <c r="A16096" s="16"/>
    </row>
    <row r="16097" spans="1:1" x14ac:dyDescent="0.25">
      <c r="A16097" s="16"/>
    </row>
    <row r="16098" spans="1:1" x14ac:dyDescent="0.25">
      <c r="A16098" s="16"/>
    </row>
    <row r="16099" spans="1:1" x14ac:dyDescent="0.25">
      <c r="A16099" s="16"/>
    </row>
    <row r="16100" spans="1:1" x14ac:dyDescent="0.25">
      <c r="A16100" s="16"/>
    </row>
    <row r="16101" spans="1:1" x14ac:dyDescent="0.25">
      <c r="A16101" s="16"/>
    </row>
    <row r="16102" spans="1:1" x14ac:dyDescent="0.25">
      <c r="A16102" s="16"/>
    </row>
    <row r="16103" spans="1:1" x14ac:dyDescent="0.25">
      <c r="A16103" s="16"/>
    </row>
    <row r="16104" spans="1:1" x14ac:dyDescent="0.25">
      <c r="A16104" s="16"/>
    </row>
    <row r="16105" spans="1:1" x14ac:dyDescent="0.25">
      <c r="A16105" s="16"/>
    </row>
    <row r="16106" spans="1:1" x14ac:dyDescent="0.25">
      <c r="A16106" s="16"/>
    </row>
    <row r="16107" spans="1:1" x14ac:dyDescent="0.25">
      <c r="A16107" s="16"/>
    </row>
    <row r="16108" spans="1:1" x14ac:dyDescent="0.25">
      <c r="A16108" s="16"/>
    </row>
    <row r="16109" spans="1:1" x14ac:dyDescent="0.25">
      <c r="A16109" s="16"/>
    </row>
    <row r="16110" spans="1:1" x14ac:dyDescent="0.25">
      <c r="A16110" s="16"/>
    </row>
    <row r="16111" spans="1:1" x14ac:dyDescent="0.25">
      <c r="A16111" s="16"/>
    </row>
    <row r="16112" spans="1:1" x14ac:dyDescent="0.25">
      <c r="A16112" s="16"/>
    </row>
    <row r="16113" spans="1:1" x14ac:dyDescent="0.25">
      <c r="A16113" s="16"/>
    </row>
    <row r="16114" spans="1:1" x14ac:dyDescent="0.25">
      <c r="A16114" s="16"/>
    </row>
    <row r="16115" spans="1:1" x14ac:dyDescent="0.25">
      <c r="A16115" s="16"/>
    </row>
    <row r="16116" spans="1:1" x14ac:dyDescent="0.25">
      <c r="A16116" s="16"/>
    </row>
    <row r="16117" spans="1:1" x14ac:dyDescent="0.25">
      <c r="A16117" s="16"/>
    </row>
    <row r="16118" spans="1:1" x14ac:dyDescent="0.25">
      <c r="A16118" s="16"/>
    </row>
    <row r="16119" spans="1:1" x14ac:dyDescent="0.25">
      <c r="A16119" s="16"/>
    </row>
    <row r="16120" spans="1:1" x14ac:dyDescent="0.25">
      <c r="A16120" s="16"/>
    </row>
    <row r="16121" spans="1:1" x14ac:dyDescent="0.25">
      <c r="A16121" s="16"/>
    </row>
    <row r="16122" spans="1:1" x14ac:dyDescent="0.25">
      <c r="A16122" s="16"/>
    </row>
    <row r="16123" spans="1:1" x14ac:dyDescent="0.25">
      <c r="A16123" s="16"/>
    </row>
    <row r="16124" spans="1:1" x14ac:dyDescent="0.25">
      <c r="A16124" s="16"/>
    </row>
    <row r="16125" spans="1:1" x14ac:dyDescent="0.25">
      <c r="A16125" s="16"/>
    </row>
    <row r="16126" spans="1:1" x14ac:dyDescent="0.25">
      <c r="A16126" s="16"/>
    </row>
    <row r="16127" spans="1:1" x14ac:dyDescent="0.25">
      <c r="A16127" s="16"/>
    </row>
    <row r="16128" spans="1:1" x14ac:dyDescent="0.25">
      <c r="A16128" s="16"/>
    </row>
    <row r="16129" spans="1:1" x14ac:dyDescent="0.25">
      <c r="A16129" s="16"/>
    </row>
    <row r="16130" spans="1:1" x14ac:dyDescent="0.25">
      <c r="A16130" s="16"/>
    </row>
    <row r="16131" spans="1:1" x14ac:dyDescent="0.25">
      <c r="A16131" s="16"/>
    </row>
    <row r="16132" spans="1:1" x14ac:dyDescent="0.25">
      <c r="A16132" s="16"/>
    </row>
    <row r="16133" spans="1:1" x14ac:dyDescent="0.25">
      <c r="A16133" s="16"/>
    </row>
    <row r="16134" spans="1:1" x14ac:dyDescent="0.25">
      <c r="A16134" s="16"/>
    </row>
    <row r="16135" spans="1:1" x14ac:dyDescent="0.25">
      <c r="A16135" s="16"/>
    </row>
    <row r="16136" spans="1:1" x14ac:dyDescent="0.25">
      <c r="A16136" s="16"/>
    </row>
    <row r="16137" spans="1:1" x14ac:dyDescent="0.25">
      <c r="A16137" s="16"/>
    </row>
    <row r="16138" spans="1:1" x14ac:dyDescent="0.25">
      <c r="A16138" s="16"/>
    </row>
    <row r="16139" spans="1:1" x14ac:dyDescent="0.25">
      <c r="A16139" s="16"/>
    </row>
    <row r="16140" spans="1:1" x14ac:dyDescent="0.25">
      <c r="A16140" s="16"/>
    </row>
    <row r="16141" spans="1:1" x14ac:dyDescent="0.25">
      <c r="A16141" s="16"/>
    </row>
    <row r="16142" spans="1:1" x14ac:dyDescent="0.25">
      <c r="A16142" s="16"/>
    </row>
    <row r="16143" spans="1:1" x14ac:dyDescent="0.25">
      <c r="A16143" s="16"/>
    </row>
    <row r="16144" spans="1:1" x14ac:dyDescent="0.25">
      <c r="A16144" s="16"/>
    </row>
    <row r="16145" spans="1:1" x14ac:dyDescent="0.25">
      <c r="A16145" s="16"/>
    </row>
    <row r="16146" spans="1:1" x14ac:dyDescent="0.25">
      <c r="A16146" s="16"/>
    </row>
    <row r="16147" spans="1:1" x14ac:dyDescent="0.25">
      <c r="A16147" s="16"/>
    </row>
    <row r="16148" spans="1:1" x14ac:dyDescent="0.25">
      <c r="A16148" s="16"/>
    </row>
    <row r="16149" spans="1:1" x14ac:dyDescent="0.25">
      <c r="A16149" s="16"/>
    </row>
    <row r="16150" spans="1:1" x14ac:dyDescent="0.25">
      <c r="A16150" s="16"/>
    </row>
    <row r="16151" spans="1:1" x14ac:dyDescent="0.25">
      <c r="A16151" s="16"/>
    </row>
    <row r="16152" spans="1:1" x14ac:dyDescent="0.25">
      <c r="A16152" s="16"/>
    </row>
    <row r="16153" spans="1:1" x14ac:dyDescent="0.25">
      <c r="A16153" s="16"/>
    </row>
    <row r="16154" spans="1:1" x14ac:dyDescent="0.25">
      <c r="A16154" s="16"/>
    </row>
    <row r="16155" spans="1:1" x14ac:dyDescent="0.25">
      <c r="A16155" s="16"/>
    </row>
    <row r="16156" spans="1:1" x14ac:dyDescent="0.25">
      <c r="A16156" s="16"/>
    </row>
    <row r="16157" spans="1:1" x14ac:dyDescent="0.25">
      <c r="A16157" s="16"/>
    </row>
    <row r="16158" spans="1:1" x14ac:dyDescent="0.25">
      <c r="A16158" s="16"/>
    </row>
    <row r="16159" spans="1:1" x14ac:dyDescent="0.25">
      <c r="A16159" s="16"/>
    </row>
    <row r="16160" spans="1:1" x14ac:dyDescent="0.25">
      <c r="A16160" s="16"/>
    </row>
    <row r="16161" spans="1:1" x14ac:dyDescent="0.25">
      <c r="A16161" s="16"/>
    </row>
    <row r="16162" spans="1:1" x14ac:dyDescent="0.25">
      <c r="A16162" s="16"/>
    </row>
    <row r="16163" spans="1:1" x14ac:dyDescent="0.25">
      <c r="A16163" s="16"/>
    </row>
    <row r="16164" spans="1:1" x14ac:dyDescent="0.25">
      <c r="A16164" s="16"/>
    </row>
    <row r="16165" spans="1:1" x14ac:dyDescent="0.25">
      <c r="A16165" s="16"/>
    </row>
    <row r="16166" spans="1:1" x14ac:dyDescent="0.25">
      <c r="A16166" s="16"/>
    </row>
    <row r="16167" spans="1:1" x14ac:dyDescent="0.25">
      <c r="A16167" s="16"/>
    </row>
    <row r="16168" spans="1:1" x14ac:dyDescent="0.25">
      <c r="A16168" s="16"/>
    </row>
    <row r="16169" spans="1:1" x14ac:dyDescent="0.25">
      <c r="A16169" s="16"/>
    </row>
    <row r="16170" spans="1:1" x14ac:dyDescent="0.25">
      <c r="A16170" s="16"/>
    </row>
    <row r="16171" spans="1:1" x14ac:dyDescent="0.25">
      <c r="A16171" s="16"/>
    </row>
    <row r="16172" spans="1:1" x14ac:dyDescent="0.25">
      <c r="A16172" s="16"/>
    </row>
    <row r="16173" spans="1:1" x14ac:dyDescent="0.25">
      <c r="A16173" s="16"/>
    </row>
    <row r="16174" spans="1:1" x14ac:dyDescent="0.25">
      <c r="A16174" s="16"/>
    </row>
    <row r="16175" spans="1:1" x14ac:dyDescent="0.25">
      <c r="A16175" s="16"/>
    </row>
    <row r="16176" spans="1:1" x14ac:dyDescent="0.25">
      <c r="A16176" s="16"/>
    </row>
    <row r="16177" spans="1:1" x14ac:dyDescent="0.25">
      <c r="A16177" s="16"/>
    </row>
    <row r="16178" spans="1:1" x14ac:dyDescent="0.25">
      <c r="A16178" s="16"/>
    </row>
    <row r="16179" spans="1:1" x14ac:dyDescent="0.25">
      <c r="A16179" s="16"/>
    </row>
    <row r="16180" spans="1:1" x14ac:dyDescent="0.25">
      <c r="A16180" s="16"/>
    </row>
    <row r="16181" spans="1:1" x14ac:dyDescent="0.25">
      <c r="A16181" s="16"/>
    </row>
    <row r="16182" spans="1:1" x14ac:dyDescent="0.25">
      <c r="A16182" s="16"/>
    </row>
    <row r="16183" spans="1:1" x14ac:dyDescent="0.25">
      <c r="A16183" s="16"/>
    </row>
    <row r="16184" spans="1:1" x14ac:dyDescent="0.25">
      <c r="A16184" s="16"/>
    </row>
    <row r="16185" spans="1:1" x14ac:dyDescent="0.25">
      <c r="A16185" s="16"/>
    </row>
    <row r="16186" spans="1:1" x14ac:dyDescent="0.25">
      <c r="A16186" s="16"/>
    </row>
    <row r="16187" spans="1:1" x14ac:dyDescent="0.25">
      <c r="A16187" s="16"/>
    </row>
    <row r="16188" spans="1:1" x14ac:dyDescent="0.25">
      <c r="A16188" s="16"/>
    </row>
    <row r="16189" spans="1:1" x14ac:dyDescent="0.25">
      <c r="A16189" s="16"/>
    </row>
    <row r="16190" spans="1:1" x14ac:dyDescent="0.25">
      <c r="A16190" s="16"/>
    </row>
    <row r="16191" spans="1:1" x14ac:dyDescent="0.25">
      <c r="A16191" s="16"/>
    </row>
    <row r="16192" spans="1:1" x14ac:dyDescent="0.25">
      <c r="A16192" s="16"/>
    </row>
    <row r="16193" spans="1:1" x14ac:dyDescent="0.25">
      <c r="A16193" s="16"/>
    </row>
    <row r="16194" spans="1:1" x14ac:dyDescent="0.25">
      <c r="A16194" s="16"/>
    </row>
    <row r="16195" spans="1:1" x14ac:dyDescent="0.25">
      <c r="A16195" s="16"/>
    </row>
    <row r="16196" spans="1:1" x14ac:dyDescent="0.25">
      <c r="A16196" s="16"/>
    </row>
    <row r="16197" spans="1:1" x14ac:dyDescent="0.25">
      <c r="A16197" s="16"/>
    </row>
    <row r="16198" spans="1:1" x14ac:dyDescent="0.25">
      <c r="A16198" s="16"/>
    </row>
    <row r="16199" spans="1:1" x14ac:dyDescent="0.25">
      <c r="A16199" s="16"/>
    </row>
    <row r="16200" spans="1:1" x14ac:dyDescent="0.25">
      <c r="A16200" s="16"/>
    </row>
    <row r="16201" spans="1:1" x14ac:dyDescent="0.25">
      <c r="A16201" s="16"/>
    </row>
    <row r="16202" spans="1:1" x14ac:dyDescent="0.25">
      <c r="A16202" s="16"/>
    </row>
    <row r="16203" spans="1:1" x14ac:dyDescent="0.25">
      <c r="A16203" s="16"/>
    </row>
    <row r="16204" spans="1:1" x14ac:dyDescent="0.25">
      <c r="A16204" s="16"/>
    </row>
    <row r="16205" spans="1:1" x14ac:dyDescent="0.25">
      <c r="A16205" s="16"/>
    </row>
    <row r="16206" spans="1:1" x14ac:dyDescent="0.25">
      <c r="A16206" s="16"/>
    </row>
    <row r="16207" spans="1:1" x14ac:dyDescent="0.25">
      <c r="A16207" s="16"/>
    </row>
    <row r="16208" spans="1:1" x14ac:dyDescent="0.25">
      <c r="A16208" s="16"/>
    </row>
    <row r="16209" spans="1:1" x14ac:dyDescent="0.25">
      <c r="A16209" s="16"/>
    </row>
    <row r="16210" spans="1:1" x14ac:dyDescent="0.25">
      <c r="A16210" s="16"/>
    </row>
    <row r="16211" spans="1:1" x14ac:dyDescent="0.25">
      <c r="A16211" s="16"/>
    </row>
    <row r="16212" spans="1:1" x14ac:dyDescent="0.25">
      <c r="A16212" s="16"/>
    </row>
    <row r="16213" spans="1:1" x14ac:dyDescent="0.25">
      <c r="A16213" s="16"/>
    </row>
    <row r="16214" spans="1:1" x14ac:dyDescent="0.25">
      <c r="A16214" s="16"/>
    </row>
    <row r="16215" spans="1:1" x14ac:dyDescent="0.25">
      <c r="A16215" s="16"/>
    </row>
    <row r="16216" spans="1:1" x14ac:dyDescent="0.25">
      <c r="A16216" s="16"/>
    </row>
    <row r="16217" spans="1:1" x14ac:dyDescent="0.25">
      <c r="A16217" s="16"/>
    </row>
    <row r="16218" spans="1:1" x14ac:dyDescent="0.25">
      <c r="A16218" s="16"/>
    </row>
    <row r="16219" spans="1:1" x14ac:dyDescent="0.25">
      <c r="A16219" s="16"/>
    </row>
    <row r="16220" spans="1:1" x14ac:dyDescent="0.25">
      <c r="A16220" s="16"/>
    </row>
    <row r="16221" spans="1:1" x14ac:dyDescent="0.25">
      <c r="A16221" s="16"/>
    </row>
    <row r="16222" spans="1:1" x14ac:dyDescent="0.25">
      <c r="A16222" s="16"/>
    </row>
    <row r="16223" spans="1:1" x14ac:dyDescent="0.25">
      <c r="A16223" s="16"/>
    </row>
    <row r="16224" spans="1:1" x14ac:dyDescent="0.25">
      <c r="A16224" s="16"/>
    </row>
    <row r="16225" spans="1:1" x14ac:dyDescent="0.25">
      <c r="A16225" s="16"/>
    </row>
    <row r="16226" spans="1:1" x14ac:dyDescent="0.25">
      <c r="A16226" s="16"/>
    </row>
    <row r="16227" spans="1:1" x14ac:dyDescent="0.25">
      <c r="A16227" s="16"/>
    </row>
    <row r="16228" spans="1:1" x14ac:dyDescent="0.25">
      <c r="A16228" s="16"/>
    </row>
    <row r="16229" spans="1:1" x14ac:dyDescent="0.25">
      <c r="A16229" s="16"/>
    </row>
    <row r="16230" spans="1:1" x14ac:dyDescent="0.25">
      <c r="A16230" s="16"/>
    </row>
    <row r="16231" spans="1:1" x14ac:dyDescent="0.25">
      <c r="A16231" s="16"/>
    </row>
    <row r="16232" spans="1:1" x14ac:dyDescent="0.25">
      <c r="A16232" s="16"/>
    </row>
    <row r="16233" spans="1:1" x14ac:dyDescent="0.25">
      <c r="A16233" s="16"/>
    </row>
    <row r="16234" spans="1:1" x14ac:dyDescent="0.25">
      <c r="A16234" s="16"/>
    </row>
    <row r="16235" spans="1:1" x14ac:dyDescent="0.25">
      <c r="A16235" s="16"/>
    </row>
    <row r="16236" spans="1:1" x14ac:dyDescent="0.25">
      <c r="A16236" s="16"/>
    </row>
    <row r="16237" spans="1:1" x14ac:dyDescent="0.25">
      <c r="A16237" s="16"/>
    </row>
    <row r="16238" spans="1:1" x14ac:dyDescent="0.25">
      <c r="A16238" s="16"/>
    </row>
    <row r="16239" spans="1:1" x14ac:dyDescent="0.25">
      <c r="A16239" s="16"/>
    </row>
    <row r="16240" spans="1:1" x14ac:dyDescent="0.25">
      <c r="A16240" s="16"/>
    </row>
    <row r="16241" spans="1:1" x14ac:dyDescent="0.25">
      <c r="A16241" s="16"/>
    </row>
    <row r="16242" spans="1:1" x14ac:dyDescent="0.25">
      <c r="A16242" s="16"/>
    </row>
    <row r="16243" spans="1:1" x14ac:dyDescent="0.25">
      <c r="A16243" s="16"/>
    </row>
    <row r="16244" spans="1:1" x14ac:dyDescent="0.25">
      <c r="A16244" s="16"/>
    </row>
    <row r="16245" spans="1:1" x14ac:dyDescent="0.25">
      <c r="A16245" s="16"/>
    </row>
    <row r="16246" spans="1:1" x14ac:dyDescent="0.25">
      <c r="A16246" s="16"/>
    </row>
    <row r="16247" spans="1:1" x14ac:dyDescent="0.25">
      <c r="A16247" s="16"/>
    </row>
    <row r="16248" spans="1:1" x14ac:dyDescent="0.25">
      <c r="A16248" s="16"/>
    </row>
    <row r="16249" spans="1:1" x14ac:dyDescent="0.25">
      <c r="A16249" s="16"/>
    </row>
    <row r="16250" spans="1:1" x14ac:dyDescent="0.25">
      <c r="A16250" s="16"/>
    </row>
    <row r="16251" spans="1:1" x14ac:dyDescent="0.25">
      <c r="A16251" s="16"/>
    </row>
    <row r="16252" spans="1:1" x14ac:dyDescent="0.25">
      <c r="A16252" s="16"/>
    </row>
    <row r="16253" spans="1:1" x14ac:dyDescent="0.25">
      <c r="A16253" s="16"/>
    </row>
    <row r="16254" spans="1:1" x14ac:dyDescent="0.25">
      <c r="A16254" s="16"/>
    </row>
    <row r="16255" spans="1:1" x14ac:dyDescent="0.25">
      <c r="A16255" s="16"/>
    </row>
    <row r="16256" spans="1:1" x14ac:dyDescent="0.25">
      <c r="A16256" s="16"/>
    </row>
    <row r="16257" spans="1:1" x14ac:dyDescent="0.25">
      <c r="A16257" s="16"/>
    </row>
    <row r="16258" spans="1:1" x14ac:dyDescent="0.25">
      <c r="A16258" s="16"/>
    </row>
    <row r="16259" spans="1:1" x14ac:dyDescent="0.25">
      <c r="A16259" s="16"/>
    </row>
    <row r="16260" spans="1:1" x14ac:dyDescent="0.25">
      <c r="A16260" s="16"/>
    </row>
    <row r="16261" spans="1:1" x14ac:dyDescent="0.25">
      <c r="A16261" s="16"/>
    </row>
    <row r="16262" spans="1:1" x14ac:dyDescent="0.25">
      <c r="A16262" s="16"/>
    </row>
    <row r="16263" spans="1:1" x14ac:dyDescent="0.25">
      <c r="A16263" s="16"/>
    </row>
    <row r="16264" spans="1:1" x14ac:dyDescent="0.25">
      <c r="A16264" s="16"/>
    </row>
    <row r="16265" spans="1:1" x14ac:dyDescent="0.25">
      <c r="A16265" s="16"/>
    </row>
    <row r="16266" spans="1:1" x14ac:dyDescent="0.25">
      <c r="A16266" s="16"/>
    </row>
    <row r="16267" spans="1:1" x14ac:dyDescent="0.25">
      <c r="A16267" s="16"/>
    </row>
    <row r="16268" spans="1:1" x14ac:dyDescent="0.25">
      <c r="A16268" s="16"/>
    </row>
    <row r="16269" spans="1:1" x14ac:dyDescent="0.25">
      <c r="A16269" s="16"/>
    </row>
    <row r="16270" spans="1:1" x14ac:dyDescent="0.25">
      <c r="A16270" s="16"/>
    </row>
    <row r="16271" spans="1:1" x14ac:dyDescent="0.25">
      <c r="A16271" s="16"/>
    </row>
    <row r="16272" spans="1:1" x14ac:dyDescent="0.25">
      <c r="A16272" s="16"/>
    </row>
    <row r="16273" spans="1:1" x14ac:dyDescent="0.25">
      <c r="A16273" s="16"/>
    </row>
    <row r="16274" spans="1:1" x14ac:dyDescent="0.25">
      <c r="A16274" s="16"/>
    </row>
    <row r="16275" spans="1:1" x14ac:dyDescent="0.25">
      <c r="A16275" s="16"/>
    </row>
    <row r="16276" spans="1:1" x14ac:dyDescent="0.25">
      <c r="A16276" s="16"/>
    </row>
    <row r="16277" spans="1:1" x14ac:dyDescent="0.25">
      <c r="A16277" s="16"/>
    </row>
    <row r="16278" spans="1:1" x14ac:dyDescent="0.25">
      <c r="A16278" s="16"/>
    </row>
    <row r="16279" spans="1:1" x14ac:dyDescent="0.25">
      <c r="A16279" s="16"/>
    </row>
    <row r="16280" spans="1:1" x14ac:dyDescent="0.25">
      <c r="A16280" s="16"/>
    </row>
    <row r="16281" spans="1:1" x14ac:dyDescent="0.25">
      <c r="A16281" s="16"/>
    </row>
    <row r="16282" spans="1:1" x14ac:dyDescent="0.25">
      <c r="A16282" s="16"/>
    </row>
    <row r="16283" spans="1:1" x14ac:dyDescent="0.25">
      <c r="A16283" s="16"/>
    </row>
    <row r="16284" spans="1:1" x14ac:dyDescent="0.25">
      <c r="A16284" s="16"/>
    </row>
    <row r="16285" spans="1:1" x14ac:dyDescent="0.25">
      <c r="A16285" s="16"/>
    </row>
    <row r="16286" spans="1:1" x14ac:dyDescent="0.25">
      <c r="A16286" s="16"/>
    </row>
    <row r="16287" spans="1:1" x14ac:dyDescent="0.25">
      <c r="A16287" s="16"/>
    </row>
    <row r="16288" spans="1:1" x14ac:dyDescent="0.25">
      <c r="A16288" s="16"/>
    </row>
    <row r="16289" spans="1:1" x14ac:dyDescent="0.25">
      <c r="A16289" s="16"/>
    </row>
    <row r="16290" spans="1:1" x14ac:dyDescent="0.25">
      <c r="A16290" s="16"/>
    </row>
    <row r="16291" spans="1:1" x14ac:dyDescent="0.25">
      <c r="A16291" s="16"/>
    </row>
    <row r="16292" spans="1:1" x14ac:dyDescent="0.25">
      <c r="A16292" s="16"/>
    </row>
    <row r="16293" spans="1:1" x14ac:dyDescent="0.25">
      <c r="A16293" s="16"/>
    </row>
    <row r="16294" spans="1:1" x14ac:dyDescent="0.25">
      <c r="A16294" s="16"/>
    </row>
    <row r="16295" spans="1:1" x14ac:dyDescent="0.25">
      <c r="A16295" s="16"/>
    </row>
    <row r="16296" spans="1:1" x14ac:dyDescent="0.25">
      <c r="A16296" s="16"/>
    </row>
    <row r="16297" spans="1:1" x14ac:dyDescent="0.25">
      <c r="A16297" s="16"/>
    </row>
    <row r="16298" spans="1:1" x14ac:dyDescent="0.25">
      <c r="A16298" s="16"/>
    </row>
    <row r="16299" spans="1:1" x14ac:dyDescent="0.25">
      <c r="A16299" s="16"/>
    </row>
    <row r="16300" spans="1:1" x14ac:dyDescent="0.25">
      <c r="A16300" s="16"/>
    </row>
    <row r="16301" spans="1:1" x14ac:dyDescent="0.25">
      <c r="A16301" s="16"/>
    </row>
    <row r="16302" spans="1:1" x14ac:dyDescent="0.25">
      <c r="A16302" s="16"/>
    </row>
    <row r="16303" spans="1:1" x14ac:dyDescent="0.25">
      <c r="A16303" s="16"/>
    </row>
    <row r="16304" spans="1:1" x14ac:dyDescent="0.25">
      <c r="A16304" s="16"/>
    </row>
    <row r="16305" spans="1:1" x14ac:dyDescent="0.25">
      <c r="A16305" s="16"/>
    </row>
    <row r="16306" spans="1:1" x14ac:dyDescent="0.25">
      <c r="A16306" s="16"/>
    </row>
    <row r="16307" spans="1:1" x14ac:dyDescent="0.25">
      <c r="A16307" s="16"/>
    </row>
    <row r="16308" spans="1:1" x14ac:dyDescent="0.25">
      <c r="A16308" s="16"/>
    </row>
    <row r="16309" spans="1:1" x14ac:dyDescent="0.25">
      <c r="A16309" s="16"/>
    </row>
    <row r="16310" spans="1:1" x14ac:dyDescent="0.25">
      <c r="A16310" s="16"/>
    </row>
    <row r="16311" spans="1:1" x14ac:dyDescent="0.25">
      <c r="A16311" s="16"/>
    </row>
    <row r="16312" spans="1:1" x14ac:dyDescent="0.25">
      <c r="A16312" s="16"/>
    </row>
    <row r="16313" spans="1:1" x14ac:dyDescent="0.25">
      <c r="A16313" s="16"/>
    </row>
    <row r="16314" spans="1:1" x14ac:dyDescent="0.25">
      <c r="A16314" s="16"/>
    </row>
    <row r="16315" spans="1:1" x14ac:dyDescent="0.25">
      <c r="A16315" s="16"/>
    </row>
    <row r="16316" spans="1:1" x14ac:dyDescent="0.25">
      <c r="A16316" s="16"/>
    </row>
    <row r="16317" spans="1:1" x14ac:dyDescent="0.25">
      <c r="A16317" s="16"/>
    </row>
    <row r="16318" spans="1:1" x14ac:dyDescent="0.25">
      <c r="A16318" s="16"/>
    </row>
    <row r="16319" spans="1:1" x14ac:dyDescent="0.25">
      <c r="A16319" s="16"/>
    </row>
    <row r="16320" spans="1:1" x14ac:dyDescent="0.25">
      <c r="A16320" s="16"/>
    </row>
    <row r="16321" spans="1:1" x14ac:dyDescent="0.25">
      <c r="A16321" s="16"/>
    </row>
    <row r="16322" spans="1:1" x14ac:dyDescent="0.25">
      <c r="A16322" s="16"/>
    </row>
    <row r="16323" spans="1:1" x14ac:dyDescent="0.25">
      <c r="A16323" s="16"/>
    </row>
    <row r="16324" spans="1:1" x14ac:dyDescent="0.25">
      <c r="A16324" s="16"/>
    </row>
    <row r="16325" spans="1:1" x14ac:dyDescent="0.25">
      <c r="A16325" s="16"/>
    </row>
    <row r="16326" spans="1:1" x14ac:dyDescent="0.25">
      <c r="A16326" s="16"/>
    </row>
    <row r="16327" spans="1:1" x14ac:dyDescent="0.25">
      <c r="A16327" s="16"/>
    </row>
    <row r="16328" spans="1:1" x14ac:dyDescent="0.25">
      <c r="A16328" s="16"/>
    </row>
    <row r="16329" spans="1:1" x14ac:dyDescent="0.25">
      <c r="A16329" s="16"/>
    </row>
    <row r="16330" spans="1:1" x14ac:dyDescent="0.25">
      <c r="A16330" s="16"/>
    </row>
    <row r="16331" spans="1:1" x14ac:dyDescent="0.25">
      <c r="A16331" s="16"/>
    </row>
    <row r="16332" spans="1:1" x14ac:dyDescent="0.25">
      <c r="A16332" s="16"/>
    </row>
    <row r="16333" spans="1:1" x14ac:dyDescent="0.25">
      <c r="A16333" s="16"/>
    </row>
    <row r="16334" spans="1:1" x14ac:dyDescent="0.25">
      <c r="A16334" s="16"/>
    </row>
    <row r="16335" spans="1:1" x14ac:dyDescent="0.25">
      <c r="A16335" s="16"/>
    </row>
    <row r="16336" spans="1:1" x14ac:dyDescent="0.25">
      <c r="A16336" s="16"/>
    </row>
    <row r="16337" spans="1:1" x14ac:dyDescent="0.25">
      <c r="A16337" s="16"/>
    </row>
    <row r="16338" spans="1:1" x14ac:dyDescent="0.25">
      <c r="A16338" s="16"/>
    </row>
    <row r="16339" spans="1:1" x14ac:dyDescent="0.25">
      <c r="A16339" s="16"/>
    </row>
    <row r="16340" spans="1:1" x14ac:dyDescent="0.25">
      <c r="A16340" s="16"/>
    </row>
    <row r="16341" spans="1:1" x14ac:dyDescent="0.25">
      <c r="A16341" s="16"/>
    </row>
    <row r="16342" spans="1:1" x14ac:dyDescent="0.25">
      <c r="A16342" s="16"/>
    </row>
    <row r="16343" spans="1:1" x14ac:dyDescent="0.25">
      <c r="A16343" s="16"/>
    </row>
    <row r="16344" spans="1:1" x14ac:dyDescent="0.25">
      <c r="A16344" s="16"/>
    </row>
    <row r="16345" spans="1:1" x14ac:dyDescent="0.25">
      <c r="A16345" s="16"/>
    </row>
    <row r="16346" spans="1:1" x14ac:dyDescent="0.25">
      <c r="A16346" s="16"/>
    </row>
    <row r="16347" spans="1:1" x14ac:dyDescent="0.25">
      <c r="A16347" s="16"/>
    </row>
    <row r="16348" spans="1:1" x14ac:dyDescent="0.25">
      <c r="A16348" s="16"/>
    </row>
    <row r="16349" spans="1:1" x14ac:dyDescent="0.25">
      <c r="A16349" s="16"/>
    </row>
    <row r="16350" spans="1:1" x14ac:dyDescent="0.25">
      <c r="A16350" s="16"/>
    </row>
    <row r="16351" spans="1:1" x14ac:dyDescent="0.25">
      <c r="A16351" s="16"/>
    </row>
    <row r="16352" spans="1:1" x14ac:dyDescent="0.25">
      <c r="A16352" s="16"/>
    </row>
    <row r="16353" spans="1:1" x14ac:dyDescent="0.25">
      <c r="A16353" s="16"/>
    </row>
    <row r="16354" spans="1:1" x14ac:dyDescent="0.25">
      <c r="A16354" s="16"/>
    </row>
    <row r="16355" spans="1:1" x14ac:dyDescent="0.25">
      <c r="A16355" s="16"/>
    </row>
    <row r="16356" spans="1:1" x14ac:dyDescent="0.25">
      <c r="A16356" s="16"/>
    </row>
    <row r="16357" spans="1:1" x14ac:dyDescent="0.25">
      <c r="A16357" s="16"/>
    </row>
    <row r="16358" spans="1:1" x14ac:dyDescent="0.25">
      <c r="A16358" s="16"/>
    </row>
    <row r="16359" spans="1:1" x14ac:dyDescent="0.25">
      <c r="A16359" s="16"/>
    </row>
    <row r="16360" spans="1:1" x14ac:dyDescent="0.25">
      <c r="A16360" s="16"/>
    </row>
    <row r="16361" spans="1:1" x14ac:dyDescent="0.25">
      <c r="A16361" s="16"/>
    </row>
    <row r="16362" spans="1:1" x14ac:dyDescent="0.25">
      <c r="A16362" s="16"/>
    </row>
    <row r="16363" spans="1:1" x14ac:dyDescent="0.25">
      <c r="A16363" s="16"/>
    </row>
    <row r="16364" spans="1:1" x14ac:dyDescent="0.25">
      <c r="A16364" s="16"/>
    </row>
    <row r="16365" spans="1:1" x14ac:dyDescent="0.25">
      <c r="A16365" s="16"/>
    </row>
    <row r="16366" spans="1:1" x14ac:dyDescent="0.25">
      <c r="A16366" s="16"/>
    </row>
    <row r="16367" spans="1:1" x14ac:dyDescent="0.25">
      <c r="A16367" s="16"/>
    </row>
    <row r="16368" spans="1:1" x14ac:dyDescent="0.25">
      <c r="A16368" s="16"/>
    </row>
    <row r="16369" spans="1:1" x14ac:dyDescent="0.25">
      <c r="A16369" s="16"/>
    </row>
    <row r="16370" spans="1:1" x14ac:dyDescent="0.25">
      <c r="A16370" s="16"/>
    </row>
    <row r="16371" spans="1:1" x14ac:dyDescent="0.25">
      <c r="A16371" s="16"/>
    </row>
    <row r="16372" spans="1:1" x14ac:dyDescent="0.25">
      <c r="A16372" s="16"/>
    </row>
    <row r="16373" spans="1:1" x14ac:dyDescent="0.25">
      <c r="A16373" s="16"/>
    </row>
    <row r="16374" spans="1:1" x14ac:dyDescent="0.25">
      <c r="A16374" s="16"/>
    </row>
    <row r="16375" spans="1:1" x14ac:dyDescent="0.25">
      <c r="A16375" s="16"/>
    </row>
    <row r="16376" spans="1:1" x14ac:dyDescent="0.25">
      <c r="A16376" s="16"/>
    </row>
    <row r="16377" spans="1:1" x14ac:dyDescent="0.25">
      <c r="A16377" s="16"/>
    </row>
    <row r="16378" spans="1:1" x14ac:dyDescent="0.25">
      <c r="A16378" s="16"/>
    </row>
    <row r="16379" spans="1:1" x14ac:dyDescent="0.25">
      <c r="A16379" s="16"/>
    </row>
    <row r="16380" spans="1:1" x14ac:dyDescent="0.25">
      <c r="A16380" s="16"/>
    </row>
    <row r="16381" spans="1:1" x14ac:dyDescent="0.25">
      <c r="A16381" s="16"/>
    </row>
    <row r="16382" spans="1:1" x14ac:dyDescent="0.25">
      <c r="A16382" s="16"/>
    </row>
    <row r="16383" spans="1:1" x14ac:dyDescent="0.25">
      <c r="A16383" s="16"/>
    </row>
    <row r="16384" spans="1:1" x14ac:dyDescent="0.25">
      <c r="A16384" s="16"/>
    </row>
    <row r="16385" spans="1:1" x14ac:dyDescent="0.25">
      <c r="A16385" s="16"/>
    </row>
    <row r="16386" spans="1:1" x14ac:dyDescent="0.25">
      <c r="A16386" s="16"/>
    </row>
    <row r="16387" spans="1:1" x14ac:dyDescent="0.25">
      <c r="A16387" s="16"/>
    </row>
  </sheetData>
  <mergeCells count="1"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24BF4-D6E6-40E1-8A9E-5344DCC2B643}">
  <sheetPr>
    <tabColor rgb="FF00B050"/>
  </sheetPr>
  <dimension ref="A1:X992"/>
  <sheetViews>
    <sheetView workbookViewId="0">
      <selection activeCell="P2" sqref="P2:P992"/>
    </sheetView>
  </sheetViews>
  <sheetFormatPr defaultRowHeight="15" x14ac:dyDescent="0.25"/>
  <cols>
    <col min="1" max="1" width="17.85546875" bestFit="1" customWidth="1"/>
    <col min="2" max="2" width="17" bestFit="1" customWidth="1"/>
    <col min="3" max="3" width="19.85546875" bestFit="1" customWidth="1"/>
    <col min="4" max="4" width="12.5703125" bestFit="1" customWidth="1"/>
    <col min="5" max="5" width="12.28515625" bestFit="1" customWidth="1"/>
    <col min="6" max="6" width="16.28515625" bestFit="1" customWidth="1"/>
    <col min="7" max="7" width="9" bestFit="1" customWidth="1"/>
    <col min="8" max="8" width="11.85546875" bestFit="1" customWidth="1"/>
    <col min="9" max="9" width="12.42578125" bestFit="1" customWidth="1"/>
    <col min="10" max="10" width="19.85546875" bestFit="1" customWidth="1"/>
    <col min="11" max="11" width="15.5703125" bestFit="1" customWidth="1"/>
    <col min="12" max="12" width="20.42578125" bestFit="1" customWidth="1"/>
    <col min="13" max="13" width="20.28515625" bestFit="1" customWidth="1"/>
    <col min="14" max="14" width="21.140625" bestFit="1" customWidth="1"/>
    <col min="15" max="15" width="20.7109375" bestFit="1" customWidth="1"/>
    <col min="16" max="16" width="12.7109375" bestFit="1" customWidth="1"/>
    <col min="17" max="17" width="14.28515625" bestFit="1" customWidth="1"/>
    <col min="18" max="18" width="15.85546875" bestFit="1" customWidth="1"/>
  </cols>
  <sheetData>
    <row r="1" spans="1:24" s="11" customFormat="1" x14ac:dyDescent="0.25">
      <c r="A1" s="10" t="s">
        <v>0</v>
      </c>
      <c r="B1" s="10" t="s">
        <v>1</v>
      </c>
      <c r="C1" s="10" t="s">
        <v>2</v>
      </c>
      <c r="D1" s="10" t="s">
        <v>4</v>
      </c>
      <c r="E1" s="10" t="s">
        <v>5</v>
      </c>
      <c r="F1" s="10" t="s">
        <v>3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77" t="s">
        <v>841</v>
      </c>
      <c r="P1" s="77" t="s">
        <v>832</v>
      </c>
      <c r="Q1" s="77" t="s">
        <v>840</v>
      </c>
      <c r="R1" s="77" t="s">
        <v>851</v>
      </c>
    </row>
    <row r="2" spans="1:24" x14ac:dyDescent="0.25">
      <c r="A2">
        <v>1</v>
      </c>
      <c r="B2">
        <v>15634602</v>
      </c>
      <c r="C2" t="s">
        <v>14</v>
      </c>
      <c r="D2" t="s">
        <v>15</v>
      </c>
      <c r="E2" t="s">
        <v>16</v>
      </c>
      <c r="F2">
        <v>619</v>
      </c>
      <c r="G2">
        <v>42</v>
      </c>
      <c r="H2">
        <v>2</v>
      </c>
      <c r="I2">
        <v>0</v>
      </c>
      <c r="J2">
        <v>1</v>
      </c>
      <c r="K2">
        <v>1</v>
      </c>
      <c r="L2">
        <v>1</v>
      </c>
      <c r="M2">
        <v>101348.88</v>
      </c>
      <c r="N2">
        <v>1</v>
      </c>
      <c r="O2" t="str">
        <f>IF(F2&lt;580, "Poor", IF(AND(F2&gt;=580, F2&lt;=669), "Average", "Good"))</f>
        <v>Average</v>
      </c>
      <c r="P2" t="str">
        <f>IF(G2&lt;=30, "Young Adult", IF(AND(G2&gt;=31, G2&lt;=50), "Adult", "Senior"))</f>
        <v>Adult</v>
      </c>
      <c r="Q2" t="str">
        <f>IF(M2&lt;30000, "Low Salary", IF(AND(M2&gt;=30000, M2&lt;=70000), "Medium Salary", "High Salary"))</f>
        <v>High Salary</v>
      </c>
      <c r="R2" t="str">
        <f>IF(I2&lt;50000, "Low Balance", IF(AND(I2&gt;=50000, I2&lt;=100000), "Medium Balance", "High Balance"))</f>
        <v>Low Balance</v>
      </c>
      <c r="W2" s="88" t="s">
        <v>827</v>
      </c>
      <c r="X2" s="88"/>
    </row>
    <row r="3" spans="1:24" x14ac:dyDescent="0.25">
      <c r="A3">
        <v>2</v>
      </c>
      <c r="B3">
        <v>15647311</v>
      </c>
      <c r="C3" t="s">
        <v>17</v>
      </c>
      <c r="D3" t="s">
        <v>18</v>
      </c>
      <c r="E3" t="s">
        <v>16</v>
      </c>
      <c r="F3">
        <v>608</v>
      </c>
      <c r="G3">
        <v>41</v>
      </c>
      <c r="H3">
        <v>1</v>
      </c>
      <c r="I3">
        <v>83807.86</v>
      </c>
      <c r="J3">
        <v>1</v>
      </c>
      <c r="K3">
        <v>0</v>
      </c>
      <c r="L3">
        <v>1</v>
      </c>
      <c r="M3">
        <v>112542.58</v>
      </c>
      <c r="N3">
        <v>0</v>
      </c>
      <c r="O3" t="str">
        <f t="shared" ref="O3:O66" si="0">IF(F3&lt;580, "Poor", IF(AND(F3&gt;=580, F3&lt;=669), "Average", "Good"))</f>
        <v>Average</v>
      </c>
      <c r="P3" t="str">
        <f t="shared" ref="P3:P66" si="1">IF(G3&lt;=30, "Young Adult", IF(AND(G3&gt;=31, G3&lt;=50), "Adult", "Senior"))</f>
        <v>Adult</v>
      </c>
      <c r="Q3" t="str">
        <f t="shared" ref="Q3:Q66" si="2">IF(M3&lt;30000, "Low Salary", IF(AND(M3&gt;=30000, M3&lt;=70000), "Medium Salary", "High Salary"))</f>
        <v>High Salary</v>
      </c>
      <c r="R3" t="str">
        <f t="shared" ref="R3:R66" si="3">IF(I3&lt;50000, "Low Balance", IF(AND(I3&gt;=50000, I3&lt;=100000), "Medium Balance", "High Balance"))</f>
        <v>Medium Balance</v>
      </c>
      <c r="W3" s="76" t="s">
        <v>828</v>
      </c>
    </row>
    <row r="4" spans="1:24" x14ac:dyDescent="0.25">
      <c r="A4">
        <v>3</v>
      </c>
      <c r="B4">
        <v>15619304</v>
      </c>
      <c r="C4" t="s">
        <v>19</v>
      </c>
      <c r="D4" t="s">
        <v>15</v>
      </c>
      <c r="E4" t="s">
        <v>16</v>
      </c>
      <c r="F4">
        <v>502</v>
      </c>
      <c r="G4">
        <v>42</v>
      </c>
      <c r="H4">
        <v>8</v>
      </c>
      <c r="I4">
        <v>159660.79999999999</v>
      </c>
      <c r="J4">
        <v>3</v>
      </c>
      <c r="K4">
        <v>1</v>
      </c>
      <c r="L4">
        <v>0</v>
      </c>
      <c r="M4">
        <v>113931.57</v>
      </c>
      <c r="N4">
        <v>1</v>
      </c>
      <c r="O4" t="str">
        <f t="shared" si="0"/>
        <v>Poor</v>
      </c>
      <c r="P4" t="str">
        <f t="shared" si="1"/>
        <v>Adult</v>
      </c>
      <c r="Q4" t="str">
        <f t="shared" si="2"/>
        <v>High Salary</v>
      </c>
      <c r="R4" t="str">
        <f t="shared" si="3"/>
        <v>High Balance</v>
      </c>
      <c r="W4" s="76" t="s">
        <v>829</v>
      </c>
    </row>
    <row r="5" spans="1:24" x14ac:dyDescent="0.25">
      <c r="A5">
        <v>4</v>
      </c>
      <c r="B5">
        <v>15701354</v>
      </c>
      <c r="C5" t="s">
        <v>20</v>
      </c>
      <c r="D5" t="s">
        <v>15</v>
      </c>
      <c r="E5" t="s">
        <v>16</v>
      </c>
      <c r="F5">
        <v>699</v>
      </c>
      <c r="G5">
        <v>39</v>
      </c>
      <c r="H5">
        <v>1</v>
      </c>
      <c r="I5">
        <v>0</v>
      </c>
      <c r="J5">
        <v>2</v>
      </c>
      <c r="K5">
        <v>0</v>
      </c>
      <c r="L5">
        <v>0</v>
      </c>
      <c r="M5">
        <v>93826.63</v>
      </c>
      <c r="N5">
        <v>0</v>
      </c>
      <c r="O5" t="str">
        <f t="shared" si="0"/>
        <v>Good</v>
      </c>
      <c r="P5" t="str">
        <f t="shared" si="1"/>
        <v>Adult</v>
      </c>
      <c r="Q5" t="str">
        <f t="shared" si="2"/>
        <v>High Salary</v>
      </c>
      <c r="R5" t="str">
        <f t="shared" si="3"/>
        <v>Low Balance</v>
      </c>
      <c r="W5" s="76" t="s">
        <v>830</v>
      </c>
    </row>
    <row r="6" spans="1:24" x14ac:dyDescent="0.25">
      <c r="A6">
        <v>5</v>
      </c>
      <c r="B6">
        <v>15737888</v>
      </c>
      <c r="C6" t="s">
        <v>21</v>
      </c>
      <c r="D6" t="s">
        <v>18</v>
      </c>
      <c r="E6" t="s">
        <v>16</v>
      </c>
      <c r="F6">
        <v>850</v>
      </c>
      <c r="G6">
        <v>43</v>
      </c>
      <c r="H6">
        <v>2</v>
      </c>
      <c r="I6">
        <v>125510.82</v>
      </c>
      <c r="J6">
        <v>1</v>
      </c>
      <c r="K6">
        <v>1</v>
      </c>
      <c r="L6">
        <v>1</v>
      </c>
      <c r="M6">
        <v>79084.100000000006</v>
      </c>
      <c r="N6">
        <v>0</v>
      </c>
      <c r="O6" t="str">
        <f t="shared" si="0"/>
        <v>Good</v>
      </c>
      <c r="P6" t="str">
        <f t="shared" si="1"/>
        <v>Adult</v>
      </c>
      <c r="Q6" t="str">
        <f t="shared" si="2"/>
        <v>High Salary</v>
      </c>
      <c r="R6" t="str">
        <f t="shared" si="3"/>
        <v>High Balance</v>
      </c>
    </row>
    <row r="7" spans="1:24" x14ac:dyDescent="0.25">
      <c r="A7">
        <v>6</v>
      </c>
      <c r="B7">
        <v>15574012</v>
      </c>
      <c r="C7" t="s">
        <v>22</v>
      </c>
      <c r="D7" t="s">
        <v>18</v>
      </c>
      <c r="E7" t="s">
        <v>23</v>
      </c>
      <c r="F7">
        <v>645</v>
      </c>
      <c r="G7">
        <v>44</v>
      </c>
      <c r="H7">
        <v>8</v>
      </c>
      <c r="I7">
        <v>113755.78</v>
      </c>
      <c r="J7">
        <v>2</v>
      </c>
      <c r="K7">
        <v>1</v>
      </c>
      <c r="L7">
        <v>0</v>
      </c>
      <c r="M7">
        <v>149756.71</v>
      </c>
      <c r="N7">
        <v>1</v>
      </c>
      <c r="O7" t="str">
        <f t="shared" si="0"/>
        <v>Average</v>
      </c>
      <c r="P7" t="str">
        <f t="shared" si="1"/>
        <v>Adult</v>
      </c>
      <c r="Q7" t="str">
        <f t="shared" si="2"/>
        <v>High Salary</v>
      </c>
      <c r="R7" t="str">
        <f t="shared" si="3"/>
        <v>High Balance</v>
      </c>
    </row>
    <row r="8" spans="1:24" x14ac:dyDescent="0.25">
      <c r="A8">
        <v>7</v>
      </c>
      <c r="B8">
        <v>15592531</v>
      </c>
      <c r="C8" t="s">
        <v>24</v>
      </c>
      <c r="D8" t="s">
        <v>15</v>
      </c>
      <c r="E8" t="s">
        <v>23</v>
      </c>
      <c r="F8">
        <v>822</v>
      </c>
      <c r="G8">
        <v>50</v>
      </c>
      <c r="H8">
        <v>7</v>
      </c>
      <c r="I8">
        <v>0</v>
      </c>
      <c r="J8">
        <v>2</v>
      </c>
      <c r="K8">
        <v>1</v>
      </c>
      <c r="L8">
        <v>1</v>
      </c>
      <c r="M8">
        <v>10062.799999999999</v>
      </c>
      <c r="N8">
        <v>0</v>
      </c>
      <c r="O8" t="str">
        <f t="shared" si="0"/>
        <v>Good</v>
      </c>
      <c r="P8" t="str">
        <f t="shared" si="1"/>
        <v>Adult</v>
      </c>
      <c r="Q8" t="str">
        <f t="shared" si="2"/>
        <v>Low Salary</v>
      </c>
      <c r="R8" t="str">
        <f t="shared" si="3"/>
        <v>Low Balance</v>
      </c>
      <c r="W8" s="76" t="s">
        <v>831</v>
      </c>
    </row>
    <row r="9" spans="1:24" x14ac:dyDescent="0.25">
      <c r="A9">
        <v>8</v>
      </c>
      <c r="B9">
        <v>15656148</v>
      </c>
      <c r="C9" t="s">
        <v>25</v>
      </c>
      <c r="D9" t="s">
        <v>26</v>
      </c>
      <c r="E9" t="s">
        <v>16</v>
      </c>
      <c r="F9">
        <v>376</v>
      </c>
      <c r="G9">
        <v>29</v>
      </c>
      <c r="H9">
        <v>4</v>
      </c>
      <c r="I9">
        <v>115046.74</v>
      </c>
      <c r="J9">
        <v>4</v>
      </c>
      <c r="K9">
        <v>1</v>
      </c>
      <c r="L9">
        <v>0</v>
      </c>
      <c r="M9">
        <v>119346.88</v>
      </c>
      <c r="N9">
        <v>1</v>
      </c>
      <c r="O9" t="str">
        <f t="shared" si="0"/>
        <v>Poor</v>
      </c>
      <c r="P9" t="str">
        <f t="shared" si="1"/>
        <v>Young Adult</v>
      </c>
      <c r="Q9" t="str">
        <f t="shared" si="2"/>
        <v>High Salary</v>
      </c>
      <c r="R9" t="str">
        <f t="shared" si="3"/>
        <v>High Balance</v>
      </c>
      <c r="W9" s="76" t="s">
        <v>833</v>
      </c>
    </row>
    <row r="10" spans="1:24" x14ac:dyDescent="0.25">
      <c r="A10">
        <v>9</v>
      </c>
      <c r="B10">
        <v>15792365</v>
      </c>
      <c r="C10" t="s">
        <v>27</v>
      </c>
      <c r="D10" t="s">
        <v>15</v>
      </c>
      <c r="E10" t="s">
        <v>23</v>
      </c>
      <c r="F10">
        <v>501</v>
      </c>
      <c r="G10">
        <v>44</v>
      </c>
      <c r="H10">
        <v>4</v>
      </c>
      <c r="I10">
        <v>142051.07</v>
      </c>
      <c r="J10">
        <v>2</v>
      </c>
      <c r="K10">
        <v>0</v>
      </c>
      <c r="L10">
        <v>1</v>
      </c>
      <c r="M10">
        <v>74940.5</v>
      </c>
      <c r="N10">
        <v>0</v>
      </c>
      <c r="O10" t="str">
        <f t="shared" si="0"/>
        <v>Poor</v>
      </c>
      <c r="P10" t="str">
        <f t="shared" si="1"/>
        <v>Adult</v>
      </c>
      <c r="Q10" t="str">
        <f t="shared" si="2"/>
        <v>High Salary</v>
      </c>
      <c r="R10" t="str">
        <f t="shared" si="3"/>
        <v>High Balance</v>
      </c>
      <c r="W10" s="76" t="s">
        <v>834</v>
      </c>
    </row>
    <row r="11" spans="1:24" x14ac:dyDescent="0.25">
      <c r="A11">
        <v>10</v>
      </c>
      <c r="B11">
        <v>15592389</v>
      </c>
      <c r="C11" t="s">
        <v>28</v>
      </c>
      <c r="D11" t="s">
        <v>15</v>
      </c>
      <c r="E11" t="s">
        <v>23</v>
      </c>
      <c r="F11">
        <v>684</v>
      </c>
      <c r="G11">
        <v>27</v>
      </c>
      <c r="H11">
        <v>2</v>
      </c>
      <c r="I11">
        <v>134603.88</v>
      </c>
      <c r="J11">
        <v>1</v>
      </c>
      <c r="K11">
        <v>1</v>
      </c>
      <c r="L11">
        <v>1</v>
      </c>
      <c r="M11">
        <v>71725.73</v>
      </c>
      <c r="N11">
        <v>0</v>
      </c>
      <c r="O11" t="str">
        <f t="shared" si="0"/>
        <v>Good</v>
      </c>
      <c r="P11" t="str">
        <f t="shared" si="1"/>
        <v>Young Adult</v>
      </c>
      <c r="Q11" t="str">
        <f t="shared" si="2"/>
        <v>High Salary</v>
      </c>
      <c r="R11" t="str">
        <f t="shared" si="3"/>
        <v>High Balance</v>
      </c>
      <c r="W11" s="76" t="s">
        <v>835</v>
      </c>
    </row>
    <row r="12" spans="1:24" x14ac:dyDescent="0.25">
      <c r="A12">
        <v>11</v>
      </c>
      <c r="B12">
        <v>15767821</v>
      </c>
      <c r="C12" t="s">
        <v>29</v>
      </c>
      <c r="D12" t="s">
        <v>15</v>
      </c>
      <c r="E12" t="s">
        <v>23</v>
      </c>
      <c r="F12">
        <v>528</v>
      </c>
      <c r="G12">
        <v>31</v>
      </c>
      <c r="H12">
        <v>6</v>
      </c>
      <c r="I12">
        <v>102016.72</v>
      </c>
      <c r="J12">
        <v>2</v>
      </c>
      <c r="K12">
        <v>0</v>
      </c>
      <c r="L12">
        <v>0</v>
      </c>
      <c r="M12">
        <v>80181.119999999995</v>
      </c>
      <c r="N12">
        <v>0</v>
      </c>
      <c r="O12" t="str">
        <f t="shared" si="0"/>
        <v>Poor</v>
      </c>
      <c r="P12" t="str">
        <f t="shared" si="1"/>
        <v>Adult</v>
      </c>
      <c r="Q12" t="str">
        <f t="shared" si="2"/>
        <v>High Salary</v>
      </c>
      <c r="R12" t="str">
        <f t="shared" si="3"/>
        <v>High Balance</v>
      </c>
    </row>
    <row r="13" spans="1:24" x14ac:dyDescent="0.25">
      <c r="A13">
        <v>12</v>
      </c>
      <c r="B13">
        <v>15737173</v>
      </c>
      <c r="C13" t="s">
        <v>30</v>
      </c>
      <c r="D13" t="s">
        <v>18</v>
      </c>
      <c r="E13" t="s">
        <v>23</v>
      </c>
      <c r="F13">
        <v>497</v>
      </c>
      <c r="G13">
        <v>24</v>
      </c>
      <c r="H13">
        <v>3</v>
      </c>
      <c r="I13">
        <v>0</v>
      </c>
      <c r="J13">
        <v>2</v>
      </c>
      <c r="K13">
        <v>1</v>
      </c>
      <c r="L13">
        <v>0</v>
      </c>
      <c r="M13">
        <v>76390.009999999995</v>
      </c>
      <c r="N13">
        <v>0</v>
      </c>
      <c r="O13" t="str">
        <f t="shared" si="0"/>
        <v>Poor</v>
      </c>
      <c r="P13" t="str">
        <f t="shared" si="1"/>
        <v>Young Adult</v>
      </c>
      <c r="Q13" t="str">
        <f t="shared" si="2"/>
        <v>High Salary</v>
      </c>
      <c r="R13" t="str">
        <f t="shared" si="3"/>
        <v>Low Balance</v>
      </c>
    </row>
    <row r="14" spans="1:24" x14ac:dyDescent="0.25">
      <c r="A14">
        <v>13</v>
      </c>
      <c r="B14">
        <v>15632264</v>
      </c>
      <c r="C14" t="s">
        <v>31</v>
      </c>
      <c r="D14" t="s">
        <v>15</v>
      </c>
      <c r="E14" t="s">
        <v>16</v>
      </c>
      <c r="F14">
        <v>476</v>
      </c>
      <c r="G14">
        <v>34</v>
      </c>
      <c r="H14">
        <v>10</v>
      </c>
      <c r="I14">
        <v>0</v>
      </c>
      <c r="J14">
        <v>2</v>
      </c>
      <c r="K14">
        <v>1</v>
      </c>
      <c r="L14">
        <v>0</v>
      </c>
      <c r="M14">
        <v>26260.98</v>
      </c>
      <c r="N14">
        <v>0</v>
      </c>
      <c r="O14" t="str">
        <f t="shared" si="0"/>
        <v>Poor</v>
      </c>
      <c r="P14" t="str">
        <f t="shared" si="1"/>
        <v>Adult</v>
      </c>
      <c r="Q14" t="str">
        <f t="shared" si="2"/>
        <v>Low Salary</v>
      </c>
      <c r="R14" t="str">
        <f t="shared" si="3"/>
        <v>Low Balance</v>
      </c>
      <c r="W14" s="76" t="s">
        <v>836</v>
      </c>
    </row>
    <row r="15" spans="1:24" x14ac:dyDescent="0.25">
      <c r="A15">
        <v>14</v>
      </c>
      <c r="B15">
        <v>15691483</v>
      </c>
      <c r="C15" t="s">
        <v>32</v>
      </c>
      <c r="D15" t="s">
        <v>15</v>
      </c>
      <c r="E15" t="s">
        <v>16</v>
      </c>
      <c r="F15">
        <v>549</v>
      </c>
      <c r="G15">
        <v>25</v>
      </c>
      <c r="H15">
        <v>5</v>
      </c>
      <c r="I15">
        <v>0</v>
      </c>
      <c r="J15">
        <v>2</v>
      </c>
      <c r="K15">
        <v>0</v>
      </c>
      <c r="L15">
        <v>0</v>
      </c>
      <c r="M15">
        <v>190857.79</v>
      </c>
      <c r="N15">
        <v>0</v>
      </c>
      <c r="O15" t="str">
        <f t="shared" si="0"/>
        <v>Poor</v>
      </c>
      <c r="P15" t="str">
        <f t="shared" si="1"/>
        <v>Young Adult</v>
      </c>
      <c r="Q15" t="str">
        <f t="shared" si="2"/>
        <v>High Salary</v>
      </c>
      <c r="R15" t="str">
        <f t="shared" si="3"/>
        <v>Low Balance</v>
      </c>
      <c r="W15" s="76" t="s">
        <v>837</v>
      </c>
    </row>
    <row r="16" spans="1:24" x14ac:dyDescent="0.25">
      <c r="A16">
        <v>15</v>
      </c>
      <c r="B16">
        <v>15600882</v>
      </c>
      <c r="C16" t="s">
        <v>33</v>
      </c>
      <c r="D16" t="s">
        <v>18</v>
      </c>
      <c r="E16" t="s">
        <v>16</v>
      </c>
      <c r="F16">
        <v>635</v>
      </c>
      <c r="G16">
        <v>35</v>
      </c>
      <c r="H16">
        <v>7</v>
      </c>
      <c r="I16">
        <v>0</v>
      </c>
      <c r="J16">
        <v>2</v>
      </c>
      <c r="K16">
        <v>1</v>
      </c>
      <c r="L16">
        <v>1</v>
      </c>
      <c r="M16">
        <v>65951.649999999994</v>
      </c>
      <c r="N16">
        <v>0</v>
      </c>
      <c r="O16" t="str">
        <f t="shared" si="0"/>
        <v>Average</v>
      </c>
      <c r="P16" t="str">
        <f t="shared" si="1"/>
        <v>Adult</v>
      </c>
      <c r="Q16" t="str">
        <f t="shared" si="2"/>
        <v>Medium Salary</v>
      </c>
      <c r="R16" t="str">
        <f t="shared" si="3"/>
        <v>Low Balance</v>
      </c>
      <c r="W16" s="76" t="s">
        <v>838</v>
      </c>
    </row>
    <row r="17" spans="1:23" x14ac:dyDescent="0.25">
      <c r="A17">
        <v>16</v>
      </c>
      <c r="B17">
        <v>15643966</v>
      </c>
      <c r="C17" t="s">
        <v>34</v>
      </c>
      <c r="D17" t="s">
        <v>26</v>
      </c>
      <c r="E17" t="s">
        <v>23</v>
      </c>
      <c r="F17">
        <v>616</v>
      </c>
      <c r="G17">
        <v>45</v>
      </c>
      <c r="H17">
        <v>3</v>
      </c>
      <c r="I17">
        <v>143129.41</v>
      </c>
      <c r="J17">
        <v>2</v>
      </c>
      <c r="K17">
        <v>0</v>
      </c>
      <c r="L17">
        <v>1</v>
      </c>
      <c r="M17">
        <v>64327.26</v>
      </c>
      <c r="N17">
        <v>0</v>
      </c>
      <c r="O17" t="str">
        <f t="shared" si="0"/>
        <v>Average</v>
      </c>
      <c r="P17" t="str">
        <f t="shared" si="1"/>
        <v>Adult</v>
      </c>
      <c r="Q17" t="str">
        <f t="shared" si="2"/>
        <v>Medium Salary</v>
      </c>
      <c r="R17" t="str">
        <f t="shared" si="3"/>
        <v>High Balance</v>
      </c>
      <c r="W17" s="76" t="s">
        <v>839</v>
      </c>
    </row>
    <row r="18" spans="1:23" x14ac:dyDescent="0.25">
      <c r="A18">
        <v>17</v>
      </c>
      <c r="B18">
        <v>15737452</v>
      </c>
      <c r="C18" t="s">
        <v>35</v>
      </c>
      <c r="D18" t="s">
        <v>26</v>
      </c>
      <c r="E18" t="s">
        <v>23</v>
      </c>
      <c r="F18">
        <v>653</v>
      </c>
      <c r="G18">
        <v>58</v>
      </c>
      <c r="H18">
        <v>1</v>
      </c>
      <c r="I18">
        <v>132602.88</v>
      </c>
      <c r="J18">
        <v>1</v>
      </c>
      <c r="K18">
        <v>1</v>
      </c>
      <c r="L18">
        <v>0</v>
      </c>
      <c r="M18">
        <v>5097.67</v>
      </c>
      <c r="N18">
        <v>1</v>
      </c>
      <c r="O18" t="str">
        <f t="shared" si="0"/>
        <v>Average</v>
      </c>
      <c r="P18" t="str">
        <f t="shared" si="1"/>
        <v>Senior</v>
      </c>
      <c r="Q18" t="str">
        <f t="shared" si="2"/>
        <v>Low Salary</v>
      </c>
      <c r="R18" t="str">
        <f t="shared" si="3"/>
        <v>High Balance</v>
      </c>
    </row>
    <row r="19" spans="1:23" x14ac:dyDescent="0.25">
      <c r="A19">
        <v>18</v>
      </c>
      <c r="B19">
        <v>15788218</v>
      </c>
      <c r="C19" t="s">
        <v>36</v>
      </c>
      <c r="D19" t="s">
        <v>18</v>
      </c>
      <c r="E19" t="s">
        <v>16</v>
      </c>
      <c r="F19">
        <v>549</v>
      </c>
      <c r="G19">
        <v>24</v>
      </c>
      <c r="H19">
        <v>9</v>
      </c>
      <c r="I19">
        <v>0</v>
      </c>
      <c r="J19">
        <v>2</v>
      </c>
      <c r="K19">
        <v>1</v>
      </c>
      <c r="L19">
        <v>1</v>
      </c>
      <c r="M19">
        <v>14406.41</v>
      </c>
      <c r="N19">
        <v>0</v>
      </c>
      <c r="O19" t="str">
        <f t="shared" si="0"/>
        <v>Poor</v>
      </c>
      <c r="P19" t="str">
        <f t="shared" si="1"/>
        <v>Young Adult</v>
      </c>
      <c r="Q19" t="str">
        <f t="shared" si="2"/>
        <v>Low Salary</v>
      </c>
      <c r="R19" t="str">
        <f t="shared" si="3"/>
        <v>Low Balance</v>
      </c>
      <c r="W19" s="76" t="s">
        <v>851</v>
      </c>
    </row>
    <row r="20" spans="1:23" x14ac:dyDescent="0.25">
      <c r="A20">
        <v>19</v>
      </c>
      <c r="B20">
        <v>15661507</v>
      </c>
      <c r="C20" t="s">
        <v>37</v>
      </c>
      <c r="D20" t="s">
        <v>18</v>
      </c>
      <c r="E20" t="s">
        <v>23</v>
      </c>
      <c r="F20">
        <v>587</v>
      </c>
      <c r="G20">
        <v>45</v>
      </c>
      <c r="H20">
        <v>6</v>
      </c>
      <c r="I20">
        <v>0</v>
      </c>
      <c r="J20">
        <v>1</v>
      </c>
      <c r="K20">
        <v>0</v>
      </c>
      <c r="L20">
        <v>0</v>
      </c>
      <c r="M20">
        <v>158684.81</v>
      </c>
      <c r="N20">
        <v>0</v>
      </c>
      <c r="O20" t="str">
        <f t="shared" si="0"/>
        <v>Average</v>
      </c>
      <c r="P20" t="str">
        <f t="shared" si="1"/>
        <v>Adult</v>
      </c>
      <c r="Q20" t="str">
        <f t="shared" si="2"/>
        <v>High Salary</v>
      </c>
      <c r="R20" t="str">
        <f t="shared" si="3"/>
        <v>Low Balance</v>
      </c>
      <c r="W20" s="76" t="s">
        <v>852</v>
      </c>
    </row>
    <row r="21" spans="1:23" x14ac:dyDescent="0.25">
      <c r="A21">
        <v>20</v>
      </c>
      <c r="B21">
        <v>15568982</v>
      </c>
      <c r="C21" t="s">
        <v>38</v>
      </c>
      <c r="D21" t="s">
        <v>15</v>
      </c>
      <c r="E21" t="s">
        <v>16</v>
      </c>
      <c r="F21">
        <v>726</v>
      </c>
      <c r="G21">
        <v>24</v>
      </c>
      <c r="H21">
        <v>6</v>
      </c>
      <c r="I21">
        <v>0</v>
      </c>
      <c r="J21">
        <v>2</v>
      </c>
      <c r="K21">
        <v>1</v>
      </c>
      <c r="L21">
        <v>1</v>
      </c>
      <c r="M21">
        <v>54724.03</v>
      </c>
      <c r="N21">
        <v>0</v>
      </c>
      <c r="O21" t="str">
        <f t="shared" si="0"/>
        <v>Good</v>
      </c>
      <c r="P21" t="str">
        <f t="shared" si="1"/>
        <v>Young Adult</v>
      </c>
      <c r="Q21" t="str">
        <f t="shared" si="2"/>
        <v>Medium Salary</v>
      </c>
      <c r="R21" t="str">
        <f t="shared" si="3"/>
        <v>Low Balance</v>
      </c>
      <c r="W21" s="76" t="s">
        <v>853</v>
      </c>
    </row>
    <row r="22" spans="1:23" x14ac:dyDescent="0.25">
      <c r="A22">
        <v>21</v>
      </c>
      <c r="B22">
        <v>15577657</v>
      </c>
      <c r="C22" t="s">
        <v>39</v>
      </c>
      <c r="D22" t="s">
        <v>15</v>
      </c>
      <c r="E22" t="s">
        <v>23</v>
      </c>
      <c r="F22">
        <v>732</v>
      </c>
      <c r="G22">
        <v>41</v>
      </c>
      <c r="H22">
        <v>8</v>
      </c>
      <c r="I22">
        <v>0</v>
      </c>
      <c r="J22">
        <v>2</v>
      </c>
      <c r="K22">
        <v>1</v>
      </c>
      <c r="L22">
        <v>1</v>
      </c>
      <c r="M22">
        <v>170886.17</v>
      </c>
      <c r="N22">
        <v>0</v>
      </c>
      <c r="O22" t="str">
        <f t="shared" si="0"/>
        <v>Good</v>
      </c>
      <c r="P22" t="str">
        <f t="shared" si="1"/>
        <v>Adult</v>
      </c>
      <c r="Q22" t="str">
        <f t="shared" si="2"/>
        <v>High Salary</v>
      </c>
      <c r="R22" t="str">
        <f t="shared" si="3"/>
        <v>Low Balance</v>
      </c>
      <c r="W22" s="76" t="s">
        <v>854</v>
      </c>
    </row>
    <row r="23" spans="1:23" x14ac:dyDescent="0.25">
      <c r="A23">
        <v>22</v>
      </c>
      <c r="B23">
        <v>15597945</v>
      </c>
      <c r="C23" t="s">
        <v>40</v>
      </c>
      <c r="D23" t="s">
        <v>18</v>
      </c>
      <c r="E23" t="s">
        <v>16</v>
      </c>
      <c r="F23">
        <v>636</v>
      </c>
      <c r="G23">
        <v>32</v>
      </c>
      <c r="H23">
        <v>8</v>
      </c>
      <c r="I23">
        <v>0</v>
      </c>
      <c r="J23">
        <v>2</v>
      </c>
      <c r="K23">
        <v>1</v>
      </c>
      <c r="L23">
        <v>0</v>
      </c>
      <c r="M23">
        <v>98368.24</v>
      </c>
      <c r="N23">
        <v>0</v>
      </c>
      <c r="O23" t="str">
        <f t="shared" si="0"/>
        <v>Average</v>
      </c>
      <c r="P23" t="str">
        <f t="shared" si="1"/>
        <v>Adult</v>
      </c>
      <c r="Q23" t="str">
        <f t="shared" si="2"/>
        <v>High Salary</v>
      </c>
      <c r="R23" t="str">
        <f t="shared" si="3"/>
        <v>Low Balance</v>
      </c>
    </row>
    <row r="24" spans="1:23" x14ac:dyDescent="0.25">
      <c r="A24">
        <v>23</v>
      </c>
      <c r="B24">
        <v>15699309</v>
      </c>
      <c r="C24" t="s">
        <v>41</v>
      </c>
      <c r="D24" t="s">
        <v>18</v>
      </c>
      <c r="E24" t="s">
        <v>16</v>
      </c>
      <c r="F24">
        <v>510</v>
      </c>
      <c r="G24">
        <v>37</v>
      </c>
      <c r="H24">
        <v>4</v>
      </c>
      <c r="I24">
        <v>0</v>
      </c>
      <c r="J24">
        <v>1</v>
      </c>
      <c r="K24">
        <v>1</v>
      </c>
      <c r="L24">
        <v>0</v>
      </c>
      <c r="M24">
        <v>118913.53</v>
      </c>
      <c r="N24">
        <v>1</v>
      </c>
      <c r="O24" t="str">
        <f t="shared" si="0"/>
        <v>Poor</v>
      </c>
      <c r="P24" t="str">
        <f t="shared" si="1"/>
        <v>Adult</v>
      </c>
      <c r="Q24" t="str">
        <f t="shared" si="2"/>
        <v>High Salary</v>
      </c>
      <c r="R24" t="str">
        <f t="shared" si="3"/>
        <v>Low Balance</v>
      </c>
    </row>
    <row r="25" spans="1:23" x14ac:dyDescent="0.25">
      <c r="A25">
        <v>24</v>
      </c>
      <c r="B25">
        <v>15725737</v>
      </c>
      <c r="C25" t="s">
        <v>42</v>
      </c>
      <c r="D25" t="s">
        <v>15</v>
      </c>
      <c r="E25" t="s">
        <v>23</v>
      </c>
      <c r="F25">
        <v>669</v>
      </c>
      <c r="G25">
        <v>46</v>
      </c>
      <c r="H25">
        <v>3</v>
      </c>
      <c r="I25">
        <v>0</v>
      </c>
      <c r="J25">
        <v>2</v>
      </c>
      <c r="K25">
        <v>0</v>
      </c>
      <c r="L25">
        <v>1</v>
      </c>
      <c r="M25">
        <v>8487.75</v>
      </c>
      <c r="N25">
        <v>0</v>
      </c>
      <c r="O25" t="str">
        <f t="shared" si="0"/>
        <v>Average</v>
      </c>
      <c r="P25" t="str">
        <f t="shared" si="1"/>
        <v>Adult</v>
      </c>
      <c r="Q25" t="str">
        <f t="shared" si="2"/>
        <v>Low Salary</v>
      </c>
      <c r="R25" t="str">
        <f t="shared" si="3"/>
        <v>Low Balance</v>
      </c>
    </row>
    <row r="26" spans="1:23" x14ac:dyDescent="0.25">
      <c r="A26">
        <v>25</v>
      </c>
      <c r="B26">
        <v>15625047</v>
      </c>
      <c r="C26" t="s">
        <v>43</v>
      </c>
      <c r="D26" t="s">
        <v>15</v>
      </c>
      <c r="E26" t="s">
        <v>16</v>
      </c>
      <c r="F26">
        <v>846</v>
      </c>
      <c r="G26">
        <v>38</v>
      </c>
      <c r="H26">
        <v>5</v>
      </c>
      <c r="I26">
        <v>0</v>
      </c>
      <c r="J26">
        <v>1</v>
      </c>
      <c r="K26">
        <v>1</v>
      </c>
      <c r="L26">
        <v>1</v>
      </c>
      <c r="M26">
        <v>187616.16</v>
      </c>
      <c r="N26">
        <v>0</v>
      </c>
      <c r="O26" t="str">
        <f t="shared" si="0"/>
        <v>Good</v>
      </c>
      <c r="P26" t="str">
        <f t="shared" si="1"/>
        <v>Adult</v>
      </c>
      <c r="Q26" t="str">
        <f t="shared" si="2"/>
        <v>High Salary</v>
      </c>
      <c r="R26" t="str">
        <f t="shared" si="3"/>
        <v>Low Balance</v>
      </c>
    </row>
    <row r="27" spans="1:23" x14ac:dyDescent="0.25">
      <c r="A27">
        <v>26</v>
      </c>
      <c r="B27">
        <v>15738191</v>
      </c>
      <c r="C27" t="s">
        <v>44</v>
      </c>
      <c r="D27" t="s">
        <v>15</v>
      </c>
      <c r="E27" t="s">
        <v>23</v>
      </c>
      <c r="F27">
        <v>577</v>
      </c>
      <c r="G27">
        <v>25</v>
      </c>
      <c r="H27">
        <v>3</v>
      </c>
      <c r="I27">
        <v>0</v>
      </c>
      <c r="J27">
        <v>2</v>
      </c>
      <c r="K27">
        <v>0</v>
      </c>
      <c r="L27">
        <v>1</v>
      </c>
      <c r="M27">
        <v>124508.29</v>
      </c>
      <c r="N27">
        <v>0</v>
      </c>
      <c r="O27" t="str">
        <f t="shared" si="0"/>
        <v>Poor</v>
      </c>
      <c r="P27" t="str">
        <f t="shared" si="1"/>
        <v>Young Adult</v>
      </c>
      <c r="Q27" t="str">
        <f t="shared" si="2"/>
        <v>High Salary</v>
      </c>
      <c r="R27" t="str">
        <f t="shared" si="3"/>
        <v>Low Balance</v>
      </c>
    </row>
    <row r="28" spans="1:23" x14ac:dyDescent="0.25">
      <c r="A28">
        <v>27</v>
      </c>
      <c r="B28">
        <v>15736816</v>
      </c>
      <c r="C28" t="s">
        <v>45</v>
      </c>
      <c r="D28" t="s">
        <v>26</v>
      </c>
      <c r="E28" t="s">
        <v>23</v>
      </c>
      <c r="F28">
        <v>756</v>
      </c>
      <c r="G28">
        <v>36</v>
      </c>
      <c r="H28">
        <v>2</v>
      </c>
      <c r="I28">
        <v>136815.64000000001</v>
      </c>
      <c r="J28">
        <v>1</v>
      </c>
      <c r="K28">
        <v>1</v>
      </c>
      <c r="L28">
        <v>1</v>
      </c>
      <c r="M28">
        <v>170041.95</v>
      </c>
      <c r="N28">
        <v>0</v>
      </c>
      <c r="O28" t="str">
        <f t="shared" si="0"/>
        <v>Good</v>
      </c>
      <c r="P28" t="str">
        <f t="shared" si="1"/>
        <v>Adult</v>
      </c>
      <c r="Q28" t="str">
        <f t="shared" si="2"/>
        <v>High Salary</v>
      </c>
      <c r="R28" t="str">
        <f t="shared" si="3"/>
        <v>High Balance</v>
      </c>
    </row>
    <row r="29" spans="1:23" x14ac:dyDescent="0.25">
      <c r="A29">
        <v>28</v>
      </c>
      <c r="B29">
        <v>15700772</v>
      </c>
      <c r="C29" t="s">
        <v>46</v>
      </c>
      <c r="D29" t="s">
        <v>15</v>
      </c>
      <c r="E29" t="s">
        <v>23</v>
      </c>
      <c r="F29">
        <v>571</v>
      </c>
      <c r="G29">
        <v>44</v>
      </c>
      <c r="H29">
        <v>9</v>
      </c>
      <c r="I29">
        <v>0</v>
      </c>
      <c r="J29">
        <v>2</v>
      </c>
      <c r="K29">
        <v>0</v>
      </c>
      <c r="L29">
        <v>0</v>
      </c>
      <c r="M29">
        <v>38433.35</v>
      </c>
      <c r="N29">
        <v>0</v>
      </c>
      <c r="O29" t="str">
        <f t="shared" si="0"/>
        <v>Poor</v>
      </c>
      <c r="P29" t="str">
        <f t="shared" si="1"/>
        <v>Adult</v>
      </c>
      <c r="Q29" t="str">
        <f t="shared" si="2"/>
        <v>Medium Salary</v>
      </c>
      <c r="R29" t="str">
        <f t="shared" si="3"/>
        <v>Low Balance</v>
      </c>
    </row>
    <row r="30" spans="1:23" x14ac:dyDescent="0.25">
      <c r="A30">
        <v>29</v>
      </c>
      <c r="B30">
        <v>15728693</v>
      </c>
      <c r="C30" t="s">
        <v>47</v>
      </c>
      <c r="D30" t="s">
        <v>26</v>
      </c>
      <c r="E30" t="s">
        <v>16</v>
      </c>
      <c r="F30">
        <v>574</v>
      </c>
      <c r="G30">
        <v>43</v>
      </c>
      <c r="H30">
        <v>3</v>
      </c>
      <c r="I30">
        <v>141349.43</v>
      </c>
      <c r="J30">
        <v>1</v>
      </c>
      <c r="K30">
        <v>1</v>
      </c>
      <c r="L30">
        <v>1</v>
      </c>
      <c r="M30">
        <v>100187.43</v>
      </c>
      <c r="N30">
        <v>0</v>
      </c>
      <c r="O30" t="str">
        <f t="shared" si="0"/>
        <v>Poor</v>
      </c>
      <c r="P30" t="str">
        <f t="shared" si="1"/>
        <v>Adult</v>
      </c>
      <c r="Q30" t="str">
        <f t="shared" si="2"/>
        <v>High Salary</v>
      </c>
      <c r="R30" t="str">
        <f t="shared" si="3"/>
        <v>High Balance</v>
      </c>
    </row>
    <row r="31" spans="1:23" x14ac:dyDescent="0.25">
      <c r="A31">
        <v>30</v>
      </c>
      <c r="B31">
        <v>15656300</v>
      </c>
      <c r="C31" t="s">
        <v>48</v>
      </c>
      <c r="D31" t="s">
        <v>15</v>
      </c>
      <c r="E31" t="s">
        <v>23</v>
      </c>
      <c r="F31">
        <v>411</v>
      </c>
      <c r="G31">
        <v>29</v>
      </c>
      <c r="H31">
        <v>0</v>
      </c>
      <c r="I31">
        <v>59697.17</v>
      </c>
      <c r="J31">
        <v>2</v>
      </c>
      <c r="K31">
        <v>1</v>
      </c>
      <c r="L31">
        <v>1</v>
      </c>
      <c r="M31">
        <v>53483.21</v>
      </c>
      <c r="N31">
        <v>0</v>
      </c>
      <c r="O31" t="str">
        <f t="shared" si="0"/>
        <v>Poor</v>
      </c>
      <c r="P31" t="str">
        <f t="shared" si="1"/>
        <v>Young Adult</v>
      </c>
      <c r="Q31" t="str">
        <f t="shared" si="2"/>
        <v>Medium Salary</v>
      </c>
      <c r="R31" t="str">
        <f t="shared" si="3"/>
        <v>Medium Balance</v>
      </c>
    </row>
    <row r="32" spans="1:23" x14ac:dyDescent="0.25">
      <c r="A32">
        <v>31</v>
      </c>
      <c r="B32">
        <v>15589475</v>
      </c>
      <c r="C32" t="s">
        <v>49</v>
      </c>
      <c r="D32" t="s">
        <v>18</v>
      </c>
      <c r="E32" t="s">
        <v>16</v>
      </c>
      <c r="F32">
        <v>591</v>
      </c>
      <c r="G32">
        <v>39</v>
      </c>
      <c r="H32">
        <v>3</v>
      </c>
      <c r="I32">
        <v>0</v>
      </c>
      <c r="J32">
        <v>3</v>
      </c>
      <c r="K32">
        <v>1</v>
      </c>
      <c r="L32">
        <v>0</v>
      </c>
      <c r="M32">
        <v>140469.38</v>
      </c>
      <c r="N32">
        <v>1</v>
      </c>
      <c r="O32" t="str">
        <f t="shared" si="0"/>
        <v>Average</v>
      </c>
      <c r="P32" t="str">
        <f t="shared" si="1"/>
        <v>Adult</v>
      </c>
      <c r="Q32" t="str">
        <f t="shared" si="2"/>
        <v>High Salary</v>
      </c>
      <c r="R32" t="str">
        <f t="shared" si="3"/>
        <v>Low Balance</v>
      </c>
    </row>
    <row r="33" spans="1:18" x14ac:dyDescent="0.25">
      <c r="A33">
        <v>32</v>
      </c>
      <c r="B33">
        <v>15706552</v>
      </c>
      <c r="C33" t="s">
        <v>50</v>
      </c>
      <c r="D33" t="s">
        <v>15</v>
      </c>
      <c r="E33" t="s">
        <v>23</v>
      </c>
      <c r="F33">
        <v>533</v>
      </c>
      <c r="G33">
        <v>36</v>
      </c>
      <c r="H33">
        <v>7</v>
      </c>
      <c r="I33">
        <v>85311.7</v>
      </c>
      <c r="J33">
        <v>1</v>
      </c>
      <c r="K33">
        <v>0</v>
      </c>
      <c r="L33">
        <v>1</v>
      </c>
      <c r="M33">
        <v>156731.91</v>
      </c>
      <c r="N33">
        <v>0</v>
      </c>
      <c r="O33" t="str">
        <f t="shared" si="0"/>
        <v>Poor</v>
      </c>
      <c r="P33" t="str">
        <f t="shared" si="1"/>
        <v>Adult</v>
      </c>
      <c r="Q33" t="str">
        <f t="shared" si="2"/>
        <v>High Salary</v>
      </c>
      <c r="R33" t="str">
        <f t="shared" si="3"/>
        <v>Medium Balance</v>
      </c>
    </row>
    <row r="34" spans="1:18" x14ac:dyDescent="0.25">
      <c r="A34">
        <v>33</v>
      </c>
      <c r="B34">
        <v>15750181</v>
      </c>
      <c r="C34" t="s">
        <v>51</v>
      </c>
      <c r="D34" t="s">
        <v>26</v>
      </c>
      <c r="E34" t="s">
        <v>23</v>
      </c>
      <c r="F34">
        <v>553</v>
      </c>
      <c r="G34">
        <v>41</v>
      </c>
      <c r="H34">
        <v>9</v>
      </c>
      <c r="I34">
        <v>110112.54</v>
      </c>
      <c r="J34">
        <v>2</v>
      </c>
      <c r="K34">
        <v>0</v>
      </c>
      <c r="L34">
        <v>0</v>
      </c>
      <c r="M34">
        <v>81898.81</v>
      </c>
      <c r="N34">
        <v>0</v>
      </c>
      <c r="O34" t="str">
        <f t="shared" si="0"/>
        <v>Poor</v>
      </c>
      <c r="P34" t="str">
        <f t="shared" si="1"/>
        <v>Adult</v>
      </c>
      <c r="Q34" t="str">
        <f t="shared" si="2"/>
        <v>High Salary</v>
      </c>
      <c r="R34" t="str">
        <f t="shared" si="3"/>
        <v>High Balance</v>
      </c>
    </row>
    <row r="35" spans="1:18" x14ac:dyDescent="0.25">
      <c r="A35">
        <v>34</v>
      </c>
      <c r="B35">
        <v>15659428</v>
      </c>
      <c r="C35" t="s">
        <v>52</v>
      </c>
      <c r="D35" t="s">
        <v>18</v>
      </c>
      <c r="E35" t="s">
        <v>16</v>
      </c>
      <c r="F35">
        <v>520</v>
      </c>
      <c r="G35">
        <v>42</v>
      </c>
      <c r="H35">
        <v>6</v>
      </c>
      <c r="I35">
        <v>0</v>
      </c>
      <c r="J35">
        <v>2</v>
      </c>
      <c r="K35">
        <v>1</v>
      </c>
      <c r="L35">
        <v>1</v>
      </c>
      <c r="M35">
        <v>34410.550000000003</v>
      </c>
      <c r="N35">
        <v>0</v>
      </c>
      <c r="O35" t="str">
        <f t="shared" si="0"/>
        <v>Poor</v>
      </c>
      <c r="P35" t="str">
        <f t="shared" si="1"/>
        <v>Adult</v>
      </c>
      <c r="Q35" t="str">
        <f t="shared" si="2"/>
        <v>Medium Salary</v>
      </c>
      <c r="R35" t="str">
        <f t="shared" si="3"/>
        <v>Low Balance</v>
      </c>
    </row>
    <row r="36" spans="1:18" x14ac:dyDescent="0.25">
      <c r="A36">
        <v>35</v>
      </c>
      <c r="B36">
        <v>15732963</v>
      </c>
      <c r="C36" t="s">
        <v>53</v>
      </c>
      <c r="D36" t="s">
        <v>18</v>
      </c>
      <c r="E36" t="s">
        <v>16</v>
      </c>
      <c r="F36">
        <v>722</v>
      </c>
      <c r="G36">
        <v>29</v>
      </c>
      <c r="H36">
        <v>9</v>
      </c>
      <c r="I36">
        <v>0</v>
      </c>
      <c r="J36">
        <v>2</v>
      </c>
      <c r="K36">
        <v>1</v>
      </c>
      <c r="L36">
        <v>1</v>
      </c>
      <c r="M36">
        <v>142033.07</v>
      </c>
      <c r="N36">
        <v>0</v>
      </c>
      <c r="O36" t="str">
        <f t="shared" si="0"/>
        <v>Good</v>
      </c>
      <c r="P36" t="str">
        <f t="shared" si="1"/>
        <v>Young Adult</v>
      </c>
      <c r="Q36" t="str">
        <f t="shared" si="2"/>
        <v>High Salary</v>
      </c>
      <c r="R36" t="str">
        <f t="shared" si="3"/>
        <v>Low Balance</v>
      </c>
    </row>
    <row r="37" spans="1:18" x14ac:dyDescent="0.25">
      <c r="A37">
        <v>36</v>
      </c>
      <c r="B37">
        <v>15794171</v>
      </c>
      <c r="C37" t="s">
        <v>54</v>
      </c>
      <c r="D37" t="s">
        <v>15</v>
      </c>
      <c r="E37" t="s">
        <v>16</v>
      </c>
      <c r="F37">
        <v>475</v>
      </c>
      <c r="G37">
        <v>45</v>
      </c>
      <c r="H37">
        <v>0</v>
      </c>
      <c r="I37">
        <v>134264.04</v>
      </c>
      <c r="J37">
        <v>1</v>
      </c>
      <c r="K37">
        <v>1</v>
      </c>
      <c r="L37">
        <v>0</v>
      </c>
      <c r="M37">
        <v>27822.99</v>
      </c>
      <c r="N37">
        <v>1</v>
      </c>
      <c r="O37" t="str">
        <f t="shared" si="0"/>
        <v>Poor</v>
      </c>
      <c r="P37" t="str">
        <f t="shared" si="1"/>
        <v>Adult</v>
      </c>
      <c r="Q37" t="str">
        <f t="shared" si="2"/>
        <v>Low Salary</v>
      </c>
      <c r="R37" t="str">
        <f t="shared" si="3"/>
        <v>High Balance</v>
      </c>
    </row>
    <row r="38" spans="1:18" x14ac:dyDescent="0.25">
      <c r="A38">
        <v>37</v>
      </c>
      <c r="B38">
        <v>15788448</v>
      </c>
      <c r="C38" t="s">
        <v>55</v>
      </c>
      <c r="D38" t="s">
        <v>18</v>
      </c>
      <c r="E38" t="s">
        <v>23</v>
      </c>
      <c r="F38">
        <v>490</v>
      </c>
      <c r="G38">
        <v>31</v>
      </c>
      <c r="H38">
        <v>3</v>
      </c>
      <c r="I38">
        <v>145260.23000000001</v>
      </c>
      <c r="J38">
        <v>1</v>
      </c>
      <c r="K38">
        <v>0</v>
      </c>
      <c r="L38">
        <v>1</v>
      </c>
      <c r="M38">
        <v>114066.77</v>
      </c>
      <c r="N38">
        <v>0</v>
      </c>
      <c r="O38" t="str">
        <f t="shared" si="0"/>
        <v>Poor</v>
      </c>
      <c r="P38" t="str">
        <f t="shared" si="1"/>
        <v>Adult</v>
      </c>
      <c r="Q38" t="str">
        <f t="shared" si="2"/>
        <v>High Salary</v>
      </c>
      <c r="R38" t="str">
        <f t="shared" si="3"/>
        <v>High Balance</v>
      </c>
    </row>
    <row r="39" spans="1:18" x14ac:dyDescent="0.25">
      <c r="A39">
        <v>38</v>
      </c>
      <c r="B39">
        <v>15729599</v>
      </c>
      <c r="C39" t="s">
        <v>56</v>
      </c>
      <c r="D39" t="s">
        <v>18</v>
      </c>
      <c r="E39" t="s">
        <v>23</v>
      </c>
      <c r="F39">
        <v>804</v>
      </c>
      <c r="G39">
        <v>33</v>
      </c>
      <c r="H39">
        <v>7</v>
      </c>
      <c r="I39">
        <v>76548.600000000006</v>
      </c>
      <c r="J39">
        <v>1</v>
      </c>
      <c r="K39">
        <v>0</v>
      </c>
      <c r="L39">
        <v>1</v>
      </c>
      <c r="M39">
        <v>98453.45</v>
      </c>
      <c r="N39">
        <v>0</v>
      </c>
      <c r="O39" t="str">
        <f t="shared" si="0"/>
        <v>Good</v>
      </c>
      <c r="P39" t="str">
        <f t="shared" si="1"/>
        <v>Adult</v>
      </c>
      <c r="Q39" t="str">
        <f t="shared" si="2"/>
        <v>High Salary</v>
      </c>
      <c r="R39" t="str">
        <f t="shared" si="3"/>
        <v>Medium Balance</v>
      </c>
    </row>
    <row r="40" spans="1:18" x14ac:dyDescent="0.25">
      <c r="A40">
        <v>39</v>
      </c>
      <c r="B40">
        <v>15717426</v>
      </c>
      <c r="C40" t="s">
        <v>57</v>
      </c>
      <c r="D40" t="s">
        <v>15</v>
      </c>
      <c r="E40" t="s">
        <v>23</v>
      </c>
      <c r="F40">
        <v>850</v>
      </c>
      <c r="G40">
        <v>36</v>
      </c>
      <c r="H40">
        <v>7</v>
      </c>
      <c r="I40">
        <v>0</v>
      </c>
      <c r="J40">
        <v>1</v>
      </c>
      <c r="K40">
        <v>1</v>
      </c>
      <c r="L40">
        <v>1</v>
      </c>
      <c r="M40">
        <v>40812.9</v>
      </c>
      <c r="N40">
        <v>0</v>
      </c>
      <c r="O40" t="str">
        <f t="shared" si="0"/>
        <v>Good</v>
      </c>
      <c r="P40" t="str">
        <f t="shared" si="1"/>
        <v>Adult</v>
      </c>
      <c r="Q40" t="str">
        <f t="shared" si="2"/>
        <v>Medium Salary</v>
      </c>
      <c r="R40" t="str">
        <f t="shared" si="3"/>
        <v>Low Balance</v>
      </c>
    </row>
    <row r="41" spans="1:18" x14ac:dyDescent="0.25">
      <c r="A41">
        <v>40</v>
      </c>
      <c r="B41">
        <v>15585768</v>
      </c>
      <c r="C41" t="s">
        <v>58</v>
      </c>
      <c r="D41" t="s">
        <v>26</v>
      </c>
      <c r="E41" t="s">
        <v>23</v>
      </c>
      <c r="F41">
        <v>582</v>
      </c>
      <c r="G41">
        <v>41</v>
      </c>
      <c r="H41">
        <v>6</v>
      </c>
      <c r="I41">
        <v>70349.48</v>
      </c>
      <c r="J41">
        <v>2</v>
      </c>
      <c r="K41">
        <v>0</v>
      </c>
      <c r="L41">
        <v>1</v>
      </c>
      <c r="M41">
        <v>178074.04</v>
      </c>
      <c r="N41">
        <v>0</v>
      </c>
      <c r="O41" t="str">
        <f t="shared" si="0"/>
        <v>Average</v>
      </c>
      <c r="P41" t="str">
        <f t="shared" si="1"/>
        <v>Adult</v>
      </c>
      <c r="Q41" t="str">
        <f t="shared" si="2"/>
        <v>High Salary</v>
      </c>
      <c r="R41" t="str">
        <f t="shared" si="3"/>
        <v>Medium Balance</v>
      </c>
    </row>
    <row r="42" spans="1:18" x14ac:dyDescent="0.25">
      <c r="A42">
        <v>41</v>
      </c>
      <c r="B42">
        <v>15619360</v>
      </c>
      <c r="C42" t="s">
        <v>59</v>
      </c>
      <c r="D42" t="s">
        <v>18</v>
      </c>
      <c r="E42" t="s">
        <v>23</v>
      </c>
      <c r="F42">
        <v>472</v>
      </c>
      <c r="G42">
        <v>40</v>
      </c>
      <c r="H42">
        <v>4</v>
      </c>
      <c r="I42">
        <v>0</v>
      </c>
      <c r="J42">
        <v>1</v>
      </c>
      <c r="K42">
        <v>1</v>
      </c>
      <c r="L42">
        <v>0</v>
      </c>
      <c r="M42">
        <v>70154.22</v>
      </c>
      <c r="N42">
        <v>0</v>
      </c>
      <c r="O42" t="str">
        <f t="shared" si="0"/>
        <v>Poor</v>
      </c>
      <c r="P42" t="str">
        <f t="shared" si="1"/>
        <v>Adult</v>
      </c>
      <c r="Q42" t="str">
        <f t="shared" si="2"/>
        <v>High Salary</v>
      </c>
      <c r="R42" t="str">
        <f t="shared" si="3"/>
        <v>Low Balance</v>
      </c>
    </row>
    <row r="43" spans="1:18" x14ac:dyDescent="0.25">
      <c r="A43">
        <v>42</v>
      </c>
      <c r="B43">
        <v>15738148</v>
      </c>
      <c r="C43" t="s">
        <v>60</v>
      </c>
      <c r="D43" t="s">
        <v>15</v>
      </c>
      <c r="E43" t="s">
        <v>16</v>
      </c>
      <c r="F43">
        <v>465</v>
      </c>
      <c r="G43">
        <v>51</v>
      </c>
      <c r="H43">
        <v>8</v>
      </c>
      <c r="I43">
        <v>122522.32</v>
      </c>
      <c r="J43">
        <v>1</v>
      </c>
      <c r="K43">
        <v>0</v>
      </c>
      <c r="L43">
        <v>0</v>
      </c>
      <c r="M43">
        <v>181297.65</v>
      </c>
      <c r="N43">
        <v>1</v>
      </c>
      <c r="O43" t="str">
        <f t="shared" si="0"/>
        <v>Poor</v>
      </c>
      <c r="P43" t="str">
        <f t="shared" si="1"/>
        <v>Senior</v>
      </c>
      <c r="Q43" t="str">
        <f t="shared" si="2"/>
        <v>High Salary</v>
      </c>
      <c r="R43" t="str">
        <f t="shared" si="3"/>
        <v>High Balance</v>
      </c>
    </row>
    <row r="44" spans="1:18" x14ac:dyDescent="0.25">
      <c r="A44">
        <v>43</v>
      </c>
      <c r="B44">
        <v>15687946</v>
      </c>
      <c r="C44" t="s">
        <v>61</v>
      </c>
      <c r="D44" t="s">
        <v>15</v>
      </c>
      <c r="E44" t="s">
        <v>16</v>
      </c>
      <c r="F44">
        <v>556</v>
      </c>
      <c r="G44">
        <v>61</v>
      </c>
      <c r="H44">
        <v>2</v>
      </c>
      <c r="I44">
        <v>117419.35</v>
      </c>
      <c r="J44">
        <v>1</v>
      </c>
      <c r="K44">
        <v>1</v>
      </c>
      <c r="L44">
        <v>1</v>
      </c>
      <c r="M44">
        <v>94153.83</v>
      </c>
      <c r="N44">
        <v>0</v>
      </c>
      <c r="O44" t="str">
        <f t="shared" si="0"/>
        <v>Poor</v>
      </c>
      <c r="P44" t="str">
        <f t="shared" si="1"/>
        <v>Senior</v>
      </c>
      <c r="Q44" t="str">
        <f t="shared" si="2"/>
        <v>High Salary</v>
      </c>
      <c r="R44" t="str">
        <f t="shared" si="3"/>
        <v>High Balance</v>
      </c>
    </row>
    <row r="45" spans="1:18" x14ac:dyDescent="0.25">
      <c r="A45">
        <v>44</v>
      </c>
      <c r="B45">
        <v>15755196</v>
      </c>
      <c r="C45" t="s">
        <v>62</v>
      </c>
      <c r="D45" t="s">
        <v>15</v>
      </c>
      <c r="E45" t="s">
        <v>16</v>
      </c>
      <c r="F45">
        <v>834</v>
      </c>
      <c r="G45">
        <v>49</v>
      </c>
      <c r="H45">
        <v>2</v>
      </c>
      <c r="I45">
        <v>131394.56</v>
      </c>
      <c r="J45">
        <v>1</v>
      </c>
      <c r="K45">
        <v>0</v>
      </c>
      <c r="L45">
        <v>0</v>
      </c>
      <c r="M45">
        <v>194365.76</v>
      </c>
      <c r="N45">
        <v>1</v>
      </c>
      <c r="O45" t="str">
        <f t="shared" si="0"/>
        <v>Good</v>
      </c>
      <c r="P45" t="str">
        <f t="shared" si="1"/>
        <v>Adult</v>
      </c>
      <c r="Q45" t="str">
        <f t="shared" si="2"/>
        <v>High Salary</v>
      </c>
      <c r="R45" t="str">
        <f t="shared" si="3"/>
        <v>High Balance</v>
      </c>
    </row>
    <row r="46" spans="1:18" x14ac:dyDescent="0.25">
      <c r="A46">
        <v>45</v>
      </c>
      <c r="B46">
        <v>15684171</v>
      </c>
      <c r="C46" t="s">
        <v>63</v>
      </c>
      <c r="D46" t="s">
        <v>18</v>
      </c>
      <c r="E46" t="s">
        <v>16</v>
      </c>
      <c r="F46">
        <v>660</v>
      </c>
      <c r="G46">
        <v>61</v>
      </c>
      <c r="H46">
        <v>5</v>
      </c>
      <c r="I46">
        <v>155931.10999999999</v>
      </c>
      <c r="J46">
        <v>1</v>
      </c>
      <c r="K46">
        <v>1</v>
      </c>
      <c r="L46">
        <v>1</v>
      </c>
      <c r="M46">
        <v>158338.39000000001</v>
      </c>
      <c r="N46">
        <v>0</v>
      </c>
      <c r="O46" t="str">
        <f t="shared" si="0"/>
        <v>Average</v>
      </c>
      <c r="P46" t="str">
        <f t="shared" si="1"/>
        <v>Senior</v>
      </c>
      <c r="Q46" t="str">
        <f t="shared" si="2"/>
        <v>High Salary</v>
      </c>
      <c r="R46" t="str">
        <f t="shared" si="3"/>
        <v>High Balance</v>
      </c>
    </row>
    <row r="47" spans="1:18" x14ac:dyDescent="0.25">
      <c r="A47">
        <v>46</v>
      </c>
      <c r="B47">
        <v>15754849</v>
      </c>
      <c r="C47" t="s">
        <v>64</v>
      </c>
      <c r="D47" t="s">
        <v>26</v>
      </c>
      <c r="E47" t="s">
        <v>16</v>
      </c>
      <c r="F47">
        <v>776</v>
      </c>
      <c r="G47">
        <v>32</v>
      </c>
      <c r="H47">
        <v>4</v>
      </c>
      <c r="I47">
        <v>109421.13</v>
      </c>
      <c r="J47">
        <v>2</v>
      </c>
      <c r="K47">
        <v>1</v>
      </c>
      <c r="L47">
        <v>1</v>
      </c>
      <c r="M47">
        <v>126517.46</v>
      </c>
      <c r="N47">
        <v>0</v>
      </c>
      <c r="O47" t="str">
        <f t="shared" si="0"/>
        <v>Good</v>
      </c>
      <c r="P47" t="str">
        <f t="shared" si="1"/>
        <v>Adult</v>
      </c>
      <c r="Q47" t="str">
        <f t="shared" si="2"/>
        <v>High Salary</v>
      </c>
      <c r="R47" t="str">
        <f t="shared" si="3"/>
        <v>High Balance</v>
      </c>
    </row>
    <row r="48" spans="1:18" x14ac:dyDescent="0.25">
      <c r="A48">
        <v>47</v>
      </c>
      <c r="B48">
        <v>15602280</v>
      </c>
      <c r="C48" t="s">
        <v>65</v>
      </c>
      <c r="D48" t="s">
        <v>26</v>
      </c>
      <c r="E48" t="s">
        <v>16</v>
      </c>
      <c r="F48">
        <v>829</v>
      </c>
      <c r="G48">
        <v>27</v>
      </c>
      <c r="H48">
        <v>9</v>
      </c>
      <c r="I48">
        <v>112045.67</v>
      </c>
      <c r="J48">
        <v>1</v>
      </c>
      <c r="K48">
        <v>1</v>
      </c>
      <c r="L48">
        <v>1</v>
      </c>
      <c r="M48">
        <v>119708.21</v>
      </c>
      <c r="N48">
        <v>1</v>
      </c>
      <c r="O48" t="str">
        <f t="shared" si="0"/>
        <v>Good</v>
      </c>
      <c r="P48" t="str">
        <f t="shared" si="1"/>
        <v>Young Adult</v>
      </c>
      <c r="Q48" t="str">
        <f t="shared" si="2"/>
        <v>High Salary</v>
      </c>
      <c r="R48" t="str">
        <f t="shared" si="3"/>
        <v>High Balance</v>
      </c>
    </row>
    <row r="49" spans="1:18" x14ac:dyDescent="0.25">
      <c r="A49">
        <v>48</v>
      </c>
      <c r="B49">
        <v>15771573</v>
      </c>
      <c r="C49" t="s">
        <v>66</v>
      </c>
      <c r="D49" t="s">
        <v>26</v>
      </c>
      <c r="E49" t="s">
        <v>16</v>
      </c>
      <c r="F49">
        <v>637</v>
      </c>
      <c r="G49">
        <v>39</v>
      </c>
      <c r="H49">
        <v>9</v>
      </c>
      <c r="I49">
        <v>137843.79999999999</v>
      </c>
      <c r="J49">
        <v>1</v>
      </c>
      <c r="K49">
        <v>1</v>
      </c>
      <c r="L49">
        <v>1</v>
      </c>
      <c r="M49">
        <v>117622.8</v>
      </c>
      <c r="N49">
        <v>1</v>
      </c>
      <c r="O49" t="str">
        <f t="shared" si="0"/>
        <v>Average</v>
      </c>
      <c r="P49" t="str">
        <f t="shared" si="1"/>
        <v>Adult</v>
      </c>
      <c r="Q49" t="str">
        <f t="shared" si="2"/>
        <v>High Salary</v>
      </c>
      <c r="R49" t="str">
        <f t="shared" si="3"/>
        <v>High Balance</v>
      </c>
    </row>
    <row r="50" spans="1:18" x14ac:dyDescent="0.25">
      <c r="A50">
        <v>49</v>
      </c>
      <c r="B50">
        <v>15766205</v>
      </c>
      <c r="C50" t="s">
        <v>67</v>
      </c>
      <c r="D50" t="s">
        <v>26</v>
      </c>
      <c r="E50" t="s">
        <v>23</v>
      </c>
      <c r="F50">
        <v>550</v>
      </c>
      <c r="G50">
        <v>38</v>
      </c>
      <c r="H50">
        <v>2</v>
      </c>
      <c r="I50">
        <v>103391.38</v>
      </c>
      <c r="J50">
        <v>1</v>
      </c>
      <c r="K50">
        <v>0</v>
      </c>
      <c r="L50">
        <v>1</v>
      </c>
      <c r="M50">
        <v>90878.13</v>
      </c>
      <c r="N50">
        <v>0</v>
      </c>
      <c r="O50" t="str">
        <f t="shared" si="0"/>
        <v>Poor</v>
      </c>
      <c r="P50" t="str">
        <f t="shared" si="1"/>
        <v>Adult</v>
      </c>
      <c r="Q50" t="str">
        <f t="shared" si="2"/>
        <v>High Salary</v>
      </c>
      <c r="R50" t="str">
        <f t="shared" si="3"/>
        <v>High Balance</v>
      </c>
    </row>
    <row r="51" spans="1:18" x14ac:dyDescent="0.25">
      <c r="A51">
        <v>50</v>
      </c>
      <c r="B51">
        <v>15771873</v>
      </c>
      <c r="C51" t="s">
        <v>68</v>
      </c>
      <c r="D51" t="s">
        <v>26</v>
      </c>
      <c r="E51" t="s">
        <v>16</v>
      </c>
      <c r="F51">
        <v>776</v>
      </c>
      <c r="G51">
        <v>37</v>
      </c>
      <c r="H51">
        <v>2</v>
      </c>
      <c r="I51">
        <v>103769.22</v>
      </c>
      <c r="J51">
        <v>2</v>
      </c>
      <c r="K51">
        <v>1</v>
      </c>
      <c r="L51">
        <v>0</v>
      </c>
      <c r="M51">
        <v>194099.12</v>
      </c>
      <c r="N51">
        <v>0</v>
      </c>
      <c r="O51" t="str">
        <f t="shared" si="0"/>
        <v>Good</v>
      </c>
      <c r="P51" t="str">
        <f t="shared" si="1"/>
        <v>Adult</v>
      </c>
      <c r="Q51" t="str">
        <f t="shared" si="2"/>
        <v>High Salary</v>
      </c>
      <c r="R51" t="str">
        <f t="shared" si="3"/>
        <v>High Balance</v>
      </c>
    </row>
    <row r="52" spans="1:18" x14ac:dyDescent="0.25">
      <c r="A52">
        <v>51</v>
      </c>
      <c r="B52">
        <v>15616550</v>
      </c>
      <c r="C52" t="s">
        <v>69</v>
      </c>
      <c r="D52" t="s">
        <v>26</v>
      </c>
      <c r="E52" t="s">
        <v>23</v>
      </c>
      <c r="F52">
        <v>698</v>
      </c>
      <c r="G52">
        <v>44</v>
      </c>
      <c r="H52">
        <v>10</v>
      </c>
      <c r="I52">
        <v>116363.37</v>
      </c>
      <c r="J52">
        <v>2</v>
      </c>
      <c r="K52">
        <v>1</v>
      </c>
      <c r="L52">
        <v>0</v>
      </c>
      <c r="M52">
        <v>198059.16</v>
      </c>
      <c r="N52">
        <v>0</v>
      </c>
      <c r="O52" t="str">
        <f t="shared" si="0"/>
        <v>Good</v>
      </c>
      <c r="P52" t="str">
        <f t="shared" si="1"/>
        <v>Adult</v>
      </c>
      <c r="Q52" t="str">
        <f t="shared" si="2"/>
        <v>High Salary</v>
      </c>
      <c r="R52" t="str">
        <f t="shared" si="3"/>
        <v>High Balance</v>
      </c>
    </row>
    <row r="53" spans="1:18" x14ac:dyDescent="0.25">
      <c r="A53">
        <v>52</v>
      </c>
      <c r="B53">
        <v>15768193</v>
      </c>
      <c r="C53" t="s">
        <v>70</v>
      </c>
      <c r="D53" t="s">
        <v>26</v>
      </c>
      <c r="E53" t="s">
        <v>23</v>
      </c>
      <c r="F53">
        <v>585</v>
      </c>
      <c r="G53">
        <v>36</v>
      </c>
      <c r="H53">
        <v>5</v>
      </c>
      <c r="I53">
        <v>146050.97</v>
      </c>
      <c r="J53">
        <v>2</v>
      </c>
      <c r="K53">
        <v>0</v>
      </c>
      <c r="L53">
        <v>0</v>
      </c>
      <c r="M53">
        <v>86424.57</v>
      </c>
      <c r="N53">
        <v>0</v>
      </c>
      <c r="O53" t="str">
        <f t="shared" si="0"/>
        <v>Average</v>
      </c>
      <c r="P53" t="str">
        <f t="shared" si="1"/>
        <v>Adult</v>
      </c>
      <c r="Q53" t="str">
        <f t="shared" si="2"/>
        <v>High Salary</v>
      </c>
      <c r="R53" t="str">
        <f t="shared" si="3"/>
        <v>High Balance</v>
      </c>
    </row>
    <row r="54" spans="1:18" x14ac:dyDescent="0.25">
      <c r="A54">
        <v>53</v>
      </c>
      <c r="B54">
        <v>15683553</v>
      </c>
      <c r="C54" t="s">
        <v>71</v>
      </c>
      <c r="D54" t="s">
        <v>15</v>
      </c>
      <c r="E54" t="s">
        <v>16</v>
      </c>
      <c r="F54">
        <v>788</v>
      </c>
      <c r="G54">
        <v>33</v>
      </c>
      <c r="H54">
        <v>5</v>
      </c>
      <c r="I54">
        <v>0</v>
      </c>
      <c r="J54">
        <v>2</v>
      </c>
      <c r="K54">
        <v>0</v>
      </c>
      <c r="L54">
        <v>0</v>
      </c>
      <c r="M54">
        <v>116978.19</v>
      </c>
      <c r="N54">
        <v>0</v>
      </c>
      <c r="O54" t="str">
        <f t="shared" si="0"/>
        <v>Good</v>
      </c>
      <c r="P54" t="str">
        <f t="shared" si="1"/>
        <v>Adult</v>
      </c>
      <c r="Q54" t="str">
        <f t="shared" si="2"/>
        <v>High Salary</v>
      </c>
      <c r="R54" t="str">
        <f t="shared" si="3"/>
        <v>Low Balance</v>
      </c>
    </row>
    <row r="55" spans="1:18" x14ac:dyDescent="0.25">
      <c r="A55">
        <v>54</v>
      </c>
      <c r="B55">
        <v>15702298</v>
      </c>
      <c r="C55" t="s">
        <v>72</v>
      </c>
      <c r="D55" t="s">
        <v>26</v>
      </c>
      <c r="E55" t="s">
        <v>23</v>
      </c>
      <c r="F55">
        <v>655</v>
      </c>
      <c r="G55">
        <v>41</v>
      </c>
      <c r="H55">
        <v>8</v>
      </c>
      <c r="I55">
        <v>125561.97</v>
      </c>
      <c r="J55">
        <v>1</v>
      </c>
      <c r="K55">
        <v>0</v>
      </c>
      <c r="L55">
        <v>0</v>
      </c>
      <c r="M55">
        <v>164040.94</v>
      </c>
      <c r="N55">
        <v>1</v>
      </c>
      <c r="O55" t="str">
        <f t="shared" si="0"/>
        <v>Average</v>
      </c>
      <c r="P55" t="str">
        <f t="shared" si="1"/>
        <v>Adult</v>
      </c>
      <c r="Q55" t="str">
        <f t="shared" si="2"/>
        <v>High Salary</v>
      </c>
      <c r="R55" t="str">
        <f t="shared" si="3"/>
        <v>High Balance</v>
      </c>
    </row>
    <row r="56" spans="1:18" x14ac:dyDescent="0.25">
      <c r="A56">
        <v>55</v>
      </c>
      <c r="B56">
        <v>15569590</v>
      </c>
      <c r="C56" t="s">
        <v>73</v>
      </c>
      <c r="D56" t="s">
        <v>26</v>
      </c>
      <c r="E56" t="s">
        <v>23</v>
      </c>
      <c r="F56">
        <v>601</v>
      </c>
      <c r="G56">
        <v>42</v>
      </c>
      <c r="H56">
        <v>1</v>
      </c>
      <c r="I56">
        <v>98495.72</v>
      </c>
      <c r="J56">
        <v>1</v>
      </c>
      <c r="K56">
        <v>1</v>
      </c>
      <c r="L56">
        <v>0</v>
      </c>
      <c r="M56">
        <v>40014.76</v>
      </c>
      <c r="N56">
        <v>1</v>
      </c>
      <c r="O56" t="str">
        <f t="shared" si="0"/>
        <v>Average</v>
      </c>
      <c r="P56" t="str">
        <f t="shared" si="1"/>
        <v>Adult</v>
      </c>
      <c r="Q56" t="str">
        <f t="shared" si="2"/>
        <v>Medium Salary</v>
      </c>
      <c r="R56" t="str">
        <f t="shared" si="3"/>
        <v>Medium Balance</v>
      </c>
    </row>
    <row r="57" spans="1:18" x14ac:dyDescent="0.25">
      <c r="A57">
        <v>56</v>
      </c>
      <c r="B57">
        <v>15760861</v>
      </c>
      <c r="C57" t="s">
        <v>74</v>
      </c>
      <c r="D57" t="s">
        <v>15</v>
      </c>
      <c r="E57" t="s">
        <v>23</v>
      </c>
      <c r="F57">
        <v>619</v>
      </c>
      <c r="G57">
        <v>43</v>
      </c>
      <c r="H57">
        <v>1</v>
      </c>
      <c r="I57">
        <v>125211.92</v>
      </c>
      <c r="J57">
        <v>1</v>
      </c>
      <c r="K57">
        <v>1</v>
      </c>
      <c r="L57">
        <v>1</v>
      </c>
      <c r="M57">
        <v>113410.49</v>
      </c>
      <c r="N57">
        <v>0</v>
      </c>
      <c r="O57" t="str">
        <f t="shared" si="0"/>
        <v>Average</v>
      </c>
      <c r="P57" t="str">
        <f t="shared" si="1"/>
        <v>Adult</v>
      </c>
      <c r="Q57" t="str">
        <f t="shared" si="2"/>
        <v>High Salary</v>
      </c>
      <c r="R57" t="str">
        <f t="shared" si="3"/>
        <v>High Balance</v>
      </c>
    </row>
    <row r="58" spans="1:18" x14ac:dyDescent="0.25">
      <c r="A58">
        <v>57</v>
      </c>
      <c r="B58">
        <v>15630053</v>
      </c>
      <c r="C58" t="s">
        <v>75</v>
      </c>
      <c r="D58" t="s">
        <v>15</v>
      </c>
      <c r="E58" t="s">
        <v>23</v>
      </c>
      <c r="F58">
        <v>656</v>
      </c>
      <c r="G58">
        <v>45</v>
      </c>
      <c r="H58">
        <v>5</v>
      </c>
      <c r="I58">
        <v>127864.4</v>
      </c>
      <c r="J58">
        <v>1</v>
      </c>
      <c r="K58">
        <v>1</v>
      </c>
      <c r="L58">
        <v>0</v>
      </c>
      <c r="M58">
        <v>87107.57</v>
      </c>
      <c r="N58">
        <v>0</v>
      </c>
      <c r="O58" t="str">
        <f t="shared" si="0"/>
        <v>Average</v>
      </c>
      <c r="P58" t="str">
        <f t="shared" si="1"/>
        <v>Adult</v>
      </c>
      <c r="Q58" t="str">
        <f t="shared" si="2"/>
        <v>High Salary</v>
      </c>
      <c r="R58" t="str">
        <f t="shared" si="3"/>
        <v>High Balance</v>
      </c>
    </row>
    <row r="59" spans="1:18" x14ac:dyDescent="0.25">
      <c r="A59">
        <v>58</v>
      </c>
      <c r="B59">
        <v>15647091</v>
      </c>
      <c r="C59" t="s">
        <v>76</v>
      </c>
      <c r="D59" t="s">
        <v>26</v>
      </c>
      <c r="E59" t="s">
        <v>23</v>
      </c>
      <c r="F59">
        <v>725</v>
      </c>
      <c r="G59">
        <v>19</v>
      </c>
      <c r="H59">
        <v>0</v>
      </c>
      <c r="I59">
        <v>75888.2</v>
      </c>
      <c r="J59">
        <v>1</v>
      </c>
      <c r="K59">
        <v>0</v>
      </c>
      <c r="L59">
        <v>0</v>
      </c>
      <c r="M59">
        <v>45613.75</v>
      </c>
      <c r="N59">
        <v>0</v>
      </c>
      <c r="O59" t="str">
        <f t="shared" si="0"/>
        <v>Good</v>
      </c>
      <c r="P59" t="str">
        <f t="shared" si="1"/>
        <v>Young Adult</v>
      </c>
      <c r="Q59" t="str">
        <f t="shared" si="2"/>
        <v>Medium Salary</v>
      </c>
      <c r="R59" t="str">
        <f t="shared" si="3"/>
        <v>Medium Balance</v>
      </c>
    </row>
    <row r="60" spans="1:18" x14ac:dyDescent="0.25">
      <c r="A60">
        <v>59</v>
      </c>
      <c r="B60">
        <v>15623944</v>
      </c>
      <c r="C60" t="s">
        <v>77</v>
      </c>
      <c r="D60" t="s">
        <v>18</v>
      </c>
      <c r="E60" t="s">
        <v>16</v>
      </c>
      <c r="F60">
        <v>511</v>
      </c>
      <c r="G60">
        <v>66</v>
      </c>
      <c r="H60">
        <v>4</v>
      </c>
      <c r="I60">
        <v>0</v>
      </c>
      <c r="J60">
        <v>1</v>
      </c>
      <c r="K60">
        <v>1</v>
      </c>
      <c r="L60">
        <v>0</v>
      </c>
      <c r="M60">
        <v>1643.11</v>
      </c>
      <c r="N60">
        <v>1</v>
      </c>
      <c r="O60" t="str">
        <f t="shared" si="0"/>
        <v>Poor</v>
      </c>
      <c r="P60" t="str">
        <f t="shared" si="1"/>
        <v>Senior</v>
      </c>
      <c r="Q60" t="str">
        <f t="shared" si="2"/>
        <v>Low Salary</v>
      </c>
      <c r="R60" t="str">
        <f t="shared" si="3"/>
        <v>Low Balance</v>
      </c>
    </row>
    <row r="61" spans="1:18" x14ac:dyDescent="0.25">
      <c r="A61">
        <v>60</v>
      </c>
      <c r="B61">
        <v>15804771</v>
      </c>
      <c r="C61" t="s">
        <v>78</v>
      </c>
      <c r="D61" t="s">
        <v>15</v>
      </c>
      <c r="E61" t="s">
        <v>23</v>
      </c>
      <c r="F61">
        <v>614</v>
      </c>
      <c r="G61">
        <v>51</v>
      </c>
      <c r="H61">
        <v>4</v>
      </c>
      <c r="I61">
        <v>40685.919999999998</v>
      </c>
      <c r="J61">
        <v>1</v>
      </c>
      <c r="K61">
        <v>1</v>
      </c>
      <c r="L61">
        <v>1</v>
      </c>
      <c r="M61">
        <v>46775.28</v>
      </c>
      <c r="N61">
        <v>0</v>
      </c>
      <c r="O61" t="str">
        <f t="shared" si="0"/>
        <v>Average</v>
      </c>
      <c r="P61" t="str">
        <f t="shared" si="1"/>
        <v>Senior</v>
      </c>
      <c r="Q61" t="str">
        <f t="shared" si="2"/>
        <v>Medium Salary</v>
      </c>
      <c r="R61" t="str">
        <f t="shared" si="3"/>
        <v>Low Balance</v>
      </c>
    </row>
    <row r="62" spans="1:18" x14ac:dyDescent="0.25">
      <c r="A62">
        <v>61</v>
      </c>
      <c r="B62">
        <v>15651280</v>
      </c>
      <c r="C62" t="s">
        <v>79</v>
      </c>
      <c r="D62" t="s">
        <v>26</v>
      </c>
      <c r="E62" t="s">
        <v>23</v>
      </c>
      <c r="F62">
        <v>742</v>
      </c>
      <c r="G62">
        <v>35</v>
      </c>
      <c r="H62">
        <v>5</v>
      </c>
      <c r="I62">
        <v>136857</v>
      </c>
      <c r="J62">
        <v>1</v>
      </c>
      <c r="K62">
        <v>0</v>
      </c>
      <c r="L62">
        <v>0</v>
      </c>
      <c r="M62">
        <v>84509.57</v>
      </c>
      <c r="N62">
        <v>0</v>
      </c>
      <c r="O62" t="str">
        <f t="shared" si="0"/>
        <v>Good</v>
      </c>
      <c r="P62" t="str">
        <f t="shared" si="1"/>
        <v>Adult</v>
      </c>
      <c r="Q62" t="str">
        <f t="shared" si="2"/>
        <v>High Salary</v>
      </c>
      <c r="R62" t="str">
        <f t="shared" si="3"/>
        <v>High Balance</v>
      </c>
    </row>
    <row r="63" spans="1:18" x14ac:dyDescent="0.25">
      <c r="A63">
        <v>62</v>
      </c>
      <c r="B63">
        <v>15773469</v>
      </c>
      <c r="C63" t="s">
        <v>80</v>
      </c>
      <c r="D63" t="s">
        <v>26</v>
      </c>
      <c r="E63" t="s">
        <v>16</v>
      </c>
      <c r="F63">
        <v>687</v>
      </c>
      <c r="G63">
        <v>27</v>
      </c>
      <c r="H63">
        <v>9</v>
      </c>
      <c r="I63">
        <v>152328.88</v>
      </c>
      <c r="J63">
        <v>2</v>
      </c>
      <c r="K63">
        <v>0</v>
      </c>
      <c r="L63">
        <v>0</v>
      </c>
      <c r="M63">
        <v>126494.82</v>
      </c>
      <c r="N63">
        <v>0</v>
      </c>
      <c r="O63" t="str">
        <f t="shared" si="0"/>
        <v>Good</v>
      </c>
      <c r="P63" t="str">
        <f t="shared" si="1"/>
        <v>Young Adult</v>
      </c>
      <c r="Q63" t="str">
        <f t="shared" si="2"/>
        <v>High Salary</v>
      </c>
      <c r="R63" t="str">
        <f t="shared" si="3"/>
        <v>High Balance</v>
      </c>
    </row>
    <row r="64" spans="1:18" x14ac:dyDescent="0.25">
      <c r="A64">
        <v>63</v>
      </c>
      <c r="B64">
        <v>15702014</v>
      </c>
      <c r="C64" t="s">
        <v>81</v>
      </c>
      <c r="D64" t="s">
        <v>18</v>
      </c>
      <c r="E64" t="s">
        <v>23</v>
      </c>
      <c r="F64">
        <v>555</v>
      </c>
      <c r="G64">
        <v>33</v>
      </c>
      <c r="H64">
        <v>1</v>
      </c>
      <c r="I64">
        <v>56084.69</v>
      </c>
      <c r="J64">
        <v>2</v>
      </c>
      <c r="K64">
        <v>0</v>
      </c>
      <c r="L64">
        <v>0</v>
      </c>
      <c r="M64">
        <v>178798.13</v>
      </c>
      <c r="N64">
        <v>0</v>
      </c>
      <c r="O64" t="str">
        <f t="shared" si="0"/>
        <v>Poor</v>
      </c>
      <c r="P64" t="str">
        <f t="shared" si="1"/>
        <v>Adult</v>
      </c>
      <c r="Q64" t="str">
        <f t="shared" si="2"/>
        <v>High Salary</v>
      </c>
      <c r="R64" t="str">
        <f t="shared" si="3"/>
        <v>Medium Balance</v>
      </c>
    </row>
    <row r="65" spans="1:18" x14ac:dyDescent="0.25">
      <c r="A65">
        <v>64</v>
      </c>
      <c r="B65">
        <v>15751208</v>
      </c>
      <c r="C65" t="s">
        <v>82</v>
      </c>
      <c r="D65" t="s">
        <v>18</v>
      </c>
      <c r="E65" t="s">
        <v>23</v>
      </c>
      <c r="F65">
        <v>684</v>
      </c>
      <c r="G65">
        <v>56</v>
      </c>
      <c r="H65">
        <v>8</v>
      </c>
      <c r="I65">
        <v>78707.16</v>
      </c>
      <c r="J65">
        <v>1</v>
      </c>
      <c r="K65">
        <v>1</v>
      </c>
      <c r="L65">
        <v>1</v>
      </c>
      <c r="M65">
        <v>99398.36</v>
      </c>
      <c r="N65">
        <v>0</v>
      </c>
      <c r="O65" t="str">
        <f t="shared" si="0"/>
        <v>Good</v>
      </c>
      <c r="P65" t="str">
        <f t="shared" si="1"/>
        <v>Senior</v>
      </c>
      <c r="Q65" t="str">
        <f t="shared" si="2"/>
        <v>High Salary</v>
      </c>
      <c r="R65" t="str">
        <f t="shared" si="3"/>
        <v>Medium Balance</v>
      </c>
    </row>
    <row r="66" spans="1:18" x14ac:dyDescent="0.25">
      <c r="A66">
        <v>65</v>
      </c>
      <c r="B66">
        <v>15592461</v>
      </c>
      <c r="C66" t="s">
        <v>83</v>
      </c>
      <c r="D66" t="s">
        <v>26</v>
      </c>
      <c r="E66" t="s">
        <v>23</v>
      </c>
      <c r="F66">
        <v>603</v>
      </c>
      <c r="G66">
        <v>26</v>
      </c>
      <c r="H66">
        <v>4</v>
      </c>
      <c r="I66">
        <v>109166.37</v>
      </c>
      <c r="J66">
        <v>1</v>
      </c>
      <c r="K66">
        <v>1</v>
      </c>
      <c r="L66">
        <v>1</v>
      </c>
      <c r="M66">
        <v>92840.67</v>
      </c>
      <c r="N66">
        <v>0</v>
      </c>
      <c r="O66" t="str">
        <f t="shared" si="0"/>
        <v>Average</v>
      </c>
      <c r="P66" t="str">
        <f t="shared" si="1"/>
        <v>Young Adult</v>
      </c>
      <c r="Q66" t="str">
        <f t="shared" si="2"/>
        <v>High Salary</v>
      </c>
      <c r="R66" t="str">
        <f t="shared" si="3"/>
        <v>High Balance</v>
      </c>
    </row>
    <row r="67" spans="1:18" x14ac:dyDescent="0.25">
      <c r="A67">
        <v>66</v>
      </c>
      <c r="B67">
        <v>15789484</v>
      </c>
      <c r="C67" t="s">
        <v>84</v>
      </c>
      <c r="D67" t="s">
        <v>26</v>
      </c>
      <c r="E67" t="s">
        <v>16</v>
      </c>
      <c r="F67">
        <v>751</v>
      </c>
      <c r="G67">
        <v>36</v>
      </c>
      <c r="H67">
        <v>6</v>
      </c>
      <c r="I67">
        <v>169831.46</v>
      </c>
      <c r="J67">
        <v>2</v>
      </c>
      <c r="K67">
        <v>1</v>
      </c>
      <c r="L67">
        <v>1</v>
      </c>
      <c r="M67">
        <v>27758.36</v>
      </c>
      <c r="N67">
        <v>0</v>
      </c>
      <c r="O67" t="str">
        <f t="shared" ref="O67:O130" si="4">IF(F67&lt;580, "Poor", IF(AND(F67&gt;=580, F67&lt;=669), "Average", "Good"))</f>
        <v>Good</v>
      </c>
      <c r="P67" t="str">
        <f t="shared" ref="P67:P130" si="5">IF(G67&lt;=30, "Young Adult", IF(AND(G67&gt;=31, G67&lt;=50), "Adult", "Senior"))</f>
        <v>Adult</v>
      </c>
      <c r="Q67" t="str">
        <f t="shared" ref="Q67:Q130" si="6">IF(M67&lt;30000, "Low Salary", IF(AND(M67&gt;=30000, M67&lt;=70000), "Medium Salary", "High Salary"))</f>
        <v>Low Salary</v>
      </c>
      <c r="R67" t="str">
        <f t="shared" ref="R67:R130" si="7">IF(I67&lt;50000, "Low Balance", IF(AND(I67&gt;=50000, I67&lt;=100000), "Medium Balance", "High Balance"))</f>
        <v>High Balance</v>
      </c>
    </row>
    <row r="68" spans="1:18" x14ac:dyDescent="0.25">
      <c r="A68">
        <v>67</v>
      </c>
      <c r="B68">
        <v>15696061</v>
      </c>
      <c r="C68" t="s">
        <v>85</v>
      </c>
      <c r="D68" t="s">
        <v>26</v>
      </c>
      <c r="E68" t="s">
        <v>16</v>
      </c>
      <c r="F68">
        <v>581</v>
      </c>
      <c r="G68">
        <v>34</v>
      </c>
      <c r="H68">
        <v>1</v>
      </c>
      <c r="I68">
        <v>101633.04</v>
      </c>
      <c r="J68">
        <v>1</v>
      </c>
      <c r="K68">
        <v>1</v>
      </c>
      <c r="L68">
        <v>0</v>
      </c>
      <c r="M68">
        <v>110431.51</v>
      </c>
      <c r="N68">
        <v>0</v>
      </c>
      <c r="O68" t="str">
        <f t="shared" si="4"/>
        <v>Average</v>
      </c>
      <c r="P68" t="str">
        <f t="shared" si="5"/>
        <v>Adult</v>
      </c>
      <c r="Q68" t="str">
        <f t="shared" si="6"/>
        <v>High Salary</v>
      </c>
      <c r="R68" t="str">
        <f t="shared" si="7"/>
        <v>High Balance</v>
      </c>
    </row>
    <row r="69" spans="1:18" x14ac:dyDescent="0.25">
      <c r="A69">
        <v>68</v>
      </c>
      <c r="B69">
        <v>15641582</v>
      </c>
      <c r="C69" t="s">
        <v>86</v>
      </c>
      <c r="D69" t="s">
        <v>26</v>
      </c>
      <c r="E69" t="s">
        <v>23</v>
      </c>
      <c r="F69">
        <v>735</v>
      </c>
      <c r="G69">
        <v>43</v>
      </c>
      <c r="H69">
        <v>10</v>
      </c>
      <c r="I69">
        <v>123180.01</v>
      </c>
      <c r="J69">
        <v>2</v>
      </c>
      <c r="K69">
        <v>1</v>
      </c>
      <c r="L69">
        <v>1</v>
      </c>
      <c r="M69">
        <v>196673.28</v>
      </c>
      <c r="N69">
        <v>0</v>
      </c>
      <c r="O69" t="str">
        <f t="shared" si="4"/>
        <v>Good</v>
      </c>
      <c r="P69" t="str">
        <f t="shared" si="5"/>
        <v>Adult</v>
      </c>
      <c r="Q69" t="str">
        <f t="shared" si="6"/>
        <v>High Salary</v>
      </c>
      <c r="R69" t="str">
        <f t="shared" si="7"/>
        <v>High Balance</v>
      </c>
    </row>
    <row r="70" spans="1:18" x14ac:dyDescent="0.25">
      <c r="A70">
        <v>69</v>
      </c>
      <c r="B70">
        <v>15638424</v>
      </c>
      <c r="C70" t="s">
        <v>87</v>
      </c>
      <c r="D70" t="s">
        <v>26</v>
      </c>
      <c r="E70" t="s">
        <v>16</v>
      </c>
      <c r="F70">
        <v>661</v>
      </c>
      <c r="G70">
        <v>35</v>
      </c>
      <c r="H70">
        <v>5</v>
      </c>
      <c r="I70">
        <v>150725.53</v>
      </c>
      <c r="J70">
        <v>2</v>
      </c>
      <c r="K70">
        <v>0</v>
      </c>
      <c r="L70">
        <v>1</v>
      </c>
      <c r="M70">
        <v>113656.85</v>
      </c>
      <c r="N70">
        <v>0</v>
      </c>
      <c r="O70" t="str">
        <f t="shared" si="4"/>
        <v>Average</v>
      </c>
      <c r="P70" t="str">
        <f t="shared" si="5"/>
        <v>Adult</v>
      </c>
      <c r="Q70" t="str">
        <f t="shared" si="6"/>
        <v>High Salary</v>
      </c>
      <c r="R70" t="str">
        <f t="shared" si="7"/>
        <v>High Balance</v>
      </c>
    </row>
    <row r="71" spans="1:18" x14ac:dyDescent="0.25">
      <c r="A71">
        <v>70</v>
      </c>
      <c r="B71">
        <v>15755648</v>
      </c>
      <c r="C71" t="s">
        <v>88</v>
      </c>
      <c r="D71" t="s">
        <v>15</v>
      </c>
      <c r="E71" t="s">
        <v>16</v>
      </c>
      <c r="F71">
        <v>675</v>
      </c>
      <c r="G71">
        <v>21</v>
      </c>
      <c r="H71">
        <v>8</v>
      </c>
      <c r="I71">
        <v>98373.26</v>
      </c>
      <c r="J71">
        <v>1</v>
      </c>
      <c r="K71">
        <v>1</v>
      </c>
      <c r="L71">
        <v>0</v>
      </c>
      <c r="M71">
        <v>18203</v>
      </c>
      <c r="N71">
        <v>0</v>
      </c>
      <c r="O71" t="str">
        <f t="shared" si="4"/>
        <v>Good</v>
      </c>
      <c r="P71" t="str">
        <f t="shared" si="5"/>
        <v>Young Adult</v>
      </c>
      <c r="Q71" t="str">
        <f t="shared" si="6"/>
        <v>Low Salary</v>
      </c>
      <c r="R71" t="str">
        <f t="shared" si="7"/>
        <v>Medium Balance</v>
      </c>
    </row>
    <row r="72" spans="1:18" x14ac:dyDescent="0.25">
      <c r="A72">
        <v>71</v>
      </c>
      <c r="B72">
        <v>15703793</v>
      </c>
      <c r="C72" t="s">
        <v>89</v>
      </c>
      <c r="D72" t="s">
        <v>26</v>
      </c>
      <c r="E72" t="s">
        <v>23</v>
      </c>
      <c r="F72">
        <v>738</v>
      </c>
      <c r="G72">
        <v>58</v>
      </c>
      <c r="H72">
        <v>2</v>
      </c>
      <c r="I72">
        <v>133745.44</v>
      </c>
      <c r="J72">
        <v>4</v>
      </c>
      <c r="K72">
        <v>1</v>
      </c>
      <c r="L72">
        <v>0</v>
      </c>
      <c r="M72">
        <v>28373.86</v>
      </c>
      <c r="N72">
        <v>1</v>
      </c>
      <c r="O72" t="str">
        <f t="shared" si="4"/>
        <v>Good</v>
      </c>
      <c r="P72" t="str">
        <f t="shared" si="5"/>
        <v>Senior</v>
      </c>
      <c r="Q72" t="str">
        <f t="shared" si="6"/>
        <v>Low Salary</v>
      </c>
      <c r="R72" t="str">
        <f t="shared" si="7"/>
        <v>High Balance</v>
      </c>
    </row>
    <row r="73" spans="1:18" x14ac:dyDescent="0.25">
      <c r="A73">
        <v>72</v>
      </c>
      <c r="B73">
        <v>15620344</v>
      </c>
      <c r="C73" t="s">
        <v>90</v>
      </c>
      <c r="D73" t="s">
        <v>15</v>
      </c>
      <c r="E73" t="s">
        <v>23</v>
      </c>
      <c r="F73">
        <v>813</v>
      </c>
      <c r="G73">
        <v>29</v>
      </c>
      <c r="H73">
        <v>6</v>
      </c>
      <c r="I73">
        <v>0</v>
      </c>
      <c r="J73">
        <v>1</v>
      </c>
      <c r="K73">
        <v>1</v>
      </c>
      <c r="L73">
        <v>0</v>
      </c>
      <c r="M73">
        <v>33953.870000000003</v>
      </c>
      <c r="N73">
        <v>0</v>
      </c>
      <c r="O73" t="str">
        <f t="shared" si="4"/>
        <v>Good</v>
      </c>
      <c r="P73" t="str">
        <f t="shared" si="5"/>
        <v>Young Adult</v>
      </c>
      <c r="Q73" t="str">
        <f t="shared" si="6"/>
        <v>Medium Salary</v>
      </c>
      <c r="R73" t="str">
        <f t="shared" si="7"/>
        <v>Low Balance</v>
      </c>
    </row>
    <row r="74" spans="1:18" x14ac:dyDescent="0.25">
      <c r="A74">
        <v>73</v>
      </c>
      <c r="B74">
        <v>15812518</v>
      </c>
      <c r="C74" t="s">
        <v>91</v>
      </c>
      <c r="D74" t="s">
        <v>18</v>
      </c>
      <c r="E74" t="s">
        <v>16</v>
      </c>
      <c r="F74">
        <v>657</v>
      </c>
      <c r="G74">
        <v>37</v>
      </c>
      <c r="H74">
        <v>0</v>
      </c>
      <c r="I74">
        <v>163607.18</v>
      </c>
      <c r="J74">
        <v>1</v>
      </c>
      <c r="K74">
        <v>0</v>
      </c>
      <c r="L74">
        <v>1</v>
      </c>
      <c r="M74">
        <v>44203.55</v>
      </c>
      <c r="N74">
        <v>0</v>
      </c>
      <c r="O74" t="str">
        <f t="shared" si="4"/>
        <v>Average</v>
      </c>
      <c r="P74" t="str">
        <f t="shared" si="5"/>
        <v>Adult</v>
      </c>
      <c r="Q74" t="str">
        <f t="shared" si="6"/>
        <v>Medium Salary</v>
      </c>
      <c r="R74" t="str">
        <f t="shared" si="7"/>
        <v>High Balance</v>
      </c>
    </row>
    <row r="75" spans="1:18" x14ac:dyDescent="0.25">
      <c r="A75">
        <v>74</v>
      </c>
      <c r="B75">
        <v>15779052</v>
      </c>
      <c r="C75" t="s">
        <v>92</v>
      </c>
      <c r="D75" t="s">
        <v>26</v>
      </c>
      <c r="E75" t="s">
        <v>16</v>
      </c>
      <c r="F75">
        <v>604</v>
      </c>
      <c r="G75">
        <v>25</v>
      </c>
      <c r="H75">
        <v>5</v>
      </c>
      <c r="I75">
        <v>157780.84</v>
      </c>
      <c r="J75">
        <v>2</v>
      </c>
      <c r="K75">
        <v>1</v>
      </c>
      <c r="L75">
        <v>1</v>
      </c>
      <c r="M75">
        <v>58426.81</v>
      </c>
      <c r="N75">
        <v>0</v>
      </c>
      <c r="O75" t="str">
        <f t="shared" si="4"/>
        <v>Average</v>
      </c>
      <c r="P75" t="str">
        <f t="shared" si="5"/>
        <v>Young Adult</v>
      </c>
      <c r="Q75" t="str">
        <f t="shared" si="6"/>
        <v>Medium Salary</v>
      </c>
      <c r="R75" t="str">
        <f t="shared" si="7"/>
        <v>High Balance</v>
      </c>
    </row>
    <row r="76" spans="1:18" x14ac:dyDescent="0.25">
      <c r="A76">
        <v>75</v>
      </c>
      <c r="B76">
        <v>15770811</v>
      </c>
      <c r="C76" t="s">
        <v>93</v>
      </c>
      <c r="D76" t="s">
        <v>15</v>
      </c>
      <c r="E76" t="s">
        <v>23</v>
      </c>
      <c r="F76">
        <v>519</v>
      </c>
      <c r="G76">
        <v>36</v>
      </c>
      <c r="H76">
        <v>9</v>
      </c>
      <c r="I76">
        <v>0</v>
      </c>
      <c r="J76">
        <v>2</v>
      </c>
      <c r="K76">
        <v>0</v>
      </c>
      <c r="L76">
        <v>1</v>
      </c>
      <c r="M76">
        <v>145562.4</v>
      </c>
      <c r="N76">
        <v>0</v>
      </c>
      <c r="O76" t="str">
        <f t="shared" si="4"/>
        <v>Poor</v>
      </c>
      <c r="P76" t="str">
        <f t="shared" si="5"/>
        <v>Adult</v>
      </c>
      <c r="Q76" t="str">
        <f t="shared" si="6"/>
        <v>High Salary</v>
      </c>
      <c r="R76" t="str">
        <f t="shared" si="7"/>
        <v>Low Balance</v>
      </c>
    </row>
    <row r="77" spans="1:18" x14ac:dyDescent="0.25">
      <c r="A77">
        <v>76</v>
      </c>
      <c r="B77">
        <v>15780961</v>
      </c>
      <c r="C77" t="s">
        <v>94</v>
      </c>
      <c r="D77" t="s">
        <v>15</v>
      </c>
      <c r="E77" t="s">
        <v>16</v>
      </c>
      <c r="F77">
        <v>735</v>
      </c>
      <c r="G77">
        <v>21</v>
      </c>
      <c r="H77">
        <v>1</v>
      </c>
      <c r="I77">
        <v>178718.19</v>
      </c>
      <c r="J77">
        <v>2</v>
      </c>
      <c r="K77">
        <v>1</v>
      </c>
      <c r="L77">
        <v>0</v>
      </c>
      <c r="M77">
        <v>22388</v>
      </c>
      <c r="N77">
        <v>0</v>
      </c>
      <c r="O77" t="str">
        <f t="shared" si="4"/>
        <v>Good</v>
      </c>
      <c r="P77" t="str">
        <f t="shared" si="5"/>
        <v>Young Adult</v>
      </c>
      <c r="Q77" t="str">
        <f t="shared" si="6"/>
        <v>Low Salary</v>
      </c>
      <c r="R77" t="str">
        <f t="shared" si="7"/>
        <v>High Balance</v>
      </c>
    </row>
    <row r="78" spans="1:18" x14ac:dyDescent="0.25">
      <c r="A78">
        <v>77</v>
      </c>
      <c r="B78">
        <v>15614049</v>
      </c>
      <c r="C78" t="s">
        <v>95</v>
      </c>
      <c r="D78" t="s">
        <v>15</v>
      </c>
      <c r="E78" t="s">
        <v>23</v>
      </c>
      <c r="F78">
        <v>664</v>
      </c>
      <c r="G78">
        <v>55</v>
      </c>
      <c r="H78">
        <v>8</v>
      </c>
      <c r="I78">
        <v>0</v>
      </c>
      <c r="J78">
        <v>2</v>
      </c>
      <c r="K78">
        <v>1</v>
      </c>
      <c r="L78">
        <v>1</v>
      </c>
      <c r="M78">
        <v>139161.64000000001</v>
      </c>
      <c r="N78">
        <v>0</v>
      </c>
      <c r="O78" t="str">
        <f t="shared" si="4"/>
        <v>Average</v>
      </c>
      <c r="P78" t="str">
        <f t="shared" si="5"/>
        <v>Senior</v>
      </c>
      <c r="Q78" t="str">
        <f t="shared" si="6"/>
        <v>High Salary</v>
      </c>
      <c r="R78" t="str">
        <f t="shared" si="7"/>
        <v>Low Balance</v>
      </c>
    </row>
    <row r="79" spans="1:18" x14ac:dyDescent="0.25">
      <c r="A79">
        <v>78</v>
      </c>
      <c r="B79">
        <v>15662085</v>
      </c>
      <c r="C79" t="s">
        <v>96</v>
      </c>
      <c r="D79" t="s">
        <v>15</v>
      </c>
      <c r="E79" t="s">
        <v>16</v>
      </c>
      <c r="F79">
        <v>678</v>
      </c>
      <c r="G79">
        <v>32</v>
      </c>
      <c r="H79">
        <v>9</v>
      </c>
      <c r="I79">
        <v>0</v>
      </c>
      <c r="J79">
        <v>1</v>
      </c>
      <c r="K79">
        <v>1</v>
      </c>
      <c r="L79">
        <v>1</v>
      </c>
      <c r="M79">
        <v>148210.64000000001</v>
      </c>
      <c r="N79">
        <v>0</v>
      </c>
      <c r="O79" t="str">
        <f t="shared" si="4"/>
        <v>Good</v>
      </c>
      <c r="P79" t="str">
        <f t="shared" si="5"/>
        <v>Adult</v>
      </c>
      <c r="Q79" t="str">
        <f t="shared" si="6"/>
        <v>High Salary</v>
      </c>
      <c r="R79" t="str">
        <f t="shared" si="7"/>
        <v>Low Balance</v>
      </c>
    </row>
    <row r="80" spans="1:18" x14ac:dyDescent="0.25">
      <c r="A80">
        <v>79</v>
      </c>
      <c r="B80">
        <v>15575185</v>
      </c>
      <c r="C80" t="s">
        <v>97</v>
      </c>
      <c r="D80" t="s">
        <v>18</v>
      </c>
      <c r="E80" t="s">
        <v>23</v>
      </c>
      <c r="F80">
        <v>757</v>
      </c>
      <c r="G80">
        <v>33</v>
      </c>
      <c r="H80">
        <v>5</v>
      </c>
      <c r="I80">
        <v>77253.22</v>
      </c>
      <c r="J80">
        <v>1</v>
      </c>
      <c r="K80">
        <v>0</v>
      </c>
      <c r="L80">
        <v>1</v>
      </c>
      <c r="M80">
        <v>194239.63</v>
      </c>
      <c r="N80">
        <v>0</v>
      </c>
      <c r="O80" t="str">
        <f t="shared" si="4"/>
        <v>Good</v>
      </c>
      <c r="P80" t="str">
        <f t="shared" si="5"/>
        <v>Adult</v>
      </c>
      <c r="Q80" t="str">
        <f t="shared" si="6"/>
        <v>High Salary</v>
      </c>
      <c r="R80" t="str">
        <f t="shared" si="7"/>
        <v>Medium Balance</v>
      </c>
    </row>
    <row r="81" spans="1:18" x14ac:dyDescent="0.25">
      <c r="A81">
        <v>80</v>
      </c>
      <c r="B81">
        <v>15803136</v>
      </c>
      <c r="C81" t="s">
        <v>98</v>
      </c>
      <c r="D81" t="s">
        <v>26</v>
      </c>
      <c r="E81" t="s">
        <v>16</v>
      </c>
      <c r="F81">
        <v>416</v>
      </c>
      <c r="G81">
        <v>41</v>
      </c>
      <c r="H81">
        <v>10</v>
      </c>
      <c r="I81">
        <v>122189.66</v>
      </c>
      <c r="J81">
        <v>2</v>
      </c>
      <c r="K81">
        <v>1</v>
      </c>
      <c r="L81">
        <v>0</v>
      </c>
      <c r="M81">
        <v>98301.61</v>
      </c>
      <c r="N81">
        <v>0</v>
      </c>
      <c r="O81" t="str">
        <f t="shared" si="4"/>
        <v>Poor</v>
      </c>
      <c r="P81" t="str">
        <f t="shared" si="5"/>
        <v>Adult</v>
      </c>
      <c r="Q81" t="str">
        <f t="shared" si="6"/>
        <v>High Salary</v>
      </c>
      <c r="R81" t="str">
        <f t="shared" si="7"/>
        <v>High Balance</v>
      </c>
    </row>
    <row r="82" spans="1:18" x14ac:dyDescent="0.25">
      <c r="A82">
        <v>81</v>
      </c>
      <c r="B82">
        <v>15706021</v>
      </c>
      <c r="C82" t="s">
        <v>99</v>
      </c>
      <c r="D82" t="s">
        <v>15</v>
      </c>
      <c r="E82" t="s">
        <v>16</v>
      </c>
      <c r="F82">
        <v>665</v>
      </c>
      <c r="G82">
        <v>34</v>
      </c>
      <c r="H82">
        <v>1</v>
      </c>
      <c r="I82">
        <v>96645.54</v>
      </c>
      <c r="J82">
        <v>2</v>
      </c>
      <c r="K82">
        <v>0</v>
      </c>
      <c r="L82">
        <v>0</v>
      </c>
      <c r="M82">
        <v>171413.66</v>
      </c>
      <c r="N82">
        <v>0</v>
      </c>
      <c r="O82" t="str">
        <f t="shared" si="4"/>
        <v>Average</v>
      </c>
      <c r="P82" t="str">
        <f t="shared" si="5"/>
        <v>Adult</v>
      </c>
      <c r="Q82" t="str">
        <f t="shared" si="6"/>
        <v>High Salary</v>
      </c>
      <c r="R82" t="str">
        <f t="shared" si="7"/>
        <v>Medium Balance</v>
      </c>
    </row>
    <row r="83" spans="1:18" x14ac:dyDescent="0.25">
      <c r="A83">
        <v>82</v>
      </c>
      <c r="B83">
        <v>15663706</v>
      </c>
      <c r="C83" t="s">
        <v>100</v>
      </c>
      <c r="D83" t="s">
        <v>15</v>
      </c>
      <c r="E83" t="s">
        <v>16</v>
      </c>
      <c r="F83">
        <v>777</v>
      </c>
      <c r="G83">
        <v>32</v>
      </c>
      <c r="H83">
        <v>2</v>
      </c>
      <c r="I83">
        <v>0</v>
      </c>
      <c r="J83">
        <v>1</v>
      </c>
      <c r="K83">
        <v>1</v>
      </c>
      <c r="L83">
        <v>0</v>
      </c>
      <c r="M83">
        <v>136458.19</v>
      </c>
      <c r="N83">
        <v>1</v>
      </c>
      <c r="O83" t="str">
        <f t="shared" si="4"/>
        <v>Good</v>
      </c>
      <c r="P83" t="str">
        <f t="shared" si="5"/>
        <v>Adult</v>
      </c>
      <c r="Q83" t="str">
        <f t="shared" si="6"/>
        <v>High Salary</v>
      </c>
      <c r="R83" t="str">
        <f t="shared" si="7"/>
        <v>Low Balance</v>
      </c>
    </row>
    <row r="84" spans="1:18" x14ac:dyDescent="0.25">
      <c r="A84">
        <v>83</v>
      </c>
      <c r="B84">
        <v>15641732</v>
      </c>
      <c r="C84" t="s">
        <v>101</v>
      </c>
      <c r="D84" t="s">
        <v>15</v>
      </c>
      <c r="E84" t="s">
        <v>16</v>
      </c>
      <c r="F84">
        <v>543</v>
      </c>
      <c r="G84">
        <v>36</v>
      </c>
      <c r="H84">
        <v>3</v>
      </c>
      <c r="I84">
        <v>0</v>
      </c>
      <c r="J84">
        <v>2</v>
      </c>
      <c r="K84">
        <v>0</v>
      </c>
      <c r="L84">
        <v>0</v>
      </c>
      <c r="M84">
        <v>26019.59</v>
      </c>
      <c r="N84">
        <v>0</v>
      </c>
      <c r="O84" t="str">
        <f t="shared" si="4"/>
        <v>Poor</v>
      </c>
      <c r="P84" t="str">
        <f t="shared" si="5"/>
        <v>Adult</v>
      </c>
      <c r="Q84" t="str">
        <f t="shared" si="6"/>
        <v>Low Salary</v>
      </c>
      <c r="R84" t="str">
        <f t="shared" si="7"/>
        <v>Low Balance</v>
      </c>
    </row>
    <row r="85" spans="1:18" x14ac:dyDescent="0.25">
      <c r="A85">
        <v>84</v>
      </c>
      <c r="B85">
        <v>15701164</v>
      </c>
      <c r="C85" t="s">
        <v>102</v>
      </c>
      <c r="D85" t="s">
        <v>15</v>
      </c>
      <c r="E85" t="s">
        <v>16</v>
      </c>
      <c r="F85">
        <v>506</v>
      </c>
      <c r="G85">
        <v>34</v>
      </c>
      <c r="H85">
        <v>4</v>
      </c>
      <c r="I85">
        <v>90307.62</v>
      </c>
      <c r="J85">
        <v>1</v>
      </c>
      <c r="K85">
        <v>1</v>
      </c>
      <c r="L85">
        <v>1</v>
      </c>
      <c r="M85">
        <v>159235.29</v>
      </c>
      <c r="N85">
        <v>0</v>
      </c>
      <c r="O85" t="str">
        <f t="shared" si="4"/>
        <v>Poor</v>
      </c>
      <c r="P85" t="str">
        <f t="shared" si="5"/>
        <v>Adult</v>
      </c>
      <c r="Q85" t="str">
        <f t="shared" si="6"/>
        <v>High Salary</v>
      </c>
      <c r="R85" t="str">
        <f t="shared" si="7"/>
        <v>Medium Balance</v>
      </c>
    </row>
    <row r="86" spans="1:18" x14ac:dyDescent="0.25">
      <c r="A86">
        <v>85</v>
      </c>
      <c r="B86">
        <v>15738751</v>
      </c>
      <c r="C86" t="s">
        <v>103</v>
      </c>
      <c r="D86" t="s">
        <v>15</v>
      </c>
      <c r="E86" t="s">
        <v>16</v>
      </c>
      <c r="F86">
        <v>493</v>
      </c>
      <c r="G86">
        <v>46</v>
      </c>
      <c r="H86">
        <v>4</v>
      </c>
      <c r="I86">
        <v>0</v>
      </c>
      <c r="J86">
        <v>2</v>
      </c>
      <c r="K86">
        <v>1</v>
      </c>
      <c r="L86">
        <v>0</v>
      </c>
      <c r="M86">
        <v>1907.66</v>
      </c>
      <c r="N86">
        <v>0</v>
      </c>
      <c r="O86" t="str">
        <f t="shared" si="4"/>
        <v>Poor</v>
      </c>
      <c r="P86" t="str">
        <f t="shared" si="5"/>
        <v>Adult</v>
      </c>
      <c r="Q86" t="str">
        <f t="shared" si="6"/>
        <v>Low Salary</v>
      </c>
      <c r="R86" t="str">
        <f t="shared" si="7"/>
        <v>Low Balance</v>
      </c>
    </row>
    <row r="87" spans="1:18" x14ac:dyDescent="0.25">
      <c r="A87">
        <v>86</v>
      </c>
      <c r="B87">
        <v>15805254</v>
      </c>
      <c r="C87" t="s">
        <v>104</v>
      </c>
      <c r="D87" t="s">
        <v>18</v>
      </c>
      <c r="E87" t="s">
        <v>16</v>
      </c>
      <c r="F87">
        <v>652</v>
      </c>
      <c r="G87">
        <v>75</v>
      </c>
      <c r="H87">
        <v>10</v>
      </c>
      <c r="I87">
        <v>0</v>
      </c>
      <c r="J87">
        <v>2</v>
      </c>
      <c r="K87">
        <v>1</v>
      </c>
      <c r="L87">
        <v>1</v>
      </c>
      <c r="M87">
        <v>114675.75</v>
      </c>
      <c r="N87">
        <v>0</v>
      </c>
      <c r="O87" t="str">
        <f t="shared" si="4"/>
        <v>Average</v>
      </c>
      <c r="P87" t="str">
        <f t="shared" si="5"/>
        <v>Senior</v>
      </c>
      <c r="Q87" t="str">
        <f t="shared" si="6"/>
        <v>High Salary</v>
      </c>
      <c r="R87" t="str">
        <f t="shared" si="7"/>
        <v>Low Balance</v>
      </c>
    </row>
    <row r="88" spans="1:18" x14ac:dyDescent="0.25">
      <c r="A88">
        <v>87</v>
      </c>
      <c r="B88">
        <v>15762418</v>
      </c>
      <c r="C88" t="s">
        <v>105</v>
      </c>
      <c r="D88" t="s">
        <v>18</v>
      </c>
      <c r="E88" t="s">
        <v>23</v>
      </c>
      <c r="F88">
        <v>750</v>
      </c>
      <c r="G88">
        <v>22</v>
      </c>
      <c r="H88">
        <v>3</v>
      </c>
      <c r="I88">
        <v>121681.82</v>
      </c>
      <c r="J88">
        <v>1</v>
      </c>
      <c r="K88">
        <v>1</v>
      </c>
      <c r="L88">
        <v>0</v>
      </c>
      <c r="M88">
        <v>128643.35</v>
      </c>
      <c r="N88">
        <v>1</v>
      </c>
      <c r="O88" t="str">
        <f t="shared" si="4"/>
        <v>Good</v>
      </c>
      <c r="P88" t="str">
        <f t="shared" si="5"/>
        <v>Young Adult</v>
      </c>
      <c r="Q88" t="str">
        <f t="shared" si="6"/>
        <v>High Salary</v>
      </c>
      <c r="R88" t="str">
        <f t="shared" si="7"/>
        <v>High Balance</v>
      </c>
    </row>
    <row r="89" spans="1:18" x14ac:dyDescent="0.25">
      <c r="A89">
        <v>88</v>
      </c>
      <c r="B89">
        <v>15625759</v>
      </c>
      <c r="C89" t="s">
        <v>106</v>
      </c>
      <c r="D89" t="s">
        <v>15</v>
      </c>
      <c r="E89" t="s">
        <v>23</v>
      </c>
      <c r="F89">
        <v>729</v>
      </c>
      <c r="G89">
        <v>30</v>
      </c>
      <c r="H89">
        <v>9</v>
      </c>
      <c r="I89">
        <v>0</v>
      </c>
      <c r="J89">
        <v>2</v>
      </c>
      <c r="K89">
        <v>1</v>
      </c>
      <c r="L89">
        <v>0</v>
      </c>
      <c r="M89">
        <v>151869.35</v>
      </c>
      <c r="N89">
        <v>0</v>
      </c>
      <c r="O89" t="str">
        <f t="shared" si="4"/>
        <v>Good</v>
      </c>
      <c r="P89" t="str">
        <f t="shared" si="5"/>
        <v>Young Adult</v>
      </c>
      <c r="Q89" t="str">
        <f t="shared" si="6"/>
        <v>High Salary</v>
      </c>
      <c r="R89" t="str">
        <f t="shared" si="7"/>
        <v>Low Balance</v>
      </c>
    </row>
    <row r="90" spans="1:18" x14ac:dyDescent="0.25">
      <c r="A90">
        <v>89</v>
      </c>
      <c r="B90">
        <v>15622897</v>
      </c>
      <c r="C90" t="s">
        <v>107</v>
      </c>
      <c r="D90" t="s">
        <v>15</v>
      </c>
      <c r="E90" t="s">
        <v>16</v>
      </c>
      <c r="F90">
        <v>646</v>
      </c>
      <c r="G90">
        <v>46</v>
      </c>
      <c r="H90">
        <v>4</v>
      </c>
      <c r="I90">
        <v>0</v>
      </c>
      <c r="J90">
        <v>3</v>
      </c>
      <c r="K90">
        <v>1</v>
      </c>
      <c r="L90">
        <v>0</v>
      </c>
      <c r="M90">
        <v>93251.42</v>
      </c>
      <c r="N90">
        <v>1</v>
      </c>
      <c r="O90" t="str">
        <f t="shared" si="4"/>
        <v>Average</v>
      </c>
      <c r="P90" t="str">
        <f t="shared" si="5"/>
        <v>Adult</v>
      </c>
      <c r="Q90" t="str">
        <f t="shared" si="6"/>
        <v>High Salary</v>
      </c>
      <c r="R90" t="str">
        <f t="shared" si="7"/>
        <v>Low Balance</v>
      </c>
    </row>
    <row r="91" spans="1:18" x14ac:dyDescent="0.25">
      <c r="A91">
        <v>90</v>
      </c>
      <c r="B91">
        <v>15767954</v>
      </c>
      <c r="C91" t="s">
        <v>61</v>
      </c>
      <c r="D91" t="s">
        <v>26</v>
      </c>
      <c r="E91" t="s">
        <v>16</v>
      </c>
      <c r="F91">
        <v>635</v>
      </c>
      <c r="G91">
        <v>28</v>
      </c>
      <c r="H91">
        <v>3</v>
      </c>
      <c r="I91">
        <v>81623.67</v>
      </c>
      <c r="J91">
        <v>2</v>
      </c>
      <c r="K91">
        <v>1</v>
      </c>
      <c r="L91">
        <v>1</v>
      </c>
      <c r="M91">
        <v>156791.35999999999</v>
      </c>
      <c r="N91">
        <v>0</v>
      </c>
      <c r="O91" t="str">
        <f t="shared" si="4"/>
        <v>Average</v>
      </c>
      <c r="P91" t="str">
        <f t="shared" si="5"/>
        <v>Young Adult</v>
      </c>
      <c r="Q91" t="str">
        <f t="shared" si="6"/>
        <v>High Salary</v>
      </c>
      <c r="R91" t="str">
        <f t="shared" si="7"/>
        <v>Medium Balance</v>
      </c>
    </row>
    <row r="92" spans="1:18" x14ac:dyDescent="0.25">
      <c r="A92">
        <v>91</v>
      </c>
      <c r="B92">
        <v>15757535</v>
      </c>
      <c r="C92" t="s">
        <v>108</v>
      </c>
      <c r="D92" t="s">
        <v>18</v>
      </c>
      <c r="E92" t="s">
        <v>16</v>
      </c>
      <c r="F92">
        <v>647</v>
      </c>
      <c r="G92">
        <v>44</v>
      </c>
      <c r="H92">
        <v>5</v>
      </c>
      <c r="I92">
        <v>0</v>
      </c>
      <c r="J92">
        <v>3</v>
      </c>
      <c r="K92">
        <v>1</v>
      </c>
      <c r="L92">
        <v>1</v>
      </c>
      <c r="M92">
        <v>174205.22</v>
      </c>
      <c r="N92">
        <v>1</v>
      </c>
      <c r="O92" t="str">
        <f t="shared" si="4"/>
        <v>Average</v>
      </c>
      <c r="P92" t="str">
        <f t="shared" si="5"/>
        <v>Adult</v>
      </c>
      <c r="Q92" t="str">
        <f t="shared" si="6"/>
        <v>High Salary</v>
      </c>
      <c r="R92" t="str">
        <f t="shared" si="7"/>
        <v>Low Balance</v>
      </c>
    </row>
    <row r="93" spans="1:18" x14ac:dyDescent="0.25">
      <c r="A93">
        <v>92</v>
      </c>
      <c r="B93">
        <v>15731511</v>
      </c>
      <c r="C93" t="s">
        <v>109</v>
      </c>
      <c r="D93" t="s">
        <v>15</v>
      </c>
      <c r="E93" t="s">
        <v>23</v>
      </c>
      <c r="F93">
        <v>808</v>
      </c>
      <c r="G93">
        <v>45</v>
      </c>
      <c r="H93">
        <v>7</v>
      </c>
      <c r="I93">
        <v>118626.55</v>
      </c>
      <c r="J93">
        <v>2</v>
      </c>
      <c r="K93">
        <v>1</v>
      </c>
      <c r="L93">
        <v>0</v>
      </c>
      <c r="M93">
        <v>147132.46</v>
      </c>
      <c r="N93">
        <v>0</v>
      </c>
      <c r="O93" t="str">
        <f t="shared" si="4"/>
        <v>Good</v>
      </c>
      <c r="P93" t="str">
        <f t="shared" si="5"/>
        <v>Adult</v>
      </c>
      <c r="Q93" t="str">
        <f t="shared" si="6"/>
        <v>High Salary</v>
      </c>
      <c r="R93" t="str">
        <f t="shared" si="7"/>
        <v>High Balance</v>
      </c>
    </row>
    <row r="94" spans="1:18" x14ac:dyDescent="0.25">
      <c r="A94">
        <v>93</v>
      </c>
      <c r="B94">
        <v>15809248</v>
      </c>
      <c r="C94" t="s">
        <v>110</v>
      </c>
      <c r="D94" t="s">
        <v>15</v>
      </c>
      <c r="E94" t="s">
        <v>16</v>
      </c>
      <c r="F94">
        <v>524</v>
      </c>
      <c r="G94">
        <v>36</v>
      </c>
      <c r="H94">
        <v>10</v>
      </c>
      <c r="I94">
        <v>0</v>
      </c>
      <c r="J94">
        <v>2</v>
      </c>
      <c r="K94">
        <v>1</v>
      </c>
      <c r="L94">
        <v>0</v>
      </c>
      <c r="M94">
        <v>109614.57</v>
      </c>
      <c r="N94">
        <v>0</v>
      </c>
      <c r="O94" t="str">
        <f t="shared" si="4"/>
        <v>Poor</v>
      </c>
      <c r="P94" t="str">
        <f t="shared" si="5"/>
        <v>Adult</v>
      </c>
      <c r="Q94" t="str">
        <f t="shared" si="6"/>
        <v>High Salary</v>
      </c>
      <c r="R94" t="str">
        <f t="shared" si="7"/>
        <v>Low Balance</v>
      </c>
    </row>
    <row r="95" spans="1:18" x14ac:dyDescent="0.25">
      <c r="A95">
        <v>94</v>
      </c>
      <c r="B95">
        <v>15640635</v>
      </c>
      <c r="C95" t="s">
        <v>111</v>
      </c>
      <c r="D95" t="s">
        <v>15</v>
      </c>
      <c r="E95" t="s">
        <v>23</v>
      </c>
      <c r="F95">
        <v>769</v>
      </c>
      <c r="G95">
        <v>29</v>
      </c>
      <c r="H95">
        <v>8</v>
      </c>
      <c r="I95">
        <v>0</v>
      </c>
      <c r="J95">
        <v>2</v>
      </c>
      <c r="K95">
        <v>1</v>
      </c>
      <c r="L95">
        <v>1</v>
      </c>
      <c r="M95">
        <v>172290.61</v>
      </c>
      <c r="N95">
        <v>0</v>
      </c>
      <c r="O95" t="str">
        <f t="shared" si="4"/>
        <v>Good</v>
      </c>
      <c r="P95" t="str">
        <f t="shared" si="5"/>
        <v>Young Adult</v>
      </c>
      <c r="Q95" t="str">
        <f t="shared" si="6"/>
        <v>High Salary</v>
      </c>
      <c r="R95" t="str">
        <f t="shared" si="7"/>
        <v>Low Balance</v>
      </c>
    </row>
    <row r="96" spans="1:18" x14ac:dyDescent="0.25">
      <c r="A96">
        <v>95</v>
      </c>
      <c r="B96">
        <v>15676966</v>
      </c>
      <c r="C96" t="s">
        <v>111</v>
      </c>
      <c r="D96" t="s">
        <v>18</v>
      </c>
      <c r="E96" t="s">
        <v>23</v>
      </c>
      <c r="F96">
        <v>730</v>
      </c>
      <c r="G96">
        <v>42</v>
      </c>
      <c r="H96">
        <v>4</v>
      </c>
      <c r="I96">
        <v>0</v>
      </c>
      <c r="J96">
        <v>2</v>
      </c>
      <c r="K96">
        <v>0</v>
      </c>
      <c r="L96">
        <v>1</v>
      </c>
      <c r="M96">
        <v>85982.47</v>
      </c>
      <c r="N96">
        <v>0</v>
      </c>
      <c r="O96" t="str">
        <f t="shared" si="4"/>
        <v>Good</v>
      </c>
      <c r="P96" t="str">
        <f t="shared" si="5"/>
        <v>Adult</v>
      </c>
      <c r="Q96" t="str">
        <f t="shared" si="6"/>
        <v>High Salary</v>
      </c>
      <c r="R96" t="str">
        <f t="shared" si="7"/>
        <v>Low Balance</v>
      </c>
    </row>
    <row r="97" spans="1:18" x14ac:dyDescent="0.25">
      <c r="A97">
        <v>96</v>
      </c>
      <c r="B97">
        <v>15699461</v>
      </c>
      <c r="C97" t="s">
        <v>112</v>
      </c>
      <c r="D97" t="s">
        <v>18</v>
      </c>
      <c r="E97" t="s">
        <v>23</v>
      </c>
      <c r="F97">
        <v>515</v>
      </c>
      <c r="G97">
        <v>35</v>
      </c>
      <c r="H97">
        <v>10</v>
      </c>
      <c r="I97">
        <v>176273.95</v>
      </c>
      <c r="J97">
        <v>1</v>
      </c>
      <c r="K97">
        <v>0</v>
      </c>
      <c r="L97">
        <v>1</v>
      </c>
      <c r="M97">
        <v>121277.78</v>
      </c>
      <c r="N97">
        <v>0</v>
      </c>
      <c r="O97" t="str">
        <f t="shared" si="4"/>
        <v>Poor</v>
      </c>
      <c r="P97" t="str">
        <f t="shared" si="5"/>
        <v>Adult</v>
      </c>
      <c r="Q97" t="str">
        <f t="shared" si="6"/>
        <v>High Salary</v>
      </c>
      <c r="R97" t="str">
        <f t="shared" si="7"/>
        <v>High Balance</v>
      </c>
    </row>
    <row r="98" spans="1:18" x14ac:dyDescent="0.25">
      <c r="A98">
        <v>97</v>
      </c>
      <c r="B98">
        <v>15738721</v>
      </c>
      <c r="C98" t="s">
        <v>113</v>
      </c>
      <c r="D98" t="s">
        <v>18</v>
      </c>
      <c r="E98" t="s">
        <v>23</v>
      </c>
      <c r="F98">
        <v>773</v>
      </c>
      <c r="G98">
        <v>41</v>
      </c>
      <c r="H98">
        <v>9</v>
      </c>
      <c r="I98">
        <v>102827.44</v>
      </c>
      <c r="J98">
        <v>1</v>
      </c>
      <c r="K98">
        <v>0</v>
      </c>
      <c r="L98">
        <v>1</v>
      </c>
      <c r="M98">
        <v>64595.25</v>
      </c>
      <c r="N98">
        <v>0</v>
      </c>
      <c r="O98" t="str">
        <f t="shared" si="4"/>
        <v>Good</v>
      </c>
      <c r="P98" t="str">
        <f t="shared" si="5"/>
        <v>Adult</v>
      </c>
      <c r="Q98" t="str">
        <f t="shared" si="6"/>
        <v>Medium Salary</v>
      </c>
      <c r="R98" t="str">
        <f t="shared" si="7"/>
        <v>High Balance</v>
      </c>
    </row>
    <row r="99" spans="1:18" x14ac:dyDescent="0.25">
      <c r="A99">
        <v>98</v>
      </c>
      <c r="B99">
        <v>15693683</v>
      </c>
      <c r="C99" t="s">
        <v>114</v>
      </c>
      <c r="D99" t="s">
        <v>26</v>
      </c>
      <c r="E99" t="s">
        <v>23</v>
      </c>
      <c r="F99">
        <v>814</v>
      </c>
      <c r="G99">
        <v>29</v>
      </c>
      <c r="H99">
        <v>8</v>
      </c>
      <c r="I99">
        <v>97086.399999999994</v>
      </c>
      <c r="J99">
        <v>2</v>
      </c>
      <c r="K99">
        <v>1</v>
      </c>
      <c r="L99">
        <v>1</v>
      </c>
      <c r="M99">
        <v>197276.13</v>
      </c>
      <c r="N99">
        <v>0</v>
      </c>
      <c r="O99" t="str">
        <f t="shared" si="4"/>
        <v>Good</v>
      </c>
      <c r="P99" t="str">
        <f t="shared" si="5"/>
        <v>Young Adult</v>
      </c>
      <c r="Q99" t="str">
        <f t="shared" si="6"/>
        <v>High Salary</v>
      </c>
      <c r="R99" t="str">
        <f t="shared" si="7"/>
        <v>Medium Balance</v>
      </c>
    </row>
    <row r="100" spans="1:18" x14ac:dyDescent="0.25">
      <c r="A100">
        <v>99</v>
      </c>
      <c r="B100">
        <v>15604348</v>
      </c>
      <c r="C100" t="s">
        <v>115</v>
      </c>
      <c r="D100" t="s">
        <v>18</v>
      </c>
      <c r="E100" t="s">
        <v>23</v>
      </c>
      <c r="F100">
        <v>710</v>
      </c>
      <c r="G100">
        <v>22</v>
      </c>
      <c r="H100">
        <v>8</v>
      </c>
      <c r="I100">
        <v>0</v>
      </c>
      <c r="J100">
        <v>2</v>
      </c>
      <c r="K100">
        <v>0</v>
      </c>
      <c r="L100">
        <v>0</v>
      </c>
      <c r="M100">
        <v>99645.04</v>
      </c>
      <c r="N100">
        <v>0</v>
      </c>
      <c r="O100" t="str">
        <f t="shared" si="4"/>
        <v>Good</v>
      </c>
      <c r="P100" t="str">
        <f t="shared" si="5"/>
        <v>Young Adult</v>
      </c>
      <c r="Q100" t="str">
        <f t="shared" si="6"/>
        <v>High Salary</v>
      </c>
      <c r="R100" t="str">
        <f t="shared" si="7"/>
        <v>Low Balance</v>
      </c>
    </row>
    <row r="101" spans="1:18" x14ac:dyDescent="0.25">
      <c r="A101">
        <v>100</v>
      </c>
      <c r="B101">
        <v>15633059</v>
      </c>
      <c r="C101" t="s">
        <v>116</v>
      </c>
      <c r="D101" t="s">
        <v>15</v>
      </c>
      <c r="E101" t="s">
        <v>23</v>
      </c>
      <c r="F101">
        <v>413</v>
      </c>
      <c r="G101">
        <v>34</v>
      </c>
      <c r="H101">
        <v>9</v>
      </c>
      <c r="I101">
        <v>0</v>
      </c>
      <c r="J101">
        <v>2</v>
      </c>
      <c r="K101">
        <v>0</v>
      </c>
      <c r="L101">
        <v>0</v>
      </c>
      <c r="M101">
        <v>6534.18</v>
      </c>
      <c r="N101">
        <v>0</v>
      </c>
      <c r="O101" t="str">
        <f t="shared" si="4"/>
        <v>Poor</v>
      </c>
      <c r="P101" t="str">
        <f t="shared" si="5"/>
        <v>Adult</v>
      </c>
      <c r="Q101" t="str">
        <f t="shared" si="6"/>
        <v>Low Salary</v>
      </c>
      <c r="R101" t="str">
        <f t="shared" si="7"/>
        <v>Low Balance</v>
      </c>
    </row>
    <row r="102" spans="1:18" x14ac:dyDescent="0.25">
      <c r="A102">
        <v>101</v>
      </c>
      <c r="B102">
        <v>15808582</v>
      </c>
      <c r="C102" t="s">
        <v>117</v>
      </c>
      <c r="D102" t="s">
        <v>15</v>
      </c>
      <c r="E102" t="s">
        <v>16</v>
      </c>
      <c r="F102">
        <v>665</v>
      </c>
      <c r="G102">
        <v>40</v>
      </c>
      <c r="H102">
        <v>6</v>
      </c>
      <c r="I102">
        <v>0</v>
      </c>
      <c r="J102">
        <v>1</v>
      </c>
      <c r="K102">
        <v>1</v>
      </c>
      <c r="L102">
        <v>1</v>
      </c>
      <c r="M102">
        <v>161848.03</v>
      </c>
      <c r="N102">
        <v>0</v>
      </c>
      <c r="O102" t="str">
        <f t="shared" si="4"/>
        <v>Average</v>
      </c>
      <c r="P102" t="str">
        <f t="shared" si="5"/>
        <v>Adult</v>
      </c>
      <c r="Q102" t="str">
        <f t="shared" si="6"/>
        <v>High Salary</v>
      </c>
      <c r="R102" t="str">
        <f t="shared" si="7"/>
        <v>Low Balance</v>
      </c>
    </row>
    <row r="103" spans="1:18" x14ac:dyDescent="0.25">
      <c r="A103">
        <v>102</v>
      </c>
      <c r="B103">
        <v>15743192</v>
      </c>
      <c r="C103" t="s">
        <v>118</v>
      </c>
      <c r="D103" t="s">
        <v>15</v>
      </c>
      <c r="E103" t="s">
        <v>16</v>
      </c>
      <c r="F103">
        <v>623</v>
      </c>
      <c r="G103">
        <v>44</v>
      </c>
      <c r="H103">
        <v>6</v>
      </c>
      <c r="I103">
        <v>0</v>
      </c>
      <c r="J103">
        <v>2</v>
      </c>
      <c r="K103">
        <v>0</v>
      </c>
      <c r="L103">
        <v>0</v>
      </c>
      <c r="M103">
        <v>167162.43</v>
      </c>
      <c r="N103">
        <v>0</v>
      </c>
      <c r="O103" t="str">
        <f t="shared" si="4"/>
        <v>Average</v>
      </c>
      <c r="P103" t="str">
        <f t="shared" si="5"/>
        <v>Adult</v>
      </c>
      <c r="Q103" t="str">
        <f t="shared" si="6"/>
        <v>High Salary</v>
      </c>
      <c r="R103" t="str">
        <f t="shared" si="7"/>
        <v>Low Balance</v>
      </c>
    </row>
    <row r="104" spans="1:18" x14ac:dyDescent="0.25">
      <c r="A104">
        <v>103</v>
      </c>
      <c r="B104">
        <v>15580146</v>
      </c>
      <c r="C104" t="s">
        <v>118</v>
      </c>
      <c r="D104" t="s">
        <v>15</v>
      </c>
      <c r="E104" t="s">
        <v>23</v>
      </c>
      <c r="F104">
        <v>738</v>
      </c>
      <c r="G104">
        <v>31</v>
      </c>
      <c r="H104">
        <v>9</v>
      </c>
      <c r="I104">
        <v>82674.149999999994</v>
      </c>
      <c r="J104">
        <v>1</v>
      </c>
      <c r="K104">
        <v>1</v>
      </c>
      <c r="L104">
        <v>0</v>
      </c>
      <c r="M104">
        <v>41970.720000000001</v>
      </c>
      <c r="N104">
        <v>0</v>
      </c>
      <c r="O104" t="str">
        <f t="shared" si="4"/>
        <v>Good</v>
      </c>
      <c r="P104" t="str">
        <f t="shared" si="5"/>
        <v>Adult</v>
      </c>
      <c r="Q104" t="str">
        <f t="shared" si="6"/>
        <v>Medium Salary</v>
      </c>
      <c r="R104" t="str">
        <f t="shared" si="7"/>
        <v>Medium Balance</v>
      </c>
    </row>
    <row r="105" spans="1:18" x14ac:dyDescent="0.25">
      <c r="A105">
        <v>104</v>
      </c>
      <c r="B105">
        <v>15776605</v>
      </c>
      <c r="C105" t="s">
        <v>119</v>
      </c>
      <c r="D105" t="s">
        <v>18</v>
      </c>
      <c r="E105" t="s">
        <v>23</v>
      </c>
      <c r="F105">
        <v>528</v>
      </c>
      <c r="G105">
        <v>36</v>
      </c>
      <c r="H105">
        <v>7</v>
      </c>
      <c r="I105">
        <v>0</v>
      </c>
      <c r="J105">
        <v>2</v>
      </c>
      <c r="K105">
        <v>1</v>
      </c>
      <c r="L105">
        <v>0</v>
      </c>
      <c r="M105">
        <v>60536.56</v>
      </c>
      <c r="N105">
        <v>0</v>
      </c>
      <c r="O105" t="str">
        <f t="shared" si="4"/>
        <v>Poor</v>
      </c>
      <c r="P105" t="str">
        <f t="shared" si="5"/>
        <v>Adult</v>
      </c>
      <c r="Q105" t="str">
        <f t="shared" si="6"/>
        <v>Medium Salary</v>
      </c>
      <c r="R105" t="str">
        <f t="shared" si="7"/>
        <v>Low Balance</v>
      </c>
    </row>
    <row r="106" spans="1:18" x14ac:dyDescent="0.25">
      <c r="A106">
        <v>105</v>
      </c>
      <c r="B106">
        <v>15804919</v>
      </c>
      <c r="C106" t="s">
        <v>120</v>
      </c>
      <c r="D106" t="s">
        <v>18</v>
      </c>
      <c r="E106" t="s">
        <v>16</v>
      </c>
      <c r="F106">
        <v>670</v>
      </c>
      <c r="G106">
        <v>65</v>
      </c>
      <c r="H106">
        <v>1</v>
      </c>
      <c r="I106">
        <v>0</v>
      </c>
      <c r="J106">
        <v>1</v>
      </c>
      <c r="K106">
        <v>1</v>
      </c>
      <c r="L106">
        <v>1</v>
      </c>
      <c r="M106">
        <v>177655.67999999999</v>
      </c>
      <c r="N106">
        <v>1</v>
      </c>
      <c r="O106" t="str">
        <f t="shared" si="4"/>
        <v>Good</v>
      </c>
      <c r="P106" t="str">
        <f t="shared" si="5"/>
        <v>Senior</v>
      </c>
      <c r="Q106" t="str">
        <f t="shared" si="6"/>
        <v>High Salary</v>
      </c>
      <c r="R106" t="str">
        <f t="shared" si="7"/>
        <v>Low Balance</v>
      </c>
    </row>
    <row r="107" spans="1:18" x14ac:dyDescent="0.25">
      <c r="A107">
        <v>106</v>
      </c>
      <c r="B107">
        <v>15613854</v>
      </c>
      <c r="C107" t="s">
        <v>121</v>
      </c>
      <c r="D107" t="s">
        <v>18</v>
      </c>
      <c r="E107" t="s">
        <v>16</v>
      </c>
      <c r="F107">
        <v>622</v>
      </c>
      <c r="G107">
        <v>46</v>
      </c>
      <c r="H107">
        <v>4</v>
      </c>
      <c r="I107">
        <v>107073.27</v>
      </c>
      <c r="J107">
        <v>2</v>
      </c>
      <c r="K107">
        <v>1</v>
      </c>
      <c r="L107">
        <v>1</v>
      </c>
      <c r="M107">
        <v>30984.59</v>
      </c>
      <c r="N107">
        <v>1</v>
      </c>
      <c r="O107" t="str">
        <f t="shared" si="4"/>
        <v>Average</v>
      </c>
      <c r="P107" t="str">
        <f t="shared" si="5"/>
        <v>Adult</v>
      </c>
      <c r="Q107" t="str">
        <f t="shared" si="6"/>
        <v>Medium Salary</v>
      </c>
      <c r="R107" t="str">
        <f t="shared" si="7"/>
        <v>High Balance</v>
      </c>
    </row>
    <row r="108" spans="1:18" x14ac:dyDescent="0.25">
      <c r="A108">
        <v>107</v>
      </c>
      <c r="B108">
        <v>15599195</v>
      </c>
      <c r="C108" t="s">
        <v>122</v>
      </c>
      <c r="D108" t="s">
        <v>26</v>
      </c>
      <c r="E108" t="s">
        <v>23</v>
      </c>
      <c r="F108">
        <v>582</v>
      </c>
      <c r="G108">
        <v>32</v>
      </c>
      <c r="H108">
        <v>1</v>
      </c>
      <c r="I108">
        <v>88938.62</v>
      </c>
      <c r="J108">
        <v>1</v>
      </c>
      <c r="K108">
        <v>1</v>
      </c>
      <c r="L108">
        <v>1</v>
      </c>
      <c r="M108">
        <v>10054.530000000001</v>
      </c>
      <c r="N108">
        <v>0</v>
      </c>
      <c r="O108" t="str">
        <f t="shared" si="4"/>
        <v>Average</v>
      </c>
      <c r="P108" t="str">
        <f t="shared" si="5"/>
        <v>Adult</v>
      </c>
      <c r="Q108" t="str">
        <f t="shared" si="6"/>
        <v>Low Salary</v>
      </c>
      <c r="R108" t="str">
        <f t="shared" si="7"/>
        <v>Medium Balance</v>
      </c>
    </row>
    <row r="109" spans="1:18" x14ac:dyDescent="0.25">
      <c r="A109">
        <v>108</v>
      </c>
      <c r="B109">
        <v>15812878</v>
      </c>
      <c r="C109" t="s">
        <v>123</v>
      </c>
      <c r="D109" t="s">
        <v>26</v>
      </c>
      <c r="E109" t="s">
        <v>16</v>
      </c>
      <c r="F109">
        <v>785</v>
      </c>
      <c r="G109">
        <v>36</v>
      </c>
      <c r="H109">
        <v>2</v>
      </c>
      <c r="I109">
        <v>99806.85</v>
      </c>
      <c r="J109">
        <v>1</v>
      </c>
      <c r="K109">
        <v>0</v>
      </c>
      <c r="L109">
        <v>1</v>
      </c>
      <c r="M109">
        <v>36976.519999999997</v>
      </c>
      <c r="N109">
        <v>0</v>
      </c>
      <c r="O109" t="str">
        <f t="shared" si="4"/>
        <v>Good</v>
      </c>
      <c r="P109" t="str">
        <f t="shared" si="5"/>
        <v>Adult</v>
      </c>
      <c r="Q109" t="str">
        <f t="shared" si="6"/>
        <v>Medium Salary</v>
      </c>
      <c r="R109" t="str">
        <f t="shared" si="7"/>
        <v>Medium Balance</v>
      </c>
    </row>
    <row r="110" spans="1:18" x14ac:dyDescent="0.25">
      <c r="A110">
        <v>109</v>
      </c>
      <c r="B110">
        <v>15602312</v>
      </c>
      <c r="C110" t="s">
        <v>124</v>
      </c>
      <c r="D110" t="s">
        <v>18</v>
      </c>
      <c r="E110" t="s">
        <v>23</v>
      </c>
      <c r="F110">
        <v>605</v>
      </c>
      <c r="G110">
        <v>33</v>
      </c>
      <c r="H110">
        <v>5</v>
      </c>
      <c r="I110">
        <v>150092.79999999999</v>
      </c>
      <c r="J110">
        <v>1</v>
      </c>
      <c r="K110">
        <v>0</v>
      </c>
      <c r="L110">
        <v>0</v>
      </c>
      <c r="M110">
        <v>71862.789999999994</v>
      </c>
      <c r="N110">
        <v>0</v>
      </c>
      <c r="O110" t="str">
        <f t="shared" si="4"/>
        <v>Average</v>
      </c>
      <c r="P110" t="str">
        <f t="shared" si="5"/>
        <v>Adult</v>
      </c>
      <c r="Q110" t="str">
        <f t="shared" si="6"/>
        <v>High Salary</v>
      </c>
      <c r="R110" t="str">
        <f t="shared" si="7"/>
        <v>High Balance</v>
      </c>
    </row>
    <row r="111" spans="1:18" x14ac:dyDescent="0.25">
      <c r="A111">
        <v>110</v>
      </c>
      <c r="B111">
        <v>15744689</v>
      </c>
      <c r="C111" t="s">
        <v>125</v>
      </c>
      <c r="D111" t="s">
        <v>26</v>
      </c>
      <c r="E111" t="s">
        <v>23</v>
      </c>
      <c r="F111">
        <v>479</v>
      </c>
      <c r="G111">
        <v>35</v>
      </c>
      <c r="H111">
        <v>9</v>
      </c>
      <c r="I111">
        <v>92833.89</v>
      </c>
      <c r="J111">
        <v>1</v>
      </c>
      <c r="K111">
        <v>1</v>
      </c>
      <c r="L111">
        <v>0</v>
      </c>
      <c r="M111">
        <v>99449.86</v>
      </c>
      <c r="N111">
        <v>1</v>
      </c>
      <c r="O111" t="str">
        <f t="shared" si="4"/>
        <v>Poor</v>
      </c>
      <c r="P111" t="str">
        <f t="shared" si="5"/>
        <v>Adult</v>
      </c>
      <c r="Q111" t="str">
        <f t="shared" si="6"/>
        <v>High Salary</v>
      </c>
      <c r="R111" t="str">
        <f t="shared" si="7"/>
        <v>Medium Balance</v>
      </c>
    </row>
    <row r="112" spans="1:18" x14ac:dyDescent="0.25">
      <c r="A112">
        <v>111</v>
      </c>
      <c r="B112">
        <v>15803526</v>
      </c>
      <c r="C112" t="s">
        <v>126</v>
      </c>
      <c r="D112" t="s">
        <v>26</v>
      </c>
      <c r="E112" t="s">
        <v>23</v>
      </c>
      <c r="F112">
        <v>685</v>
      </c>
      <c r="G112">
        <v>30</v>
      </c>
      <c r="H112">
        <v>3</v>
      </c>
      <c r="I112">
        <v>90536.81</v>
      </c>
      <c r="J112">
        <v>1</v>
      </c>
      <c r="K112">
        <v>0</v>
      </c>
      <c r="L112">
        <v>1</v>
      </c>
      <c r="M112">
        <v>63082.879999999997</v>
      </c>
      <c r="N112">
        <v>0</v>
      </c>
      <c r="O112" t="str">
        <f t="shared" si="4"/>
        <v>Good</v>
      </c>
      <c r="P112" t="str">
        <f t="shared" si="5"/>
        <v>Young Adult</v>
      </c>
      <c r="Q112" t="str">
        <f t="shared" si="6"/>
        <v>Medium Salary</v>
      </c>
      <c r="R112" t="str">
        <f t="shared" si="7"/>
        <v>Medium Balance</v>
      </c>
    </row>
    <row r="113" spans="1:18" x14ac:dyDescent="0.25">
      <c r="A113">
        <v>112</v>
      </c>
      <c r="B113">
        <v>15665790</v>
      </c>
      <c r="C113" t="s">
        <v>127</v>
      </c>
      <c r="D113" t="s">
        <v>26</v>
      </c>
      <c r="E113" t="s">
        <v>23</v>
      </c>
      <c r="F113">
        <v>538</v>
      </c>
      <c r="G113">
        <v>39</v>
      </c>
      <c r="H113">
        <v>7</v>
      </c>
      <c r="I113">
        <v>108055.1</v>
      </c>
      <c r="J113">
        <v>2</v>
      </c>
      <c r="K113">
        <v>1</v>
      </c>
      <c r="L113">
        <v>0</v>
      </c>
      <c r="M113">
        <v>27231.26</v>
      </c>
      <c r="N113">
        <v>0</v>
      </c>
      <c r="O113" t="str">
        <f t="shared" si="4"/>
        <v>Poor</v>
      </c>
      <c r="P113" t="str">
        <f t="shared" si="5"/>
        <v>Adult</v>
      </c>
      <c r="Q113" t="str">
        <f t="shared" si="6"/>
        <v>Low Salary</v>
      </c>
      <c r="R113" t="str">
        <f t="shared" si="7"/>
        <v>High Balance</v>
      </c>
    </row>
    <row r="114" spans="1:18" x14ac:dyDescent="0.25">
      <c r="A114">
        <v>113</v>
      </c>
      <c r="B114">
        <v>15715951</v>
      </c>
      <c r="C114" t="s">
        <v>128</v>
      </c>
      <c r="D114" t="s">
        <v>15</v>
      </c>
      <c r="E114" t="s">
        <v>23</v>
      </c>
      <c r="F114">
        <v>562</v>
      </c>
      <c r="G114">
        <v>42</v>
      </c>
      <c r="H114">
        <v>2</v>
      </c>
      <c r="I114">
        <v>100238.35</v>
      </c>
      <c r="J114">
        <v>1</v>
      </c>
      <c r="K114">
        <v>0</v>
      </c>
      <c r="L114">
        <v>0</v>
      </c>
      <c r="M114">
        <v>86797.41</v>
      </c>
      <c r="N114">
        <v>0</v>
      </c>
      <c r="O114" t="str">
        <f t="shared" si="4"/>
        <v>Poor</v>
      </c>
      <c r="P114" t="str">
        <f t="shared" si="5"/>
        <v>Adult</v>
      </c>
      <c r="Q114" t="str">
        <f t="shared" si="6"/>
        <v>High Salary</v>
      </c>
      <c r="R114" t="str">
        <f t="shared" si="7"/>
        <v>High Balance</v>
      </c>
    </row>
    <row r="115" spans="1:18" x14ac:dyDescent="0.25">
      <c r="A115">
        <v>114</v>
      </c>
      <c r="B115">
        <v>15591100</v>
      </c>
      <c r="C115" t="s">
        <v>129</v>
      </c>
      <c r="D115" t="s">
        <v>18</v>
      </c>
      <c r="E115" t="s">
        <v>23</v>
      </c>
      <c r="F115">
        <v>675</v>
      </c>
      <c r="G115">
        <v>36</v>
      </c>
      <c r="H115">
        <v>9</v>
      </c>
      <c r="I115">
        <v>106190.55</v>
      </c>
      <c r="J115">
        <v>1</v>
      </c>
      <c r="K115">
        <v>0</v>
      </c>
      <c r="L115">
        <v>1</v>
      </c>
      <c r="M115">
        <v>22994.32</v>
      </c>
      <c r="N115">
        <v>0</v>
      </c>
      <c r="O115" t="str">
        <f t="shared" si="4"/>
        <v>Good</v>
      </c>
      <c r="P115" t="str">
        <f t="shared" si="5"/>
        <v>Adult</v>
      </c>
      <c r="Q115" t="str">
        <f t="shared" si="6"/>
        <v>Low Salary</v>
      </c>
      <c r="R115" t="str">
        <f t="shared" si="7"/>
        <v>High Balance</v>
      </c>
    </row>
    <row r="116" spans="1:18" x14ac:dyDescent="0.25">
      <c r="A116">
        <v>115</v>
      </c>
      <c r="B116">
        <v>15609618</v>
      </c>
      <c r="C116" t="s">
        <v>116</v>
      </c>
      <c r="D116" t="s">
        <v>26</v>
      </c>
      <c r="E116" t="s">
        <v>23</v>
      </c>
      <c r="F116">
        <v>721</v>
      </c>
      <c r="G116">
        <v>28</v>
      </c>
      <c r="H116">
        <v>9</v>
      </c>
      <c r="I116">
        <v>154475.54</v>
      </c>
      <c r="J116">
        <v>2</v>
      </c>
      <c r="K116">
        <v>0</v>
      </c>
      <c r="L116">
        <v>1</v>
      </c>
      <c r="M116">
        <v>101300.94</v>
      </c>
      <c r="N116">
        <v>1</v>
      </c>
      <c r="O116" t="str">
        <f t="shared" si="4"/>
        <v>Good</v>
      </c>
      <c r="P116" t="str">
        <f t="shared" si="5"/>
        <v>Young Adult</v>
      </c>
      <c r="Q116" t="str">
        <f t="shared" si="6"/>
        <v>High Salary</v>
      </c>
      <c r="R116" t="str">
        <f t="shared" si="7"/>
        <v>High Balance</v>
      </c>
    </row>
    <row r="117" spans="1:18" x14ac:dyDescent="0.25">
      <c r="A117">
        <v>116</v>
      </c>
      <c r="B117">
        <v>15675522</v>
      </c>
      <c r="C117" t="s">
        <v>130</v>
      </c>
      <c r="D117" t="s">
        <v>26</v>
      </c>
      <c r="E117" t="s">
        <v>16</v>
      </c>
      <c r="F117">
        <v>628</v>
      </c>
      <c r="G117">
        <v>30</v>
      </c>
      <c r="H117">
        <v>9</v>
      </c>
      <c r="I117">
        <v>132351.29</v>
      </c>
      <c r="J117">
        <v>2</v>
      </c>
      <c r="K117">
        <v>1</v>
      </c>
      <c r="L117">
        <v>1</v>
      </c>
      <c r="M117">
        <v>74169.13</v>
      </c>
      <c r="N117">
        <v>0</v>
      </c>
      <c r="O117" t="str">
        <f t="shared" si="4"/>
        <v>Average</v>
      </c>
      <c r="P117" t="str">
        <f t="shared" si="5"/>
        <v>Young Adult</v>
      </c>
      <c r="Q117" t="str">
        <f t="shared" si="6"/>
        <v>High Salary</v>
      </c>
      <c r="R117" t="str">
        <f t="shared" si="7"/>
        <v>High Balance</v>
      </c>
    </row>
    <row r="118" spans="1:18" x14ac:dyDescent="0.25">
      <c r="A118">
        <v>117</v>
      </c>
      <c r="B118">
        <v>15705512</v>
      </c>
      <c r="C118" t="s">
        <v>131</v>
      </c>
      <c r="D118" t="s">
        <v>26</v>
      </c>
      <c r="E118" t="s">
        <v>16</v>
      </c>
      <c r="F118">
        <v>668</v>
      </c>
      <c r="G118">
        <v>37</v>
      </c>
      <c r="H118">
        <v>6</v>
      </c>
      <c r="I118">
        <v>167864.4</v>
      </c>
      <c r="J118">
        <v>1</v>
      </c>
      <c r="K118">
        <v>1</v>
      </c>
      <c r="L118">
        <v>0</v>
      </c>
      <c r="M118">
        <v>115638.29</v>
      </c>
      <c r="N118">
        <v>0</v>
      </c>
      <c r="O118" t="str">
        <f t="shared" si="4"/>
        <v>Average</v>
      </c>
      <c r="P118" t="str">
        <f t="shared" si="5"/>
        <v>Adult</v>
      </c>
      <c r="Q118" t="str">
        <f t="shared" si="6"/>
        <v>High Salary</v>
      </c>
      <c r="R118" t="str">
        <f t="shared" si="7"/>
        <v>High Balance</v>
      </c>
    </row>
    <row r="119" spans="1:18" x14ac:dyDescent="0.25">
      <c r="A119">
        <v>118</v>
      </c>
      <c r="B119">
        <v>15698028</v>
      </c>
      <c r="C119" t="s">
        <v>132</v>
      </c>
      <c r="D119" t="s">
        <v>15</v>
      </c>
      <c r="E119" t="s">
        <v>16</v>
      </c>
      <c r="F119">
        <v>506</v>
      </c>
      <c r="G119">
        <v>41</v>
      </c>
      <c r="H119">
        <v>1</v>
      </c>
      <c r="I119">
        <v>0</v>
      </c>
      <c r="J119">
        <v>2</v>
      </c>
      <c r="K119">
        <v>1</v>
      </c>
      <c r="L119">
        <v>0</v>
      </c>
      <c r="M119">
        <v>31766.3</v>
      </c>
      <c r="N119">
        <v>0</v>
      </c>
      <c r="O119" t="str">
        <f t="shared" si="4"/>
        <v>Poor</v>
      </c>
      <c r="P119" t="str">
        <f t="shared" si="5"/>
        <v>Adult</v>
      </c>
      <c r="Q119" t="str">
        <f t="shared" si="6"/>
        <v>Medium Salary</v>
      </c>
      <c r="R119" t="str">
        <f t="shared" si="7"/>
        <v>Low Balance</v>
      </c>
    </row>
    <row r="120" spans="1:18" x14ac:dyDescent="0.25">
      <c r="A120">
        <v>119</v>
      </c>
      <c r="B120">
        <v>15661670</v>
      </c>
      <c r="C120" t="s">
        <v>133</v>
      </c>
      <c r="D120" t="s">
        <v>26</v>
      </c>
      <c r="E120" t="s">
        <v>16</v>
      </c>
      <c r="F120">
        <v>524</v>
      </c>
      <c r="G120">
        <v>31</v>
      </c>
      <c r="H120">
        <v>8</v>
      </c>
      <c r="I120">
        <v>107818.63</v>
      </c>
      <c r="J120">
        <v>1</v>
      </c>
      <c r="K120">
        <v>1</v>
      </c>
      <c r="L120">
        <v>0</v>
      </c>
      <c r="M120">
        <v>199725.39</v>
      </c>
      <c r="N120">
        <v>1</v>
      </c>
      <c r="O120" t="str">
        <f t="shared" si="4"/>
        <v>Poor</v>
      </c>
      <c r="P120" t="str">
        <f t="shared" si="5"/>
        <v>Adult</v>
      </c>
      <c r="Q120" t="str">
        <f t="shared" si="6"/>
        <v>High Salary</v>
      </c>
      <c r="R120" t="str">
        <f t="shared" si="7"/>
        <v>High Balance</v>
      </c>
    </row>
    <row r="121" spans="1:18" x14ac:dyDescent="0.25">
      <c r="A121">
        <v>120</v>
      </c>
      <c r="B121">
        <v>15600781</v>
      </c>
      <c r="C121" t="s">
        <v>134</v>
      </c>
      <c r="D121" t="s">
        <v>26</v>
      </c>
      <c r="E121" t="s">
        <v>23</v>
      </c>
      <c r="F121">
        <v>699</v>
      </c>
      <c r="G121">
        <v>34</v>
      </c>
      <c r="H121">
        <v>4</v>
      </c>
      <c r="I121">
        <v>185173.81</v>
      </c>
      <c r="J121">
        <v>2</v>
      </c>
      <c r="K121">
        <v>1</v>
      </c>
      <c r="L121">
        <v>0</v>
      </c>
      <c r="M121">
        <v>120834.48</v>
      </c>
      <c r="N121">
        <v>0</v>
      </c>
      <c r="O121" t="str">
        <f t="shared" si="4"/>
        <v>Good</v>
      </c>
      <c r="P121" t="str">
        <f t="shared" si="5"/>
        <v>Adult</v>
      </c>
      <c r="Q121" t="str">
        <f t="shared" si="6"/>
        <v>High Salary</v>
      </c>
      <c r="R121" t="str">
        <f t="shared" si="7"/>
        <v>High Balance</v>
      </c>
    </row>
    <row r="122" spans="1:18" x14ac:dyDescent="0.25">
      <c r="A122">
        <v>121</v>
      </c>
      <c r="B122">
        <v>15682472</v>
      </c>
      <c r="C122" t="s">
        <v>135</v>
      </c>
      <c r="D122" t="s">
        <v>15</v>
      </c>
      <c r="E122" t="s">
        <v>23</v>
      </c>
      <c r="F122">
        <v>828</v>
      </c>
      <c r="G122">
        <v>34</v>
      </c>
      <c r="H122">
        <v>8</v>
      </c>
      <c r="I122">
        <v>129433.34</v>
      </c>
      <c r="J122">
        <v>2</v>
      </c>
      <c r="K122">
        <v>0</v>
      </c>
      <c r="L122">
        <v>0</v>
      </c>
      <c r="M122">
        <v>38131.769999999997</v>
      </c>
      <c r="N122">
        <v>0</v>
      </c>
      <c r="O122" t="str">
        <f t="shared" si="4"/>
        <v>Good</v>
      </c>
      <c r="P122" t="str">
        <f t="shared" si="5"/>
        <v>Adult</v>
      </c>
      <c r="Q122" t="str">
        <f t="shared" si="6"/>
        <v>Medium Salary</v>
      </c>
      <c r="R122" t="str">
        <f t="shared" si="7"/>
        <v>High Balance</v>
      </c>
    </row>
    <row r="123" spans="1:18" x14ac:dyDescent="0.25">
      <c r="A123">
        <v>122</v>
      </c>
      <c r="B123">
        <v>15580203</v>
      </c>
      <c r="C123" t="s">
        <v>136</v>
      </c>
      <c r="D123" t="s">
        <v>18</v>
      </c>
      <c r="E123" t="s">
        <v>23</v>
      </c>
      <c r="F123">
        <v>674</v>
      </c>
      <c r="G123">
        <v>39</v>
      </c>
      <c r="H123">
        <v>6</v>
      </c>
      <c r="I123">
        <v>120193.42</v>
      </c>
      <c r="J123">
        <v>1</v>
      </c>
      <c r="K123">
        <v>0</v>
      </c>
      <c r="L123">
        <v>0</v>
      </c>
      <c r="M123">
        <v>100130.95</v>
      </c>
      <c r="N123">
        <v>0</v>
      </c>
      <c r="O123" t="str">
        <f t="shared" si="4"/>
        <v>Good</v>
      </c>
      <c r="P123" t="str">
        <f t="shared" si="5"/>
        <v>Adult</v>
      </c>
      <c r="Q123" t="str">
        <f t="shared" si="6"/>
        <v>High Salary</v>
      </c>
      <c r="R123" t="str">
        <f t="shared" si="7"/>
        <v>High Balance</v>
      </c>
    </row>
    <row r="124" spans="1:18" x14ac:dyDescent="0.25">
      <c r="A124">
        <v>123</v>
      </c>
      <c r="B124">
        <v>15690673</v>
      </c>
      <c r="C124" t="s">
        <v>58</v>
      </c>
      <c r="D124" t="s">
        <v>15</v>
      </c>
      <c r="E124" t="s">
        <v>16</v>
      </c>
      <c r="F124">
        <v>656</v>
      </c>
      <c r="G124">
        <v>39</v>
      </c>
      <c r="H124">
        <v>6</v>
      </c>
      <c r="I124">
        <v>0</v>
      </c>
      <c r="J124">
        <v>2</v>
      </c>
      <c r="K124">
        <v>1</v>
      </c>
      <c r="L124">
        <v>0</v>
      </c>
      <c r="M124">
        <v>141069.88</v>
      </c>
      <c r="N124">
        <v>0</v>
      </c>
      <c r="O124" t="str">
        <f t="shared" si="4"/>
        <v>Average</v>
      </c>
      <c r="P124" t="str">
        <f t="shared" si="5"/>
        <v>Adult</v>
      </c>
      <c r="Q124" t="str">
        <f t="shared" si="6"/>
        <v>High Salary</v>
      </c>
      <c r="R124" t="str">
        <f t="shared" si="7"/>
        <v>Low Balance</v>
      </c>
    </row>
    <row r="125" spans="1:18" x14ac:dyDescent="0.25">
      <c r="A125">
        <v>124</v>
      </c>
      <c r="B125">
        <v>15760085</v>
      </c>
      <c r="C125" t="s">
        <v>137</v>
      </c>
      <c r="D125" t="s">
        <v>26</v>
      </c>
      <c r="E125" t="s">
        <v>16</v>
      </c>
      <c r="F125">
        <v>684</v>
      </c>
      <c r="G125">
        <v>48</v>
      </c>
      <c r="H125">
        <v>10</v>
      </c>
      <c r="I125">
        <v>126384.42</v>
      </c>
      <c r="J125">
        <v>1</v>
      </c>
      <c r="K125">
        <v>1</v>
      </c>
      <c r="L125">
        <v>1</v>
      </c>
      <c r="M125">
        <v>198129.36</v>
      </c>
      <c r="N125">
        <v>0</v>
      </c>
      <c r="O125" t="str">
        <f t="shared" si="4"/>
        <v>Good</v>
      </c>
      <c r="P125" t="str">
        <f t="shared" si="5"/>
        <v>Adult</v>
      </c>
      <c r="Q125" t="str">
        <f t="shared" si="6"/>
        <v>High Salary</v>
      </c>
      <c r="R125" t="str">
        <f t="shared" si="7"/>
        <v>High Balance</v>
      </c>
    </row>
    <row r="126" spans="1:18" x14ac:dyDescent="0.25">
      <c r="A126">
        <v>125</v>
      </c>
      <c r="B126">
        <v>15779659</v>
      </c>
      <c r="C126" t="s">
        <v>138</v>
      </c>
      <c r="D126" t="s">
        <v>15</v>
      </c>
      <c r="E126" t="s">
        <v>16</v>
      </c>
      <c r="F126">
        <v>625</v>
      </c>
      <c r="G126">
        <v>28</v>
      </c>
      <c r="H126">
        <v>3</v>
      </c>
      <c r="I126">
        <v>0</v>
      </c>
      <c r="J126">
        <v>1</v>
      </c>
      <c r="K126">
        <v>0</v>
      </c>
      <c r="L126">
        <v>0</v>
      </c>
      <c r="M126">
        <v>183646.41</v>
      </c>
      <c r="N126">
        <v>0</v>
      </c>
      <c r="O126" t="str">
        <f t="shared" si="4"/>
        <v>Average</v>
      </c>
      <c r="P126" t="str">
        <f t="shared" si="5"/>
        <v>Young Adult</v>
      </c>
      <c r="Q126" t="str">
        <f t="shared" si="6"/>
        <v>High Salary</v>
      </c>
      <c r="R126" t="str">
        <f t="shared" si="7"/>
        <v>Low Balance</v>
      </c>
    </row>
    <row r="127" spans="1:18" x14ac:dyDescent="0.25">
      <c r="A127">
        <v>126</v>
      </c>
      <c r="B127">
        <v>15627360</v>
      </c>
      <c r="C127" t="s">
        <v>139</v>
      </c>
      <c r="D127" t="s">
        <v>15</v>
      </c>
      <c r="E127" t="s">
        <v>23</v>
      </c>
      <c r="F127">
        <v>432</v>
      </c>
      <c r="G127">
        <v>42</v>
      </c>
      <c r="H127">
        <v>9</v>
      </c>
      <c r="I127">
        <v>152603.45000000001</v>
      </c>
      <c r="J127">
        <v>1</v>
      </c>
      <c r="K127">
        <v>1</v>
      </c>
      <c r="L127">
        <v>0</v>
      </c>
      <c r="M127">
        <v>110265.24</v>
      </c>
      <c r="N127">
        <v>1</v>
      </c>
      <c r="O127" t="str">
        <f t="shared" si="4"/>
        <v>Poor</v>
      </c>
      <c r="P127" t="str">
        <f t="shared" si="5"/>
        <v>Adult</v>
      </c>
      <c r="Q127" t="str">
        <f t="shared" si="6"/>
        <v>High Salary</v>
      </c>
      <c r="R127" t="str">
        <f t="shared" si="7"/>
        <v>High Balance</v>
      </c>
    </row>
    <row r="128" spans="1:18" x14ac:dyDescent="0.25">
      <c r="A128">
        <v>127</v>
      </c>
      <c r="B128">
        <v>15671137</v>
      </c>
      <c r="C128" t="s">
        <v>140</v>
      </c>
      <c r="D128" t="s">
        <v>15</v>
      </c>
      <c r="E128" t="s">
        <v>16</v>
      </c>
      <c r="F128">
        <v>549</v>
      </c>
      <c r="G128">
        <v>52</v>
      </c>
      <c r="H128">
        <v>1</v>
      </c>
      <c r="I128">
        <v>0</v>
      </c>
      <c r="J128">
        <v>1</v>
      </c>
      <c r="K128">
        <v>0</v>
      </c>
      <c r="L128">
        <v>1</v>
      </c>
      <c r="M128">
        <v>8636.0499999999993</v>
      </c>
      <c r="N128">
        <v>1</v>
      </c>
      <c r="O128" t="str">
        <f t="shared" si="4"/>
        <v>Poor</v>
      </c>
      <c r="P128" t="str">
        <f t="shared" si="5"/>
        <v>Senior</v>
      </c>
      <c r="Q128" t="str">
        <f t="shared" si="6"/>
        <v>Low Salary</v>
      </c>
      <c r="R128" t="str">
        <f t="shared" si="7"/>
        <v>Low Balance</v>
      </c>
    </row>
    <row r="129" spans="1:18" x14ac:dyDescent="0.25">
      <c r="A129">
        <v>128</v>
      </c>
      <c r="B129">
        <v>15782688</v>
      </c>
      <c r="C129" t="s">
        <v>141</v>
      </c>
      <c r="D129" t="s">
        <v>26</v>
      </c>
      <c r="E129" t="s">
        <v>23</v>
      </c>
      <c r="F129">
        <v>625</v>
      </c>
      <c r="G129">
        <v>56</v>
      </c>
      <c r="H129">
        <v>0</v>
      </c>
      <c r="I129">
        <v>148507.24</v>
      </c>
      <c r="J129">
        <v>1</v>
      </c>
      <c r="K129">
        <v>1</v>
      </c>
      <c r="L129">
        <v>0</v>
      </c>
      <c r="M129">
        <v>46824.08</v>
      </c>
      <c r="N129">
        <v>1</v>
      </c>
      <c r="O129" t="str">
        <f t="shared" si="4"/>
        <v>Average</v>
      </c>
      <c r="P129" t="str">
        <f t="shared" si="5"/>
        <v>Senior</v>
      </c>
      <c r="Q129" t="str">
        <f t="shared" si="6"/>
        <v>Medium Salary</v>
      </c>
      <c r="R129" t="str">
        <f t="shared" si="7"/>
        <v>High Balance</v>
      </c>
    </row>
    <row r="130" spans="1:18" x14ac:dyDescent="0.25">
      <c r="A130">
        <v>129</v>
      </c>
      <c r="B130">
        <v>15575492</v>
      </c>
      <c r="C130" t="s">
        <v>136</v>
      </c>
      <c r="D130" t="s">
        <v>15</v>
      </c>
      <c r="E130" t="s">
        <v>16</v>
      </c>
      <c r="F130">
        <v>828</v>
      </c>
      <c r="G130">
        <v>41</v>
      </c>
      <c r="H130">
        <v>7</v>
      </c>
      <c r="I130">
        <v>0</v>
      </c>
      <c r="J130">
        <v>2</v>
      </c>
      <c r="K130">
        <v>1</v>
      </c>
      <c r="L130">
        <v>0</v>
      </c>
      <c r="M130">
        <v>171378.77</v>
      </c>
      <c r="N130">
        <v>0</v>
      </c>
      <c r="O130" t="str">
        <f t="shared" si="4"/>
        <v>Good</v>
      </c>
      <c r="P130" t="str">
        <f t="shared" si="5"/>
        <v>Adult</v>
      </c>
      <c r="Q130" t="str">
        <f t="shared" si="6"/>
        <v>High Salary</v>
      </c>
      <c r="R130" t="str">
        <f t="shared" si="7"/>
        <v>Low Balance</v>
      </c>
    </row>
    <row r="131" spans="1:18" x14ac:dyDescent="0.25">
      <c r="A131">
        <v>130</v>
      </c>
      <c r="B131">
        <v>15591607</v>
      </c>
      <c r="C131" t="s">
        <v>142</v>
      </c>
      <c r="D131" t="s">
        <v>15</v>
      </c>
      <c r="E131" t="s">
        <v>23</v>
      </c>
      <c r="F131">
        <v>770</v>
      </c>
      <c r="G131">
        <v>24</v>
      </c>
      <c r="H131">
        <v>9</v>
      </c>
      <c r="I131">
        <v>101827.07</v>
      </c>
      <c r="J131">
        <v>1</v>
      </c>
      <c r="K131">
        <v>1</v>
      </c>
      <c r="L131">
        <v>0</v>
      </c>
      <c r="M131">
        <v>167256.35</v>
      </c>
      <c r="N131">
        <v>0</v>
      </c>
      <c r="O131" t="str">
        <f t="shared" ref="O131:O194" si="8">IF(F131&lt;580, "Poor", IF(AND(F131&gt;=580, F131&lt;=669), "Average", "Good"))</f>
        <v>Good</v>
      </c>
      <c r="P131" t="str">
        <f t="shared" ref="P131:P194" si="9">IF(G131&lt;=30, "Young Adult", IF(AND(G131&gt;=31, G131&lt;=50), "Adult", "Senior"))</f>
        <v>Young Adult</v>
      </c>
      <c r="Q131" t="str">
        <f t="shared" ref="Q131:Q194" si="10">IF(M131&lt;30000, "Low Salary", IF(AND(M131&gt;=30000, M131&lt;=70000), "Medium Salary", "High Salary"))</f>
        <v>High Salary</v>
      </c>
      <c r="R131" t="str">
        <f t="shared" ref="R131:R194" si="11">IF(I131&lt;50000, "Low Balance", IF(AND(I131&gt;=50000, I131&lt;=100000), "Medium Balance", "High Balance"))</f>
        <v>High Balance</v>
      </c>
    </row>
    <row r="132" spans="1:18" x14ac:dyDescent="0.25">
      <c r="A132">
        <v>131</v>
      </c>
      <c r="B132">
        <v>15740404</v>
      </c>
      <c r="C132" t="s">
        <v>27</v>
      </c>
      <c r="D132" t="s">
        <v>15</v>
      </c>
      <c r="E132" t="s">
        <v>16</v>
      </c>
      <c r="F132">
        <v>758</v>
      </c>
      <c r="G132">
        <v>34</v>
      </c>
      <c r="H132">
        <v>3</v>
      </c>
      <c r="I132">
        <v>0</v>
      </c>
      <c r="J132">
        <v>2</v>
      </c>
      <c r="K132">
        <v>1</v>
      </c>
      <c r="L132">
        <v>1</v>
      </c>
      <c r="M132">
        <v>124226.16</v>
      </c>
      <c r="N132">
        <v>0</v>
      </c>
      <c r="O132" t="str">
        <f t="shared" si="8"/>
        <v>Good</v>
      </c>
      <c r="P132" t="str">
        <f t="shared" si="9"/>
        <v>Adult</v>
      </c>
      <c r="Q132" t="str">
        <f t="shared" si="10"/>
        <v>High Salary</v>
      </c>
      <c r="R132" t="str">
        <f t="shared" si="11"/>
        <v>Low Balance</v>
      </c>
    </row>
    <row r="133" spans="1:18" x14ac:dyDescent="0.25">
      <c r="A133">
        <v>132</v>
      </c>
      <c r="B133">
        <v>15718369</v>
      </c>
      <c r="C133" t="s">
        <v>143</v>
      </c>
      <c r="D133" t="s">
        <v>26</v>
      </c>
      <c r="E133" t="s">
        <v>16</v>
      </c>
      <c r="F133">
        <v>795</v>
      </c>
      <c r="G133">
        <v>33</v>
      </c>
      <c r="H133">
        <v>9</v>
      </c>
      <c r="I133">
        <v>130862.43</v>
      </c>
      <c r="J133">
        <v>1</v>
      </c>
      <c r="K133">
        <v>1</v>
      </c>
      <c r="L133">
        <v>1</v>
      </c>
      <c r="M133">
        <v>114935.21</v>
      </c>
      <c r="N133">
        <v>0</v>
      </c>
      <c r="O133" t="str">
        <f t="shared" si="8"/>
        <v>Good</v>
      </c>
      <c r="P133" t="str">
        <f t="shared" si="9"/>
        <v>Adult</v>
      </c>
      <c r="Q133" t="str">
        <f t="shared" si="10"/>
        <v>High Salary</v>
      </c>
      <c r="R133" t="str">
        <f t="shared" si="11"/>
        <v>High Balance</v>
      </c>
    </row>
    <row r="134" spans="1:18" x14ac:dyDescent="0.25">
      <c r="A134">
        <v>133</v>
      </c>
      <c r="B134">
        <v>15677871</v>
      </c>
      <c r="C134" t="s">
        <v>144</v>
      </c>
      <c r="D134" t="s">
        <v>15</v>
      </c>
      <c r="E134" t="s">
        <v>23</v>
      </c>
      <c r="F134">
        <v>687</v>
      </c>
      <c r="G134">
        <v>38</v>
      </c>
      <c r="H134">
        <v>9</v>
      </c>
      <c r="I134">
        <v>122570.87</v>
      </c>
      <c r="J134">
        <v>1</v>
      </c>
      <c r="K134">
        <v>1</v>
      </c>
      <c r="L134">
        <v>1</v>
      </c>
      <c r="M134">
        <v>35608.879999999997</v>
      </c>
      <c r="N134">
        <v>0</v>
      </c>
      <c r="O134" t="str">
        <f t="shared" si="8"/>
        <v>Good</v>
      </c>
      <c r="P134" t="str">
        <f t="shared" si="9"/>
        <v>Adult</v>
      </c>
      <c r="Q134" t="str">
        <f t="shared" si="10"/>
        <v>Medium Salary</v>
      </c>
      <c r="R134" t="str">
        <f t="shared" si="11"/>
        <v>High Balance</v>
      </c>
    </row>
    <row r="135" spans="1:18" x14ac:dyDescent="0.25">
      <c r="A135">
        <v>134</v>
      </c>
      <c r="B135">
        <v>15642004</v>
      </c>
      <c r="C135" t="s">
        <v>145</v>
      </c>
      <c r="D135" t="s">
        <v>15</v>
      </c>
      <c r="E135" t="s">
        <v>23</v>
      </c>
      <c r="F135">
        <v>686</v>
      </c>
      <c r="G135">
        <v>25</v>
      </c>
      <c r="H135">
        <v>1</v>
      </c>
      <c r="I135">
        <v>0</v>
      </c>
      <c r="J135">
        <v>2</v>
      </c>
      <c r="K135">
        <v>0</v>
      </c>
      <c r="L135">
        <v>1</v>
      </c>
      <c r="M135">
        <v>16459.37</v>
      </c>
      <c r="N135">
        <v>0</v>
      </c>
      <c r="O135" t="str">
        <f t="shared" si="8"/>
        <v>Good</v>
      </c>
      <c r="P135" t="str">
        <f t="shared" si="9"/>
        <v>Young Adult</v>
      </c>
      <c r="Q135" t="str">
        <f t="shared" si="10"/>
        <v>Low Salary</v>
      </c>
      <c r="R135" t="str">
        <f t="shared" si="11"/>
        <v>Low Balance</v>
      </c>
    </row>
    <row r="136" spans="1:18" x14ac:dyDescent="0.25">
      <c r="A136">
        <v>135</v>
      </c>
      <c r="B136">
        <v>15712543</v>
      </c>
      <c r="C136" t="s">
        <v>146</v>
      </c>
      <c r="D136" t="s">
        <v>26</v>
      </c>
      <c r="E136" t="s">
        <v>23</v>
      </c>
      <c r="F136">
        <v>789</v>
      </c>
      <c r="G136">
        <v>39</v>
      </c>
      <c r="H136">
        <v>7</v>
      </c>
      <c r="I136">
        <v>124828.46</v>
      </c>
      <c r="J136">
        <v>2</v>
      </c>
      <c r="K136">
        <v>1</v>
      </c>
      <c r="L136">
        <v>1</v>
      </c>
      <c r="M136">
        <v>124411.08</v>
      </c>
      <c r="N136">
        <v>0</v>
      </c>
      <c r="O136" t="str">
        <f t="shared" si="8"/>
        <v>Good</v>
      </c>
      <c r="P136" t="str">
        <f t="shared" si="9"/>
        <v>Adult</v>
      </c>
      <c r="Q136" t="str">
        <f t="shared" si="10"/>
        <v>High Salary</v>
      </c>
      <c r="R136" t="str">
        <f t="shared" si="11"/>
        <v>High Balance</v>
      </c>
    </row>
    <row r="137" spans="1:18" x14ac:dyDescent="0.25">
      <c r="A137">
        <v>136</v>
      </c>
      <c r="B137">
        <v>15584518</v>
      </c>
      <c r="C137" t="s">
        <v>147</v>
      </c>
      <c r="D137" t="s">
        <v>26</v>
      </c>
      <c r="E137" t="s">
        <v>16</v>
      </c>
      <c r="F137">
        <v>589</v>
      </c>
      <c r="G137">
        <v>50</v>
      </c>
      <c r="H137">
        <v>5</v>
      </c>
      <c r="I137">
        <v>144895.04999999999</v>
      </c>
      <c r="J137">
        <v>2</v>
      </c>
      <c r="K137">
        <v>1</v>
      </c>
      <c r="L137">
        <v>1</v>
      </c>
      <c r="M137">
        <v>34941.230000000003</v>
      </c>
      <c r="N137">
        <v>0</v>
      </c>
      <c r="O137" t="str">
        <f t="shared" si="8"/>
        <v>Average</v>
      </c>
      <c r="P137" t="str">
        <f t="shared" si="9"/>
        <v>Adult</v>
      </c>
      <c r="Q137" t="str">
        <f t="shared" si="10"/>
        <v>Medium Salary</v>
      </c>
      <c r="R137" t="str">
        <f t="shared" si="11"/>
        <v>High Balance</v>
      </c>
    </row>
    <row r="138" spans="1:18" x14ac:dyDescent="0.25">
      <c r="A138">
        <v>137</v>
      </c>
      <c r="B138">
        <v>15802381</v>
      </c>
      <c r="C138" t="s">
        <v>148</v>
      </c>
      <c r="D138" t="s">
        <v>26</v>
      </c>
      <c r="E138" t="s">
        <v>16</v>
      </c>
      <c r="F138">
        <v>461</v>
      </c>
      <c r="G138">
        <v>34</v>
      </c>
      <c r="H138">
        <v>5</v>
      </c>
      <c r="I138">
        <v>63663.93</v>
      </c>
      <c r="J138">
        <v>1</v>
      </c>
      <c r="K138">
        <v>0</v>
      </c>
      <c r="L138">
        <v>1</v>
      </c>
      <c r="M138">
        <v>167784.28</v>
      </c>
      <c r="N138">
        <v>0</v>
      </c>
      <c r="O138" t="str">
        <f t="shared" si="8"/>
        <v>Poor</v>
      </c>
      <c r="P138" t="str">
        <f t="shared" si="9"/>
        <v>Adult</v>
      </c>
      <c r="Q138" t="str">
        <f t="shared" si="10"/>
        <v>High Salary</v>
      </c>
      <c r="R138" t="str">
        <f t="shared" si="11"/>
        <v>Medium Balance</v>
      </c>
    </row>
    <row r="139" spans="1:18" x14ac:dyDescent="0.25">
      <c r="A139">
        <v>138</v>
      </c>
      <c r="B139">
        <v>15610156</v>
      </c>
      <c r="C139" t="s">
        <v>149</v>
      </c>
      <c r="D139" t="s">
        <v>15</v>
      </c>
      <c r="E139" t="s">
        <v>23</v>
      </c>
      <c r="F139">
        <v>637</v>
      </c>
      <c r="G139">
        <v>40</v>
      </c>
      <c r="H139">
        <v>2</v>
      </c>
      <c r="I139">
        <v>133463.1</v>
      </c>
      <c r="J139">
        <v>1</v>
      </c>
      <c r="K139">
        <v>0</v>
      </c>
      <c r="L139">
        <v>1</v>
      </c>
      <c r="M139">
        <v>93165.34</v>
      </c>
      <c r="N139">
        <v>0</v>
      </c>
      <c r="O139" t="str">
        <f t="shared" si="8"/>
        <v>Average</v>
      </c>
      <c r="P139" t="str">
        <f t="shared" si="9"/>
        <v>Adult</v>
      </c>
      <c r="Q139" t="str">
        <f t="shared" si="10"/>
        <v>High Salary</v>
      </c>
      <c r="R139" t="str">
        <f t="shared" si="11"/>
        <v>High Balance</v>
      </c>
    </row>
    <row r="140" spans="1:18" x14ac:dyDescent="0.25">
      <c r="A140">
        <v>139</v>
      </c>
      <c r="B140">
        <v>15594408</v>
      </c>
      <c r="C140" t="s">
        <v>150</v>
      </c>
      <c r="D140" t="s">
        <v>18</v>
      </c>
      <c r="E140" t="s">
        <v>16</v>
      </c>
      <c r="F140">
        <v>584</v>
      </c>
      <c r="G140">
        <v>48</v>
      </c>
      <c r="H140">
        <v>2</v>
      </c>
      <c r="I140">
        <v>213146.2</v>
      </c>
      <c r="J140">
        <v>1</v>
      </c>
      <c r="K140">
        <v>1</v>
      </c>
      <c r="L140">
        <v>0</v>
      </c>
      <c r="M140">
        <v>75161.25</v>
      </c>
      <c r="N140">
        <v>1</v>
      </c>
      <c r="O140" t="str">
        <f t="shared" si="8"/>
        <v>Average</v>
      </c>
      <c r="P140" t="str">
        <f t="shared" si="9"/>
        <v>Adult</v>
      </c>
      <c r="Q140" t="str">
        <f t="shared" si="10"/>
        <v>High Salary</v>
      </c>
      <c r="R140" t="str">
        <f t="shared" si="11"/>
        <v>High Balance</v>
      </c>
    </row>
    <row r="141" spans="1:18" x14ac:dyDescent="0.25">
      <c r="A141">
        <v>140</v>
      </c>
      <c r="B141">
        <v>15640905</v>
      </c>
      <c r="C141" t="s">
        <v>151</v>
      </c>
      <c r="D141" t="s">
        <v>18</v>
      </c>
      <c r="E141" t="s">
        <v>16</v>
      </c>
      <c r="F141">
        <v>579</v>
      </c>
      <c r="G141">
        <v>35</v>
      </c>
      <c r="H141">
        <v>1</v>
      </c>
      <c r="I141">
        <v>129490.36</v>
      </c>
      <c r="J141">
        <v>2</v>
      </c>
      <c r="K141">
        <v>0</v>
      </c>
      <c r="L141">
        <v>1</v>
      </c>
      <c r="M141">
        <v>8590.83</v>
      </c>
      <c r="N141">
        <v>1</v>
      </c>
      <c r="O141" t="str">
        <f t="shared" si="8"/>
        <v>Poor</v>
      </c>
      <c r="P141" t="str">
        <f t="shared" si="9"/>
        <v>Adult</v>
      </c>
      <c r="Q141" t="str">
        <f t="shared" si="10"/>
        <v>Low Salary</v>
      </c>
      <c r="R141" t="str">
        <f t="shared" si="11"/>
        <v>High Balance</v>
      </c>
    </row>
    <row r="142" spans="1:18" x14ac:dyDescent="0.25">
      <c r="A142">
        <v>141</v>
      </c>
      <c r="B142">
        <v>15698932</v>
      </c>
      <c r="C142" t="s">
        <v>152</v>
      </c>
      <c r="D142" t="s">
        <v>26</v>
      </c>
      <c r="E142" t="s">
        <v>23</v>
      </c>
      <c r="F142">
        <v>756</v>
      </c>
      <c r="G142">
        <v>44</v>
      </c>
      <c r="H142">
        <v>10</v>
      </c>
      <c r="I142">
        <v>137452.09</v>
      </c>
      <c r="J142">
        <v>1</v>
      </c>
      <c r="K142">
        <v>1</v>
      </c>
      <c r="L142">
        <v>0</v>
      </c>
      <c r="M142">
        <v>189543.9</v>
      </c>
      <c r="N142">
        <v>0</v>
      </c>
      <c r="O142" t="str">
        <f t="shared" si="8"/>
        <v>Good</v>
      </c>
      <c r="P142" t="str">
        <f t="shared" si="9"/>
        <v>Adult</v>
      </c>
      <c r="Q142" t="str">
        <f t="shared" si="10"/>
        <v>High Salary</v>
      </c>
      <c r="R142" t="str">
        <f t="shared" si="11"/>
        <v>High Balance</v>
      </c>
    </row>
    <row r="143" spans="1:18" x14ac:dyDescent="0.25">
      <c r="A143">
        <v>142</v>
      </c>
      <c r="B143">
        <v>15724944</v>
      </c>
      <c r="C143" t="s">
        <v>153</v>
      </c>
      <c r="D143" t="s">
        <v>15</v>
      </c>
      <c r="E143" t="s">
        <v>23</v>
      </c>
      <c r="F143">
        <v>663</v>
      </c>
      <c r="G143">
        <v>34</v>
      </c>
      <c r="H143">
        <v>7</v>
      </c>
      <c r="I143">
        <v>0</v>
      </c>
      <c r="J143">
        <v>2</v>
      </c>
      <c r="K143">
        <v>1</v>
      </c>
      <c r="L143">
        <v>1</v>
      </c>
      <c r="M143">
        <v>180427.24</v>
      </c>
      <c r="N143">
        <v>0</v>
      </c>
      <c r="O143" t="str">
        <f t="shared" si="8"/>
        <v>Average</v>
      </c>
      <c r="P143" t="str">
        <f t="shared" si="9"/>
        <v>Adult</v>
      </c>
      <c r="Q143" t="str">
        <f t="shared" si="10"/>
        <v>High Salary</v>
      </c>
      <c r="R143" t="str">
        <f t="shared" si="11"/>
        <v>Low Balance</v>
      </c>
    </row>
    <row r="144" spans="1:18" x14ac:dyDescent="0.25">
      <c r="A144">
        <v>143</v>
      </c>
      <c r="B144">
        <v>15628145</v>
      </c>
      <c r="C144" t="s">
        <v>154</v>
      </c>
      <c r="D144" t="s">
        <v>15</v>
      </c>
      <c r="E144" t="s">
        <v>16</v>
      </c>
      <c r="F144">
        <v>682</v>
      </c>
      <c r="G144">
        <v>43</v>
      </c>
      <c r="H144">
        <v>5</v>
      </c>
      <c r="I144">
        <v>125851.93</v>
      </c>
      <c r="J144">
        <v>1</v>
      </c>
      <c r="K144">
        <v>1</v>
      </c>
      <c r="L144">
        <v>1</v>
      </c>
      <c r="M144">
        <v>193318.33</v>
      </c>
      <c r="N144">
        <v>0</v>
      </c>
      <c r="O144" t="str">
        <f t="shared" si="8"/>
        <v>Good</v>
      </c>
      <c r="P144" t="str">
        <f t="shared" si="9"/>
        <v>Adult</v>
      </c>
      <c r="Q144" t="str">
        <f t="shared" si="10"/>
        <v>High Salary</v>
      </c>
      <c r="R144" t="str">
        <f t="shared" si="11"/>
        <v>High Balance</v>
      </c>
    </row>
    <row r="145" spans="1:18" x14ac:dyDescent="0.25">
      <c r="A145">
        <v>144</v>
      </c>
      <c r="B145">
        <v>15713483</v>
      </c>
      <c r="C145" t="s">
        <v>155</v>
      </c>
      <c r="D145" t="s">
        <v>18</v>
      </c>
      <c r="E145" t="s">
        <v>23</v>
      </c>
      <c r="F145">
        <v>793</v>
      </c>
      <c r="G145">
        <v>52</v>
      </c>
      <c r="H145">
        <v>2</v>
      </c>
      <c r="I145">
        <v>0</v>
      </c>
      <c r="J145">
        <v>1</v>
      </c>
      <c r="K145">
        <v>1</v>
      </c>
      <c r="L145">
        <v>0</v>
      </c>
      <c r="M145">
        <v>159123.82</v>
      </c>
      <c r="N145">
        <v>1</v>
      </c>
      <c r="O145" t="str">
        <f t="shared" si="8"/>
        <v>Good</v>
      </c>
      <c r="P145" t="str">
        <f t="shared" si="9"/>
        <v>Senior</v>
      </c>
      <c r="Q145" t="str">
        <f t="shared" si="10"/>
        <v>High Salary</v>
      </c>
      <c r="R145" t="str">
        <f t="shared" si="11"/>
        <v>Low Balance</v>
      </c>
    </row>
    <row r="146" spans="1:18" x14ac:dyDescent="0.25">
      <c r="A146">
        <v>145</v>
      </c>
      <c r="B146">
        <v>15612350</v>
      </c>
      <c r="C146" t="s">
        <v>156</v>
      </c>
      <c r="D146" t="s">
        <v>15</v>
      </c>
      <c r="E146" t="s">
        <v>16</v>
      </c>
      <c r="F146">
        <v>691</v>
      </c>
      <c r="G146">
        <v>31</v>
      </c>
      <c r="H146">
        <v>5</v>
      </c>
      <c r="I146">
        <v>40915.550000000003</v>
      </c>
      <c r="J146">
        <v>1</v>
      </c>
      <c r="K146">
        <v>1</v>
      </c>
      <c r="L146">
        <v>0</v>
      </c>
      <c r="M146">
        <v>126213.84</v>
      </c>
      <c r="N146">
        <v>1</v>
      </c>
      <c r="O146" t="str">
        <f t="shared" si="8"/>
        <v>Good</v>
      </c>
      <c r="P146" t="str">
        <f t="shared" si="9"/>
        <v>Adult</v>
      </c>
      <c r="Q146" t="str">
        <f t="shared" si="10"/>
        <v>High Salary</v>
      </c>
      <c r="R146" t="str">
        <f t="shared" si="11"/>
        <v>Low Balance</v>
      </c>
    </row>
    <row r="147" spans="1:18" x14ac:dyDescent="0.25">
      <c r="A147">
        <v>146</v>
      </c>
      <c r="B147">
        <v>15800703</v>
      </c>
      <c r="C147" t="s">
        <v>157</v>
      </c>
      <c r="D147" t="s">
        <v>18</v>
      </c>
      <c r="E147" t="s">
        <v>16</v>
      </c>
      <c r="F147">
        <v>485</v>
      </c>
      <c r="G147">
        <v>21</v>
      </c>
      <c r="H147">
        <v>5</v>
      </c>
      <c r="I147">
        <v>113157.22</v>
      </c>
      <c r="J147">
        <v>1</v>
      </c>
      <c r="K147">
        <v>1</v>
      </c>
      <c r="L147">
        <v>1</v>
      </c>
      <c r="M147">
        <v>54141.5</v>
      </c>
      <c r="N147">
        <v>0</v>
      </c>
      <c r="O147" t="str">
        <f t="shared" si="8"/>
        <v>Poor</v>
      </c>
      <c r="P147" t="str">
        <f t="shared" si="9"/>
        <v>Young Adult</v>
      </c>
      <c r="Q147" t="str">
        <f t="shared" si="10"/>
        <v>Medium Salary</v>
      </c>
      <c r="R147" t="str">
        <f t="shared" si="11"/>
        <v>High Balance</v>
      </c>
    </row>
    <row r="148" spans="1:18" x14ac:dyDescent="0.25">
      <c r="A148">
        <v>147</v>
      </c>
      <c r="B148">
        <v>15705707</v>
      </c>
      <c r="C148" t="s">
        <v>158</v>
      </c>
      <c r="D148" t="s">
        <v>18</v>
      </c>
      <c r="E148" t="s">
        <v>16</v>
      </c>
      <c r="F148">
        <v>635</v>
      </c>
      <c r="G148">
        <v>29</v>
      </c>
      <c r="H148">
        <v>8</v>
      </c>
      <c r="I148">
        <v>138296.94</v>
      </c>
      <c r="J148">
        <v>2</v>
      </c>
      <c r="K148">
        <v>1</v>
      </c>
      <c r="L148">
        <v>0</v>
      </c>
      <c r="M148">
        <v>141075.51</v>
      </c>
      <c r="N148">
        <v>0</v>
      </c>
      <c r="O148" t="str">
        <f t="shared" si="8"/>
        <v>Average</v>
      </c>
      <c r="P148" t="str">
        <f t="shared" si="9"/>
        <v>Young Adult</v>
      </c>
      <c r="Q148" t="str">
        <f t="shared" si="10"/>
        <v>High Salary</v>
      </c>
      <c r="R148" t="str">
        <f t="shared" si="11"/>
        <v>High Balance</v>
      </c>
    </row>
    <row r="149" spans="1:18" x14ac:dyDescent="0.25">
      <c r="A149">
        <v>148</v>
      </c>
      <c r="B149">
        <v>15754105</v>
      </c>
      <c r="C149" t="s">
        <v>159</v>
      </c>
      <c r="D149" t="s">
        <v>15</v>
      </c>
      <c r="E149" t="s">
        <v>23</v>
      </c>
      <c r="F149">
        <v>650</v>
      </c>
      <c r="G149">
        <v>37</v>
      </c>
      <c r="H149">
        <v>5</v>
      </c>
      <c r="I149">
        <v>106967.18</v>
      </c>
      <c r="J149">
        <v>1</v>
      </c>
      <c r="K149">
        <v>0</v>
      </c>
      <c r="L149">
        <v>0</v>
      </c>
      <c r="M149">
        <v>24495.03</v>
      </c>
      <c r="N149">
        <v>0</v>
      </c>
      <c r="O149" t="str">
        <f t="shared" si="8"/>
        <v>Average</v>
      </c>
      <c r="P149" t="str">
        <f t="shared" si="9"/>
        <v>Adult</v>
      </c>
      <c r="Q149" t="str">
        <f t="shared" si="10"/>
        <v>Low Salary</v>
      </c>
      <c r="R149" t="str">
        <f t="shared" si="11"/>
        <v>High Balance</v>
      </c>
    </row>
    <row r="150" spans="1:18" x14ac:dyDescent="0.25">
      <c r="A150">
        <v>149</v>
      </c>
      <c r="B150">
        <v>15703264</v>
      </c>
      <c r="C150" t="s">
        <v>160</v>
      </c>
      <c r="D150" t="s">
        <v>15</v>
      </c>
      <c r="E150" t="s">
        <v>23</v>
      </c>
      <c r="F150">
        <v>735</v>
      </c>
      <c r="G150">
        <v>44</v>
      </c>
      <c r="H150">
        <v>9</v>
      </c>
      <c r="I150">
        <v>120681.63</v>
      </c>
      <c r="J150">
        <v>1</v>
      </c>
      <c r="K150">
        <v>1</v>
      </c>
      <c r="L150">
        <v>0</v>
      </c>
      <c r="M150">
        <v>74836.34</v>
      </c>
      <c r="N150">
        <v>0</v>
      </c>
      <c r="O150" t="str">
        <f t="shared" si="8"/>
        <v>Good</v>
      </c>
      <c r="P150" t="str">
        <f t="shared" si="9"/>
        <v>Adult</v>
      </c>
      <c r="Q150" t="str">
        <f t="shared" si="10"/>
        <v>High Salary</v>
      </c>
      <c r="R150" t="str">
        <f t="shared" si="11"/>
        <v>High Balance</v>
      </c>
    </row>
    <row r="151" spans="1:18" x14ac:dyDescent="0.25">
      <c r="A151">
        <v>150</v>
      </c>
      <c r="B151">
        <v>15794413</v>
      </c>
      <c r="C151" t="s">
        <v>161</v>
      </c>
      <c r="D151" t="s">
        <v>15</v>
      </c>
      <c r="E151" t="s">
        <v>23</v>
      </c>
      <c r="F151">
        <v>416</v>
      </c>
      <c r="G151">
        <v>32</v>
      </c>
      <c r="H151">
        <v>0</v>
      </c>
      <c r="I151">
        <v>0</v>
      </c>
      <c r="J151">
        <v>2</v>
      </c>
      <c r="K151">
        <v>0</v>
      </c>
      <c r="L151">
        <v>1</v>
      </c>
      <c r="M151">
        <v>878.87</v>
      </c>
      <c r="N151">
        <v>0</v>
      </c>
      <c r="O151" t="str">
        <f t="shared" si="8"/>
        <v>Poor</v>
      </c>
      <c r="P151" t="str">
        <f t="shared" si="9"/>
        <v>Adult</v>
      </c>
      <c r="Q151" t="str">
        <f t="shared" si="10"/>
        <v>Low Salary</v>
      </c>
      <c r="R151" t="str">
        <f t="shared" si="11"/>
        <v>Low Balance</v>
      </c>
    </row>
    <row r="152" spans="1:18" x14ac:dyDescent="0.25">
      <c r="A152">
        <v>151</v>
      </c>
      <c r="B152">
        <v>15650237</v>
      </c>
      <c r="C152" t="s">
        <v>162</v>
      </c>
      <c r="D152" t="s">
        <v>18</v>
      </c>
      <c r="E152" t="s">
        <v>16</v>
      </c>
      <c r="F152">
        <v>754</v>
      </c>
      <c r="G152">
        <v>32</v>
      </c>
      <c r="H152">
        <v>7</v>
      </c>
      <c r="I152">
        <v>0</v>
      </c>
      <c r="J152">
        <v>2</v>
      </c>
      <c r="K152">
        <v>1</v>
      </c>
      <c r="L152">
        <v>0</v>
      </c>
      <c r="M152">
        <v>89520.75</v>
      </c>
      <c r="N152">
        <v>0</v>
      </c>
      <c r="O152" t="str">
        <f t="shared" si="8"/>
        <v>Good</v>
      </c>
      <c r="P152" t="str">
        <f t="shared" si="9"/>
        <v>Adult</v>
      </c>
      <c r="Q152" t="str">
        <f t="shared" si="10"/>
        <v>High Salary</v>
      </c>
      <c r="R152" t="str">
        <f t="shared" si="11"/>
        <v>Low Balance</v>
      </c>
    </row>
    <row r="153" spans="1:18" x14ac:dyDescent="0.25">
      <c r="A153">
        <v>152</v>
      </c>
      <c r="B153">
        <v>15759618</v>
      </c>
      <c r="C153" t="s">
        <v>163</v>
      </c>
      <c r="D153" t="s">
        <v>15</v>
      </c>
      <c r="E153" t="s">
        <v>16</v>
      </c>
      <c r="F153">
        <v>535</v>
      </c>
      <c r="G153">
        <v>48</v>
      </c>
      <c r="H153">
        <v>9</v>
      </c>
      <c r="I153">
        <v>0</v>
      </c>
      <c r="J153">
        <v>1</v>
      </c>
      <c r="K153">
        <v>1</v>
      </c>
      <c r="L153">
        <v>0</v>
      </c>
      <c r="M153">
        <v>149892.79</v>
      </c>
      <c r="N153">
        <v>1</v>
      </c>
      <c r="O153" t="str">
        <f t="shared" si="8"/>
        <v>Poor</v>
      </c>
      <c r="P153" t="str">
        <f t="shared" si="9"/>
        <v>Adult</v>
      </c>
      <c r="Q153" t="str">
        <f t="shared" si="10"/>
        <v>High Salary</v>
      </c>
      <c r="R153" t="str">
        <f t="shared" si="11"/>
        <v>Low Balance</v>
      </c>
    </row>
    <row r="154" spans="1:18" x14ac:dyDescent="0.25">
      <c r="A154">
        <v>153</v>
      </c>
      <c r="B154">
        <v>15811589</v>
      </c>
      <c r="C154" t="s">
        <v>164</v>
      </c>
      <c r="D154" t="s">
        <v>18</v>
      </c>
      <c r="E154" t="s">
        <v>23</v>
      </c>
      <c r="F154">
        <v>716</v>
      </c>
      <c r="G154">
        <v>42</v>
      </c>
      <c r="H154">
        <v>8</v>
      </c>
      <c r="I154">
        <v>0</v>
      </c>
      <c r="J154">
        <v>2</v>
      </c>
      <c r="K154">
        <v>1</v>
      </c>
      <c r="L154">
        <v>0</v>
      </c>
      <c r="M154">
        <v>180800.42</v>
      </c>
      <c r="N154">
        <v>0</v>
      </c>
      <c r="O154" t="str">
        <f t="shared" si="8"/>
        <v>Good</v>
      </c>
      <c r="P154" t="str">
        <f t="shared" si="9"/>
        <v>Adult</v>
      </c>
      <c r="Q154" t="str">
        <f t="shared" si="10"/>
        <v>High Salary</v>
      </c>
      <c r="R154" t="str">
        <f t="shared" si="11"/>
        <v>Low Balance</v>
      </c>
    </row>
    <row r="155" spans="1:18" x14ac:dyDescent="0.25">
      <c r="A155">
        <v>154</v>
      </c>
      <c r="B155">
        <v>15689044</v>
      </c>
      <c r="C155" t="s">
        <v>165</v>
      </c>
      <c r="D155" t="s">
        <v>15</v>
      </c>
      <c r="E155" t="s">
        <v>23</v>
      </c>
      <c r="F155">
        <v>539</v>
      </c>
      <c r="G155">
        <v>37</v>
      </c>
      <c r="H155">
        <v>2</v>
      </c>
      <c r="I155">
        <v>127609.59</v>
      </c>
      <c r="J155">
        <v>1</v>
      </c>
      <c r="K155">
        <v>1</v>
      </c>
      <c r="L155">
        <v>0</v>
      </c>
      <c r="M155">
        <v>98646.22</v>
      </c>
      <c r="N155">
        <v>0</v>
      </c>
      <c r="O155" t="str">
        <f t="shared" si="8"/>
        <v>Poor</v>
      </c>
      <c r="P155" t="str">
        <f t="shared" si="9"/>
        <v>Adult</v>
      </c>
      <c r="Q155" t="str">
        <f t="shared" si="10"/>
        <v>High Salary</v>
      </c>
      <c r="R155" t="str">
        <f t="shared" si="11"/>
        <v>High Balance</v>
      </c>
    </row>
    <row r="156" spans="1:18" x14ac:dyDescent="0.25">
      <c r="A156">
        <v>155</v>
      </c>
      <c r="B156">
        <v>15709368</v>
      </c>
      <c r="C156" t="s">
        <v>166</v>
      </c>
      <c r="D156" t="s">
        <v>15</v>
      </c>
      <c r="E156" t="s">
        <v>16</v>
      </c>
      <c r="F156">
        <v>614</v>
      </c>
      <c r="G156">
        <v>43</v>
      </c>
      <c r="H156">
        <v>6</v>
      </c>
      <c r="I156">
        <v>0</v>
      </c>
      <c r="J156">
        <v>2</v>
      </c>
      <c r="K156">
        <v>1</v>
      </c>
      <c r="L156">
        <v>1</v>
      </c>
      <c r="M156">
        <v>109041.53</v>
      </c>
      <c r="N156">
        <v>0</v>
      </c>
      <c r="O156" t="str">
        <f t="shared" si="8"/>
        <v>Average</v>
      </c>
      <c r="P156" t="str">
        <f t="shared" si="9"/>
        <v>Adult</v>
      </c>
      <c r="Q156" t="str">
        <f t="shared" si="10"/>
        <v>High Salary</v>
      </c>
      <c r="R156" t="str">
        <f t="shared" si="11"/>
        <v>Low Balance</v>
      </c>
    </row>
    <row r="157" spans="1:18" x14ac:dyDescent="0.25">
      <c r="A157">
        <v>156</v>
      </c>
      <c r="B157">
        <v>15679145</v>
      </c>
      <c r="C157" t="s">
        <v>167</v>
      </c>
      <c r="D157" t="s">
        <v>18</v>
      </c>
      <c r="E157" t="s">
        <v>23</v>
      </c>
      <c r="F157">
        <v>706</v>
      </c>
      <c r="G157">
        <v>57</v>
      </c>
      <c r="H157">
        <v>7</v>
      </c>
      <c r="I157">
        <v>0</v>
      </c>
      <c r="J157">
        <v>1</v>
      </c>
      <c r="K157">
        <v>1</v>
      </c>
      <c r="L157">
        <v>0</v>
      </c>
      <c r="M157">
        <v>17941.16</v>
      </c>
      <c r="N157">
        <v>1</v>
      </c>
      <c r="O157" t="str">
        <f t="shared" si="8"/>
        <v>Good</v>
      </c>
      <c r="P157" t="str">
        <f t="shared" si="9"/>
        <v>Senior</v>
      </c>
      <c r="Q157" t="str">
        <f t="shared" si="10"/>
        <v>Low Salary</v>
      </c>
      <c r="R157" t="str">
        <f t="shared" si="11"/>
        <v>Low Balance</v>
      </c>
    </row>
    <row r="158" spans="1:18" x14ac:dyDescent="0.25">
      <c r="A158">
        <v>157</v>
      </c>
      <c r="B158">
        <v>15655007</v>
      </c>
      <c r="C158" t="s">
        <v>148</v>
      </c>
      <c r="D158" t="s">
        <v>15</v>
      </c>
      <c r="E158" t="s">
        <v>16</v>
      </c>
      <c r="F158">
        <v>758</v>
      </c>
      <c r="G158">
        <v>33</v>
      </c>
      <c r="H158">
        <v>7</v>
      </c>
      <c r="I158">
        <v>0</v>
      </c>
      <c r="J158">
        <v>2</v>
      </c>
      <c r="K158">
        <v>0</v>
      </c>
      <c r="L158">
        <v>0</v>
      </c>
      <c r="M158">
        <v>82996.47</v>
      </c>
      <c r="N158">
        <v>0</v>
      </c>
      <c r="O158" t="str">
        <f t="shared" si="8"/>
        <v>Good</v>
      </c>
      <c r="P158" t="str">
        <f t="shared" si="9"/>
        <v>Adult</v>
      </c>
      <c r="Q158" t="str">
        <f t="shared" si="10"/>
        <v>High Salary</v>
      </c>
      <c r="R158" t="str">
        <f t="shared" si="11"/>
        <v>Low Balance</v>
      </c>
    </row>
    <row r="159" spans="1:18" x14ac:dyDescent="0.25">
      <c r="A159">
        <v>158</v>
      </c>
      <c r="B159">
        <v>15623595</v>
      </c>
      <c r="C159" t="s">
        <v>168</v>
      </c>
      <c r="D159" t="s">
        <v>18</v>
      </c>
      <c r="E159" t="s">
        <v>16</v>
      </c>
      <c r="F159">
        <v>586</v>
      </c>
      <c r="G159">
        <v>28</v>
      </c>
      <c r="H159">
        <v>2</v>
      </c>
      <c r="I159">
        <v>0</v>
      </c>
      <c r="J159">
        <v>2</v>
      </c>
      <c r="K159">
        <v>1</v>
      </c>
      <c r="L159">
        <v>1</v>
      </c>
      <c r="M159">
        <v>92067.35</v>
      </c>
      <c r="N159">
        <v>0</v>
      </c>
      <c r="O159" t="str">
        <f t="shared" si="8"/>
        <v>Average</v>
      </c>
      <c r="P159" t="str">
        <f t="shared" si="9"/>
        <v>Young Adult</v>
      </c>
      <c r="Q159" t="str">
        <f t="shared" si="10"/>
        <v>High Salary</v>
      </c>
      <c r="R159" t="str">
        <f t="shared" si="11"/>
        <v>Low Balance</v>
      </c>
    </row>
    <row r="160" spans="1:18" x14ac:dyDescent="0.25">
      <c r="A160">
        <v>159</v>
      </c>
      <c r="B160">
        <v>15589975</v>
      </c>
      <c r="C160" t="s">
        <v>44</v>
      </c>
      <c r="D160" t="s">
        <v>15</v>
      </c>
      <c r="E160" t="s">
        <v>16</v>
      </c>
      <c r="F160">
        <v>646</v>
      </c>
      <c r="G160">
        <v>73</v>
      </c>
      <c r="H160">
        <v>6</v>
      </c>
      <c r="I160">
        <v>97259.25</v>
      </c>
      <c r="J160">
        <v>1</v>
      </c>
      <c r="K160">
        <v>0</v>
      </c>
      <c r="L160">
        <v>1</v>
      </c>
      <c r="M160">
        <v>104719.66</v>
      </c>
      <c r="N160">
        <v>0</v>
      </c>
      <c r="O160" t="str">
        <f t="shared" si="8"/>
        <v>Average</v>
      </c>
      <c r="P160" t="str">
        <f t="shared" si="9"/>
        <v>Senior</v>
      </c>
      <c r="Q160" t="str">
        <f t="shared" si="10"/>
        <v>High Salary</v>
      </c>
      <c r="R160" t="str">
        <f t="shared" si="11"/>
        <v>Medium Balance</v>
      </c>
    </row>
    <row r="161" spans="1:18" x14ac:dyDescent="0.25">
      <c r="A161">
        <v>160</v>
      </c>
      <c r="B161">
        <v>15804017</v>
      </c>
      <c r="C161" t="s">
        <v>169</v>
      </c>
      <c r="D161" t="s">
        <v>26</v>
      </c>
      <c r="E161" t="s">
        <v>16</v>
      </c>
      <c r="F161">
        <v>631</v>
      </c>
      <c r="G161">
        <v>33</v>
      </c>
      <c r="H161">
        <v>4</v>
      </c>
      <c r="I161">
        <v>123246.7</v>
      </c>
      <c r="J161">
        <v>1</v>
      </c>
      <c r="K161">
        <v>0</v>
      </c>
      <c r="L161">
        <v>0</v>
      </c>
      <c r="M161">
        <v>112687.57</v>
      </c>
      <c r="N161">
        <v>0</v>
      </c>
      <c r="O161" t="str">
        <f t="shared" si="8"/>
        <v>Average</v>
      </c>
      <c r="P161" t="str">
        <f t="shared" si="9"/>
        <v>Adult</v>
      </c>
      <c r="Q161" t="str">
        <f t="shared" si="10"/>
        <v>High Salary</v>
      </c>
      <c r="R161" t="str">
        <f t="shared" si="11"/>
        <v>High Balance</v>
      </c>
    </row>
    <row r="162" spans="1:18" x14ac:dyDescent="0.25">
      <c r="A162">
        <v>161</v>
      </c>
      <c r="B162">
        <v>15692132</v>
      </c>
      <c r="C162" t="s">
        <v>170</v>
      </c>
      <c r="D162" t="s">
        <v>18</v>
      </c>
      <c r="E162" t="s">
        <v>16</v>
      </c>
      <c r="F162">
        <v>717</v>
      </c>
      <c r="G162">
        <v>22</v>
      </c>
      <c r="H162">
        <v>6</v>
      </c>
      <c r="I162">
        <v>101060.25</v>
      </c>
      <c r="J162">
        <v>1</v>
      </c>
      <c r="K162">
        <v>0</v>
      </c>
      <c r="L162">
        <v>1</v>
      </c>
      <c r="M162">
        <v>84699.56</v>
      </c>
      <c r="N162">
        <v>0</v>
      </c>
      <c r="O162" t="str">
        <f t="shared" si="8"/>
        <v>Good</v>
      </c>
      <c r="P162" t="str">
        <f t="shared" si="9"/>
        <v>Young Adult</v>
      </c>
      <c r="Q162" t="str">
        <f t="shared" si="10"/>
        <v>High Salary</v>
      </c>
      <c r="R162" t="str">
        <f t="shared" si="11"/>
        <v>High Balance</v>
      </c>
    </row>
    <row r="163" spans="1:18" x14ac:dyDescent="0.25">
      <c r="A163">
        <v>162</v>
      </c>
      <c r="B163">
        <v>15641122</v>
      </c>
      <c r="C163" t="s">
        <v>171</v>
      </c>
      <c r="D163" t="s">
        <v>15</v>
      </c>
      <c r="E163" t="s">
        <v>23</v>
      </c>
      <c r="F163">
        <v>684</v>
      </c>
      <c r="G163">
        <v>30</v>
      </c>
      <c r="H163">
        <v>2</v>
      </c>
      <c r="I163">
        <v>0</v>
      </c>
      <c r="J163">
        <v>2</v>
      </c>
      <c r="K163">
        <v>1</v>
      </c>
      <c r="L163">
        <v>0</v>
      </c>
      <c r="M163">
        <v>83473.820000000007</v>
      </c>
      <c r="N163">
        <v>0</v>
      </c>
      <c r="O163" t="str">
        <f t="shared" si="8"/>
        <v>Good</v>
      </c>
      <c r="P163" t="str">
        <f t="shared" si="9"/>
        <v>Young Adult</v>
      </c>
      <c r="Q163" t="str">
        <f t="shared" si="10"/>
        <v>High Salary</v>
      </c>
      <c r="R163" t="str">
        <f t="shared" si="11"/>
        <v>Low Balance</v>
      </c>
    </row>
    <row r="164" spans="1:18" x14ac:dyDescent="0.25">
      <c r="A164">
        <v>163</v>
      </c>
      <c r="B164">
        <v>15630910</v>
      </c>
      <c r="C164" t="s">
        <v>172</v>
      </c>
      <c r="D164" t="s">
        <v>15</v>
      </c>
      <c r="E164" t="s">
        <v>16</v>
      </c>
      <c r="F164">
        <v>800</v>
      </c>
      <c r="G164">
        <v>49</v>
      </c>
      <c r="H164">
        <v>7</v>
      </c>
      <c r="I164">
        <v>108007.36</v>
      </c>
      <c r="J164">
        <v>1</v>
      </c>
      <c r="K164">
        <v>0</v>
      </c>
      <c r="L164">
        <v>0</v>
      </c>
      <c r="M164">
        <v>47125.11</v>
      </c>
      <c r="N164">
        <v>0</v>
      </c>
      <c r="O164" t="str">
        <f t="shared" si="8"/>
        <v>Good</v>
      </c>
      <c r="P164" t="str">
        <f t="shared" si="9"/>
        <v>Adult</v>
      </c>
      <c r="Q164" t="str">
        <f t="shared" si="10"/>
        <v>Medium Salary</v>
      </c>
      <c r="R164" t="str">
        <f t="shared" si="11"/>
        <v>High Balance</v>
      </c>
    </row>
    <row r="165" spans="1:18" x14ac:dyDescent="0.25">
      <c r="A165">
        <v>164</v>
      </c>
      <c r="B165">
        <v>15680772</v>
      </c>
      <c r="C165" t="s">
        <v>95</v>
      </c>
      <c r="D165" t="s">
        <v>18</v>
      </c>
      <c r="E165" t="s">
        <v>16</v>
      </c>
      <c r="F165">
        <v>721</v>
      </c>
      <c r="G165">
        <v>36</v>
      </c>
      <c r="H165">
        <v>2</v>
      </c>
      <c r="I165">
        <v>0</v>
      </c>
      <c r="J165">
        <v>2</v>
      </c>
      <c r="K165">
        <v>1</v>
      </c>
      <c r="L165">
        <v>1</v>
      </c>
      <c r="M165">
        <v>106977.8</v>
      </c>
      <c r="N165">
        <v>0</v>
      </c>
      <c r="O165" t="str">
        <f t="shared" si="8"/>
        <v>Good</v>
      </c>
      <c r="P165" t="str">
        <f t="shared" si="9"/>
        <v>Adult</v>
      </c>
      <c r="Q165" t="str">
        <f t="shared" si="10"/>
        <v>High Salary</v>
      </c>
      <c r="R165" t="str">
        <f t="shared" si="11"/>
        <v>Low Balance</v>
      </c>
    </row>
    <row r="166" spans="1:18" x14ac:dyDescent="0.25">
      <c r="A166">
        <v>165</v>
      </c>
      <c r="B166">
        <v>15658929</v>
      </c>
      <c r="C166" t="s">
        <v>173</v>
      </c>
      <c r="D166" t="s">
        <v>18</v>
      </c>
      <c r="E166" t="s">
        <v>23</v>
      </c>
      <c r="F166">
        <v>683</v>
      </c>
      <c r="G166">
        <v>29</v>
      </c>
      <c r="H166">
        <v>0</v>
      </c>
      <c r="I166">
        <v>133702.89000000001</v>
      </c>
      <c r="J166">
        <v>1</v>
      </c>
      <c r="K166">
        <v>1</v>
      </c>
      <c r="L166">
        <v>0</v>
      </c>
      <c r="M166">
        <v>55582.54</v>
      </c>
      <c r="N166">
        <v>1</v>
      </c>
      <c r="O166" t="str">
        <f t="shared" si="8"/>
        <v>Good</v>
      </c>
      <c r="P166" t="str">
        <f t="shared" si="9"/>
        <v>Young Adult</v>
      </c>
      <c r="Q166" t="str">
        <f t="shared" si="10"/>
        <v>Medium Salary</v>
      </c>
      <c r="R166" t="str">
        <f t="shared" si="11"/>
        <v>High Balance</v>
      </c>
    </row>
    <row r="167" spans="1:18" x14ac:dyDescent="0.25">
      <c r="A167">
        <v>166</v>
      </c>
      <c r="B167">
        <v>15585388</v>
      </c>
      <c r="C167" t="s">
        <v>174</v>
      </c>
      <c r="D167" t="s">
        <v>26</v>
      </c>
      <c r="E167" t="s">
        <v>23</v>
      </c>
      <c r="F167">
        <v>660</v>
      </c>
      <c r="G167">
        <v>31</v>
      </c>
      <c r="H167">
        <v>9</v>
      </c>
      <c r="I167">
        <v>125189.75</v>
      </c>
      <c r="J167">
        <v>2</v>
      </c>
      <c r="K167">
        <v>1</v>
      </c>
      <c r="L167">
        <v>1</v>
      </c>
      <c r="M167">
        <v>139874.43</v>
      </c>
      <c r="N167">
        <v>0</v>
      </c>
      <c r="O167" t="str">
        <f t="shared" si="8"/>
        <v>Average</v>
      </c>
      <c r="P167" t="str">
        <f t="shared" si="9"/>
        <v>Adult</v>
      </c>
      <c r="Q167" t="str">
        <f t="shared" si="10"/>
        <v>High Salary</v>
      </c>
      <c r="R167" t="str">
        <f t="shared" si="11"/>
        <v>High Balance</v>
      </c>
    </row>
    <row r="168" spans="1:18" x14ac:dyDescent="0.25">
      <c r="A168">
        <v>167</v>
      </c>
      <c r="B168">
        <v>15724623</v>
      </c>
      <c r="C168" t="s">
        <v>175</v>
      </c>
      <c r="D168" t="s">
        <v>26</v>
      </c>
      <c r="E168" t="s">
        <v>16</v>
      </c>
      <c r="F168">
        <v>704</v>
      </c>
      <c r="G168">
        <v>24</v>
      </c>
      <c r="H168">
        <v>7</v>
      </c>
      <c r="I168">
        <v>113034.22</v>
      </c>
      <c r="J168">
        <v>1</v>
      </c>
      <c r="K168">
        <v>1</v>
      </c>
      <c r="L168">
        <v>0</v>
      </c>
      <c r="M168">
        <v>162503.48000000001</v>
      </c>
      <c r="N168">
        <v>1</v>
      </c>
      <c r="O168" t="str">
        <f t="shared" si="8"/>
        <v>Good</v>
      </c>
      <c r="P168" t="str">
        <f t="shared" si="9"/>
        <v>Young Adult</v>
      </c>
      <c r="Q168" t="str">
        <f t="shared" si="10"/>
        <v>High Salary</v>
      </c>
      <c r="R168" t="str">
        <f t="shared" si="11"/>
        <v>High Balance</v>
      </c>
    </row>
    <row r="169" spans="1:18" x14ac:dyDescent="0.25">
      <c r="A169">
        <v>168</v>
      </c>
      <c r="B169">
        <v>15588537</v>
      </c>
      <c r="C169" t="s">
        <v>176</v>
      </c>
      <c r="D169" t="s">
        <v>18</v>
      </c>
      <c r="E169" t="s">
        <v>16</v>
      </c>
      <c r="F169">
        <v>615</v>
      </c>
      <c r="G169">
        <v>41</v>
      </c>
      <c r="H169">
        <v>9</v>
      </c>
      <c r="I169">
        <v>109013.23</v>
      </c>
      <c r="J169">
        <v>1</v>
      </c>
      <c r="K169">
        <v>1</v>
      </c>
      <c r="L169">
        <v>0</v>
      </c>
      <c r="M169">
        <v>196499.96</v>
      </c>
      <c r="N169">
        <v>0</v>
      </c>
      <c r="O169" t="str">
        <f t="shared" si="8"/>
        <v>Average</v>
      </c>
      <c r="P169" t="str">
        <f t="shared" si="9"/>
        <v>Adult</v>
      </c>
      <c r="Q169" t="str">
        <f t="shared" si="10"/>
        <v>High Salary</v>
      </c>
      <c r="R169" t="str">
        <f t="shared" si="11"/>
        <v>High Balance</v>
      </c>
    </row>
    <row r="170" spans="1:18" x14ac:dyDescent="0.25">
      <c r="A170">
        <v>169</v>
      </c>
      <c r="B170">
        <v>15574692</v>
      </c>
      <c r="C170" t="s">
        <v>177</v>
      </c>
      <c r="D170" t="s">
        <v>18</v>
      </c>
      <c r="E170" t="s">
        <v>16</v>
      </c>
      <c r="F170">
        <v>667</v>
      </c>
      <c r="G170">
        <v>39</v>
      </c>
      <c r="H170">
        <v>2</v>
      </c>
      <c r="I170">
        <v>0</v>
      </c>
      <c r="J170">
        <v>2</v>
      </c>
      <c r="K170">
        <v>1</v>
      </c>
      <c r="L170">
        <v>0</v>
      </c>
      <c r="M170">
        <v>40721.24</v>
      </c>
      <c r="N170">
        <v>1</v>
      </c>
      <c r="O170" t="str">
        <f t="shared" si="8"/>
        <v>Average</v>
      </c>
      <c r="P170" t="str">
        <f t="shared" si="9"/>
        <v>Adult</v>
      </c>
      <c r="Q170" t="str">
        <f t="shared" si="10"/>
        <v>Medium Salary</v>
      </c>
      <c r="R170" t="str">
        <f t="shared" si="11"/>
        <v>Low Balance</v>
      </c>
    </row>
    <row r="171" spans="1:18" x14ac:dyDescent="0.25">
      <c r="A171">
        <v>170</v>
      </c>
      <c r="B171">
        <v>15611325</v>
      </c>
      <c r="C171" t="s">
        <v>178</v>
      </c>
      <c r="D171" t="s">
        <v>26</v>
      </c>
      <c r="E171" t="s">
        <v>23</v>
      </c>
      <c r="F171">
        <v>682</v>
      </c>
      <c r="G171">
        <v>24</v>
      </c>
      <c r="H171">
        <v>9</v>
      </c>
      <c r="I171">
        <v>57929.81</v>
      </c>
      <c r="J171">
        <v>2</v>
      </c>
      <c r="K171">
        <v>0</v>
      </c>
      <c r="L171">
        <v>0</v>
      </c>
      <c r="M171">
        <v>53134.3</v>
      </c>
      <c r="N171">
        <v>0</v>
      </c>
      <c r="O171" t="str">
        <f t="shared" si="8"/>
        <v>Good</v>
      </c>
      <c r="P171" t="str">
        <f t="shared" si="9"/>
        <v>Young Adult</v>
      </c>
      <c r="Q171" t="str">
        <f t="shared" si="10"/>
        <v>Medium Salary</v>
      </c>
      <c r="R171" t="str">
        <f t="shared" si="11"/>
        <v>Medium Balance</v>
      </c>
    </row>
    <row r="172" spans="1:18" x14ac:dyDescent="0.25">
      <c r="A172">
        <v>171</v>
      </c>
      <c r="B172">
        <v>15587562</v>
      </c>
      <c r="C172" t="s">
        <v>179</v>
      </c>
      <c r="D172" t="s">
        <v>15</v>
      </c>
      <c r="E172" t="s">
        <v>16</v>
      </c>
      <c r="F172">
        <v>484</v>
      </c>
      <c r="G172">
        <v>29</v>
      </c>
      <c r="H172">
        <v>4</v>
      </c>
      <c r="I172">
        <v>130114.39</v>
      </c>
      <c r="J172">
        <v>1</v>
      </c>
      <c r="K172">
        <v>1</v>
      </c>
      <c r="L172">
        <v>0</v>
      </c>
      <c r="M172">
        <v>164017.89000000001</v>
      </c>
      <c r="N172">
        <v>0</v>
      </c>
      <c r="O172" t="str">
        <f t="shared" si="8"/>
        <v>Poor</v>
      </c>
      <c r="P172" t="str">
        <f t="shared" si="9"/>
        <v>Young Adult</v>
      </c>
      <c r="Q172" t="str">
        <f t="shared" si="10"/>
        <v>High Salary</v>
      </c>
      <c r="R172" t="str">
        <f t="shared" si="11"/>
        <v>High Balance</v>
      </c>
    </row>
    <row r="173" spans="1:18" x14ac:dyDescent="0.25">
      <c r="A173">
        <v>172</v>
      </c>
      <c r="B173">
        <v>15613172</v>
      </c>
      <c r="C173" t="s">
        <v>180</v>
      </c>
      <c r="D173" t="s">
        <v>26</v>
      </c>
      <c r="E173" t="s">
        <v>23</v>
      </c>
      <c r="F173">
        <v>628</v>
      </c>
      <c r="G173">
        <v>27</v>
      </c>
      <c r="H173">
        <v>5</v>
      </c>
      <c r="I173">
        <v>95826.49</v>
      </c>
      <c r="J173">
        <v>2</v>
      </c>
      <c r="K173">
        <v>1</v>
      </c>
      <c r="L173">
        <v>0</v>
      </c>
      <c r="M173">
        <v>155996.96</v>
      </c>
      <c r="N173">
        <v>0</v>
      </c>
      <c r="O173" t="str">
        <f t="shared" si="8"/>
        <v>Average</v>
      </c>
      <c r="P173" t="str">
        <f t="shared" si="9"/>
        <v>Young Adult</v>
      </c>
      <c r="Q173" t="str">
        <f t="shared" si="10"/>
        <v>High Salary</v>
      </c>
      <c r="R173" t="str">
        <f t="shared" si="11"/>
        <v>Medium Balance</v>
      </c>
    </row>
    <row r="174" spans="1:18" x14ac:dyDescent="0.25">
      <c r="A174">
        <v>173</v>
      </c>
      <c r="B174">
        <v>15651022</v>
      </c>
      <c r="C174" t="s">
        <v>181</v>
      </c>
      <c r="D174" t="s">
        <v>26</v>
      </c>
      <c r="E174" t="s">
        <v>23</v>
      </c>
      <c r="F174">
        <v>480</v>
      </c>
      <c r="G174">
        <v>44</v>
      </c>
      <c r="H174">
        <v>10</v>
      </c>
      <c r="I174">
        <v>129608.57</v>
      </c>
      <c r="J174">
        <v>1</v>
      </c>
      <c r="K174">
        <v>1</v>
      </c>
      <c r="L174">
        <v>0</v>
      </c>
      <c r="M174">
        <v>5472.7</v>
      </c>
      <c r="N174">
        <v>1</v>
      </c>
      <c r="O174" t="str">
        <f t="shared" si="8"/>
        <v>Poor</v>
      </c>
      <c r="P174" t="str">
        <f t="shared" si="9"/>
        <v>Adult</v>
      </c>
      <c r="Q174" t="str">
        <f t="shared" si="10"/>
        <v>Low Salary</v>
      </c>
      <c r="R174" t="str">
        <f t="shared" si="11"/>
        <v>High Balance</v>
      </c>
    </row>
    <row r="175" spans="1:18" x14ac:dyDescent="0.25">
      <c r="A175">
        <v>174</v>
      </c>
      <c r="B175">
        <v>15586310</v>
      </c>
      <c r="C175" t="s">
        <v>182</v>
      </c>
      <c r="D175" t="s">
        <v>15</v>
      </c>
      <c r="E175" t="s">
        <v>23</v>
      </c>
      <c r="F175">
        <v>578</v>
      </c>
      <c r="G175">
        <v>30</v>
      </c>
      <c r="H175">
        <v>4</v>
      </c>
      <c r="I175">
        <v>169462.09</v>
      </c>
      <c r="J175">
        <v>1</v>
      </c>
      <c r="K175">
        <v>1</v>
      </c>
      <c r="L175">
        <v>0</v>
      </c>
      <c r="M175">
        <v>112187.11</v>
      </c>
      <c r="N175">
        <v>0</v>
      </c>
      <c r="O175" t="str">
        <f t="shared" si="8"/>
        <v>Poor</v>
      </c>
      <c r="P175" t="str">
        <f t="shared" si="9"/>
        <v>Young Adult</v>
      </c>
      <c r="Q175" t="str">
        <f t="shared" si="10"/>
        <v>High Salary</v>
      </c>
      <c r="R175" t="str">
        <f t="shared" si="11"/>
        <v>High Balance</v>
      </c>
    </row>
    <row r="176" spans="1:18" x14ac:dyDescent="0.25">
      <c r="A176">
        <v>175</v>
      </c>
      <c r="B176">
        <v>15625524</v>
      </c>
      <c r="C176" t="s">
        <v>183</v>
      </c>
      <c r="D176" t="s">
        <v>15</v>
      </c>
      <c r="E176" t="s">
        <v>23</v>
      </c>
      <c r="F176">
        <v>512</v>
      </c>
      <c r="G176">
        <v>40</v>
      </c>
      <c r="H176">
        <v>5</v>
      </c>
      <c r="I176">
        <v>0</v>
      </c>
      <c r="J176">
        <v>2</v>
      </c>
      <c r="K176">
        <v>1</v>
      </c>
      <c r="L176">
        <v>1</v>
      </c>
      <c r="M176">
        <v>146457.82999999999</v>
      </c>
      <c r="N176">
        <v>0</v>
      </c>
      <c r="O176" t="str">
        <f t="shared" si="8"/>
        <v>Poor</v>
      </c>
      <c r="P176" t="str">
        <f t="shared" si="9"/>
        <v>Adult</v>
      </c>
      <c r="Q176" t="str">
        <f t="shared" si="10"/>
        <v>High Salary</v>
      </c>
      <c r="R176" t="str">
        <f t="shared" si="11"/>
        <v>Low Balance</v>
      </c>
    </row>
    <row r="177" spans="1:18" x14ac:dyDescent="0.25">
      <c r="A177">
        <v>176</v>
      </c>
      <c r="B177">
        <v>15755209</v>
      </c>
      <c r="C177" t="s">
        <v>117</v>
      </c>
      <c r="D177" t="s">
        <v>18</v>
      </c>
      <c r="E177" t="s">
        <v>16</v>
      </c>
      <c r="F177">
        <v>484</v>
      </c>
      <c r="G177">
        <v>35</v>
      </c>
      <c r="H177">
        <v>7</v>
      </c>
      <c r="I177">
        <v>133868.21</v>
      </c>
      <c r="J177">
        <v>1</v>
      </c>
      <c r="K177">
        <v>1</v>
      </c>
      <c r="L177">
        <v>1</v>
      </c>
      <c r="M177">
        <v>27286.1</v>
      </c>
      <c r="N177">
        <v>0</v>
      </c>
      <c r="O177" t="str">
        <f t="shared" si="8"/>
        <v>Poor</v>
      </c>
      <c r="P177" t="str">
        <f t="shared" si="9"/>
        <v>Adult</v>
      </c>
      <c r="Q177" t="str">
        <f t="shared" si="10"/>
        <v>Low Salary</v>
      </c>
      <c r="R177" t="str">
        <f t="shared" si="11"/>
        <v>High Balance</v>
      </c>
    </row>
    <row r="178" spans="1:18" x14ac:dyDescent="0.25">
      <c r="A178">
        <v>177</v>
      </c>
      <c r="B178">
        <v>15645248</v>
      </c>
      <c r="C178" t="s">
        <v>184</v>
      </c>
      <c r="D178" t="s">
        <v>15</v>
      </c>
      <c r="E178" t="s">
        <v>16</v>
      </c>
      <c r="F178">
        <v>510</v>
      </c>
      <c r="G178">
        <v>30</v>
      </c>
      <c r="H178">
        <v>0</v>
      </c>
      <c r="I178">
        <v>0</v>
      </c>
      <c r="J178">
        <v>2</v>
      </c>
      <c r="K178">
        <v>1</v>
      </c>
      <c r="L178">
        <v>1</v>
      </c>
      <c r="M178">
        <v>130553.47</v>
      </c>
      <c r="N178">
        <v>0</v>
      </c>
      <c r="O178" t="str">
        <f t="shared" si="8"/>
        <v>Poor</v>
      </c>
      <c r="P178" t="str">
        <f t="shared" si="9"/>
        <v>Young Adult</v>
      </c>
      <c r="Q178" t="str">
        <f t="shared" si="10"/>
        <v>High Salary</v>
      </c>
      <c r="R178" t="str">
        <f t="shared" si="11"/>
        <v>Low Balance</v>
      </c>
    </row>
    <row r="179" spans="1:18" x14ac:dyDescent="0.25">
      <c r="A179">
        <v>178</v>
      </c>
      <c r="B179">
        <v>15790355</v>
      </c>
      <c r="C179" t="s">
        <v>185</v>
      </c>
      <c r="D179" t="s">
        <v>26</v>
      </c>
      <c r="E179" t="s">
        <v>23</v>
      </c>
      <c r="F179">
        <v>606</v>
      </c>
      <c r="G179">
        <v>36</v>
      </c>
      <c r="H179">
        <v>5</v>
      </c>
      <c r="I179">
        <v>190479.48</v>
      </c>
      <c r="J179">
        <v>2</v>
      </c>
      <c r="K179">
        <v>0</v>
      </c>
      <c r="L179">
        <v>0</v>
      </c>
      <c r="M179">
        <v>179351.89</v>
      </c>
      <c r="N179">
        <v>0</v>
      </c>
      <c r="O179" t="str">
        <f t="shared" si="8"/>
        <v>Average</v>
      </c>
      <c r="P179" t="str">
        <f t="shared" si="9"/>
        <v>Adult</v>
      </c>
      <c r="Q179" t="str">
        <f t="shared" si="10"/>
        <v>High Salary</v>
      </c>
      <c r="R179" t="str">
        <f t="shared" si="11"/>
        <v>High Balance</v>
      </c>
    </row>
    <row r="180" spans="1:18" x14ac:dyDescent="0.25">
      <c r="A180">
        <v>179</v>
      </c>
      <c r="B180">
        <v>15762615</v>
      </c>
      <c r="C180" t="s">
        <v>186</v>
      </c>
      <c r="D180" t="s">
        <v>18</v>
      </c>
      <c r="E180" t="s">
        <v>16</v>
      </c>
      <c r="F180">
        <v>597</v>
      </c>
      <c r="G180">
        <v>40</v>
      </c>
      <c r="H180">
        <v>8</v>
      </c>
      <c r="I180">
        <v>101993.12</v>
      </c>
      <c r="J180">
        <v>1</v>
      </c>
      <c r="K180">
        <v>0</v>
      </c>
      <c r="L180">
        <v>1</v>
      </c>
      <c r="M180">
        <v>94774.12</v>
      </c>
      <c r="N180">
        <v>0</v>
      </c>
      <c r="O180" t="str">
        <f t="shared" si="8"/>
        <v>Average</v>
      </c>
      <c r="P180" t="str">
        <f t="shared" si="9"/>
        <v>Adult</v>
      </c>
      <c r="Q180" t="str">
        <f t="shared" si="10"/>
        <v>High Salary</v>
      </c>
      <c r="R180" t="str">
        <f t="shared" si="11"/>
        <v>High Balance</v>
      </c>
    </row>
    <row r="181" spans="1:18" x14ac:dyDescent="0.25">
      <c r="A181">
        <v>180</v>
      </c>
      <c r="B181">
        <v>15625426</v>
      </c>
      <c r="C181" t="s">
        <v>187</v>
      </c>
      <c r="D181" t="s">
        <v>26</v>
      </c>
      <c r="E181" t="s">
        <v>16</v>
      </c>
      <c r="F181">
        <v>754</v>
      </c>
      <c r="G181">
        <v>55</v>
      </c>
      <c r="H181">
        <v>3</v>
      </c>
      <c r="I181">
        <v>161608.81</v>
      </c>
      <c r="J181">
        <v>1</v>
      </c>
      <c r="K181">
        <v>1</v>
      </c>
      <c r="L181">
        <v>0</v>
      </c>
      <c r="M181">
        <v>8080.85</v>
      </c>
      <c r="N181">
        <v>1</v>
      </c>
      <c r="O181" t="str">
        <f t="shared" si="8"/>
        <v>Good</v>
      </c>
      <c r="P181" t="str">
        <f t="shared" si="9"/>
        <v>Senior</v>
      </c>
      <c r="Q181" t="str">
        <f t="shared" si="10"/>
        <v>Low Salary</v>
      </c>
      <c r="R181" t="str">
        <f t="shared" si="11"/>
        <v>High Balance</v>
      </c>
    </row>
    <row r="182" spans="1:18" x14ac:dyDescent="0.25">
      <c r="A182">
        <v>181</v>
      </c>
      <c r="B182">
        <v>15716334</v>
      </c>
      <c r="C182" t="s">
        <v>188</v>
      </c>
      <c r="D182" t="s">
        <v>18</v>
      </c>
      <c r="E182" t="s">
        <v>16</v>
      </c>
      <c r="F182">
        <v>850</v>
      </c>
      <c r="G182">
        <v>45</v>
      </c>
      <c r="H182">
        <v>2</v>
      </c>
      <c r="I182">
        <v>122311.21</v>
      </c>
      <c r="J182">
        <v>1</v>
      </c>
      <c r="K182">
        <v>1</v>
      </c>
      <c r="L182">
        <v>1</v>
      </c>
      <c r="M182">
        <v>19482.5</v>
      </c>
      <c r="N182">
        <v>0</v>
      </c>
      <c r="O182" t="str">
        <f t="shared" si="8"/>
        <v>Good</v>
      </c>
      <c r="P182" t="str">
        <f t="shared" si="9"/>
        <v>Adult</v>
      </c>
      <c r="Q182" t="str">
        <f t="shared" si="10"/>
        <v>Low Salary</v>
      </c>
      <c r="R182" t="str">
        <f t="shared" si="11"/>
        <v>High Balance</v>
      </c>
    </row>
    <row r="183" spans="1:18" x14ac:dyDescent="0.25">
      <c r="A183">
        <v>182</v>
      </c>
      <c r="B183">
        <v>15789669</v>
      </c>
      <c r="C183" t="s">
        <v>189</v>
      </c>
      <c r="D183" t="s">
        <v>15</v>
      </c>
      <c r="E183" t="s">
        <v>23</v>
      </c>
      <c r="F183">
        <v>510</v>
      </c>
      <c r="G183">
        <v>65</v>
      </c>
      <c r="H183">
        <v>2</v>
      </c>
      <c r="I183">
        <v>0</v>
      </c>
      <c r="J183">
        <v>2</v>
      </c>
      <c r="K183">
        <v>1</v>
      </c>
      <c r="L183">
        <v>1</v>
      </c>
      <c r="M183">
        <v>48071.61</v>
      </c>
      <c r="N183">
        <v>0</v>
      </c>
      <c r="O183" t="str">
        <f t="shared" si="8"/>
        <v>Poor</v>
      </c>
      <c r="P183" t="str">
        <f t="shared" si="9"/>
        <v>Senior</v>
      </c>
      <c r="Q183" t="str">
        <f t="shared" si="10"/>
        <v>Medium Salary</v>
      </c>
      <c r="R183" t="str">
        <f t="shared" si="11"/>
        <v>Low Balance</v>
      </c>
    </row>
    <row r="184" spans="1:18" x14ac:dyDescent="0.25">
      <c r="A184">
        <v>183</v>
      </c>
      <c r="B184">
        <v>15621075</v>
      </c>
      <c r="C184" t="s">
        <v>190</v>
      </c>
      <c r="D184" t="s">
        <v>26</v>
      </c>
      <c r="E184" t="s">
        <v>16</v>
      </c>
      <c r="F184">
        <v>778</v>
      </c>
      <c r="G184">
        <v>45</v>
      </c>
      <c r="H184">
        <v>1</v>
      </c>
      <c r="I184">
        <v>162150.42000000001</v>
      </c>
      <c r="J184">
        <v>2</v>
      </c>
      <c r="K184">
        <v>1</v>
      </c>
      <c r="L184">
        <v>0</v>
      </c>
      <c r="M184">
        <v>174531.27</v>
      </c>
      <c r="N184">
        <v>0</v>
      </c>
      <c r="O184" t="str">
        <f t="shared" si="8"/>
        <v>Good</v>
      </c>
      <c r="P184" t="str">
        <f t="shared" si="9"/>
        <v>Adult</v>
      </c>
      <c r="Q184" t="str">
        <f t="shared" si="10"/>
        <v>High Salary</v>
      </c>
      <c r="R184" t="str">
        <f t="shared" si="11"/>
        <v>High Balance</v>
      </c>
    </row>
    <row r="185" spans="1:18" x14ac:dyDescent="0.25">
      <c r="A185">
        <v>184</v>
      </c>
      <c r="B185">
        <v>15810845</v>
      </c>
      <c r="C185" t="s">
        <v>125</v>
      </c>
      <c r="D185" t="s">
        <v>15</v>
      </c>
      <c r="E185" t="s">
        <v>23</v>
      </c>
      <c r="F185">
        <v>636</v>
      </c>
      <c r="G185">
        <v>42</v>
      </c>
      <c r="H185">
        <v>2</v>
      </c>
      <c r="I185">
        <v>0</v>
      </c>
      <c r="J185">
        <v>2</v>
      </c>
      <c r="K185">
        <v>1</v>
      </c>
      <c r="L185">
        <v>1</v>
      </c>
      <c r="M185">
        <v>55470.78</v>
      </c>
      <c r="N185">
        <v>0</v>
      </c>
      <c r="O185" t="str">
        <f t="shared" si="8"/>
        <v>Average</v>
      </c>
      <c r="P185" t="str">
        <f t="shared" si="9"/>
        <v>Adult</v>
      </c>
      <c r="Q185" t="str">
        <f t="shared" si="10"/>
        <v>Medium Salary</v>
      </c>
      <c r="R185" t="str">
        <f t="shared" si="11"/>
        <v>Low Balance</v>
      </c>
    </row>
    <row r="186" spans="1:18" x14ac:dyDescent="0.25">
      <c r="A186">
        <v>185</v>
      </c>
      <c r="B186">
        <v>15719377</v>
      </c>
      <c r="C186" t="s">
        <v>144</v>
      </c>
      <c r="D186" t="s">
        <v>15</v>
      </c>
      <c r="E186" t="s">
        <v>16</v>
      </c>
      <c r="F186">
        <v>804</v>
      </c>
      <c r="G186">
        <v>50</v>
      </c>
      <c r="H186">
        <v>4</v>
      </c>
      <c r="I186">
        <v>0</v>
      </c>
      <c r="J186">
        <v>1</v>
      </c>
      <c r="K186">
        <v>1</v>
      </c>
      <c r="L186">
        <v>1</v>
      </c>
      <c r="M186">
        <v>8546.8700000000008</v>
      </c>
      <c r="N186">
        <v>1</v>
      </c>
      <c r="O186" t="str">
        <f t="shared" si="8"/>
        <v>Good</v>
      </c>
      <c r="P186" t="str">
        <f t="shared" si="9"/>
        <v>Adult</v>
      </c>
      <c r="Q186" t="str">
        <f t="shared" si="10"/>
        <v>Low Salary</v>
      </c>
      <c r="R186" t="str">
        <f t="shared" si="11"/>
        <v>Low Balance</v>
      </c>
    </row>
    <row r="187" spans="1:18" x14ac:dyDescent="0.25">
      <c r="A187">
        <v>186</v>
      </c>
      <c r="B187">
        <v>15654506</v>
      </c>
      <c r="C187" t="s">
        <v>191</v>
      </c>
      <c r="D187" t="s">
        <v>15</v>
      </c>
      <c r="E187" t="s">
        <v>23</v>
      </c>
      <c r="F187">
        <v>514</v>
      </c>
      <c r="G187">
        <v>32</v>
      </c>
      <c r="H187">
        <v>8</v>
      </c>
      <c r="I187">
        <v>0</v>
      </c>
      <c r="J187">
        <v>2</v>
      </c>
      <c r="K187">
        <v>1</v>
      </c>
      <c r="L187">
        <v>0</v>
      </c>
      <c r="M187">
        <v>95857.18</v>
      </c>
      <c r="N187">
        <v>0</v>
      </c>
      <c r="O187" t="str">
        <f t="shared" si="8"/>
        <v>Poor</v>
      </c>
      <c r="P187" t="str">
        <f t="shared" si="9"/>
        <v>Adult</v>
      </c>
      <c r="Q187" t="str">
        <f t="shared" si="10"/>
        <v>High Salary</v>
      </c>
      <c r="R187" t="str">
        <f t="shared" si="11"/>
        <v>Low Balance</v>
      </c>
    </row>
    <row r="188" spans="1:18" x14ac:dyDescent="0.25">
      <c r="A188">
        <v>187</v>
      </c>
      <c r="B188">
        <v>15771977</v>
      </c>
      <c r="C188" t="s">
        <v>192</v>
      </c>
      <c r="D188" t="s">
        <v>15</v>
      </c>
      <c r="E188" t="s">
        <v>16</v>
      </c>
      <c r="F188">
        <v>730</v>
      </c>
      <c r="G188">
        <v>39</v>
      </c>
      <c r="H188">
        <v>1</v>
      </c>
      <c r="I188">
        <v>99010.67</v>
      </c>
      <c r="J188">
        <v>1</v>
      </c>
      <c r="K188">
        <v>1</v>
      </c>
      <c r="L188">
        <v>0</v>
      </c>
      <c r="M188">
        <v>194945.8</v>
      </c>
      <c r="N188">
        <v>0</v>
      </c>
      <c r="O188" t="str">
        <f t="shared" si="8"/>
        <v>Good</v>
      </c>
      <c r="P188" t="str">
        <f t="shared" si="9"/>
        <v>Adult</v>
      </c>
      <c r="Q188" t="str">
        <f t="shared" si="10"/>
        <v>High Salary</v>
      </c>
      <c r="R188" t="str">
        <f t="shared" si="11"/>
        <v>Medium Balance</v>
      </c>
    </row>
    <row r="189" spans="1:18" x14ac:dyDescent="0.25">
      <c r="A189">
        <v>188</v>
      </c>
      <c r="B189">
        <v>15708710</v>
      </c>
      <c r="C189" t="s">
        <v>193</v>
      </c>
      <c r="D189" t="s">
        <v>18</v>
      </c>
      <c r="E189" t="s">
        <v>16</v>
      </c>
      <c r="F189">
        <v>525</v>
      </c>
      <c r="G189">
        <v>37</v>
      </c>
      <c r="H189">
        <v>0</v>
      </c>
      <c r="I189">
        <v>0</v>
      </c>
      <c r="J189">
        <v>1</v>
      </c>
      <c r="K189">
        <v>0</v>
      </c>
      <c r="L189">
        <v>1</v>
      </c>
      <c r="M189">
        <v>131521.72</v>
      </c>
      <c r="N189">
        <v>0</v>
      </c>
      <c r="O189" t="str">
        <f t="shared" si="8"/>
        <v>Poor</v>
      </c>
      <c r="P189" t="str">
        <f t="shared" si="9"/>
        <v>Adult</v>
      </c>
      <c r="Q189" t="str">
        <f t="shared" si="10"/>
        <v>High Salary</v>
      </c>
      <c r="R189" t="str">
        <f t="shared" si="11"/>
        <v>Low Balance</v>
      </c>
    </row>
    <row r="190" spans="1:18" x14ac:dyDescent="0.25">
      <c r="A190">
        <v>189</v>
      </c>
      <c r="B190">
        <v>15726676</v>
      </c>
      <c r="C190" t="s">
        <v>194</v>
      </c>
      <c r="D190" t="s">
        <v>18</v>
      </c>
      <c r="E190" t="s">
        <v>23</v>
      </c>
      <c r="F190">
        <v>616</v>
      </c>
      <c r="G190">
        <v>30</v>
      </c>
      <c r="H190">
        <v>5</v>
      </c>
      <c r="I190">
        <v>0</v>
      </c>
      <c r="J190">
        <v>2</v>
      </c>
      <c r="K190">
        <v>0</v>
      </c>
      <c r="L190">
        <v>1</v>
      </c>
      <c r="M190">
        <v>196108.51</v>
      </c>
      <c r="N190">
        <v>0</v>
      </c>
      <c r="O190" t="str">
        <f t="shared" si="8"/>
        <v>Average</v>
      </c>
      <c r="P190" t="str">
        <f t="shared" si="9"/>
        <v>Young Adult</v>
      </c>
      <c r="Q190" t="str">
        <f t="shared" si="10"/>
        <v>High Salary</v>
      </c>
      <c r="R190" t="str">
        <f t="shared" si="11"/>
        <v>Low Balance</v>
      </c>
    </row>
    <row r="191" spans="1:18" x14ac:dyDescent="0.25">
      <c r="A191">
        <v>190</v>
      </c>
      <c r="B191">
        <v>15587421</v>
      </c>
      <c r="C191" t="s">
        <v>195</v>
      </c>
      <c r="D191" t="s">
        <v>26</v>
      </c>
      <c r="E191" t="s">
        <v>16</v>
      </c>
      <c r="F191">
        <v>687</v>
      </c>
      <c r="G191">
        <v>34</v>
      </c>
      <c r="H191">
        <v>7</v>
      </c>
      <c r="I191">
        <v>111388.18</v>
      </c>
      <c r="J191">
        <v>2</v>
      </c>
      <c r="K191">
        <v>1</v>
      </c>
      <c r="L191">
        <v>0</v>
      </c>
      <c r="M191">
        <v>148564.76</v>
      </c>
      <c r="N191">
        <v>0</v>
      </c>
      <c r="O191" t="str">
        <f t="shared" si="8"/>
        <v>Good</v>
      </c>
      <c r="P191" t="str">
        <f t="shared" si="9"/>
        <v>Adult</v>
      </c>
      <c r="Q191" t="str">
        <f t="shared" si="10"/>
        <v>High Salary</v>
      </c>
      <c r="R191" t="str">
        <f t="shared" si="11"/>
        <v>High Balance</v>
      </c>
    </row>
    <row r="192" spans="1:18" x14ac:dyDescent="0.25">
      <c r="A192">
        <v>191</v>
      </c>
      <c r="B192">
        <v>15726931</v>
      </c>
      <c r="C192" t="s">
        <v>196</v>
      </c>
      <c r="D192" t="s">
        <v>15</v>
      </c>
      <c r="E192" t="s">
        <v>16</v>
      </c>
      <c r="F192">
        <v>715</v>
      </c>
      <c r="G192">
        <v>41</v>
      </c>
      <c r="H192">
        <v>8</v>
      </c>
      <c r="I192">
        <v>56214.85</v>
      </c>
      <c r="J192">
        <v>2</v>
      </c>
      <c r="K192">
        <v>0</v>
      </c>
      <c r="L192">
        <v>0</v>
      </c>
      <c r="M192">
        <v>92982.61</v>
      </c>
      <c r="N192">
        <v>1</v>
      </c>
      <c r="O192" t="str">
        <f t="shared" si="8"/>
        <v>Good</v>
      </c>
      <c r="P192" t="str">
        <f t="shared" si="9"/>
        <v>Adult</v>
      </c>
      <c r="Q192" t="str">
        <f t="shared" si="10"/>
        <v>High Salary</v>
      </c>
      <c r="R192" t="str">
        <f t="shared" si="11"/>
        <v>Medium Balance</v>
      </c>
    </row>
    <row r="193" spans="1:18" x14ac:dyDescent="0.25">
      <c r="A193">
        <v>192</v>
      </c>
      <c r="B193">
        <v>15771086</v>
      </c>
      <c r="C193" t="s">
        <v>113</v>
      </c>
      <c r="D193" t="s">
        <v>15</v>
      </c>
      <c r="E193" t="s">
        <v>16</v>
      </c>
      <c r="F193">
        <v>512</v>
      </c>
      <c r="G193">
        <v>36</v>
      </c>
      <c r="H193">
        <v>3</v>
      </c>
      <c r="I193">
        <v>84327.77</v>
      </c>
      <c r="J193">
        <v>2</v>
      </c>
      <c r="K193">
        <v>1</v>
      </c>
      <c r="L193">
        <v>0</v>
      </c>
      <c r="M193">
        <v>17675.36</v>
      </c>
      <c r="N193">
        <v>0</v>
      </c>
      <c r="O193" t="str">
        <f t="shared" si="8"/>
        <v>Poor</v>
      </c>
      <c r="P193" t="str">
        <f t="shared" si="9"/>
        <v>Adult</v>
      </c>
      <c r="Q193" t="str">
        <f t="shared" si="10"/>
        <v>Low Salary</v>
      </c>
      <c r="R193" t="str">
        <f t="shared" si="11"/>
        <v>Medium Balance</v>
      </c>
    </row>
    <row r="194" spans="1:18" x14ac:dyDescent="0.25">
      <c r="A194">
        <v>193</v>
      </c>
      <c r="B194">
        <v>15756850</v>
      </c>
      <c r="C194" t="s">
        <v>197</v>
      </c>
      <c r="D194" t="s">
        <v>15</v>
      </c>
      <c r="E194" t="s">
        <v>23</v>
      </c>
      <c r="F194">
        <v>479</v>
      </c>
      <c r="G194">
        <v>40</v>
      </c>
      <c r="H194">
        <v>1</v>
      </c>
      <c r="I194">
        <v>0</v>
      </c>
      <c r="J194">
        <v>2</v>
      </c>
      <c r="K194">
        <v>0</v>
      </c>
      <c r="L194">
        <v>0</v>
      </c>
      <c r="M194">
        <v>114996.43</v>
      </c>
      <c r="N194">
        <v>0</v>
      </c>
      <c r="O194" t="str">
        <f t="shared" si="8"/>
        <v>Poor</v>
      </c>
      <c r="P194" t="str">
        <f t="shared" si="9"/>
        <v>Adult</v>
      </c>
      <c r="Q194" t="str">
        <f t="shared" si="10"/>
        <v>High Salary</v>
      </c>
      <c r="R194" t="str">
        <f t="shared" si="11"/>
        <v>Low Balance</v>
      </c>
    </row>
    <row r="195" spans="1:18" x14ac:dyDescent="0.25">
      <c r="A195">
        <v>194</v>
      </c>
      <c r="B195">
        <v>15702741</v>
      </c>
      <c r="C195" t="s">
        <v>198</v>
      </c>
      <c r="D195" t="s">
        <v>15</v>
      </c>
      <c r="E195" t="s">
        <v>23</v>
      </c>
      <c r="F195">
        <v>601</v>
      </c>
      <c r="G195">
        <v>32</v>
      </c>
      <c r="H195">
        <v>8</v>
      </c>
      <c r="I195">
        <v>93012.89</v>
      </c>
      <c r="J195">
        <v>1</v>
      </c>
      <c r="K195">
        <v>1</v>
      </c>
      <c r="L195">
        <v>0</v>
      </c>
      <c r="M195">
        <v>86957.42</v>
      </c>
      <c r="N195">
        <v>0</v>
      </c>
      <c r="O195" t="str">
        <f t="shared" ref="O195:O258" si="12">IF(F195&lt;580, "Poor", IF(AND(F195&gt;=580, F195&lt;=669), "Average", "Good"))</f>
        <v>Average</v>
      </c>
      <c r="P195" t="str">
        <f t="shared" ref="P195:P258" si="13">IF(G195&lt;=30, "Young Adult", IF(AND(G195&gt;=31, G195&lt;=50), "Adult", "Senior"))</f>
        <v>Adult</v>
      </c>
      <c r="Q195" t="str">
        <f t="shared" ref="Q195:Q258" si="14">IF(M195&lt;30000, "Low Salary", IF(AND(M195&gt;=30000, M195&lt;=70000), "Medium Salary", "High Salary"))</f>
        <v>High Salary</v>
      </c>
      <c r="R195" t="str">
        <f t="shared" ref="R195:R258" si="15">IF(I195&lt;50000, "Low Balance", IF(AND(I195&gt;=50000, I195&lt;=100000), "Medium Balance", "High Balance"))</f>
        <v>Medium Balance</v>
      </c>
    </row>
    <row r="196" spans="1:18" x14ac:dyDescent="0.25">
      <c r="A196">
        <v>195</v>
      </c>
      <c r="B196">
        <v>15679200</v>
      </c>
      <c r="C196" t="s">
        <v>199</v>
      </c>
      <c r="D196" t="s">
        <v>18</v>
      </c>
      <c r="E196" t="s">
        <v>23</v>
      </c>
      <c r="F196">
        <v>580</v>
      </c>
      <c r="G196">
        <v>29</v>
      </c>
      <c r="H196">
        <v>9</v>
      </c>
      <c r="I196">
        <v>61710.44</v>
      </c>
      <c r="J196">
        <v>2</v>
      </c>
      <c r="K196">
        <v>1</v>
      </c>
      <c r="L196">
        <v>0</v>
      </c>
      <c r="M196">
        <v>128077.8</v>
      </c>
      <c r="N196">
        <v>0</v>
      </c>
      <c r="O196" t="str">
        <f t="shared" si="12"/>
        <v>Average</v>
      </c>
      <c r="P196" t="str">
        <f t="shared" si="13"/>
        <v>Young Adult</v>
      </c>
      <c r="Q196" t="str">
        <f t="shared" si="14"/>
        <v>High Salary</v>
      </c>
      <c r="R196" t="str">
        <f t="shared" si="15"/>
        <v>Medium Balance</v>
      </c>
    </row>
    <row r="197" spans="1:18" x14ac:dyDescent="0.25">
      <c r="A197">
        <v>196</v>
      </c>
      <c r="B197">
        <v>15594815</v>
      </c>
      <c r="C197" t="s">
        <v>200</v>
      </c>
      <c r="D197" t="s">
        <v>15</v>
      </c>
      <c r="E197" t="s">
        <v>23</v>
      </c>
      <c r="F197">
        <v>807</v>
      </c>
      <c r="G197">
        <v>35</v>
      </c>
      <c r="H197">
        <v>3</v>
      </c>
      <c r="I197">
        <v>174790.15</v>
      </c>
      <c r="J197">
        <v>1</v>
      </c>
      <c r="K197">
        <v>1</v>
      </c>
      <c r="L197">
        <v>1</v>
      </c>
      <c r="M197">
        <v>600.36</v>
      </c>
      <c r="N197">
        <v>0</v>
      </c>
      <c r="O197" t="str">
        <f t="shared" si="12"/>
        <v>Good</v>
      </c>
      <c r="P197" t="str">
        <f t="shared" si="13"/>
        <v>Adult</v>
      </c>
      <c r="Q197" t="str">
        <f t="shared" si="14"/>
        <v>Low Salary</v>
      </c>
      <c r="R197" t="str">
        <f t="shared" si="15"/>
        <v>High Balance</v>
      </c>
    </row>
    <row r="198" spans="1:18" x14ac:dyDescent="0.25">
      <c r="A198">
        <v>197</v>
      </c>
      <c r="B198">
        <v>15635905</v>
      </c>
      <c r="C198" t="s">
        <v>201</v>
      </c>
      <c r="D198" t="s">
        <v>18</v>
      </c>
      <c r="E198" t="s">
        <v>16</v>
      </c>
      <c r="F198">
        <v>616</v>
      </c>
      <c r="G198">
        <v>32</v>
      </c>
      <c r="H198">
        <v>6</v>
      </c>
      <c r="I198">
        <v>0</v>
      </c>
      <c r="J198">
        <v>2</v>
      </c>
      <c r="K198">
        <v>1</v>
      </c>
      <c r="L198">
        <v>1</v>
      </c>
      <c r="M198">
        <v>43001.46</v>
      </c>
      <c r="N198">
        <v>0</v>
      </c>
      <c r="O198" t="str">
        <f t="shared" si="12"/>
        <v>Average</v>
      </c>
      <c r="P198" t="str">
        <f t="shared" si="13"/>
        <v>Adult</v>
      </c>
      <c r="Q198" t="str">
        <f t="shared" si="14"/>
        <v>Medium Salary</v>
      </c>
      <c r="R198" t="str">
        <f t="shared" si="15"/>
        <v>Low Balance</v>
      </c>
    </row>
    <row r="199" spans="1:18" x14ac:dyDescent="0.25">
      <c r="A199">
        <v>198</v>
      </c>
      <c r="B199">
        <v>15777892</v>
      </c>
      <c r="C199" t="s">
        <v>202</v>
      </c>
      <c r="D199" t="s">
        <v>26</v>
      </c>
      <c r="E199" t="s">
        <v>23</v>
      </c>
      <c r="F199">
        <v>721</v>
      </c>
      <c r="G199">
        <v>37</v>
      </c>
      <c r="H199">
        <v>3</v>
      </c>
      <c r="I199">
        <v>107720.64</v>
      </c>
      <c r="J199">
        <v>1</v>
      </c>
      <c r="K199">
        <v>1</v>
      </c>
      <c r="L199">
        <v>1</v>
      </c>
      <c r="M199">
        <v>158591.12</v>
      </c>
      <c r="N199">
        <v>0</v>
      </c>
      <c r="O199" t="str">
        <f t="shared" si="12"/>
        <v>Good</v>
      </c>
      <c r="P199" t="str">
        <f t="shared" si="13"/>
        <v>Adult</v>
      </c>
      <c r="Q199" t="str">
        <f t="shared" si="14"/>
        <v>High Salary</v>
      </c>
      <c r="R199" t="str">
        <f t="shared" si="15"/>
        <v>High Balance</v>
      </c>
    </row>
    <row r="200" spans="1:18" x14ac:dyDescent="0.25">
      <c r="A200">
        <v>199</v>
      </c>
      <c r="B200">
        <v>15656176</v>
      </c>
      <c r="C200" t="s">
        <v>203</v>
      </c>
      <c r="D200" t="s">
        <v>15</v>
      </c>
      <c r="E200" t="s">
        <v>23</v>
      </c>
      <c r="F200">
        <v>501</v>
      </c>
      <c r="G200">
        <v>57</v>
      </c>
      <c r="H200">
        <v>10</v>
      </c>
      <c r="I200">
        <v>0</v>
      </c>
      <c r="J200">
        <v>2</v>
      </c>
      <c r="K200">
        <v>1</v>
      </c>
      <c r="L200">
        <v>1</v>
      </c>
      <c r="M200">
        <v>47847.19</v>
      </c>
      <c r="N200">
        <v>0</v>
      </c>
      <c r="O200" t="str">
        <f t="shared" si="12"/>
        <v>Poor</v>
      </c>
      <c r="P200" t="str">
        <f t="shared" si="13"/>
        <v>Senior</v>
      </c>
      <c r="Q200" t="str">
        <f t="shared" si="14"/>
        <v>Medium Salary</v>
      </c>
      <c r="R200" t="str">
        <f t="shared" si="15"/>
        <v>Low Balance</v>
      </c>
    </row>
    <row r="201" spans="1:18" x14ac:dyDescent="0.25">
      <c r="A201">
        <v>200</v>
      </c>
      <c r="B201">
        <v>15811127</v>
      </c>
      <c r="C201" t="s">
        <v>204</v>
      </c>
      <c r="D201" t="s">
        <v>15</v>
      </c>
      <c r="E201" t="s">
        <v>23</v>
      </c>
      <c r="F201">
        <v>521</v>
      </c>
      <c r="G201">
        <v>35</v>
      </c>
      <c r="H201">
        <v>6</v>
      </c>
      <c r="I201">
        <v>96423.84</v>
      </c>
      <c r="J201">
        <v>1</v>
      </c>
      <c r="K201">
        <v>1</v>
      </c>
      <c r="L201">
        <v>0</v>
      </c>
      <c r="M201">
        <v>10488.44</v>
      </c>
      <c r="N201">
        <v>0</v>
      </c>
      <c r="O201" t="str">
        <f t="shared" si="12"/>
        <v>Poor</v>
      </c>
      <c r="P201" t="str">
        <f t="shared" si="13"/>
        <v>Adult</v>
      </c>
      <c r="Q201" t="str">
        <f t="shared" si="14"/>
        <v>Low Salary</v>
      </c>
      <c r="R201" t="str">
        <f t="shared" si="15"/>
        <v>Medium Balance</v>
      </c>
    </row>
    <row r="202" spans="1:18" x14ac:dyDescent="0.25">
      <c r="A202">
        <v>201</v>
      </c>
      <c r="B202">
        <v>15604482</v>
      </c>
      <c r="C202" t="s">
        <v>205</v>
      </c>
      <c r="D202" t="s">
        <v>18</v>
      </c>
      <c r="E202" t="s">
        <v>23</v>
      </c>
      <c r="F202">
        <v>850</v>
      </c>
      <c r="G202">
        <v>30</v>
      </c>
      <c r="H202">
        <v>2</v>
      </c>
      <c r="I202">
        <v>141040.01</v>
      </c>
      <c r="J202">
        <v>1</v>
      </c>
      <c r="K202">
        <v>1</v>
      </c>
      <c r="L202">
        <v>1</v>
      </c>
      <c r="M202">
        <v>5978.2</v>
      </c>
      <c r="N202">
        <v>0</v>
      </c>
      <c r="O202" t="str">
        <f t="shared" si="12"/>
        <v>Good</v>
      </c>
      <c r="P202" t="str">
        <f t="shared" si="13"/>
        <v>Young Adult</v>
      </c>
      <c r="Q202" t="str">
        <f t="shared" si="14"/>
        <v>Low Salary</v>
      </c>
      <c r="R202" t="str">
        <f t="shared" si="15"/>
        <v>High Balance</v>
      </c>
    </row>
    <row r="203" spans="1:18" x14ac:dyDescent="0.25">
      <c r="A203">
        <v>202</v>
      </c>
      <c r="B203">
        <v>15622911</v>
      </c>
      <c r="C203" t="s">
        <v>206</v>
      </c>
      <c r="D203" t="s">
        <v>15</v>
      </c>
      <c r="E203" t="s">
        <v>23</v>
      </c>
      <c r="F203">
        <v>759</v>
      </c>
      <c r="G203">
        <v>42</v>
      </c>
      <c r="H203">
        <v>4</v>
      </c>
      <c r="I203">
        <v>105420.18</v>
      </c>
      <c r="J203">
        <v>1</v>
      </c>
      <c r="K203">
        <v>0</v>
      </c>
      <c r="L203">
        <v>1</v>
      </c>
      <c r="M203">
        <v>121409.06</v>
      </c>
      <c r="N203">
        <v>0</v>
      </c>
      <c r="O203" t="str">
        <f t="shared" si="12"/>
        <v>Good</v>
      </c>
      <c r="P203" t="str">
        <f t="shared" si="13"/>
        <v>Adult</v>
      </c>
      <c r="Q203" t="str">
        <f t="shared" si="14"/>
        <v>High Salary</v>
      </c>
      <c r="R203" t="str">
        <f t="shared" si="15"/>
        <v>High Balance</v>
      </c>
    </row>
    <row r="204" spans="1:18" x14ac:dyDescent="0.25">
      <c r="A204">
        <v>203</v>
      </c>
      <c r="B204">
        <v>15600974</v>
      </c>
      <c r="C204" t="s">
        <v>27</v>
      </c>
      <c r="D204" t="s">
        <v>18</v>
      </c>
      <c r="E204" t="s">
        <v>23</v>
      </c>
      <c r="F204">
        <v>516</v>
      </c>
      <c r="G204">
        <v>50</v>
      </c>
      <c r="H204">
        <v>5</v>
      </c>
      <c r="I204">
        <v>0</v>
      </c>
      <c r="J204">
        <v>1</v>
      </c>
      <c r="K204">
        <v>0</v>
      </c>
      <c r="L204">
        <v>1</v>
      </c>
      <c r="M204">
        <v>146145.93</v>
      </c>
      <c r="N204">
        <v>1</v>
      </c>
      <c r="O204" t="str">
        <f t="shared" si="12"/>
        <v>Poor</v>
      </c>
      <c r="P204" t="str">
        <f t="shared" si="13"/>
        <v>Adult</v>
      </c>
      <c r="Q204" t="str">
        <f t="shared" si="14"/>
        <v>High Salary</v>
      </c>
      <c r="R204" t="str">
        <f t="shared" si="15"/>
        <v>Low Balance</v>
      </c>
    </row>
    <row r="205" spans="1:18" x14ac:dyDescent="0.25">
      <c r="A205">
        <v>204</v>
      </c>
      <c r="B205">
        <v>15727868</v>
      </c>
      <c r="C205" t="s">
        <v>207</v>
      </c>
      <c r="D205" t="s">
        <v>15</v>
      </c>
      <c r="E205" t="s">
        <v>16</v>
      </c>
      <c r="F205">
        <v>711</v>
      </c>
      <c r="G205">
        <v>38</v>
      </c>
      <c r="H205">
        <v>2</v>
      </c>
      <c r="I205">
        <v>129022.06</v>
      </c>
      <c r="J205">
        <v>2</v>
      </c>
      <c r="K205">
        <v>1</v>
      </c>
      <c r="L205">
        <v>1</v>
      </c>
      <c r="M205">
        <v>14374.86</v>
      </c>
      <c r="N205">
        <v>1</v>
      </c>
      <c r="O205" t="str">
        <f t="shared" si="12"/>
        <v>Good</v>
      </c>
      <c r="P205" t="str">
        <f t="shared" si="13"/>
        <v>Adult</v>
      </c>
      <c r="Q205" t="str">
        <f t="shared" si="14"/>
        <v>Low Salary</v>
      </c>
      <c r="R205" t="str">
        <f t="shared" si="15"/>
        <v>High Balance</v>
      </c>
    </row>
    <row r="206" spans="1:18" x14ac:dyDescent="0.25">
      <c r="A206">
        <v>205</v>
      </c>
      <c r="B206">
        <v>15627801</v>
      </c>
      <c r="C206" t="s">
        <v>208</v>
      </c>
      <c r="D206" t="s">
        <v>18</v>
      </c>
      <c r="E206" t="s">
        <v>23</v>
      </c>
      <c r="F206">
        <v>653.5</v>
      </c>
      <c r="G206">
        <v>33</v>
      </c>
      <c r="H206">
        <v>3</v>
      </c>
      <c r="I206">
        <v>176666.62</v>
      </c>
      <c r="J206">
        <v>1</v>
      </c>
      <c r="K206">
        <v>1</v>
      </c>
      <c r="L206">
        <v>0</v>
      </c>
      <c r="M206">
        <v>94670.77</v>
      </c>
      <c r="N206">
        <v>0</v>
      </c>
      <c r="O206" t="str">
        <f t="shared" si="12"/>
        <v>Average</v>
      </c>
      <c r="P206" t="str">
        <f t="shared" si="13"/>
        <v>Adult</v>
      </c>
      <c r="Q206" t="str">
        <f t="shared" si="14"/>
        <v>High Salary</v>
      </c>
      <c r="R206" t="str">
        <f t="shared" si="15"/>
        <v>High Balance</v>
      </c>
    </row>
    <row r="207" spans="1:18" x14ac:dyDescent="0.25">
      <c r="A207">
        <v>206</v>
      </c>
      <c r="B207">
        <v>15773039</v>
      </c>
      <c r="C207" t="s">
        <v>209</v>
      </c>
      <c r="D207" t="s">
        <v>15</v>
      </c>
      <c r="E207" t="s">
        <v>23</v>
      </c>
      <c r="F207">
        <v>550</v>
      </c>
      <c r="G207">
        <v>37</v>
      </c>
      <c r="H207">
        <v>3</v>
      </c>
      <c r="I207">
        <v>0</v>
      </c>
      <c r="J207">
        <v>1</v>
      </c>
      <c r="K207">
        <v>1</v>
      </c>
      <c r="L207">
        <v>1</v>
      </c>
      <c r="M207">
        <v>179670.31</v>
      </c>
      <c r="N207">
        <v>0</v>
      </c>
      <c r="O207" t="str">
        <f t="shared" si="12"/>
        <v>Poor</v>
      </c>
      <c r="P207" t="str">
        <f t="shared" si="13"/>
        <v>Adult</v>
      </c>
      <c r="Q207" t="str">
        <f t="shared" si="14"/>
        <v>High Salary</v>
      </c>
      <c r="R207" t="str">
        <f t="shared" si="15"/>
        <v>Low Balance</v>
      </c>
    </row>
    <row r="208" spans="1:18" x14ac:dyDescent="0.25">
      <c r="A208">
        <v>207</v>
      </c>
      <c r="B208">
        <v>15755262</v>
      </c>
      <c r="C208" t="s">
        <v>39</v>
      </c>
      <c r="D208" t="s">
        <v>18</v>
      </c>
      <c r="E208" t="s">
        <v>16</v>
      </c>
      <c r="F208">
        <v>608</v>
      </c>
      <c r="G208">
        <v>41</v>
      </c>
      <c r="H208">
        <v>3</v>
      </c>
      <c r="I208">
        <v>89763.839999999997</v>
      </c>
      <c r="J208">
        <v>1</v>
      </c>
      <c r="K208">
        <v>0</v>
      </c>
      <c r="L208">
        <v>0</v>
      </c>
      <c r="M208">
        <v>199304.74</v>
      </c>
      <c r="N208">
        <v>1</v>
      </c>
      <c r="O208" t="str">
        <f t="shared" si="12"/>
        <v>Average</v>
      </c>
      <c r="P208" t="str">
        <f t="shared" si="13"/>
        <v>Adult</v>
      </c>
      <c r="Q208" t="str">
        <f t="shared" si="14"/>
        <v>High Salary</v>
      </c>
      <c r="R208" t="str">
        <f t="shared" si="15"/>
        <v>Medium Balance</v>
      </c>
    </row>
    <row r="209" spans="1:18" x14ac:dyDescent="0.25">
      <c r="A209">
        <v>208</v>
      </c>
      <c r="B209">
        <v>15679531</v>
      </c>
      <c r="C209" t="s">
        <v>210</v>
      </c>
      <c r="D209" t="s">
        <v>15</v>
      </c>
      <c r="E209" t="s">
        <v>23</v>
      </c>
      <c r="F209">
        <v>618</v>
      </c>
      <c r="G209">
        <v>34</v>
      </c>
      <c r="H209">
        <v>5</v>
      </c>
      <c r="I209">
        <v>134954.53</v>
      </c>
      <c r="J209">
        <v>1</v>
      </c>
      <c r="K209">
        <v>1</v>
      </c>
      <c r="L209">
        <v>1</v>
      </c>
      <c r="M209">
        <v>151954.39000000001</v>
      </c>
      <c r="N209">
        <v>0</v>
      </c>
      <c r="O209" t="str">
        <f t="shared" si="12"/>
        <v>Average</v>
      </c>
      <c r="P209" t="str">
        <f t="shared" si="13"/>
        <v>Adult</v>
      </c>
      <c r="Q209" t="str">
        <f t="shared" si="14"/>
        <v>High Salary</v>
      </c>
      <c r="R209" t="str">
        <f t="shared" si="15"/>
        <v>High Balance</v>
      </c>
    </row>
    <row r="210" spans="1:18" x14ac:dyDescent="0.25">
      <c r="A210">
        <v>209</v>
      </c>
      <c r="B210">
        <v>15684181</v>
      </c>
      <c r="C210" t="s">
        <v>211</v>
      </c>
      <c r="D210" t="s">
        <v>15</v>
      </c>
      <c r="E210" t="s">
        <v>23</v>
      </c>
      <c r="F210">
        <v>643</v>
      </c>
      <c r="G210">
        <v>45</v>
      </c>
      <c r="H210">
        <v>5</v>
      </c>
      <c r="I210">
        <v>0</v>
      </c>
      <c r="J210">
        <v>1</v>
      </c>
      <c r="K210">
        <v>1</v>
      </c>
      <c r="L210">
        <v>0</v>
      </c>
      <c r="M210">
        <v>142513.5</v>
      </c>
      <c r="N210">
        <v>1</v>
      </c>
      <c r="O210" t="str">
        <f t="shared" si="12"/>
        <v>Average</v>
      </c>
      <c r="P210" t="str">
        <f t="shared" si="13"/>
        <v>Adult</v>
      </c>
      <c r="Q210" t="str">
        <f t="shared" si="14"/>
        <v>High Salary</v>
      </c>
      <c r="R210" t="str">
        <f t="shared" si="15"/>
        <v>Low Balance</v>
      </c>
    </row>
    <row r="211" spans="1:18" x14ac:dyDescent="0.25">
      <c r="A211">
        <v>210</v>
      </c>
      <c r="B211">
        <v>15612087</v>
      </c>
      <c r="C211" t="s">
        <v>212</v>
      </c>
      <c r="D211" t="s">
        <v>15</v>
      </c>
      <c r="E211" t="s">
        <v>23</v>
      </c>
      <c r="F211">
        <v>671</v>
      </c>
      <c r="G211">
        <v>45</v>
      </c>
      <c r="H211">
        <v>2</v>
      </c>
      <c r="I211">
        <v>106376.85</v>
      </c>
      <c r="J211">
        <v>1</v>
      </c>
      <c r="K211">
        <v>0</v>
      </c>
      <c r="L211">
        <v>1</v>
      </c>
      <c r="M211">
        <v>158264.62</v>
      </c>
      <c r="N211">
        <v>0</v>
      </c>
      <c r="O211" t="str">
        <f t="shared" si="12"/>
        <v>Good</v>
      </c>
      <c r="P211" t="str">
        <f t="shared" si="13"/>
        <v>Adult</v>
      </c>
      <c r="Q211" t="str">
        <f t="shared" si="14"/>
        <v>High Salary</v>
      </c>
      <c r="R211" t="str">
        <f t="shared" si="15"/>
        <v>High Balance</v>
      </c>
    </row>
    <row r="212" spans="1:18" x14ac:dyDescent="0.25">
      <c r="A212">
        <v>211</v>
      </c>
      <c r="B212">
        <v>15752047</v>
      </c>
      <c r="C212" t="s">
        <v>27</v>
      </c>
      <c r="D212" t="s">
        <v>26</v>
      </c>
      <c r="E212" t="s">
        <v>23</v>
      </c>
      <c r="F212">
        <v>689</v>
      </c>
      <c r="G212">
        <v>33</v>
      </c>
      <c r="H212">
        <v>2</v>
      </c>
      <c r="I212">
        <v>161814.64000000001</v>
      </c>
      <c r="J212">
        <v>2</v>
      </c>
      <c r="K212">
        <v>1</v>
      </c>
      <c r="L212">
        <v>0</v>
      </c>
      <c r="M212">
        <v>169381.9</v>
      </c>
      <c r="N212">
        <v>0</v>
      </c>
      <c r="O212" t="str">
        <f t="shared" si="12"/>
        <v>Good</v>
      </c>
      <c r="P212" t="str">
        <f t="shared" si="13"/>
        <v>Adult</v>
      </c>
      <c r="Q212" t="str">
        <f t="shared" si="14"/>
        <v>High Salary</v>
      </c>
      <c r="R212" t="str">
        <f t="shared" si="15"/>
        <v>High Balance</v>
      </c>
    </row>
    <row r="213" spans="1:18" x14ac:dyDescent="0.25">
      <c r="A213">
        <v>212</v>
      </c>
      <c r="B213">
        <v>15624592</v>
      </c>
      <c r="C213" t="s">
        <v>213</v>
      </c>
      <c r="D213" t="s">
        <v>15</v>
      </c>
      <c r="E213" t="s">
        <v>23</v>
      </c>
      <c r="F213">
        <v>603</v>
      </c>
      <c r="G213">
        <v>31</v>
      </c>
      <c r="H213">
        <v>8</v>
      </c>
      <c r="I213">
        <v>0</v>
      </c>
      <c r="J213">
        <v>2</v>
      </c>
      <c r="K213">
        <v>1</v>
      </c>
      <c r="L213">
        <v>1</v>
      </c>
      <c r="M213">
        <v>169915.02</v>
      </c>
      <c r="N213">
        <v>0</v>
      </c>
      <c r="O213" t="str">
        <f t="shared" si="12"/>
        <v>Average</v>
      </c>
      <c r="P213" t="str">
        <f t="shared" si="13"/>
        <v>Adult</v>
      </c>
      <c r="Q213" t="str">
        <f t="shared" si="14"/>
        <v>High Salary</v>
      </c>
      <c r="R213" t="str">
        <f t="shared" si="15"/>
        <v>Low Balance</v>
      </c>
    </row>
    <row r="214" spans="1:18" x14ac:dyDescent="0.25">
      <c r="A214">
        <v>213</v>
      </c>
      <c r="B214">
        <v>15573152</v>
      </c>
      <c r="C214" t="s">
        <v>214</v>
      </c>
      <c r="D214" t="s">
        <v>15</v>
      </c>
      <c r="E214" t="s">
        <v>16</v>
      </c>
      <c r="F214">
        <v>620</v>
      </c>
      <c r="G214">
        <v>41</v>
      </c>
      <c r="H214">
        <v>9</v>
      </c>
      <c r="I214">
        <v>0</v>
      </c>
      <c r="J214">
        <v>2</v>
      </c>
      <c r="K214">
        <v>0</v>
      </c>
      <c r="L214">
        <v>0</v>
      </c>
      <c r="M214">
        <v>88852.47</v>
      </c>
      <c r="N214">
        <v>0</v>
      </c>
      <c r="O214" t="str">
        <f t="shared" si="12"/>
        <v>Average</v>
      </c>
      <c r="P214" t="str">
        <f t="shared" si="13"/>
        <v>Adult</v>
      </c>
      <c r="Q214" t="str">
        <f t="shared" si="14"/>
        <v>High Salary</v>
      </c>
      <c r="R214" t="str">
        <f t="shared" si="15"/>
        <v>Low Balance</v>
      </c>
    </row>
    <row r="215" spans="1:18" x14ac:dyDescent="0.25">
      <c r="A215">
        <v>214</v>
      </c>
      <c r="B215">
        <v>15594917</v>
      </c>
      <c r="C215" t="s">
        <v>215</v>
      </c>
      <c r="D215" t="s">
        <v>15</v>
      </c>
      <c r="E215" t="s">
        <v>16</v>
      </c>
      <c r="F215">
        <v>676</v>
      </c>
      <c r="G215">
        <v>34</v>
      </c>
      <c r="H215">
        <v>1</v>
      </c>
      <c r="I215">
        <v>63095.01</v>
      </c>
      <c r="J215">
        <v>1</v>
      </c>
      <c r="K215">
        <v>1</v>
      </c>
      <c r="L215">
        <v>1</v>
      </c>
      <c r="M215">
        <v>40645.81</v>
      </c>
      <c r="N215">
        <v>0</v>
      </c>
      <c r="O215" t="str">
        <f t="shared" si="12"/>
        <v>Good</v>
      </c>
      <c r="P215" t="str">
        <f t="shared" si="13"/>
        <v>Adult</v>
      </c>
      <c r="Q215" t="str">
        <f t="shared" si="14"/>
        <v>Medium Salary</v>
      </c>
      <c r="R215" t="str">
        <f t="shared" si="15"/>
        <v>Medium Balance</v>
      </c>
    </row>
    <row r="216" spans="1:18" x14ac:dyDescent="0.25">
      <c r="A216">
        <v>215</v>
      </c>
      <c r="B216">
        <v>15785542</v>
      </c>
      <c r="C216" t="s">
        <v>216</v>
      </c>
      <c r="D216" t="s">
        <v>26</v>
      </c>
      <c r="E216" t="s">
        <v>23</v>
      </c>
      <c r="F216">
        <v>653.5</v>
      </c>
      <c r="G216">
        <v>26</v>
      </c>
      <c r="H216">
        <v>4</v>
      </c>
      <c r="I216">
        <v>118287.01</v>
      </c>
      <c r="J216">
        <v>2</v>
      </c>
      <c r="K216">
        <v>0</v>
      </c>
      <c r="L216">
        <v>0</v>
      </c>
      <c r="M216">
        <v>98368.24</v>
      </c>
      <c r="N216">
        <v>0</v>
      </c>
      <c r="O216" t="str">
        <f t="shared" si="12"/>
        <v>Average</v>
      </c>
      <c r="P216" t="str">
        <f t="shared" si="13"/>
        <v>Young Adult</v>
      </c>
      <c r="Q216" t="str">
        <f t="shared" si="14"/>
        <v>High Salary</v>
      </c>
      <c r="R216" t="str">
        <f t="shared" si="15"/>
        <v>High Balance</v>
      </c>
    </row>
    <row r="217" spans="1:18" x14ac:dyDescent="0.25">
      <c r="A217">
        <v>216</v>
      </c>
      <c r="B217">
        <v>15723488</v>
      </c>
      <c r="C217" t="s">
        <v>55</v>
      </c>
      <c r="D217" t="s">
        <v>26</v>
      </c>
      <c r="E217" t="s">
        <v>23</v>
      </c>
      <c r="F217">
        <v>668</v>
      </c>
      <c r="G217">
        <v>47</v>
      </c>
      <c r="H217">
        <v>7</v>
      </c>
      <c r="I217">
        <v>106854.21</v>
      </c>
      <c r="J217">
        <v>1</v>
      </c>
      <c r="K217">
        <v>0</v>
      </c>
      <c r="L217">
        <v>1</v>
      </c>
      <c r="M217">
        <v>157959.01999999999</v>
      </c>
      <c r="N217">
        <v>1</v>
      </c>
      <c r="O217" t="str">
        <f t="shared" si="12"/>
        <v>Average</v>
      </c>
      <c r="P217" t="str">
        <f t="shared" si="13"/>
        <v>Adult</v>
      </c>
      <c r="Q217" t="str">
        <f t="shared" si="14"/>
        <v>High Salary</v>
      </c>
      <c r="R217" t="str">
        <f t="shared" si="15"/>
        <v>High Balance</v>
      </c>
    </row>
    <row r="218" spans="1:18" x14ac:dyDescent="0.25">
      <c r="A218">
        <v>217</v>
      </c>
      <c r="B218">
        <v>15680920</v>
      </c>
      <c r="C218" t="s">
        <v>217</v>
      </c>
      <c r="D218" t="s">
        <v>15</v>
      </c>
      <c r="E218" t="s">
        <v>23</v>
      </c>
      <c r="F218">
        <v>695</v>
      </c>
      <c r="G218">
        <v>46</v>
      </c>
      <c r="H218">
        <v>7</v>
      </c>
      <c r="I218">
        <v>49512.55</v>
      </c>
      <c r="J218">
        <v>1</v>
      </c>
      <c r="K218">
        <v>1</v>
      </c>
      <c r="L218">
        <v>0</v>
      </c>
      <c r="M218">
        <v>133007.34</v>
      </c>
      <c r="N218">
        <v>0</v>
      </c>
      <c r="O218" t="str">
        <f t="shared" si="12"/>
        <v>Good</v>
      </c>
      <c r="P218" t="str">
        <f t="shared" si="13"/>
        <v>Adult</v>
      </c>
      <c r="Q218" t="str">
        <f t="shared" si="14"/>
        <v>High Salary</v>
      </c>
      <c r="R218" t="str">
        <f t="shared" si="15"/>
        <v>Low Balance</v>
      </c>
    </row>
    <row r="219" spans="1:18" x14ac:dyDescent="0.25">
      <c r="A219">
        <v>218</v>
      </c>
      <c r="B219">
        <v>15786308</v>
      </c>
      <c r="C219" t="s">
        <v>218</v>
      </c>
      <c r="D219" t="s">
        <v>18</v>
      </c>
      <c r="E219" t="s">
        <v>16</v>
      </c>
      <c r="F219">
        <v>730</v>
      </c>
      <c r="G219">
        <v>33</v>
      </c>
      <c r="H219">
        <v>9</v>
      </c>
      <c r="I219">
        <v>0</v>
      </c>
      <c r="J219">
        <v>2</v>
      </c>
      <c r="K219">
        <v>0</v>
      </c>
      <c r="L219">
        <v>0</v>
      </c>
      <c r="M219">
        <v>176576.62</v>
      </c>
      <c r="N219">
        <v>0</v>
      </c>
      <c r="O219" t="str">
        <f t="shared" si="12"/>
        <v>Good</v>
      </c>
      <c r="P219" t="str">
        <f t="shared" si="13"/>
        <v>Adult</v>
      </c>
      <c r="Q219" t="str">
        <f t="shared" si="14"/>
        <v>High Salary</v>
      </c>
      <c r="R219" t="str">
        <f t="shared" si="15"/>
        <v>Low Balance</v>
      </c>
    </row>
    <row r="220" spans="1:18" x14ac:dyDescent="0.25">
      <c r="A220">
        <v>219</v>
      </c>
      <c r="B220">
        <v>15659366</v>
      </c>
      <c r="C220" t="s">
        <v>219</v>
      </c>
      <c r="D220" t="s">
        <v>15</v>
      </c>
      <c r="E220" t="s">
        <v>23</v>
      </c>
      <c r="F220">
        <v>807</v>
      </c>
      <c r="G220">
        <v>43</v>
      </c>
      <c r="H220">
        <v>1</v>
      </c>
      <c r="I220">
        <v>105799.32</v>
      </c>
      <c r="J220">
        <v>2</v>
      </c>
      <c r="K220">
        <v>1</v>
      </c>
      <c r="L220">
        <v>0</v>
      </c>
      <c r="M220">
        <v>34888.04</v>
      </c>
      <c r="N220">
        <v>1</v>
      </c>
      <c r="O220" t="str">
        <f t="shared" si="12"/>
        <v>Good</v>
      </c>
      <c r="P220" t="str">
        <f t="shared" si="13"/>
        <v>Adult</v>
      </c>
      <c r="Q220" t="str">
        <f t="shared" si="14"/>
        <v>Medium Salary</v>
      </c>
      <c r="R220" t="str">
        <f t="shared" si="15"/>
        <v>High Balance</v>
      </c>
    </row>
    <row r="221" spans="1:18" x14ac:dyDescent="0.25">
      <c r="A221">
        <v>220</v>
      </c>
      <c r="B221">
        <v>15774854</v>
      </c>
      <c r="C221" t="s">
        <v>139</v>
      </c>
      <c r="D221" t="s">
        <v>15</v>
      </c>
      <c r="E221" t="s">
        <v>23</v>
      </c>
      <c r="F221">
        <v>592</v>
      </c>
      <c r="G221">
        <v>54</v>
      </c>
      <c r="H221">
        <v>8</v>
      </c>
      <c r="I221">
        <v>0</v>
      </c>
      <c r="J221">
        <v>1</v>
      </c>
      <c r="K221">
        <v>1</v>
      </c>
      <c r="L221">
        <v>1</v>
      </c>
      <c r="M221">
        <v>28737.71</v>
      </c>
      <c r="N221">
        <v>1</v>
      </c>
      <c r="O221" t="str">
        <f t="shared" si="12"/>
        <v>Average</v>
      </c>
      <c r="P221" t="str">
        <f t="shared" si="13"/>
        <v>Senior</v>
      </c>
      <c r="Q221" t="str">
        <f t="shared" si="14"/>
        <v>Low Salary</v>
      </c>
      <c r="R221" t="str">
        <f t="shared" si="15"/>
        <v>Low Balance</v>
      </c>
    </row>
    <row r="222" spans="1:18" x14ac:dyDescent="0.25">
      <c r="A222">
        <v>221</v>
      </c>
      <c r="B222">
        <v>15725311</v>
      </c>
      <c r="C222" t="s">
        <v>220</v>
      </c>
      <c r="D222" t="s">
        <v>15</v>
      </c>
      <c r="E222" t="s">
        <v>16</v>
      </c>
      <c r="F222">
        <v>726</v>
      </c>
      <c r="G222">
        <v>31</v>
      </c>
      <c r="H222">
        <v>9</v>
      </c>
      <c r="I222">
        <v>114722.05</v>
      </c>
      <c r="J222">
        <v>2</v>
      </c>
      <c r="K222">
        <v>1</v>
      </c>
      <c r="L222">
        <v>1</v>
      </c>
      <c r="M222">
        <v>98178.57</v>
      </c>
      <c r="N222">
        <v>0</v>
      </c>
      <c r="O222" t="str">
        <f t="shared" si="12"/>
        <v>Good</v>
      </c>
      <c r="P222" t="str">
        <f t="shared" si="13"/>
        <v>Adult</v>
      </c>
      <c r="Q222" t="str">
        <f t="shared" si="14"/>
        <v>High Salary</v>
      </c>
      <c r="R222" t="str">
        <f t="shared" si="15"/>
        <v>High Balance</v>
      </c>
    </row>
    <row r="223" spans="1:18" x14ac:dyDescent="0.25">
      <c r="A223">
        <v>222</v>
      </c>
      <c r="B223">
        <v>15787155</v>
      </c>
      <c r="C223" t="s">
        <v>221</v>
      </c>
      <c r="D223" t="s">
        <v>18</v>
      </c>
      <c r="E223" t="s">
        <v>23</v>
      </c>
      <c r="F223">
        <v>514</v>
      </c>
      <c r="G223">
        <v>30</v>
      </c>
      <c r="H223">
        <v>7</v>
      </c>
      <c r="I223">
        <v>0</v>
      </c>
      <c r="J223">
        <v>1</v>
      </c>
      <c r="K223">
        <v>0</v>
      </c>
      <c r="L223">
        <v>1</v>
      </c>
      <c r="M223">
        <v>125010.24000000001</v>
      </c>
      <c r="N223">
        <v>0</v>
      </c>
      <c r="O223" t="str">
        <f t="shared" si="12"/>
        <v>Poor</v>
      </c>
      <c r="P223" t="str">
        <f t="shared" si="13"/>
        <v>Young Adult</v>
      </c>
      <c r="Q223" t="str">
        <f t="shared" si="14"/>
        <v>High Salary</v>
      </c>
      <c r="R223" t="str">
        <f t="shared" si="15"/>
        <v>Low Balance</v>
      </c>
    </row>
    <row r="224" spans="1:18" x14ac:dyDescent="0.25">
      <c r="A224">
        <v>223</v>
      </c>
      <c r="B224">
        <v>15727829</v>
      </c>
      <c r="C224" t="s">
        <v>222</v>
      </c>
      <c r="D224" t="s">
        <v>15</v>
      </c>
      <c r="E224" t="s">
        <v>23</v>
      </c>
      <c r="F224">
        <v>567</v>
      </c>
      <c r="G224">
        <v>42</v>
      </c>
      <c r="H224">
        <v>2</v>
      </c>
      <c r="I224">
        <v>0</v>
      </c>
      <c r="J224">
        <v>2</v>
      </c>
      <c r="K224">
        <v>1</v>
      </c>
      <c r="L224">
        <v>1</v>
      </c>
      <c r="M224">
        <v>167984.61</v>
      </c>
      <c r="N224">
        <v>0</v>
      </c>
      <c r="O224" t="str">
        <f t="shared" si="12"/>
        <v>Poor</v>
      </c>
      <c r="P224" t="str">
        <f t="shared" si="13"/>
        <v>Adult</v>
      </c>
      <c r="Q224" t="str">
        <f t="shared" si="14"/>
        <v>High Salary</v>
      </c>
      <c r="R224" t="str">
        <f t="shared" si="15"/>
        <v>Low Balance</v>
      </c>
    </row>
    <row r="225" spans="1:18" x14ac:dyDescent="0.25">
      <c r="A225">
        <v>224</v>
      </c>
      <c r="B225">
        <v>15733247</v>
      </c>
      <c r="C225" t="s">
        <v>223</v>
      </c>
      <c r="D225" t="s">
        <v>15</v>
      </c>
      <c r="E225" t="s">
        <v>23</v>
      </c>
      <c r="F225">
        <v>850</v>
      </c>
      <c r="G225">
        <v>33</v>
      </c>
      <c r="H225">
        <v>10</v>
      </c>
      <c r="I225">
        <v>0</v>
      </c>
      <c r="J225">
        <v>1</v>
      </c>
      <c r="K225">
        <v>1</v>
      </c>
      <c r="L225">
        <v>0</v>
      </c>
      <c r="M225">
        <v>4861.72</v>
      </c>
      <c r="N225">
        <v>1</v>
      </c>
      <c r="O225" t="str">
        <f t="shared" si="12"/>
        <v>Good</v>
      </c>
      <c r="P225" t="str">
        <f t="shared" si="13"/>
        <v>Adult</v>
      </c>
      <c r="Q225" t="str">
        <f t="shared" si="14"/>
        <v>Low Salary</v>
      </c>
      <c r="R225" t="str">
        <f t="shared" si="15"/>
        <v>Low Balance</v>
      </c>
    </row>
    <row r="226" spans="1:18" x14ac:dyDescent="0.25">
      <c r="A226">
        <v>225</v>
      </c>
      <c r="B226">
        <v>15568748</v>
      </c>
      <c r="C226" t="s">
        <v>224</v>
      </c>
      <c r="D226" t="s">
        <v>26</v>
      </c>
      <c r="E226" t="s">
        <v>23</v>
      </c>
      <c r="F226">
        <v>671</v>
      </c>
      <c r="G226">
        <v>45</v>
      </c>
      <c r="H226">
        <v>6</v>
      </c>
      <c r="I226">
        <v>99564.22</v>
      </c>
      <c r="J226">
        <v>1</v>
      </c>
      <c r="K226">
        <v>1</v>
      </c>
      <c r="L226">
        <v>1</v>
      </c>
      <c r="M226">
        <v>108872.45</v>
      </c>
      <c r="N226">
        <v>1</v>
      </c>
      <c r="O226" t="str">
        <f t="shared" si="12"/>
        <v>Good</v>
      </c>
      <c r="P226" t="str">
        <f t="shared" si="13"/>
        <v>Adult</v>
      </c>
      <c r="Q226" t="str">
        <f t="shared" si="14"/>
        <v>High Salary</v>
      </c>
      <c r="R226" t="str">
        <f t="shared" si="15"/>
        <v>Medium Balance</v>
      </c>
    </row>
    <row r="227" spans="1:18" x14ac:dyDescent="0.25">
      <c r="A227">
        <v>226</v>
      </c>
      <c r="B227">
        <v>15699029</v>
      </c>
      <c r="C227" t="s">
        <v>225</v>
      </c>
      <c r="D227" t="s">
        <v>15</v>
      </c>
      <c r="E227" t="s">
        <v>23</v>
      </c>
      <c r="F227">
        <v>670</v>
      </c>
      <c r="G227">
        <v>37</v>
      </c>
      <c r="H227">
        <v>4</v>
      </c>
      <c r="I227">
        <v>170557.91</v>
      </c>
      <c r="J227">
        <v>2</v>
      </c>
      <c r="K227">
        <v>1</v>
      </c>
      <c r="L227">
        <v>0</v>
      </c>
      <c r="M227">
        <v>198252.88</v>
      </c>
      <c r="N227">
        <v>0</v>
      </c>
      <c r="O227" t="str">
        <f t="shared" si="12"/>
        <v>Good</v>
      </c>
      <c r="P227" t="str">
        <f t="shared" si="13"/>
        <v>Adult</v>
      </c>
      <c r="Q227" t="str">
        <f t="shared" si="14"/>
        <v>High Salary</v>
      </c>
      <c r="R227" t="str">
        <f t="shared" si="15"/>
        <v>High Balance</v>
      </c>
    </row>
    <row r="228" spans="1:18" x14ac:dyDescent="0.25">
      <c r="A228">
        <v>227</v>
      </c>
      <c r="B228">
        <v>15774393</v>
      </c>
      <c r="C228" t="s">
        <v>226</v>
      </c>
      <c r="D228" t="s">
        <v>15</v>
      </c>
      <c r="E228" t="s">
        <v>16</v>
      </c>
      <c r="F228">
        <v>694</v>
      </c>
      <c r="G228">
        <v>30</v>
      </c>
      <c r="H228">
        <v>9</v>
      </c>
      <c r="I228">
        <v>0</v>
      </c>
      <c r="J228">
        <v>2</v>
      </c>
      <c r="K228">
        <v>1</v>
      </c>
      <c r="L228">
        <v>1</v>
      </c>
      <c r="M228">
        <v>26960.31</v>
      </c>
      <c r="N228">
        <v>0</v>
      </c>
      <c r="O228" t="str">
        <f t="shared" si="12"/>
        <v>Good</v>
      </c>
      <c r="P228" t="str">
        <f t="shared" si="13"/>
        <v>Young Adult</v>
      </c>
      <c r="Q228" t="str">
        <f t="shared" si="14"/>
        <v>Low Salary</v>
      </c>
      <c r="R228" t="str">
        <f t="shared" si="15"/>
        <v>Low Balance</v>
      </c>
    </row>
    <row r="229" spans="1:18" x14ac:dyDescent="0.25">
      <c r="A229">
        <v>228</v>
      </c>
      <c r="B229">
        <v>15676895</v>
      </c>
      <c r="C229" t="s">
        <v>227</v>
      </c>
      <c r="D229" t="s">
        <v>26</v>
      </c>
      <c r="E229" t="s">
        <v>16</v>
      </c>
      <c r="F229">
        <v>547</v>
      </c>
      <c r="G229">
        <v>39</v>
      </c>
      <c r="H229">
        <v>6</v>
      </c>
      <c r="I229">
        <v>74596.149999999994</v>
      </c>
      <c r="J229">
        <v>3</v>
      </c>
      <c r="K229">
        <v>1</v>
      </c>
      <c r="L229">
        <v>1</v>
      </c>
      <c r="M229">
        <v>85746.52</v>
      </c>
      <c r="N229">
        <v>1</v>
      </c>
      <c r="O229" t="str">
        <f t="shared" si="12"/>
        <v>Poor</v>
      </c>
      <c r="P229" t="str">
        <f t="shared" si="13"/>
        <v>Adult</v>
      </c>
      <c r="Q229" t="str">
        <f t="shared" si="14"/>
        <v>High Salary</v>
      </c>
      <c r="R229" t="str">
        <f t="shared" si="15"/>
        <v>Medium Balance</v>
      </c>
    </row>
    <row r="230" spans="1:18" x14ac:dyDescent="0.25">
      <c r="A230">
        <v>229</v>
      </c>
      <c r="B230">
        <v>15637753</v>
      </c>
      <c r="C230" t="s">
        <v>228</v>
      </c>
      <c r="D230" t="s">
        <v>26</v>
      </c>
      <c r="E230" t="s">
        <v>23</v>
      </c>
      <c r="F230">
        <v>751</v>
      </c>
      <c r="G230">
        <v>50</v>
      </c>
      <c r="H230">
        <v>2</v>
      </c>
      <c r="I230">
        <v>96888.39</v>
      </c>
      <c r="J230">
        <v>1</v>
      </c>
      <c r="K230">
        <v>1</v>
      </c>
      <c r="L230">
        <v>0</v>
      </c>
      <c r="M230">
        <v>77206.25</v>
      </c>
      <c r="N230">
        <v>1</v>
      </c>
      <c r="O230" t="str">
        <f t="shared" si="12"/>
        <v>Good</v>
      </c>
      <c r="P230" t="str">
        <f t="shared" si="13"/>
        <v>Adult</v>
      </c>
      <c r="Q230" t="str">
        <f t="shared" si="14"/>
        <v>High Salary</v>
      </c>
      <c r="R230" t="str">
        <f t="shared" si="15"/>
        <v>Medium Balance</v>
      </c>
    </row>
    <row r="231" spans="1:18" x14ac:dyDescent="0.25">
      <c r="A231">
        <v>230</v>
      </c>
      <c r="B231">
        <v>15605461</v>
      </c>
      <c r="C231" t="s">
        <v>229</v>
      </c>
      <c r="D231" t="s">
        <v>26</v>
      </c>
      <c r="E231" t="s">
        <v>16</v>
      </c>
      <c r="F231">
        <v>594</v>
      </c>
      <c r="G231">
        <v>29</v>
      </c>
      <c r="H231">
        <v>3</v>
      </c>
      <c r="I231">
        <v>130830.22</v>
      </c>
      <c r="J231">
        <v>1</v>
      </c>
      <c r="K231">
        <v>1</v>
      </c>
      <c r="L231">
        <v>0</v>
      </c>
      <c r="M231">
        <v>61048.53</v>
      </c>
      <c r="N231">
        <v>0</v>
      </c>
      <c r="O231" t="str">
        <f t="shared" si="12"/>
        <v>Average</v>
      </c>
      <c r="P231" t="str">
        <f t="shared" si="13"/>
        <v>Young Adult</v>
      </c>
      <c r="Q231" t="str">
        <f t="shared" si="14"/>
        <v>Medium Salary</v>
      </c>
      <c r="R231" t="str">
        <f t="shared" si="15"/>
        <v>High Balance</v>
      </c>
    </row>
    <row r="232" spans="1:18" x14ac:dyDescent="0.25">
      <c r="A232">
        <v>231</v>
      </c>
      <c r="B232">
        <v>15808473</v>
      </c>
      <c r="C232" t="s">
        <v>230</v>
      </c>
      <c r="D232" t="s">
        <v>15</v>
      </c>
      <c r="E232" t="s">
        <v>23</v>
      </c>
      <c r="F232">
        <v>673</v>
      </c>
      <c r="G232">
        <v>72</v>
      </c>
      <c r="H232">
        <v>1</v>
      </c>
      <c r="I232">
        <v>0</v>
      </c>
      <c r="J232">
        <v>2</v>
      </c>
      <c r="K232">
        <v>0</v>
      </c>
      <c r="L232">
        <v>1</v>
      </c>
      <c r="M232">
        <v>111981.19</v>
      </c>
      <c r="N232">
        <v>0</v>
      </c>
      <c r="O232" t="str">
        <f t="shared" si="12"/>
        <v>Good</v>
      </c>
      <c r="P232" t="str">
        <f t="shared" si="13"/>
        <v>Senior</v>
      </c>
      <c r="Q232" t="str">
        <f t="shared" si="14"/>
        <v>High Salary</v>
      </c>
      <c r="R232" t="str">
        <f t="shared" si="15"/>
        <v>Low Balance</v>
      </c>
    </row>
    <row r="233" spans="1:18" x14ac:dyDescent="0.25">
      <c r="A233">
        <v>232</v>
      </c>
      <c r="B233">
        <v>15627000</v>
      </c>
      <c r="C233" t="s">
        <v>231</v>
      </c>
      <c r="D233" t="s">
        <v>15</v>
      </c>
      <c r="E233" t="s">
        <v>23</v>
      </c>
      <c r="F233">
        <v>610</v>
      </c>
      <c r="G233">
        <v>40</v>
      </c>
      <c r="H233">
        <v>0</v>
      </c>
      <c r="I233">
        <v>0</v>
      </c>
      <c r="J233">
        <v>2</v>
      </c>
      <c r="K233">
        <v>1</v>
      </c>
      <c r="L233">
        <v>0</v>
      </c>
      <c r="M233">
        <v>62232.6</v>
      </c>
      <c r="N233">
        <v>0</v>
      </c>
      <c r="O233" t="str">
        <f t="shared" si="12"/>
        <v>Average</v>
      </c>
      <c r="P233" t="str">
        <f t="shared" si="13"/>
        <v>Adult</v>
      </c>
      <c r="Q233" t="str">
        <f t="shared" si="14"/>
        <v>Medium Salary</v>
      </c>
      <c r="R233" t="str">
        <f t="shared" si="15"/>
        <v>Low Balance</v>
      </c>
    </row>
    <row r="234" spans="1:18" x14ac:dyDescent="0.25">
      <c r="A234">
        <v>233</v>
      </c>
      <c r="B234">
        <v>15787174</v>
      </c>
      <c r="C234" t="s">
        <v>232</v>
      </c>
      <c r="D234" t="s">
        <v>15</v>
      </c>
      <c r="E234" t="s">
        <v>16</v>
      </c>
      <c r="F234">
        <v>512</v>
      </c>
      <c r="G234">
        <v>37</v>
      </c>
      <c r="H234">
        <v>1</v>
      </c>
      <c r="I234">
        <v>0</v>
      </c>
      <c r="J234">
        <v>2</v>
      </c>
      <c r="K234">
        <v>0</v>
      </c>
      <c r="L234">
        <v>1</v>
      </c>
      <c r="M234">
        <v>156105.03</v>
      </c>
      <c r="N234">
        <v>0</v>
      </c>
      <c r="O234" t="str">
        <f t="shared" si="12"/>
        <v>Poor</v>
      </c>
      <c r="P234" t="str">
        <f t="shared" si="13"/>
        <v>Adult</v>
      </c>
      <c r="Q234" t="str">
        <f t="shared" si="14"/>
        <v>High Salary</v>
      </c>
      <c r="R234" t="str">
        <f t="shared" si="15"/>
        <v>Low Balance</v>
      </c>
    </row>
    <row r="235" spans="1:18" x14ac:dyDescent="0.25">
      <c r="A235">
        <v>234</v>
      </c>
      <c r="B235">
        <v>15723886</v>
      </c>
      <c r="C235" t="s">
        <v>233</v>
      </c>
      <c r="D235" t="s">
        <v>26</v>
      </c>
      <c r="E235" t="s">
        <v>23</v>
      </c>
      <c r="F235">
        <v>767</v>
      </c>
      <c r="G235">
        <v>20</v>
      </c>
      <c r="H235">
        <v>3</v>
      </c>
      <c r="I235">
        <v>119714.25</v>
      </c>
      <c r="J235">
        <v>2</v>
      </c>
      <c r="K235">
        <v>0</v>
      </c>
      <c r="L235">
        <v>1</v>
      </c>
      <c r="M235">
        <v>150135.38</v>
      </c>
      <c r="N235">
        <v>0</v>
      </c>
      <c r="O235" t="str">
        <f t="shared" si="12"/>
        <v>Good</v>
      </c>
      <c r="P235" t="str">
        <f t="shared" si="13"/>
        <v>Young Adult</v>
      </c>
      <c r="Q235" t="str">
        <f t="shared" si="14"/>
        <v>High Salary</v>
      </c>
      <c r="R235" t="str">
        <f t="shared" si="15"/>
        <v>High Balance</v>
      </c>
    </row>
    <row r="236" spans="1:18" x14ac:dyDescent="0.25">
      <c r="A236">
        <v>235</v>
      </c>
      <c r="B236">
        <v>15704769</v>
      </c>
      <c r="C236" t="s">
        <v>234</v>
      </c>
      <c r="D236" t="s">
        <v>15</v>
      </c>
      <c r="E236" t="s">
        <v>16</v>
      </c>
      <c r="F236">
        <v>585</v>
      </c>
      <c r="G236">
        <v>67</v>
      </c>
      <c r="H236">
        <v>5</v>
      </c>
      <c r="I236">
        <v>113978.97</v>
      </c>
      <c r="J236">
        <v>2</v>
      </c>
      <c r="K236">
        <v>0</v>
      </c>
      <c r="L236">
        <v>1</v>
      </c>
      <c r="M236">
        <v>93146.11</v>
      </c>
      <c r="N236">
        <v>0</v>
      </c>
      <c r="O236" t="str">
        <f t="shared" si="12"/>
        <v>Average</v>
      </c>
      <c r="P236" t="str">
        <f t="shared" si="13"/>
        <v>Senior</v>
      </c>
      <c r="Q236" t="str">
        <f t="shared" si="14"/>
        <v>High Salary</v>
      </c>
      <c r="R236" t="str">
        <f t="shared" si="15"/>
        <v>High Balance</v>
      </c>
    </row>
    <row r="237" spans="1:18" x14ac:dyDescent="0.25">
      <c r="A237">
        <v>236</v>
      </c>
      <c r="B237">
        <v>15772896</v>
      </c>
      <c r="C237" t="s">
        <v>235</v>
      </c>
      <c r="D237" t="s">
        <v>26</v>
      </c>
      <c r="E237" t="s">
        <v>23</v>
      </c>
      <c r="F237">
        <v>763</v>
      </c>
      <c r="G237">
        <v>42</v>
      </c>
      <c r="H237">
        <v>6</v>
      </c>
      <c r="I237">
        <v>100160.75</v>
      </c>
      <c r="J237">
        <v>1</v>
      </c>
      <c r="K237">
        <v>1</v>
      </c>
      <c r="L237">
        <v>0</v>
      </c>
      <c r="M237">
        <v>33462.94</v>
      </c>
      <c r="N237">
        <v>1</v>
      </c>
      <c r="O237" t="str">
        <f t="shared" si="12"/>
        <v>Good</v>
      </c>
      <c r="P237" t="str">
        <f t="shared" si="13"/>
        <v>Adult</v>
      </c>
      <c r="Q237" t="str">
        <f t="shared" si="14"/>
        <v>Medium Salary</v>
      </c>
      <c r="R237" t="str">
        <f t="shared" si="15"/>
        <v>High Balance</v>
      </c>
    </row>
    <row r="238" spans="1:18" x14ac:dyDescent="0.25">
      <c r="A238">
        <v>237</v>
      </c>
      <c r="B238">
        <v>15711540</v>
      </c>
      <c r="C238" t="s">
        <v>236</v>
      </c>
      <c r="D238" t="s">
        <v>15</v>
      </c>
      <c r="E238" t="s">
        <v>16</v>
      </c>
      <c r="F238">
        <v>712</v>
      </c>
      <c r="G238">
        <v>29</v>
      </c>
      <c r="H238">
        <v>2</v>
      </c>
      <c r="I238">
        <v>0</v>
      </c>
      <c r="J238">
        <v>1</v>
      </c>
      <c r="K238">
        <v>1</v>
      </c>
      <c r="L238">
        <v>1</v>
      </c>
      <c r="M238">
        <v>144375</v>
      </c>
      <c r="N238">
        <v>0</v>
      </c>
      <c r="O238" t="str">
        <f t="shared" si="12"/>
        <v>Good</v>
      </c>
      <c r="P238" t="str">
        <f t="shared" si="13"/>
        <v>Young Adult</v>
      </c>
      <c r="Q238" t="str">
        <f t="shared" si="14"/>
        <v>High Salary</v>
      </c>
      <c r="R238" t="str">
        <f t="shared" si="15"/>
        <v>Low Balance</v>
      </c>
    </row>
    <row r="239" spans="1:18" x14ac:dyDescent="0.25">
      <c r="A239">
        <v>238</v>
      </c>
      <c r="B239">
        <v>15764866</v>
      </c>
      <c r="C239" t="s">
        <v>237</v>
      </c>
      <c r="D239" t="s">
        <v>26</v>
      </c>
      <c r="E239" t="s">
        <v>16</v>
      </c>
      <c r="F239">
        <v>539</v>
      </c>
      <c r="G239">
        <v>43</v>
      </c>
      <c r="H239">
        <v>3</v>
      </c>
      <c r="I239">
        <v>116220.5</v>
      </c>
      <c r="J239">
        <v>3</v>
      </c>
      <c r="K239">
        <v>1</v>
      </c>
      <c r="L239">
        <v>0</v>
      </c>
      <c r="M239">
        <v>55803.96</v>
      </c>
      <c r="N239">
        <v>1</v>
      </c>
      <c r="O239" t="str">
        <f t="shared" si="12"/>
        <v>Poor</v>
      </c>
      <c r="P239" t="str">
        <f t="shared" si="13"/>
        <v>Adult</v>
      </c>
      <c r="Q239" t="str">
        <f t="shared" si="14"/>
        <v>Medium Salary</v>
      </c>
      <c r="R239" t="str">
        <f t="shared" si="15"/>
        <v>High Balance</v>
      </c>
    </row>
    <row r="240" spans="1:18" x14ac:dyDescent="0.25">
      <c r="A240">
        <v>239</v>
      </c>
      <c r="B240">
        <v>15794056</v>
      </c>
      <c r="C240" t="s">
        <v>238</v>
      </c>
      <c r="D240" t="s">
        <v>15</v>
      </c>
      <c r="E240" t="s">
        <v>16</v>
      </c>
      <c r="F240">
        <v>668</v>
      </c>
      <c r="G240">
        <v>46</v>
      </c>
      <c r="H240">
        <v>2</v>
      </c>
      <c r="I240">
        <v>0</v>
      </c>
      <c r="J240">
        <v>3</v>
      </c>
      <c r="K240">
        <v>1</v>
      </c>
      <c r="L240">
        <v>0</v>
      </c>
      <c r="M240">
        <v>89048.46</v>
      </c>
      <c r="N240">
        <v>1</v>
      </c>
      <c r="O240" t="str">
        <f t="shared" si="12"/>
        <v>Average</v>
      </c>
      <c r="P240" t="str">
        <f t="shared" si="13"/>
        <v>Adult</v>
      </c>
      <c r="Q240" t="str">
        <f t="shared" si="14"/>
        <v>High Salary</v>
      </c>
      <c r="R240" t="str">
        <f t="shared" si="15"/>
        <v>Low Balance</v>
      </c>
    </row>
    <row r="241" spans="1:18" x14ac:dyDescent="0.25">
      <c r="A241">
        <v>240</v>
      </c>
      <c r="B241">
        <v>15795149</v>
      </c>
      <c r="C241" t="s">
        <v>239</v>
      </c>
      <c r="D241" t="s">
        <v>15</v>
      </c>
      <c r="E241" t="s">
        <v>23</v>
      </c>
      <c r="F241">
        <v>703</v>
      </c>
      <c r="G241">
        <v>28</v>
      </c>
      <c r="H241">
        <v>2</v>
      </c>
      <c r="I241">
        <v>81173.83</v>
      </c>
      <c r="J241">
        <v>2</v>
      </c>
      <c r="K241">
        <v>0</v>
      </c>
      <c r="L241">
        <v>1</v>
      </c>
      <c r="M241">
        <v>162812.16</v>
      </c>
      <c r="N241">
        <v>0</v>
      </c>
      <c r="O241" t="str">
        <f t="shared" si="12"/>
        <v>Good</v>
      </c>
      <c r="P241" t="str">
        <f t="shared" si="13"/>
        <v>Young Adult</v>
      </c>
      <c r="Q241" t="str">
        <f t="shared" si="14"/>
        <v>High Salary</v>
      </c>
      <c r="R241" t="str">
        <f t="shared" si="15"/>
        <v>Medium Balance</v>
      </c>
    </row>
    <row r="242" spans="1:18" x14ac:dyDescent="0.25">
      <c r="A242">
        <v>241</v>
      </c>
      <c r="B242">
        <v>15812009</v>
      </c>
      <c r="C242" t="s">
        <v>240</v>
      </c>
      <c r="D242" t="s">
        <v>18</v>
      </c>
      <c r="E242" t="s">
        <v>23</v>
      </c>
      <c r="F242">
        <v>662</v>
      </c>
      <c r="G242">
        <v>38</v>
      </c>
      <c r="H242">
        <v>4</v>
      </c>
      <c r="I242">
        <v>0</v>
      </c>
      <c r="J242">
        <v>2</v>
      </c>
      <c r="K242">
        <v>1</v>
      </c>
      <c r="L242">
        <v>0</v>
      </c>
      <c r="M242">
        <v>136259.65</v>
      </c>
      <c r="N242">
        <v>0</v>
      </c>
      <c r="O242" t="str">
        <f t="shared" si="12"/>
        <v>Average</v>
      </c>
      <c r="P242" t="str">
        <f t="shared" si="13"/>
        <v>Adult</v>
      </c>
      <c r="Q242" t="str">
        <f t="shared" si="14"/>
        <v>High Salary</v>
      </c>
      <c r="R242" t="str">
        <f t="shared" si="15"/>
        <v>Low Balance</v>
      </c>
    </row>
    <row r="243" spans="1:18" x14ac:dyDescent="0.25">
      <c r="A243">
        <v>242</v>
      </c>
      <c r="B243">
        <v>15651001</v>
      </c>
      <c r="C243" t="s">
        <v>75</v>
      </c>
      <c r="D243" t="s">
        <v>26</v>
      </c>
      <c r="E243" t="s">
        <v>16</v>
      </c>
      <c r="F243">
        <v>725</v>
      </c>
      <c r="G243">
        <v>39</v>
      </c>
      <c r="H243">
        <v>5</v>
      </c>
      <c r="I243">
        <v>116803.8</v>
      </c>
      <c r="J243">
        <v>1</v>
      </c>
      <c r="K243">
        <v>1</v>
      </c>
      <c r="L243">
        <v>0</v>
      </c>
      <c r="M243">
        <v>124052.97</v>
      </c>
      <c r="N243">
        <v>0</v>
      </c>
      <c r="O243" t="str">
        <f t="shared" si="12"/>
        <v>Good</v>
      </c>
      <c r="P243" t="str">
        <f t="shared" si="13"/>
        <v>Adult</v>
      </c>
      <c r="Q243" t="str">
        <f t="shared" si="14"/>
        <v>High Salary</v>
      </c>
      <c r="R243" t="str">
        <f t="shared" si="15"/>
        <v>High Balance</v>
      </c>
    </row>
    <row r="244" spans="1:18" x14ac:dyDescent="0.25">
      <c r="A244">
        <v>243</v>
      </c>
      <c r="B244">
        <v>15813844</v>
      </c>
      <c r="C244" t="s">
        <v>241</v>
      </c>
      <c r="D244" t="s">
        <v>15</v>
      </c>
      <c r="E244" t="s">
        <v>23</v>
      </c>
      <c r="F244">
        <v>703</v>
      </c>
      <c r="G244">
        <v>37</v>
      </c>
      <c r="H244">
        <v>8</v>
      </c>
      <c r="I244">
        <v>105961.68</v>
      </c>
      <c r="J244">
        <v>2</v>
      </c>
      <c r="K244">
        <v>0</v>
      </c>
      <c r="L244">
        <v>1</v>
      </c>
      <c r="M244">
        <v>74158.8</v>
      </c>
      <c r="N244">
        <v>0</v>
      </c>
      <c r="O244" t="str">
        <f t="shared" si="12"/>
        <v>Good</v>
      </c>
      <c r="P244" t="str">
        <f t="shared" si="13"/>
        <v>Adult</v>
      </c>
      <c r="Q244" t="str">
        <f t="shared" si="14"/>
        <v>High Salary</v>
      </c>
      <c r="R244" t="str">
        <f t="shared" si="15"/>
        <v>High Balance</v>
      </c>
    </row>
    <row r="245" spans="1:18" x14ac:dyDescent="0.25">
      <c r="A245">
        <v>244</v>
      </c>
      <c r="B245">
        <v>15596175</v>
      </c>
      <c r="C245" t="s">
        <v>242</v>
      </c>
      <c r="D245" t="s">
        <v>26</v>
      </c>
      <c r="E245" t="s">
        <v>23</v>
      </c>
      <c r="F245">
        <v>659</v>
      </c>
      <c r="G245">
        <v>67</v>
      </c>
      <c r="H245">
        <v>6</v>
      </c>
      <c r="I245">
        <v>117411.6</v>
      </c>
      <c r="J245">
        <v>1</v>
      </c>
      <c r="K245">
        <v>1</v>
      </c>
      <c r="L245">
        <v>1</v>
      </c>
      <c r="M245">
        <v>45071.09</v>
      </c>
      <c r="N245">
        <v>1</v>
      </c>
      <c r="O245" t="str">
        <f t="shared" si="12"/>
        <v>Average</v>
      </c>
      <c r="P245" t="str">
        <f t="shared" si="13"/>
        <v>Senior</v>
      </c>
      <c r="Q245" t="str">
        <f t="shared" si="14"/>
        <v>Medium Salary</v>
      </c>
      <c r="R245" t="str">
        <f t="shared" si="15"/>
        <v>High Balance</v>
      </c>
    </row>
    <row r="246" spans="1:18" x14ac:dyDescent="0.25">
      <c r="A246">
        <v>245</v>
      </c>
      <c r="B246">
        <v>15576269</v>
      </c>
      <c r="C246" t="s">
        <v>243</v>
      </c>
      <c r="D246" t="s">
        <v>18</v>
      </c>
      <c r="E246" t="s">
        <v>23</v>
      </c>
      <c r="F246">
        <v>523</v>
      </c>
      <c r="G246">
        <v>34</v>
      </c>
      <c r="H246">
        <v>7</v>
      </c>
      <c r="I246">
        <v>0</v>
      </c>
      <c r="J246">
        <v>2</v>
      </c>
      <c r="K246">
        <v>1</v>
      </c>
      <c r="L246">
        <v>0</v>
      </c>
      <c r="M246">
        <v>62030.06</v>
      </c>
      <c r="N246">
        <v>0</v>
      </c>
      <c r="O246" t="str">
        <f t="shared" si="12"/>
        <v>Poor</v>
      </c>
      <c r="P246" t="str">
        <f t="shared" si="13"/>
        <v>Adult</v>
      </c>
      <c r="Q246" t="str">
        <f t="shared" si="14"/>
        <v>Medium Salary</v>
      </c>
      <c r="R246" t="str">
        <f t="shared" si="15"/>
        <v>Low Balance</v>
      </c>
    </row>
    <row r="247" spans="1:18" x14ac:dyDescent="0.25">
      <c r="A247">
        <v>246</v>
      </c>
      <c r="B247">
        <v>15797219</v>
      </c>
      <c r="C247" t="s">
        <v>244</v>
      </c>
      <c r="D247" t="s">
        <v>15</v>
      </c>
      <c r="E247" t="s">
        <v>16</v>
      </c>
      <c r="F247">
        <v>635</v>
      </c>
      <c r="G247">
        <v>40</v>
      </c>
      <c r="H247">
        <v>10</v>
      </c>
      <c r="I247">
        <v>123497.58</v>
      </c>
      <c r="J247">
        <v>1</v>
      </c>
      <c r="K247">
        <v>1</v>
      </c>
      <c r="L247">
        <v>0</v>
      </c>
      <c r="M247">
        <v>131953.23000000001</v>
      </c>
      <c r="N247">
        <v>1</v>
      </c>
      <c r="O247" t="str">
        <f t="shared" si="12"/>
        <v>Average</v>
      </c>
      <c r="P247" t="str">
        <f t="shared" si="13"/>
        <v>Adult</v>
      </c>
      <c r="Q247" t="str">
        <f t="shared" si="14"/>
        <v>High Salary</v>
      </c>
      <c r="R247" t="str">
        <f t="shared" si="15"/>
        <v>High Balance</v>
      </c>
    </row>
    <row r="248" spans="1:18" x14ac:dyDescent="0.25">
      <c r="A248">
        <v>247</v>
      </c>
      <c r="B248">
        <v>15685500</v>
      </c>
      <c r="C248" t="s">
        <v>245</v>
      </c>
      <c r="D248" t="s">
        <v>26</v>
      </c>
      <c r="E248" t="s">
        <v>23</v>
      </c>
      <c r="F248">
        <v>772</v>
      </c>
      <c r="G248">
        <v>26</v>
      </c>
      <c r="H248">
        <v>7</v>
      </c>
      <c r="I248">
        <v>152400.51</v>
      </c>
      <c r="J248">
        <v>2</v>
      </c>
      <c r="K248">
        <v>1</v>
      </c>
      <c r="L248">
        <v>0</v>
      </c>
      <c r="M248">
        <v>79414</v>
      </c>
      <c r="N248">
        <v>0</v>
      </c>
      <c r="O248" t="str">
        <f t="shared" si="12"/>
        <v>Good</v>
      </c>
      <c r="P248" t="str">
        <f t="shared" si="13"/>
        <v>Young Adult</v>
      </c>
      <c r="Q248" t="str">
        <f t="shared" si="14"/>
        <v>High Salary</v>
      </c>
      <c r="R248" t="str">
        <f t="shared" si="15"/>
        <v>High Balance</v>
      </c>
    </row>
    <row r="249" spans="1:18" x14ac:dyDescent="0.25">
      <c r="A249">
        <v>248</v>
      </c>
      <c r="B249">
        <v>15599792</v>
      </c>
      <c r="C249" t="s">
        <v>246</v>
      </c>
      <c r="D249" t="s">
        <v>15</v>
      </c>
      <c r="E249" t="s">
        <v>16</v>
      </c>
      <c r="F249">
        <v>545</v>
      </c>
      <c r="G249">
        <v>26</v>
      </c>
      <c r="H249">
        <v>1</v>
      </c>
      <c r="I249">
        <v>0</v>
      </c>
      <c r="J249">
        <v>2</v>
      </c>
      <c r="K249">
        <v>1</v>
      </c>
      <c r="L249">
        <v>1</v>
      </c>
      <c r="M249">
        <v>199638.56</v>
      </c>
      <c r="N249">
        <v>0</v>
      </c>
      <c r="O249" t="str">
        <f t="shared" si="12"/>
        <v>Poor</v>
      </c>
      <c r="P249" t="str">
        <f t="shared" si="13"/>
        <v>Young Adult</v>
      </c>
      <c r="Q249" t="str">
        <f t="shared" si="14"/>
        <v>High Salary</v>
      </c>
      <c r="R249" t="str">
        <f t="shared" si="15"/>
        <v>Low Balance</v>
      </c>
    </row>
    <row r="250" spans="1:18" x14ac:dyDescent="0.25">
      <c r="A250">
        <v>249</v>
      </c>
      <c r="B250">
        <v>15657566</v>
      </c>
      <c r="C250" t="s">
        <v>247</v>
      </c>
      <c r="D250" t="s">
        <v>26</v>
      </c>
      <c r="E250" t="s">
        <v>23</v>
      </c>
      <c r="F250">
        <v>634</v>
      </c>
      <c r="G250">
        <v>24</v>
      </c>
      <c r="H250">
        <v>8</v>
      </c>
      <c r="I250">
        <v>103097.85</v>
      </c>
      <c r="J250">
        <v>1</v>
      </c>
      <c r="K250">
        <v>1</v>
      </c>
      <c r="L250">
        <v>1</v>
      </c>
      <c r="M250">
        <v>157577.29</v>
      </c>
      <c r="N250">
        <v>0</v>
      </c>
      <c r="O250" t="str">
        <f t="shared" si="12"/>
        <v>Average</v>
      </c>
      <c r="P250" t="str">
        <f t="shared" si="13"/>
        <v>Young Adult</v>
      </c>
      <c r="Q250" t="str">
        <f t="shared" si="14"/>
        <v>High Salary</v>
      </c>
      <c r="R250" t="str">
        <f t="shared" si="15"/>
        <v>High Balance</v>
      </c>
    </row>
    <row r="251" spans="1:18" x14ac:dyDescent="0.25">
      <c r="A251">
        <v>250</v>
      </c>
      <c r="B251">
        <v>15772423</v>
      </c>
      <c r="C251" t="s">
        <v>248</v>
      </c>
      <c r="D251" t="s">
        <v>26</v>
      </c>
      <c r="E251" t="s">
        <v>23</v>
      </c>
      <c r="F251">
        <v>739</v>
      </c>
      <c r="G251">
        <v>54</v>
      </c>
      <c r="H251">
        <v>8</v>
      </c>
      <c r="I251">
        <v>126418.14</v>
      </c>
      <c r="J251">
        <v>1</v>
      </c>
      <c r="K251">
        <v>1</v>
      </c>
      <c r="L251">
        <v>0</v>
      </c>
      <c r="M251">
        <v>134420.75</v>
      </c>
      <c r="N251">
        <v>1</v>
      </c>
      <c r="O251" t="str">
        <f t="shared" si="12"/>
        <v>Good</v>
      </c>
      <c r="P251" t="str">
        <f t="shared" si="13"/>
        <v>Senior</v>
      </c>
      <c r="Q251" t="str">
        <f t="shared" si="14"/>
        <v>High Salary</v>
      </c>
      <c r="R251" t="str">
        <f t="shared" si="15"/>
        <v>High Balance</v>
      </c>
    </row>
    <row r="252" spans="1:18" x14ac:dyDescent="0.25">
      <c r="A252">
        <v>251</v>
      </c>
      <c r="B252">
        <v>15628112</v>
      </c>
      <c r="C252" t="s">
        <v>249</v>
      </c>
      <c r="D252" t="s">
        <v>26</v>
      </c>
      <c r="E252" t="s">
        <v>16</v>
      </c>
      <c r="F252">
        <v>771</v>
      </c>
      <c r="G252">
        <v>36</v>
      </c>
      <c r="H252">
        <v>5</v>
      </c>
      <c r="I252">
        <v>77846.899999999994</v>
      </c>
      <c r="J252">
        <v>1</v>
      </c>
      <c r="K252">
        <v>0</v>
      </c>
      <c r="L252">
        <v>0</v>
      </c>
      <c r="M252">
        <v>99805.99</v>
      </c>
      <c r="N252">
        <v>0</v>
      </c>
      <c r="O252" t="str">
        <f t="shared" si="12"/>
        <v>Good</v>
      </c>
      <c r="P252" t="str">
        <f t="shared" si="13"/>
        <v>Adult</v>
      </c>
      <c r="Q252" t="str">
        <f t="shared" si="14"/>
        <v>High Salary</v>
      </c>
      <c r="R252" t="str">
        <f t="shared" si="15"/>
        <v>Medium Balance</v>
      </c>
    </row>
    <row r="253" spans="1:18" x14ac:dyDescent="0.25">
      <c r="A253">
        <v>252</v>
      </c>
      <c r="B253">
        <v>15753754</v>
      </c>
      <c r="C253" t="s">
        <v>250</v>
      </c>
      <c r="D253" t="s">
        <v>18</v>
      </c>
      <c r="E253" t="s">
        <v>16</v>
      </c>
      <c r="F253">
        <v>587</v>
      </c>
      <c r="G253">
        <v>34</v>
      </c>
      <c r="H253">
        <v>1</v>
      </c>
      <c r="I253">
        <v>0</v>
      </c>
      <c r="J253">
        <v>2</v>
      </c>
      <c r="K253">
        <v>1</v>
      </c>
      <c r="L253">
        <v>1</v>
      </c>
      <c r="M253">
        <v>97932.68</v>
      </c>
      <c r="N253">
        <v>0</v>
      </c>
      <c r="O253" t="str">
        <f t="shared" si="12"/>
        <v>Average</v>
      </c>
      <c r="P253" t="str">
        <f t="shared" si="13"/>
        <v>Adult</v>
      </c>
      <c r="Q253" t="str">
        <f t="shared" si="14"/>
        <v>High Salary</v>
      </c>
      <c r="R253" t="str">
        <f t="shared" si="15"/>
        <v>Low Balance</v>
      </c>
    </row>
    <row r="254" spans="1:18" x14ac:dyDescent="0.25">
      <c r="A254">
        <v>253</v>
      </c>
      <c r="B254">
        <v>15793726</v>
      </c>
      <c r="C254" t="s">
        <v>251</v>
      </c>
      <c r="D254" t="s">
        <v>15</v>
      </c>
      <c r="E254" t="s">
        <v>16</v>
      </c>
      <c r="F254">
        <v>681</v>
      </c>
      <c r="G254">
        <v>79</v>
      </c>
      <c r="H254">
        <v>0</v>
      </c>
      <c r="I254">
        <v>0</v>
      </c>
      <c r="J254">
        <v>2</v>
      </c>
      <c r="K254">
        <v>0</v>
      </c>
      <c r="L254">
        <v>1</v>
      </c>
      <c r="M254">
        <v>170968.99</v>
      </c>
      <c r="N254">
        <v>0</v>
      </c>
      <c r="O254" t="str">
        <f t="shared" si="12"/>
        <v>Good</v>
      </c>
      <c r="P254" t="str">
        <f t="shared" si="13"/>
        <v>Senior</v>
      </c>
      <c r="Q254" t="str">
        <f t="shared" si="14"/>
        <v>High Salary</v>
      </c>
      <c r="R254" t="str">
        <f t="shared" si="15"/>
        <v>Low Balance</v>
      </c>
    </row>
    <row r="255" spans="1:18" x14ac:dyDescent="0.25">
      <c r="A255">
        <v>254</v>
      </c>
      <c r="B255">
        <v>15694717</v>
      </c>
      <c r="C255" t="s">
        <v>209</v>
      </c>
      <c r="D255" t="s">
        <v>26</v>
      </c>
      <c r="E255" t="s">
        <v>23</v>
      </c>
      <c r="F255">
        <v>544</v>
      </c>
      <c r="G255">
        <v>37</v>
      </c>
      <c r="H255">
        <v>2</v>
      </c>
      <c r="I255">
        <v>79731.91</v>
      </c>
      <c r="J255">
        <v>1</v>
      </c>
      <c r="K255">
        <v>1</v>
      </c>
      <c r="L255">
        <v>1</v>
      </c>
      <c r="M255">
        <v>57558.95</v>
      </c>
      <c r="N255">
        <v>0</v>
      </c>
      <c r="O255" t="str">
        <f t="shared" si="12"/>
        <v>Poor</v>
      </c>
      <c r="P255" t="str">
        <f t="shared" si="13"/>
        <v>Adult</v>
      </c>
      <c r="Q255" t="str">
        <f t="shared" si="14"/>
        <v>Medium Salary</v>
      </c>
      <c r="R255" t="str">
        <f t="shared" si="15"/>
        <v>Medium Balance</v>
      </c>
    </row>
    <row r="256" spans="1:18" x14ac:dyDescent="0.25">
      <c r="A256">
        <v>255</v>
      </c>
      <c r="B256">
        <v>15665834</v>
      </c>
      <c r="C256" t="s">
        <v>252</v>
      </c>
      <c r="D256" t="s">
        <v>18</v>
      </c>
      <c r="E256" t="s">
        <v>23</v>
      </c>
      <c r="F256">
        <v>696</v>
      </c>
      <c r="G256">
        <v>28</v>
      </c>
      <c r="H256">
        <v>8</v>
      </c>
      <c r="I256">
        <v>0</v>
      </c>
      <c r="J256">
        <v>1</v>
      </c>
      <c r="K256">
        <v>0</v>
      </c>
      <c r="L256">
        <v>0</v>
      </c>
      <c r="M256">
        <v>176713.47</v>
      </c>
      <c r="N256">
        <v>0</v>
      </c>
      <c r="O256" t="str">
        <f t="shared" si="12"/>
        <v>Good</v>
      </c>
      <c r="P256" t="str">
        <f t="shared" si="13"/>
        <v>Young Adult</v>
      </c>
      <c r="Q256" t="str">
        <f t="shared" si="14"/>
        <v>High Salary</v>
      </c>
      <c r="R256" t="str">
        <f t="shared" si="15"/>
        <v>Low Balance</v>
      </c>
    </row>
    <row r="257" spans="1:18" x14ac:dyDescent="0.25">
      <c r="A257">
        <v>256</v>
      </c>
      <c r="B257">
        <v>15765297</v>
      </c>
      <c r="C257" t="s">
        <v>253</v>
      </c>
      <c r="D257" t="s">
        <v>18</v>
      </c>
      <c r="E257" t="s">
        <v>23</v>
      </c>
      <c r="F257">
        <v>766</v>
      </c>
      <c r="G257">
        <v>41</v>
      </c>
      <c r="H257">
        <v>0</v>
      </c>
      <c r="I257">
        <v>0</v>
      </c>
      <c r="J257">
        <v>2</v>
      </c>
      <c r="K257">
        <v>0</v>
      </c>
      <c r="L257">
        <v>1</v>
      </c>
      <c r="M257">
        <v>34283.230000000003</v>
      </c>
      <c r="N257">
        <v>0</v>
      </c>
      <c r="O257" t="str">
        <f t="shared" si="12"/>
        <v>Good</v>
      </c>
      <c r="P257" t="str">
        <f t="shared" si="13"/>
        <v>Adult</v>
      </c>
      <c r="Q257" t="str">
        <f t="shared" si="14"/>
        <v>Medium Salary</v>
      </c>
      <c r="R257" t="str">
        <f t="shared" si="15"/>
        <v>Low Balance</v>
      </c>
    </row>
    <row r="258" spans="1:18" x14ac:dyDescent="0.25">
      <c r="A258">
        <v>257</v>
      </c>
      <c r="B258">
        <v>15636684</v>
      </c>
      <c r="C258" t="s">
        <v>254</v>
      </c>
      <c r="D258" t="s">
        <v>15</v>
      </c>
      <c r="E258" t="s">
        <v>23</v>
      </c>
      <c r="F258">
        <v>727</v>
      </c>
      <c r="G258">
        <v>34</v>
      </c>
      <c r="H258">
        <v>10</v>
      </c>
      <c r="I258">
        <v>0</v>
      </c>
      <c r="J258">
        <v>2</v>
      </c>
      <c r="K258">
        <v>1</v>
      </c>
      <c r="L258">
        <v>1</v>
      </c>
      <c r="M258">
        <v>198637.34</v>
      </c>
      <c r="N258">
        <v>0</v>
      </c>
      <c r="O258" t="str">
        <f t="shared" si="12"/>
        <v>Good</v>
      </c>
      <c r="P258" t="str">
        <f t="shared" si="13"/>
        <v>Adult</v>
      </c>
      <c r="Q258" t="str">
        <f t="shared" si="14"/>
        <v>High Salary</v>
      </c>
      <c r="R258" t="str">
        <f t="shared" si="15"/>
        <v>Low Balance</v>
      </c>
    </row>
    <row r="259" spans="1:18" x14ac:dyDescent="0.25">
      <c r="A259">
        <v>258</v>
      </c>
      <c r="B259">
        <v>15592979</v>
      </c>
      <c r="C259" t="s">
        <v>255</v>
      </c>
      <c r="D259" t="s">
        <v>26</v>
      </c>
      <c r="E259" t="s">
        <v>16</v>
      </c>
      <c r="F259">
        <v>671</v>
      </c>
      <c r="G259">
        <v>34</v>
      </c>
      <c r="H259">
        <v>6</v>
      </c>
      <c r="I259">
        <v>37266.67</v>
      </c>
      <c r="J259">
        <v>2</v>
      </c>
      <c r="K259">
        <v>0</v>
      </c>
      <c r="L259">
        <v>0</v>
      </c>
      <c r="M259">
        <v>156917.12</v>
      </c>
      <c r="N259">
        <v>0</v>
      </c>
      <c r="O259" t="str">
        <f t="shared" ref="O259:O322" si="16">IF(F259&lt;580, "Poor", IF(AND(F259&gt;=580, F259&lt;=669), "Average", "Good"))</f>
        <v>Good</v>
      </c>
      <c r="P259" t="str">
        <f t="shared" ref="P259:P322" si="17">IF(G259&lt;=30, "Young Adult", IF(AND(G259&gt;=31, G259&lt;=50), "Adult", "Senior"))</f>
        <v>Adult</v>
      </c>
      <c r="Q259" t="str">
        <f t="shared" ref="Q259:Q322" si="18">IF(M259&lt;30000, "Low Salary", IF(AND(M259&gt;=30000, M259&lt;=70000), "Medium Salary", "High Salary"))</f>
        <v>High Salary</v>
      </c>
      <c r="R259" t="str">
        <f t="shared" ref="R259:R322" si="19">IF(I259&lt;50000, "Low Balance", IF(AND(I259&gt;=50000, I259&lt;=100000), "Medium Balance", "High Balance"))</f>
        <v>Low Balance</v>
      </c>
    </row>
    <row r="260" spans="1:18" x14ac:dyDescent="0.25">
      <c r="A260">
        <v>259</v>
      </c>
      <c r="B260">
        <v>15750803</v>
      </c>
      <c r="C260" t="s">
        <v>256</v>
      </c>
      <c r="D260" t="s">
        <v>15</v>
      </c>
      <c r="E260" t="s">
        <v>16</v>
      </c>
      <c r="F260">
        <v>693</v>
      </c>
      <c r="G260">
        <v>30</v>
      </c>
      <c r="H260">
        <v>6</v>
      </c>
      <c r="I260">
        <v>127992.25</v>
      </c>
      <c r="J260">
        <v>1</v>
      </c>
      <c r="K260">
        <v>1</v>
      </c>
      <c r="L260">
        <v>1</v>
      </c>
      <c r="M260">
        <v>50457.2</v>
      </c>
      <c r="N260">
        <v>0</v>
      </c>
      <c r="O260" t="str">
        <f t="shared" si="16"/>
        <v>Good</v>
      </c>
      <c r="P260" t="str">
        <f t="shared" si="17"/>
        <v>Young Adult</v>
      </c>
      <c r="Q260" t="str">
        <f t="shared" si="18"/>
        <v>Medium Salary</v>
      </c>
      <c r="R260" t="str">
        <f t="shared" si="19"/>
        <v>High Balance</v>
      </c>
    </row>
    <row r="261" spans="1:18" x14ac:dyDescent="0.25">
      <c r="A261">
        <v>260</v>
      </c>
      <c r="B261">
        <v>15607178</v>
      </c>
      <c r="C261" t="s">
        <v>131</v>
      </c>
      <c r="D261" t="s">
        <v>26</v>
      </c>
      <c r="E261" t="s">
        <v>23</v>
      </c>
      <c r="F261">
        <v>850</v>
      </c>
      <c r="G261">
        <v>38</v>
      </c>
      <c r="H261">
        <v>3</v>
      </c>
      <c r="I261">
        <v>54901.01</v>
      </c>
      <c r="J261">
        <v>1</v>
      </c>
      <c r="K261">
        <v>1</v>
      </c>
      <c r="L261">
        <v>1</v>
      </c>
      <c r="M261">
        <v>140075.54999999999</v>
      </c>
      <c r="N261">
        <v>0</v>
      </c>
      <c r="O261" t="str">
        <f t="shared" si="16"/>
        <v>Good</v>
      </c>
      <c r="P261" t="str">
        <f t="shared" si="17"/>
        <v>Adult</v>
      </c>
      <c r="Q261" t="str">
        <f t="shared" si="18"/>
        <v>High Salary</v>
      </c>
      <c r="R261" t="str">
        <f t="shared" si="19"/>
        <v>Medium Balance</v>
      </c>
    </row>
    <row r="262" spans="1:18" x14ac:dyDescent="0.25">
      <c r="A262">
        <v>261</v>
      </c>
      <c r="B262">
        <v>15713853</v>
      </c>
      <c r="C262" t="s">
        <v>257</v>
      </c>
      <c r="D262" t="s">
        <v>26</v>
      </c>
      <c r="E262" t="s">
        <v>23</v>
      </c>
      <c r="F262">
        <v>732</v>
      </c>
      <c r="G262">
        <v>42</v>
      </c>
      <c r="H262">
        <v>9</v>
      </c>
      <c r="I262">
        <v>108748.08</v>
      </c>
      <c r="J262">
        <v>2</v>
      </c>
      <c r="K262">
        <v>1</v>
      </c>
      <c r="L262">
        <v>1</v>
      </c>
      <c r="M262">
        <v>65323.11</v>
      </c>
      <c r="N262">
        <v>0</v>
      </c>
      <c r="O262" t="str">
        <f t="shared" si="16"/>
        <v>Good</v>
      </c>
      <c r="P262" t="str">
        <f t="shared" si="17"/>
        <v>Adult</v>
      </c>
      <c r="Q262" t="str">
        <f t="shared" si="18"/>
        <v>Medium Salary</v>
      </c>
      <c r="R262" t="str">
        <f t="shared" si="19"/>
        <v>High Balance</v>
      </c>
    </row>
    <row r="263" spans="1:18" x14ac:dyDescent="0.25">
      <c r="A263">
        <v>262</v>
      </c>
      <c r="B263">
        <v>15673481</v>
      </c>
      <c r="C263" t="s">
        <v>258</v>
      </c>
      <c r="D263" t="s">
        <v>18</v>
      </c>
      <c r="E263" t="s">
        <v>16</v>
      </c>
      <c r="F263">
        <v>726</v>
      </c>
      <c r="G263">
        <v>48</v>
      </c>
      <c r="H263">
        <v>6</v>
      </c>
      <c r="I263">
        <v>99906.19</v>
      </c>
      <c r="J263">
        <v>1</v>
      </c>
      <c r="K263">
        <v>1</v>
      </c>
      <c r="L263">
        <v>0</v>
      </c>
      <c r="M263">
        <v>64323.24</v>
      </c>
      <c r="N263">
        <v>0</v>
      </c>
      <c r="O263" t="str">
        <f t="shared" si="16"/>
        <v>Good</v>
      </c>
      <c r="P263" t="str">
        <f t="shared" si="17"/>
        <v>Adult</v>
      </c>
      <c r="Q263" t="str">
        <f t="shared" si="18"/>
        <v>Medium Salary</v>
      </c>
      <c r="R263" t="str">
        <f t="shared" si="19"/>
        <v>Medium Balance</v>
      </c>
    </row>
    <row r="264" spans="1:18" x14ac:dyDescent="0.25">
      <c r="A264">
        <v>263</v>
      </c>
      <c r="B264">
        <v>15686776</v>
      </c>
      <c r="C264" t="s">
        <v>259</v>
      </c>
      <c r="D264" t="s">
        <v>15</v>
      </c>
      <c r="E264" t="s">
        <v>16</v>
      </c>
      <c r="F264">
        <v>557</v>
      </c>
      <c r="G264">
        <v>32</v>
      </c>
      <c r="H264">
        <v>6</v>
      </c>
      <c r="I264">
        <v>184686.41</v>
      </c>
      <c r="J264">
        <v>2</v>
      </c>
      <c r="K264">
        <v>1</v>
      </c>
      <c r="L264">
        <v>0</v>
      </c>
      <c r="M264">
        <v>14956.44</v>
      </c>
      <c r="N264">
        <v>0</v>
      </c>
      <c r="O264" t="str">
        <f t="shared" si="16"/>
        <v>Poor</v>
      </c>
      <c r="P264" t="str">
        <f t="shared" si="17"/>
        <v>Adult</v>
      </c>
      <c r="Q264" t="str">
        <f t="shared" si="18"/>
        <v>Low Salary</v>
      </c>
      <c r="R264" t="str">
        <f t="shared" si="19"/>
        <v>High Balance</v>
      </c>
    </row>
    <row r="265" spans="1:18" x14ac:dyDescent="0.25">
      <c r="A265">
        <v>264</v>
      </c>
      <c r="B265">
        <v>15673693</v>
      </c>
      <c r="C265" t="s">
        <v>260</v>
      </c>
      <c r="D265" t="s">
        <v>15</v>
      </c>
      <c r="E265" t="s">
        <v>16</v>
      </c>
      <c r="F265">
        <v>682</v>
      </c>
      <c r="G265">
        <v>26</v>
      </c>
      <c r="H265">
        <v>0</v>
      </c>
      <c r="I265">
        <v>110654.02</v>
      </c>
      <c r="J265">
        <v>1</v>
      </c>
      <c r="K265">
        <v>0</v>
      </c>
      <c r="L265">
        <v>1</v>
      </c>
      <c r="M265">
        <v>111879.21</v>
      </c>
      <c r="N265">
        <v>0</v>
      </c>
      <c r="O265" t="str">
        <f t="shared" si="16"/>
        <v>Good</v>
      </c>
      <c r="P265" t="str">
        <f t="shared" si="17"/>
        <v>Young Adult</v>
      </c>
      <c r="Q265" t="str">
        <f t="shared" si="18"/>
        <v>High Salary</v>
      </c>
      <c r="R265" t="str">
        <f t="shared" si="19"/>
        <v>High Balance</v>
      </c>
    </row>
    <row r="266" spans="1:18" x14ac:dyDescent="0.25">
      <c r="A266">
        <v>265</v>
      </c>
      <c r="B266">
        <v>15700696</v>
      </c>
      <c r="C266" t="s">
        <v>261</v>
      </c>
      <c r="D266" t="s">
        <v>18</v>
      </c>
      <c r="E266" t="s">
        <v>23</v>
      </c>
      <c r="F266">
        <v>738</v>
      </c>
      <c r="G266">
        <v>31</v>
      </c>
      <c r="H266">
        <v>9</v>
      </c>
      <c r="I266">
        <v>79019.8</v>
      </c>
      <c r="J266">
        <v>1</v>
      </c>
      <c r="K266">
        <v>1</v>
      </c>
      <c r="L266">
        <v>1</v>
      </c>
      <c r="M266">
        <v>18606.23</v>
      </c>
      <c r="N266">
        <v>0</v>
      </c>
      <c r="O266" t="str">
        <f t="shared" si="16"/>
        <v>Good</v>
      </c>
      <c r="P266" t="str">
        <f t="shared" si="17"/>
        <v>Adult</v>
      </c>
      <c r="Q266" t="str">
        <f t="shared" si="18"/>
        <v>Low Salary</v>
      </c>
      <c r="R266" t="str">
        <f t="shared" si="19"/>
        <v>Medium Balance</v>
      </c>
    </row>
    <row r="267" spans="1:18" x14ac:dyDescent="0.25">
      <c r="A267">
        <v>266</v>
      </c>
      <c r="B267">
        <v>15813163</v>
      </c>
      <c r="C267" t="s">
        <v>262</v>
      </c>
      <c r="D267" t="s">
        <v>18</v>
      </c>
      <c r="E267" t="s">
        <v>16</v>
      </c>
      <c r="F267">
        <v>531</v>
      </c>
      <c r="G267">
        <v>36</v>
      </c>
      <c r="H267">
        <v>9</v>
      </c>
      <c r="I267">
        <v>99240.51</v>
      </c>
      <c r="J267">
        <v>1</v>
      </c>
      <c r="K267">
        <v>1</v>
      </c>
      <c r="L267">
        <v>0</v>
      </c>
      <c r="M267">
        <v>123137.01</v>
      </c>
      <c r="N267">
        <v>0</v>
      </c>
      <c r="O267" t="str">
        <f t="shared" si="16"/>
        <v>Poor</v>
      </c>
      <c r="P267" t="str">
        <f t="shared" si="17"/>
        <v>Adult</v>
      </c>
      <c r="Q267" t="str">
        <f t="shared" si="18"/>
        <v>High Salary</v>
      </c>
      <c r="R267" t="str">
        <f t="shared" si="19"/>
        <v>Medium Balance</v>
      </c>
    </row>
    <row r="268" spans="1:18" x14ac:dyDescent="0.25">
      <c r="A268">
        <v>267</v>
      </c>
      <c r="B268">
        <v>15653857</v>
      </c>
      <c r="C268" t="s">
        <v>263</v>
      </c>
      <c r="D268" t="s">
        <v>15</v>
      </c>
      <c r="E268" t="s">
        <v>23</v>
      </c>
      <c r="F268">
        <v>498</v>
      </c>
      <c r="G268">
        <v>34</v>
      </c>
      <c r="H268">
        <v>2</v>
      </c>
      <c r="I268">
        <v>0</v>
      </c>
      <c r="J268">
        <v>2</v>
      </c>
      <c r="K268">
        <v>1</v>
      </c>
      <c r="L268">
        <v>1</v>
      </c>
      <c r="M268">
        <v>148528.24</v>
      </c>
      <c r="N268">
        <v>0</v>
      </c>
      <c r="O268" t="str">
        <f t="shared" si="16"/>
        <v>Poor</v>
      </c>
      <c r="P268" t="str">
        <f t="shared" si="17"/>
        <v>Adult</v>
      </c>
      <c r="Q268" t="str">
        <f t="shared" si="18"/>
        <v>High Salary</v>
      </c>
      <c r="R268" t="str">
        <f t="shared" si="19"/>
        <v>Low Balance</v>
      </c>
    </row>
    <row r="269" spans="1:18" x14ac:dyDescent="0.25">
      <c r="A269">
        <v>268</v>
      </c>
      <c r="B269">
        <v>15777076</v>
      </c>
      <c r="C269" t="s">
        <v>80</v>
      </c>
      <c r="D269" t="s">
        <v>15</v>
      </c>
      <c r="E269" t="s">
        <v>23</v>
      </c>
      <c r="F269">
        <v>651</v>
      </c>
      <c r="G269">
        <v>36</v>
      </c>
      <c r="H269">
        <v>7</v>
      </c>
      <c r="I269">
        <v>0</v>
      </c>
      <c r="J269">
        <v>2</v>
      </c>
      <c r="K269">
        <v>1</v>
      </c>
      <c r="L269">
        <v>0</v>
      </c>
      <c r="M269">
        <v>13898.31</v>
      </c>
      <c r="N269">
        <v>0</v>
      </c>
      <c r="O269" t="str">
        <f t="shared" si="16"/>
        <v>Average</v>
      </c>
      <c r="P269" t="str">
        <f t="shared" si="17"/>
        <v>Adult</v>
      </c>
      <c r="Q269" t="str">
        <f t="shared" si="18"/>
        <v>Low Salary</v>
      </c>
      <c r="R269" t="str">
        <f t="shared" si="19"/>
        <v>Low Balance</v>
      </c>
    </row>
    <row r="270" spans="1:18" x14ac:dyDescent="0.25">
      <c r="A270">
        <v>269</v>
      </c>
      <c r="B270">
        <v>15717398</v>
      </c>
      <c r="C270" t="s">
        <v>264</v>
      </c>
      <c r="D270" t="s">
        <v>18</v>
      </c>
      <c r="E270" t="s">
        <v>16</v>
      </c>
      <c r="F270">
        <v>549</v>
      </c>
      <c r="G270">
        <v>39</v>
      </c>
      <c r="H270">
        <v>7</v>
      </c>
      <c r="I270">
        <v>0</v>
      </c>
      <c r="J270">
        <v>1</v>
      </c>
      <c r="K270">
        <v>0</v>
      </c>
      <c r="L270">
        <v>0</v>
      </c>
      <c r="M270">
        <v>81259.25</v>
      </c>
      <c r="N270">
        <v>1</v>
      </c>
      <c r="O270" t="str">
        <f t="shared" si="16"/>
        <v>Poor</v>
      </c>
      <c r="P270" t="str">
        <f t="shared" si="17"/>
        <v>Adult</v>
      </c>
      <c r="Q270" t="str">
        <f t="shared" si="18"/>
        <v>High Salary</v>
      </c>
      <c r="R270" t="str">
        <f t="shared" si="19"/>
        <v>Low Balance</v>
      </c>
    </row>
    <row r="271" spans="1:18" x14ac:dyDescent="0.25">
      <c r="A271">
        <v>270</v>
      </c>
      <c r="B271">
        <v>15799217</v>
      </c>
      <c r="C271" t="s">
        <v>138</v>
      </c>
      <c r="D271" t="s">
        <v>26</v>
      </c>
      <c r="E271" t="s">
        <v>16</v>
      </c>
      <c r="F271">
        <v>791</v>
      </c>
      <c r="G271">
        <v>35</v>
      </c>
      <c r="H271">
        <v>7</v>
      </c>
      <c r="I271">
        <v>52436.2</v>
      </c>
      <c r="J271">
        <v>1</v>
      </c>
      <c r="K271">
        <v>1</v>
      </c>
      <c r="L271">
        <v>0</v>
      </c>
      <c r="M271">
        <v>161051.75</v>
      </c>
      <c r="N271">
        <v>0</v>
      </c>
      <c r="O271" t="str">
        <f t="shared" si="16"/>
        <v>Good</v>
      </c>
      <c r="P271" t="str">
        <f t="shared" si="17"/>
        <v>Adult</v>
      </c>
      <c r="Q271" t="str">
        <f t="shared" si="18"/>
        <v>High Salary</v>
      </c>
      <c r="R271" t="str">
        <f t="shared" si="19"/>
        <v>Medium Balance</v>
      </c>
    </row>
    <row r="272" spans="1:18" x14ac:dyDescent="0.25">
      <c r="A272">
        <v>271</v>
      </c>
      <c r="B272">
        <v>15787071</v>
      </c>
      <c r="C272" t="s">
        <v>265</v>
      </c>
      <c r="D272" t="s">
        <v>18</v>
      </c>
      <c r="E272" t="s">
        <v>23</v>
      </c>
      <c r="F272">
        <v>650</v>
      </c>
      <c r="G272">
        <v>41</v>
      </c>
      <c r="H272">
        <v>9</v>
      </c>
      <c r="I272">
        <v>0</v>
      </c>
      <c r="J272">
        <v>2</v>
      </c>
      <c r="K272">
        <v>0</v>
      </c>
      <c r="L272">
        <v>1</v>
      </c>
      <c r="M272">
        <v>191599.67</v>
      </c>
      <c r="N272">
        <v>0</v>
      </c>
      <c r="O272" t="str">
        <f t="shared" si="16"/>
        <v>Average</v>
      </c>
      <c r="P272" t="str">
        <f t="shared" si="17"/>
        <v>Adult</v>
      </c>
      <c r="Q272" t="str">
        <f t="shared" si="18"/>
        <v>High Salary</v>
      </c>
      <c r="R272" t="str">
        <f t="shared" si="19"/>
        <v>Low Balance</v>
      </c>
    </row>
    <row r="273" spans="1:18" x14ac:dyDescent="0.25">
      <c r="A273">
        <v>272</v>
      </c>
      <c r="B273">
        <v>15619955</v>
      </c>
      <c r="C273" t="s">
        <v>266</v>
      </c>
      <c r="D273" t="s">
        <v>26</v>
      </c>
      <c r="E273" t="s">
        <v>23</v>
      </c>
      <c r="F273">
        <v>733</v>
      </c>
      <c r="G273">
        <v>34</v>
      </c>
      <c r="H273">
        <v>3</v>
      </c>
      <c r="I273">
        <v>100337.96</v>
      </c>
      <c r="J273">
        <v>3</v>
      </c>
      <c r="K273">
        <v>1</v>
      </c>
      <c r="L273">
        <v>0</v>
      </c>
      <c r="M273">
        <v>48559.19</v>
      </c>
      <c r="N273">
        <v>1</v>
      </c>
      <c r="O273" t="str">
        <f t="shared" si="16"/>
        <v>Good</v>
      </c>
      <c r="P273" t="str">
        <f t="shared" si="17"/>
        <v>Adult</v>
      </c>
      <c r="Q273" t="str">
        <f t="shared" si="18"/>
        <v>Medium Salary</v>
      </c>
      <c r="R273" t="str">
        <f t="shared" si="19"/>
        <v>High Balance</v>
      </c>
    </row>
    <row r="274" spans="1:18" x14ac:dyDescent="0.25">
      <c r="A274">
        <v>273</v>
      </c>
      <c r="B274">
        <v>15796505</v>
      </c>
      <c r="C274" t="s">
        <v>267</v>
      </c>
      <c r="D274" t="s">
        <v>26</v>
      </c>
      <c r="E274" t="s">
        <v>16</v>
      </c>
      <c r="F274">
        <v>811</v>
      </c>
      <c r="G274">
        <v>34</v>
      </c>
      <c r="H274">
        <v>1</v>
      </c>
      <c r="I274">
        <v>149297.19</v>
      </c>
      <c r="J274">
        <v>2</v>
      </c>
      <c r="K274">
        <v>1</v>
      </c>
      <c r="L274">
        <v>1</v>
      </c>
      <c r="M274">
        <v>186339.74</v>
      </c>
      <c r="N274">
        <v>0</v>
      </c>
      <c r="O274" t="str">
        <f t="shared" si="16"/>
        <v>Good</v>
      </c>
      <c r="P274" t="str">
        <f t="shared" si="17"/>
        <v>Adult</v>
      </c>
      <c r="Q274" t="str">
        <f t="shared" si="18"/>
        <v>High Salary</v>
      </c>
      <c r="R274" t="str">
        <f t="shared" si="19"/>
        <v>High Balance</v>
      </c>
    </row>
    <row r="275" spans="1:18" x14ac:dyDescent="0.25">
      <c r="A275">
        <v>274</v>
      </c>
      <c r="B275">
        <v>15725166</v>
      </c>
      <c r="C275" t="s">
        <v>268</v>
      </c>
      <c r="D275" t="s">
        <v>15</v>
      </c>
      <c r="E275" t="s">
        <v>23</v>
      </c>
      <c r="F275">
        <v>707</v>
      </c>
      <c r="G275">
        <v>30</v>
      </c>
      <c r="H275">
        <v>8</v>
      </c>
      <c r="I275">
        <v>0</v>
      </c>
      <c r="J275">
        <v>2</v>
      </c>
      <c r="K275">
        <v>1</v>
      </c>
      <c r="L275">
        <v>0</v>
      </c>
      <c r="M275">
        <v>33159.370000000003</v>
      </c>
      <c r="N275">
        <v>0</v>
      </c>
      <c r="O275" t="str">
        <f t="shared" si="16"/>
        <v>Good</v>
      </c>
      <c r="P275" t="str">
        <f t="shared" si="17"/>
        <v>Young Adult</v>
      </c>
      <c r="Q275" t="str">
        <f t="shared" si="18"/>
        <v>Medium Salary</v>
      </c>
      <c r="R275" t="str">
        <f t="shared" si="19"/>
        <v>Low Balance</v>
      </c>
    </row>
    <row r="276" spans="1:18" x14ac:dyDescent="0.25">
      <c r="A276">
        <v>275</v>
      </c>
      <c r="B276">
        <v>15800116</v>
      </c>
      <c r="C276" t="s">
        <v>269</v>
      </c>
      <c r="D276" t="s">
        <v>26</v>
      </c>
      <c r="E276" t="s">
        <v>23</v>
      </c>
      <c r="F276">
        <v>712</v>
      </c>
      <c r="G276">
        <v>28</v>
      </c>
      <c r="H276">
        <v>4</v>
      </c>
      <c r="I276">
        <v>145605.44</v>
      </c>
      <c r="J276">
        <v>1</v>
      </c>
      <c r="K276">
        <v>0</v>
      </c>
      <c r="L276">
        <v>1</v>
      </c>
      <c r="M276">
        <v>93883.53</v>
      </c>
      <c r="N276">
        <v>0</v>
      </c>
      <c r="O276" t="str">
        <f t="shared" si="16"/>
        <v>Good</v>
      </c>
      <c r="P276" t="str">
        <f t="shared" si="17"/>
        <v>Young Adult</v>
      </c>
      <c r="Q276" t="str">
        <f t="shared" si="18"/>
        <v>High Salary</v>
      </c>
      <c r="R276" t="str">
        <f t="shared" si="19"/>
        <v>High Balance</v>
      </c>
    </row>
    <row r="277" spans="1:18" x14ac:dyDescent="0.25">
      <c r="A277">
        <v>276</v>
      </c>
      <c r="B277">
        <v>15758685</v>
      </c>
      <c r="C277" t="s">
        <v>270</v>
      </c>
      <c r="D277" t="s">
        <v>18</v>
      </c>
      <c r="E277" t="s">
        <v>16</v>
      </c>
      <c r="F277">
        <v>706</v>
      </c>
      <c r="G277">
        <v>37</v>
      </c>
      <c r="H277">
        <v>7</v>
      </c>
      <c r="I277">
        <v>0</v>
      </c>
      <c r="J277">
        <v>2</v>
      </c>
      <c r="K277">
        <v>1</v>
      </c>
      <c r="L277">
        <v>1</v>
      </c>
      <c r="M277">
        <v>110899.3</v>
      </c>
      <c r="N277">
        <v>0</v>
      </c>
      <c r="O277" t="str">
        <f t="shared" si="16"/>
        <v>Good</v>
      </c>
      <c r="P277" t="str">
        <f t="shared" si="17"/>
        <v>Adult</v>
      </c>
      <c r="Q277" t="str">
        <f t="shared" si="18"/>
        <v>High Salary</v>
      </c>
      <c r="R277" t="str">
        <f t="shared" si="19"/>
        <v>Low Balance</v>
      </c>
    </row>
    <row r="278" spans="1:18" x14ac:dyDescent="0.25">
      <c r="A278">
        <v>277</v>
      </c>
      <c r="B278">
        <v>15694456</v>
      </c>
      <c r="C278" t="s">
        <v>271</v>
      </c>
      <c r="D278" t="s">
        <v>15</v>
      </c>
      <c r="E278" t="s">
        <v>23</v>
      </c>
      <c r="F278">
        <v>756</v>
      </c>
      <c r="G278">
        <v>62</v>
      </c>
      <c r="H278">
        <v>3</v>
      </c>
      <c r="I278">
        <v>0</v>
      </c>
      <c r="J278">
        <v>1</v>
      </c>
      <c r="K278">
        <v>1</v>
      </c>
      <c r="L278">
        <v>1</v>
      </c>
      <c r="M278">
        <v>11199.04</v>
      </c>
      <c r="N278">
        <v>1</v>
      </c>
      <c r="O278" t="str">
        <f t="shared" si="16"/>
        <v>Good</v>
      </c>
      <c r="P278" t="str">
        <f t="shared" si="17"/>
        <v>Senior</v>
      </c>
      <c r="Q278" t="str">
        <f t="shared" si="18"/>
        <v>Low Salary</v>
      </c>
      <c r="R278" t="str">
        <f t="shared" si="19"/>
        <v>Low Balance</v>
      </c>
    </row>
    <row r="279" spans="1:18" x14ac:dyDescent="0.25">
      <c r="A279">
        <v>278</v>
      </c>
      <c r="B279">
        <v>15767339</v>
      </c>
      <c r="C279" t="s">
        <v>272</v>
      </c>
      <c r="D279" t="s">
        <v>15</v>
      </c>
      <c r="E279" t="s">
        <v>16</v>
      </c>
      <c r="F279">
        <v>777</v>
      </c>
      <c r="G279">
        <v>53</v>
      </c>
      <c r="H279">
        <v>10</v>
      </c>
      <c r="I279">
        <v>0</v>
      </c>
      <c r="J279">
        <v>2</v>
      </c>
      <c r="K279">
        <v>1</v>
      </c>
      <c r="L279">
        <v>0</v>
      </c>
      <c r="M279">
        <v>189992.97</v>
      </c>
      <c r="N279">
        <v>0</v>
      </c>
      <c r="O279" t="str">
        <f t="shared" si="16"/>
        <v>Good</v>
      </c>
      <c r="P279" t="str">
        <f t="shared" si="17"/>
        <v>Senior</v>
      </c>
      <c r="Q279" t="str">
        <f t="shared" si="18"/>
        <v>High Salary</v>
      </c>
      <c r="R279" t="str">
        <f t="shared" si="19"/>
        <v>Low Balance</v>
      </c>
    </row>
    <row r="280" spans="1:18" x14ac:dyDescent="0.25">
      <c r="A280">
        <v>279</v>
      </c>
      <c r="B280">
        <v>15683562</v>
      </c>
      <c r="C280" t="s">
        <v>273</v>
      </c>
      <c r="D280" t="s">
        <v>15</v>
      </c>
      <c r="E280" t="s">
        <v>23</v>
      </c>
      <c r="F280">
        <v>646</v>
      </c>
      <c r="G280">
        <v>35</v>
      </c>
      <c r="H280">
        <v>6</v>
      </c>
      <c r="I280">
        <v>84026.86</v>
      </c>
      <c r="J280">
        <v>1</v>
      </c>
      <c r="K280">
        <v>0</v>
      </c>
      <c r="L280">
        <v>1</v>
      </c>
      <c r="M280">
        <v>164255.69</v>
      </c>
      <c r="N280">
        <v>0</v>
      </c>
      <c r="O280" t="str">
        <f t="shared" si="16"/>
        <v>Average</v>
      </c>
      <c r="P280" t="str">
        <f t="shared" si="17"/>
        <v>Adult</v>
      </c>
      <c r="Q280" t="str">
        <f t="shared" si="18"/>
        <v>High Salary</v>
      </c>
      <c r="R280" t="str">
        <f t="shared" si="19"/>
        <v>Medium Balance</v>
      </c>
    </row>
    <row r="281" spans="1:18" x14ac:dyDescent="0.25">
      <c r="A281">
        <v>280</v>
      </c>
      <c r="B281">
        <v>15782210</v>
      </c>
      <c r="C281" t="s">
        <v>274</v>
      </c>
      <c r="D281" t="s">
        <v>15</v>
      </c>
      <c r="E281" t="s">
        <v>23</v>
      </c>
      <c r="F281">
        <v>714</v>
      </c>
      <c r="G281">
        <v>46</v>
      </c>
      <c r="H281">
        <v>1</v>
      </c>
      <c r="I281">
        <v>0</v>
      </c>
      <c r="J281">
        <v>1</v>
      </c>
      <c r="K281">
        <v>1</v>
      </c>
      <c r="L281">
        <v>0</v>
      </c>
      <c r="M281">
        <v>152167.79</v>
      </c>
      <c r="N281">
        <v>1</v>
      </c>
      <c r="O281" t="str">
        <f t="shared" si="16"/>
        <v>Good</v>
      </c>
      <c r="P281" t="str">
        <f t="shared" si="17"/>
        <v>Adult</v>
      </c>
      <c r="Q281" t="str">
        <f t="shared" si="18"/>
        <v>High Salary</v>
      </c>
      <c r="R281" t="str">
        <f t="shared" si="19"/>
        <v>Low Balance</v>
      </c>
    </row>
    <row r="282" spans="1:18" x14ac:dyDescent="0.25">
      <c r="A282">
        <v>281</v>
      </c>
      <c r="B282">
        <v>15668893</v>
      </c>
      <c r="C282" t="s">
        <v>275</v>
      </c>
      <c r="D282" t="s">
        <v>15</v>
      </c>
      <c r="E282" t="s">
        <v>23</v>
      </c>
      <c r="F282">
        <v>782</v>
      </c>
      <c r="G282">
        <v>39</v>
      </c>
      <c r="H282">
        <v>8</v>
      </c>
      <c r="I282">
        <v>0</v>
      </c>
      <c r="J282">
        <v>2</v>
      </c>
      <c r="K282">
        <v>1</v>
      </c>
      <c r="L282">
        <v>1</v>
      </c>
      <c r="M282">
        <v>33949.67</v>
      </c>
      <c r="N282">
        <v>0</v>
      </c>
      <c r="O282" t="str">
        <f t="shared" si="16"/>
        <v>Good</v>
      </c>
      <c r="P282" t="str">
        <f t="shared" si="17"/>
        <v>Adult</v>
      </c>
      <c r="Q282" t="str">
        <f t="shared" si="18"/>
        <v>Medium Salary</v>
      </c>
      <c r="R282" t="str">
        <f t="shared" si="19"/>
        <v>Low Balance</v>
      </c>
    </row>
    <row r="283" spans="1:18" x14ac:dyDescent="0.25">
      <c r="A283">
        <v>282</v>
      </c>
      <c r="B283">
        <v>15669169</v>
      </c>
      <c r="C283" t="s">
        <v>276</v>
      </c>
      <c r="D283" t="s">
        <v>18</v>
      </c>
      <c r="E283" t="s">
        <v>23</v>
      </c>
      <c r="F283">
        <v>775</v>
      </c>
      <c r="G283">
        <v>29</v>
      </c>
      <c r="H283">
        <v>10</v>
      </c>
      <c r="I283">
        <v>0</v>
      </c>
      <c r="J283">
        <v>2</v>
      </c>
      <c r="K283">
        <v>1</v>
      </c>
      <c r="L283">
        <v>1</v>
      </c>
      <c r="M283">
        <v>68143.929999999993</v>
      </c>
      <c r="N283">
        <v>0</v>
      </c>
      <c r="O283" t="str">
        <f t="shared" si="16"/>
        <v>Good</v>
      </c>
      <c r="P283" t="str">
        <f t="shared" si="17"/>
        <v>Young Adult</v>
      </c>
      <c r="Q283" t="str">
        <f t="shared" si="18"/>
        <v>Medium Salary</v>
      </c>
      <c r="R283" t="str">
        <f t="shared" si="19"/>
        <v>Low Balance</v>
      </c>
    </row>
    <row r="284" spans="1:18" x14ac:dyDescent="0.25">
      <c r="A284">
        <v>283</v>
      </c>
      <c r="B284">
        <v>15643024</v>
      </c>
      <c r="C284" t="s">
        <v>277</v>
      </c>
      <c r="D284" t="s">
        <v>26</v>
      </c>
      <c r="E284" t="s">
        <v>23</v>
      </c>
      <c r="F284">
        <v>479</v>
      </c>
      <c r="G284">
        <v>35</v>
      </c>
      <c r="H284">
        <v>4</v>
      </c>
      <c r="I284">
        <v>138718.92000000001</v>
      </c>
      <c r="J284">
        <v>1</v>
      </c>
      <c r="K284">
        <v>1</v>
      </c>
      <c r="L284">
        <v>1</v>
      </c>
      <c r="M284">
        <v>47251.79</v>
      </c>
      <c r="N284">
        <v>1</v>
      </c>
      <c r="O284" t="str">
        <f t="shared" si="16"/>
        <v>Poor</v>
      </c>
      <c r="P284" t="str">
        <f t="shared" si="17"/>
        <v>Adult</v>
      </c>
      <c r="Q284" t="str">
        <f t="shared" si="18"/>
        <v>Medium Salary</v>
      </c>
      <c r="R284" t="str">
        <f t="shared" si="19"/>
        <v>High Balance</v>
      </c>
    </row>
    <row r="285" spans="1:18" x14ac:dyDescent="0.25">
      <c r="A285">
        <v>284</v>
      </c>
      <c r="B285">
        <v>15699389</v>
      </c>
      <c r="C285" t="s">
        <v>226</v>
      </c>
      <c r="D285" t="s">
        <v>15</v>
      </c>
      <c r="E285" t="s">
        <v>23</v>
      </c>
      <c r="F285">
        <v>807</v>
      </c>
      <c r="G285">
        <v>42</v>
      </c>
      <c r="H285">
        <v>7</v>
      </c>
      <c r="I285">
        <v>118274.71</v>
      </c>
      <c r="J285">
        <v>1</v>
      </c>
      <c r="K285">
        <v>1</v>
      </c>
      <c r="L285">
        <v>1</v>
      </c>
      <c r="M285">
        <v>25885.72</v>
      </c>
      <c r="N285">
        <v>0</v>
      </c>
      <c r="O285" t="str">
        <f t="shared" si="16"/>
        <v>Good</v>
      </c>
      <c r="P285" t="str">
        <f t="shared" si="17"/>
        <v>Adult</v>
      </c>
      <c r="Q285" t="str">
        <f t="shared" si="18"/>
        <v>Low Salary</v>
      </c>
      <c r="R285" t="str">
        <f t="shared" si="19"/>
        <v>High Balance</v>
      </c>
    </row>
    <row r="286" spans="1:18" x14ac:dyDescent="0.25">
      <c r="A286">
        <v>285</v>
      </c>
      <c r="B286">
        <v>15708608</v>
      </c>
      <c r="C286" t="s">
        <v>278</v>
      </c>
      <c r="D286" t="s">
        <v>15</v>
      </c>
      <c r="E286" t="s">
        <v>16</v>
      </c>
      <c r="F286">
        <v>799</v>
      </c>
      <c r="G286">
        <v>22</v>
      </c>
      <c r="H286">
        <v>8</v>
      </c>
      <c r="I286">
        <v>174185.98</v>
      </c>
      <c r="J286">
        <v>2</v>
      </c>
      <c r="K286">
        <v>0</v>
      </c>
      <c r="L286">
        <v>1</v>
      </c>
      <c r="M286">
        <v>192633.85</v>
      </c>
      <c r="N286">
        <v>0</v>
      </c>
      <c r="O286" t="str">
        <f t="shared" si="16"/>
        <v>Good</v>
      </c>
      <c r="P286" t="str">
        <f t="shared" si="17"/>
        <v>Young Adult</v>
      </c>
      <c r="Q286" t="str">
        <f t="shared" si="18"/>
        <v>High Salary</v>
      </c>
      <c r="R286" t="str">
        <f t="shared" si="19"/>
        <v>High Balance</v>
      </c>
    </row>
    <row r="287" spans="1:18" x14ac:dyDescent="0.25">
      <c r="A287">
        <v>286</v>
      </c>
      <c r="B287">
        <v>15626144</v>
      </c>
      <c r="C287" t="s">
        <v>22</v>
      </c>
      <c r="D287" t="s">
        <v>15</v>
      </c>
      <c r="E287" t="s">
        <v>23</v>
      </c>
      <c r="F287">
        <v>675</v>
      </c>
      <c r="G287">
        <v>40</v>
      </c>
      <c r="H287">
        <v>7</v>
      </c>
      <c r="I287">
        <v>113208.86</v>
      </c>
      <c r="J287">
        <v>2</v>
      </c>
      <c r="K287">
        <v>1</v>
      </c>
      <c r="L287">
        <v>0</v>
      </c>
      <c r="M287">
        <v>34577.360000000001</v>
      </c>
      <c r="N287">
        <v>0</v>
      </c>
      <c r="O287" t="str">
        <f t="shared" si="16"/>
        <v>Good</v>
      </c>
      <c r="P287" t="str">
        <f t="shared" si="17"/>
        <v>Adult</v>
      </c>
      <c r="Q287" t="str">
        <f t="shared" si="18"/>
        <v>Medium Salary</v>
      </c>
      <c r="R287" t="str">
        <f t="shared" si="19"/>
        <v>High Balance</v>
      </c>
    </row>
    <row r="288" spans="1:18" x14ac:dyDescent="0.25">
      <c r="A288">
        <v>287</v>
      </c>
      <c r="B288">
        <v>15573112</v>
      </c>
      <c r="C288" t="s">
        <v>261</v>
      </c>
      <c r="D288" t="s">
        <v>18</v>
      </c>
      <c r="E288" t="s">
        <v>23</v>
      </c>
      <c r="F288">
        <v>602</v>
      </c>
      <c r="G288">
        <v>29</v>
      </c>
      <c r="H288">
        <v>5</v>
      </c>
      <c r="I288">
        <v>103907.28</v>
      </c>
      <c r="J288">
        <v>1</v>
      </c>
      <c r="K288">
        <v>1</v>
      </c>
      <c r="L288">
        <v>0</v>
      </c>
      <c r="M288">
        <v>161229.84</v>
      </c>
      <c r="N288">
        <v>0</v>
      </c>
      <c r="O288" t="str">
        <f t="shared" si="16"/>
        <v>Average</v>
      </c>
      <c r="P288" t="str">
        <f t="shared" si="17"/>
        <v>Young Adult</v>
      </c>
      <c r="Q288" t="str">
        <f t="shared" si="18"/>
        <v>High Salary</v>
      </c>
      <c r="R288" t="str">
        <f t="shared" si="19"/>
        <v>High Balance</v>
      </c>
    </row>
    <row r="289" spans="1:18" x14ac:dyDescent="0.25">
      <c r="A289">
        <v>288</v>
      </c>
      <c r="B289">
        <v>15790678</v>
      </c>
      <c r="C289" t="s">
        <v>279</v>
      </c>
      <c r="D289" t="s">
        <v>15</v>
      </c>
      <c r="E289" t="s">
        <v>16</v>
      </c>
      <c r="F289">
        <v>475</v>
      </c>
      <c r="G289">
        <v>32</v>
      </c>
      <c r="H289">
        <v>8</v>
      </c>
      <c r="I289">
        <v>119023.28</v>
      </c>
      <c r="J289">
        <v>1</v>
      </c>
      <c r="K289">
        <v>1</v>
      </c>
      <c r="L289">
        <v>0</v>
      </c>
      <c r="M289">
        <v>100816.29</v>
      </c>
      <c r="N289">
        <v>0</v>
      </c>
      <c r="O289" t="str">
        <f t="shared" si="16"/>
        <v>Poor</v>
      </c>
      <c r="P289" t="str">
        <f t="shared" si="17"/>
        <v>Adult</v>
      </c>
      <c r="Q289" t="str">
        <f t="shared" si="18"/>
        <v>High Salary</v>
      </c>
      <c r="R289" t="str">
        <f t="shared" si="19"/>
        <v>High Balance</v>
      </c>
    </row>
    <row r="290" spans="1:18" x14ac:dyDescent="0.25">
      <c r="A290">
        <v>289</v>
      </c>
      <c r="B290">
        <v>15727556</v>
      </c>
      <c r="C290" t="s">
        <v>280</v>
      </c>
      <c r="D290" t="s">
        <v>18</v>
      </c>
      <c r="E290" t="s">
        <v>16</v>
      </c>
      <c r="F290">
        <v>744</v>
      </c>
      <c r="G290">
        <v>26</v>
      </c>
      <c r="H290">
        <v>5</v>
      </c>
      <c r="I290">
        <v>166297.89000000001</v>
      </c>
      <c r="J290">
        <v>1</v>
      </c>
      <c r="K290">
        <v>1</v>
      </c>
      <c r="L290">
        <v>1</v>
      </c>
      <c r="M290">
        <v>181694.44</v>
      </c>
      <c r="N290">
        <v>0</v>
      </c>
      <c r="O290" t="str">
        <f t="shared" si="16"/>
        <v>Good</v>
      </c>
      <c r="P290" t="str">
        <f t="shared" si="17"/>
        <v>Young Adult</v>
      </c>
      <c r="Q290" t="str">
        <f t="shared" si="18"/>
        <v>High Salary</v>
      </c>
      <c r="R290" t="str">
        <f t="shared" si="19"/>
        <v>High Balance</v>
      </c>
    </row>
    <row r="291" spans="1:18" x14ac:dyDescent="0.25">
      <c r="A291">
        <v>290</v>
      </c>
      <c r="B291">
        <v>15697307</v>
      </c>
      <c r="C291" t="s">
        <v>281</v>
      </c>
      <c r="D291" t="s">
        <v>18</v>
      </c>
      <c r="E291" t="s">
        <v>23</v>
      </c>
      <c r="F291">
        <v>588</v>
      </c>
      <c r="G291">
        <v>34</v>
      </c>
      <c r="H291">
        <v>10</v>
      </c>
      <c r="I291">
        <v>0</v>
      </c>
      <c r="J291">
        <v>2</v>
      </c>
      <c r="K291">
        <v>1</v>
      </c>
      <c r="L291">
        <v>0</v>
      </c>
      <c r="M291">
        <v>79078.91</v>
      </c>
      <c r="N291">
        <v>0</v>
      </c>
      <c r="O291" t="str">
        <f t="shared" si="16"/>
        <v>Average</v>
      </c>
      <c r="P291" t="str">
        <f t="shared" si="17"/>
        <v>Adult</v>
      </c>
      <c r="Q291" t="str">
        <f t="shared" si="18"/>
        <v>High Salary</v>
      </c>
      <c r="R291" t="str">
        <f t="shared" si="19"/>
        <v>Low Balance</v>
      </c>
    </row>
    <row r="292" spans="1:18" x14ac:dyDescent="0.25">
      <c r="A292">
        <v>291</v>
      </c>
      <c r="B292">
        <v>15652266</v>
      </c>
      <c r="C292" t="s">
        <v>69</v>
      </c>
      <c r="D292" t="s">
        <v>26</v>
      </c>
      <c r="E292" t="s">
        <v>23</v>
      </c>
      <c r="F292">
        <v>703</v>
      </c>
      <c r="G292">
        <v>42</v>
      </c>
      <c r="H292">
        <v>9</v>
      </c>
      <c r="I292">
        <v>63227</v>
      </c>
      <c r="J292">
        <v>1</v>
      </c>
      <c r="K292">
        <v>0</v>
      </c>
      <c r="L292">
        <v>1</v>
      </c>
      <c r="M292">
        <v>137316.32</v>
      </c>
      <c r="N292">
        <v>0</v>
      </c>
      <c r="O292" t="str">
        <f t="shared" si="16"/>
        <v>Good</v>
      </c>
      <c r="P292" t="str">
        <f t="shared" si="17"/>
        <v>Adult</v>
      </c>
      <c r="Q292" t="str">
        <f t="shared" si="18"/>
        <v>High Salary</v>
      </c>
      <c r="R292" t="str">
        <f t="shared" si="19"/>
        <v>Medium Balance</v>
      </c>
    </row>
    <row r="293" spans="1:18" x14ac:dyDescent="0.25">
      <c r="A293">
        <v>292</v>
      </c>
      <c r="B293">
        <v>15607098</v>
      </c>
      <c r="C293" t="s">
        <v>282</v>
      </c>
      <c r="D293" t="s">
        <v>18</v>
      </c>
      <c r="E293" t="s">
        <v>16</v>
      </c>
      <c r="F293">
        <v>747</v>
      </c>
      <c r="G293">
        <v>41</v>
      </c>
      <c r="H293">
        <v>5</v>
      </c>
      <c r="I293">
        <v>94521.17</v>
      </c>
      <c r="J293">
        <v>2</v>
      </c>
      <c r="K293">
        <v>1</v>
      </c>
      <c r="L293">
        <v>0</v>
      </c>
      <c r="M293">
        <v>194926.86</v>
      </c>
      <c r="N293">
        <v>0</v>
      </c>
      <c r="O293" t="str">
        <f t="shared" si="16"/>
        <v>Good</v>
      </c>
      <c r="P293" t="str">
        <f t="shared" si="17"/>
        <v>Adult</v>
      </c>
      <c r="Q293" t="str">
        <f t="shared" si="18"/>
        <v>High Salary</v>
      </c>
      <c r="R293" t="str">
        <f t="shared" si="19"/>
        <v>Medium Balance</v>
      </c>
    </row>
    <row r="294" spans="1:18" x14ac:dyDescent="0.25">
      <c r="A294">
        <v>293</v>
      </c>
      <c r="B294">
        <v>15655774</v>
      </c>
      <c r="C294" t="s">
        <v>283</v>
      </c>
      <c r="D294" t="s">
        <v>15</v>
      </c>
      <c r="E294" t="s">
        <v>23</v>
      </c>
      <c r="F294">
        <v>583</v>
      </c>
      <c r="G294">
        <v>27</v>
      </c>
      <c r="H294">
        <v>7</v>
      </c>
      <c r="I294">
        <v>0</v>
      </c>
      <c r="J294">
        <v>2</v>
      </c>
      <c r="K294">
        <v>1</v>
      </c>
      <c r="L294">
        <v>0</v>
      </c>
      <c r="M294">
        <v>51285.49</v>
      </c>
      <c r="N294">
        <v>0</v>
      </c>
      <c r="O294" t="str">
        <f t="shared" si="16"/>
        <v>Average</v>
      </c>
      <c r="P294" t="str">
        <f t="shared" si="17"/>
        <v>Young Adult</v>
      </c>
      <c r="Q294" t="str">
        <f t="shared" si="18"/>
        <v>Medium Salary</v>
      </c>
      <c r="R294" t="str">
        <f t="shared" si="19"/>
        <v>Low Balance</v>
      </c>
    </row>
    <row r="295" spans="1:18" x14ac:dyDescent="0.25">
      <c r="A295">
        <v>294</v>
      </c>
      <c r="B295">
        <v>15590241</v>
      </c>
      <c r="C295" t="s">
        <v>284</v>
      </c>
      <c r="D295" t="s">
        <v>18</v>
      </c>
      <c r="E295" t="s">
        <v>16</v>
      </c>
      <c r="F295">
        <v>750</v>
      </c>
      <c r="G295">
        <v>34</v>
      </c>
      <c r="H295">
        <v>9</v>
      </c>
      <c r="I295">
        <v>112822.26</v>
      </c>
      <c r="J295">
        <v>1</v>
      </c>
      <c r="K295">
        <v>0</v>
      </c>
      <c r="L295">
        <v>0</v>
      </c>
      <c r="M295">
        <v>150401.53</v>
      </c>
      <c r="N295">
        <v>1</v>
      </c>
      <c r="O295" t="str">
        <f t="shared" si="16"/>
        <v>Good</v>
      </c>
      <c r="P295" t="str">
        <f t="shared" si="17"/>
        <v>Adult</v>
      </c>
      <c r="Q295" t="str">
        <f t="shared" si="18"/>
        <v>High Salary</v>
      </c>
      <c r="R295" t="str">
        <f t="shared" si="19"/>
        <v>High Balance</v>
      </c>
    </row>
    <row r="296" spans="1:18" x14ac:dyDescent="0.25">
      <c r="A296">
        <v>295</v>
      </c>
      <c r="B296">
        <v>15785819</v>
      </c>
      <c r="C296" t="s">
        <v>285</v>
      </c>
      <c r="D296" t="s">
        <v>15</v>
      </c>
      <c r="E296" t="s">
        <v>23</v>
      </c>
      <c r="F296">
        <v>681</v>
      </c>
      <c r="G296">
        <v>38</v>
      </c>
      <c r="H296">
        <v>3</v>
      </c>
      <c r="I296">
        <v>0</v>
      </c>
      <c r="J296">
        <v>2</v>
      </c>
      <c r="K296">
        <v>1</v>
      </c>
      <c r="L296">
        <v>1</v>
      </c>
      <c r="M296">
        <v>112491.96</v>
      </c>
      <c r="N296">
        <v>0</v>
      </c>
      <c r="O296" t="str">
        <f t="shared" si="16"/>
        <v>Good</v>
      </c>
      <c r="P296" t="str">
        <f t="shared" si="17"/>
        <v>Adult</v>
      </c>
      <c r="Q296" t="str">
        <f t="shared" si="18"/>
        <v>High Salary</v>
      </c>
      <c r="R296" t="str">
        <f t="shared" si="19"/>
        <v>Low Balance</v>
      </c>
    </row>
    <row r="297" spans="1:18" x14ac:dyDescent="0.25">
      <c r="A297">
        <v>296</v>
      </c>
      <c r="B297">
        <v>15723654</v>
      </c>
      <c r="C297" t="s">
        <v>75</v>
      </c>
      <c r="D297" t="s">
        <v>15</v>
      </c>
      <c r="E297" t="s">
        <v>23</v>
      </c>
      <c r="F297">
        <v>773</v>
      </c>
      <c r="G297">
        <v>25</v>
      </c>
      <c r="H297">
        <v>2</v>
      </c>
      <c r="I297">
        <v>135903.32999999999</v>
      </c>
      <c r="J297">
        <v>1</v>
      </c>
      <c r="K297">
        <v>1</v>
      </c>
      <c r="L297">
        <v>0</v>
      </c>
      <c r="M297">
        <v>73656.38</v>
      </c>
      <c r="N297">
        <v>0</v>
      </c>
      <c r="O297" t="str">
        <f t="shared" si="16"/>
        <v>Good</v>
      </c>
      <c r="P297" t="str">
        <f t="shared" si="17"/>
        <v>Young Adult</v>
      </c>
      <c r="Q297" t="str">
        <f t="shared" si="18"/>
        <v>High Salary</v>
      </c>
      <c r="R297" t="str">
        <f t="shared" si="19"/>
        <v>High Balance</v>
      </c>
    </row>
    <row r="298" spans="1:18" x14ac:dyDescent="0.25">
      <c r="A298">
        <v>297</v>
      </c>
      <c r="B298">
        <v>15774510</v>
      </c>
      <c r="C298" t="s">
        <v>153</v>
      </c>
      <c r="D298" t="s">
        <v>15</v>
      </c>
      <c r="E298" t="s">
        <v>16</v>
      </c>
      <c r="F298">
        <v>714</v>
      </c>
      <c r="G298">
        <v>31</v>
      </c>
      <c r="H298">
        <v>4</v>
      </c>
      <c r="I298">
        <v>125169.26</v>
      </c>
      <c r="J298">
        <v>1</v>
      </c>
      <c r="K298">
        <v>1</v>
      </c>
      <c r="L298">
        <v>1</v>
      </c>
      <c r="M298">
        <v>106636.89</v>
      </c>
      <c r="N298">
        <v>0</v>
      </c>
      <c r="O298" t="str">
        <f t="shared" si="16"/>
        <v>Good</v>
      </c>
      <c r="P298" t="str">
        <f t="shared" si="17"/>
        <v>Adult</v>
      </c>
      <c r="Q298" t="str">
        <f t="shared" si="18"/>
        <v>High Salary</v>
      </c>
      <c r="R298" t="str">
        <f t="shared" si="19"/>
        <v>High Balance</v>
      </c>
    </row>
    <row r="299" spans="1:18" x14ac:dyDescent="0.25">
      <c r="A299">
        <v>298</v>
      </c>
      <c r="B299">
        <v>15684173</v>
      </c>
      <c r="C299" t="s">
        <v>191</v>
      </c>
      <c r="D299" t="s">
        <v>18</v>
      </c>
      <c r="E299" t="s">
        <v>16</v>
      </c>
      <c r="F299">
        <v>687</v>
      </c>
      <c r="G299">
        <v>44</v>
      </c>
      <c r="H299">
        <v>7</v>
      </c>
      <c r="I299">
        <v>0</v>
      </c>
      <c r="J299">
        <v>3</v>
      </c>
      <c r="K299">
        <v>1</v>
      </c>
      <c r="L299">
        <v>0</v>
      </c>
      <c r="M299">
        <v>155853.51999999999</v>
      </c>
      <c r="N299">
        <v>1</v>
      </c>
      <c r="O299" t="str">
        <f t="shared" si="16"/>
        <v>Good</v>
      </c>
      <c r="P299" t="str">
        <f t="shared" si="17"/>
        <v>Adult</v>
      </c>
      <c r="Q299" t="str">
        <f t="shared" si="18"/>
        <v>High Salary</v>
      </c>
      <c r="R299" t="str">
        <f t="shared" si="19"/>
        <v>Low Balance</v>
      </c>
    </row>
    <row r="300" spans="1:18" x14ac:dyDescent="0.25">
      <c r="A300">
        <v>299</v>
      </c>
      <c r="B300">
        <v>15650068</v>
      </c>
      <c r="C300" t="s">
        <v>286</v>
      </c>
      <c r="D300" t="s">
        <v>15</v>
      </c>
      <c r="E300" t="s">
        <v>23</v>
      </c>
      <c r="F300">
        <v>511</v>
      </c>
      <c r="G300">
        <v>58</v>
      </c>
      <c r="H300">
        <v>0</v>
      </c>
      <c r="I300">
        <v>149117.31</v>
      </c>
      <c r="J300">
        <v>1</v>
      </c>
      <c r="K300">
        <v>1</v>
      </c>
      <c r="L300">
        <v>1</v>
      </c>
      <c r="M300">
        <v>162599.51</v>
      </c>
      <c r="N300">
        <v>0</v>
      </c>
      <c r="O300" t="str">
        <f t="shared" si="16"/>
        <v>Poor</v>
      </c>
      <c r="P300" t="str">
        <f t="shared" si="17"/>
        <v>Senior</v>
      </c>
      <c r="Q300" t="str">
        <f t="shared" si="18"/>
        <v>High Salary</v>
      </c>
      <c r="R300" t="str">
        <f t="shared" si="19"/>
        <v>High Balance</v>
      </c>
    </row>
    <row r="301" spans="1:18" x14ac:dyDescent="0.25">
      <c r="A301">
        <v>300</v>
      </c>
      <c r="B301">
        <v>15811490</v>
      </c>
      <c r="C301" t="s">
        <v>287</v>
      </c>
      <c r="D301" t="s">
        <v>15</v>
      </c>
      <c r="E301" t="s">
        <v>23</v>
      </c>
      <c r="F301">
        <v>627</v>
      </c>
      <c r="G301">
        <v>33</v>
      </c>
      <c r="H301">
        <v>5</v>
      </c>
      <c r="I301">
        <v>0</v>
      </c>
      <c r="J301">
        <v>2</v>
      </c>
      <c r="K301">
        <v>1</v>
      </c>
      <c r="L301">
        <v>1</v>
      </c>
      <c r="M301">
        <v>103737.82</v>
      </c>
      <c r="N301">
        <v>0</v>
      </c>
      <c r="O301" t="str">
        <f t="shared" si="16"/>
        <v>Average</v>
      </c>
      <c r="P301" t="str">
        <f t="shared" si="17"/>
        <v>Adult</v>
      </c>
      <c r="Q301" t="str">
        <f t="shared" si="18"/>
        <v>High Salary</v>
      </c>
      <c r="R301" t="str">
        <f t="shared" si="19"/>
        <v>Low Balance</v>
      </c>
    </row>
    <row r="302" spans="1:18" x14ac:dyDescent="0.25">
      <c r="A302">
        <v>301</v>
      </c>
      <c r="B302">
        <v>15803976</v>
      </c>
      <c r="C302" t="s">
        <v>288</v>
      </c>
      <c r="D302" t="s">
        <v>15</v>
      </c>
      <c r="E302" t="s">
        <v>16</v>
      </c>
      <c r="F302">
        <v>694</v>
      </c>
      <c r="G302">
        <v>31</v>
      </c>
      <c r="H302">
        <v>10</v>
      </c>
      <c r="I302">
        <v>0</v>
      </c>
      <c r="J302">
        <v>2</v>
      </c>
      <c r="K302">
        <v>1</v>
      </c>
      <c r="L302">
        <v>0</v>
      </c>
      <c r="M302">
        <v>160990.26999999999</v>
      </c>
      <c r="N302">
        <v>0</v>
      </c>
      <c r="O302" t="str">
        <f t="shared" si="16"/>
        <v>Good</v>
      </c>
      <c r="P302" t="str">
        <f t="shared" si="17"/>
        <v>Adult</v>
      </c>
      <c r="Q302" t="str">
        <f t="shared" si="18"/>
        <v>High Salary</v>
      </c>
      <c r="R302" t="str">
        <f t="shared" si="19"/>
        <v>Low Balance</v>
      </c>
    </row>
    <row r="303" spans="1:18" x14ac:dyDescent="0.25">
      <c r="A303">
        <v>302</v>
      </c>
      <c r="B303">
        <v>15682541</v>
      </c>
      <c r="C303" t="s">
        <v>289</v>
      </c>
      <c r="D303" t="s">
        <v>18</v>
      </c>
      <c r="E303" t="s">
        <v>16</v>
      </c>
      <c r="F303">
        <v>616</v>
      </c>
      <c r="G303">
        <v>36</v>
      </c>
      <c r="H303">
        <v>6</v>
      </c>
      <c r="I303">
        <v>132311.71</v>
      </c>
      <c r="J303">
        <v>1</v>
      </c>
      <c r="K303">
        <v>0</v>
      </c>
      <c r="L303">
        <v>0</v>
      </c>
      <c r="M303">
        <v>15462.84</v>
      </c>
      <c r="N303">
        <v>0</v>
      </c>
      <c r="O303" t="str">
        <f t="shared" si="16"/>
        <v>Average</v>
      </c>
      <c r="P303" t="str">
        <f t="shared" si="17"/>
        <v>Adult</v>
      </c>
      <c r="Q303" t="str">
        <f t="shared" si="18"/>
        <v>Low Salary</v>
      </c>
      <c r="R303" t="str">
        <f t="shared" si="19"/>
        <v>High Balance</v>
      </c>
    </row>
    <row r="304" spans="1:18" x14ac:dyDescent="0.25">
      <c r="A304">
        <v>303</v>
      </c>
      <c r="B304">
        <v>15695699</v>
      </c>
      <c r="C304" t="s">
        <v>290</v>
      </c>
      <c r="D304" t="s">
        <v>15</v>
      </c>
      <c r="E304" t="s">
        <v>23</v>
      </c>
      <c r="F304">
        <v>687</v>
      </c>
      <c r="G304">
        <v>35</v>
      </c>
      <c r="H304">
        <v>8</v>
      </c>
      <c r="I304">
        <v>0</v>
      </c>
      <c r="J304">
        <v>2</v>
      </c>
      <c r="K304">
        <v>1</v>
      </c>
      <c r="L304">
        <v>0</v>
      </c>
      <c r="M304">
        <v>10334.049999999999</v>
      </c>
      <c r="N304">
        <v>0</v>
      </c>
      <c r="O304" t="str">
        <f t="shared" si="16"/>
        <v>Good</v>
      </c>
      <c r="P304" t="str">
        <f t="shared" si="17"/>
        <v>Adult</v>
      </c>
      <c r="Q304" t="str">
        <f t="shared" si="18"/>
        <v>Low Salary</v>
      </c>
      <c r="R304" t="str">
        <f t="shared" si="19"/>
        <v>Low Balance</v>
      </c>
    </row>
    <row r="305" spans="1:18" x14ac:dyDescent="0.25">
      <c r="A305">
        <v>304</v>
      </c>
      <c r="B305">
        <v>15624188</v>
      </c>
      <c r="C305" t="s">
        <v>291</v>
      </c>
      <c r="D305" t="s">
        <v>15</v>
      </c>
      <c r="E305" t="s">
        <v>16</v>
      </c>
      <c r="F305">
        <v>712</v>
      </c>
      <c r="G305">
        <v>33</v>
      </c>
      <c r="H305">
        <v>6</v>
      </c>
      <c r="I305">
        <v>0</v>
      </c>
      <c r="J305">
        <v>2</v>
      </c>
      <c r="K305">
        <v>1</v>
      </c>
      <c r="L305">
        <v>1</v>
      </c>
      <c r="M305">
        <v>190686.16</v>
      </c>
      <c r="N305">
        <v>0</v>
      </c>
      <c r="O305" t="str">
        <f t="shared" si="16"/>
        <v>Good</v>
      </c>
      <c r="P305" t="str">
        <f t="shared" si="17"/>
        <v>Adult</v>
      </c>
      <c r="Q305" t="str">
        <f t="shared" si="18"/>
        <v>High Salary</v>
      </c>
      <c r="R305" t="str">
        <f t="shared" si="19"/>
        <v>Low Balance</v>
      </c>
    </row>
    <row r="306" spans="1:18" x14ac:dyDescent="0.25">
      <c r="A306">
        <v>305</v>
      </c>
      <c r="B306">
        <v>15812191</v>
      </c>
      <c r="C306" t="s">
        <v>292</v>
      </c>
      <c r="D306" t="s">
        <v>15</v>
      </c>
      <c r="E306" t="s">
        <v>23</v>
      </c>
      <c r="F306">
        <v>553</v>
      </c>
      <c r="G306">
        <v>33</v>
      </c>
      <c r="H306">
        <v>4</v>
      </c>
      <c r="I306">
        <v>118082.89</v>
      </c>
      <c r="J306">
        <v>1</v>
      </c>
      <c r="K306">
        <v>0</v>
      </c>
      <c r="L306">
        <v>0</v>
      </c>
      <c r="M306">
        <v>94440.45</v>
      </c>
      <c r="N306">
        <v>0</v>
      </c>
      <c r="O306" t="str">
        <f t="shared" si="16"/>
        <v>Poor</v>
      </c>
      <c r="P306" t="str">
        <f t="shared" si="17"/>
        <v>Adult</v>
      </c>
      <c r="Q306" t="str">
        <f t="shared" si="18"/>
        <v>High Salary</v>
      </c>
      <c r="R306" t="str">
        <f t="shared" si="19"/>
        <v>High Balance</v>
      </c>
    </row>
    <row r="307" spans="1:18" x14ac:dyDescent="0.25">
      <c r="A307">
        <v>306</v>
      </c>
      <c r="B307">
        <v>15636673</v>
      </c>
      <c r="C307" t="s">
        <v>293</v>
      </c>
      <c r="D307" t="s">
        <v>15</v>
      </c>
      <c r="E307" t="s">
        <v>23</v>
      </c>
      <c r="F307">
        <v>667</v>
      </c>
      <c r="G307">
        <v>31</v>
      </c>
      <c r="H307">
        <v>1</v>
      </c>
      <c r="I307">
        <v>119266.69</v>
      </c>
      <c r="J307">
        <v>1</v>
      </c>
      <c r="K307">
        <v>1</v>
      </c>
      <c r="L307">
        <v>1</v>
      </c>
      <c r="M307">
        <v>28257.63</v>
      </c>
      <c r="N307">
        <v>0</v>
      </c>
      <c r="O307" t="str">
        <f t="shared" si="16"/>
        <v>Average</v>
      </c>
      <c r="P307" t="str">
        <f t="shared" si="17"/>
        <v>Adult</v>
      </c>
      <c r="Q307" t="str">
        <f t="shared" si="18"/>
        <v>Low Salary</v>
      </c>
      <c r="R307" t="str">
        <f t="shared" si="19"/>
        <v>High Balance</v>
      </c>
    </row>
    <row r="308" spans="1:18" x14ac:dyDescent="0.25">
      <c r="A308">
        <v>307</v>
      </c>
      <c r="B308">
        <v>15594898</v>
      </c>
      <c r="C308" t="s">
        <v>294</v>
      </c>
      <c r="D308" t="s">
        <v>15</v>
      </c>
      <c r="E308" t="s">
        <v>23</v>
      </c>
      <c r="F308">
        <v>731</v>
      </c>
      <c r="G308">
        <v>43</v>
      </c>
      <c r="H308">
        <v>2</v>
      </c>
      <c r="I308">
        <v>0</v>
      </c>
      <c r="J308">
        <v>1</v>
      </c>
      <c r="K308">
        <v>1</v>
      </c>
      <c r="L308">
        <v>1</v>
      </c>
      <c r="M308">
        <v>170034.95</v>
      </c>
      <c r="N308">
        <v>1</v>
      </c>
      <c r="O308" t="str">
        <f t="shared" si="16"/>
        <v>Good</v>
      </c>
      <c r="P308" t="str">
        <f t="shared" si="17"/>
        <v>Adult</v>
      </c>
      <c r="Q308" t="str">
        <f t="shared" si="18"/>
        <v>High Salary</v>
      </c>
      <c r="R308" t="str">
        <f t="shared" si="19"/>
        <v>Low Balance</v>
      </c>
    </row>
    <row r="309" spans="1:18" x14ac:dyDescent="0.25">
      <c r="A309">
        <v>308</v>
      </c>
      <c r="B309">
        <v>15660211</v>
      </c>
      <c r="C309" t="s">
        <v>219</v>
      </c>
      <c r="D309" t="s">
        <v>26</v>
      </c>
      <c r="E309" t="s">
        <v>23</v>
      </c>
      <c r="F309">
        <v>629</v>
      </c>
      <c r="G309">
        <v>35</v>
      </c>
      <c r="H309">
        <v>7</v>
      </c>
      <c r="I309">
        <v>156847.29</v>
      </c>
      <c r="J309">
        <v>2</v>
      </c>
      <c r="K309">
        <v>1</v>
      </c>
      <c r="L309">
        <v>0</v>
      </c>
      <c r="M309">
        <v>31824.29</v>
      </c>
      <c r="N309">
        <v>0</v>
      </c>
      <c r="O309" t="str">
        <f t="shared" si="16"/>
        <v>Average</v>
      </c>
      <c r="P309" t="str">
        <f t="shared" si="17"/>
        <v>Adult</v>
      </c>
      <c r="Q309" t="str">
        <f t="shared" si="18"/>
        <v>Medium Salary</v>
      </c>
      <c r="R309" t="str">
        <f t="shared" si="19"/>
        <v>High Balance</v>
      </c>
    </row>
    <row r="310" spans="1:18" x14ac:dyDescent="0.25">
      <c r="A310">
        <v>309</v>
      </c>
      <c r="B310">
        <v>15773972</v>
      </c>
      <c r="C310" t="s">
        <v>295</v>
      </c>
      <c r="D310" t="s">
        <v>15</v>
      </c>
      <c r="E310" t="s">
        <v>23</v>
      </c>
      <c r="F310">
        <v>614</v>
      </c>
      <c r="G310">
        <v>50</v>
      </c>
      <c r="H310">
        <v>4</v>
      </c>
      <c r="I310">
        <v>137104.47</v>
      </c>
      <c r="J310">
        <v>1</v>
      </c>
      <c r="K310">
        <v>1</v>
      </c>
      <c r="L310">
        <v>0</v>
      </c>
      <c r="M310">
        <v>127166.49</v>
      </c>
      <c r="N310">
        <v>1</v>
      </c>
      <c r="O310" t="str">
        <f t="shared" si="16"/>
        <v>Average</v>
      </c>
      <c r="P310" t="str">
        <f t="shared" si="17"/>
        <v>Adult</v>
      </c>
      <c r="Q310" t="str">
        <f t="shared" si="18"/>
        <v>High Salary</v>
      </c>
      <c r="R310" t="str">
        <f t="shared" si="19"/>
        <v>High Balance</v>
      </c>
    </row>
    <row r="311" spans="1:18" x14ac:dyDescent="0.25">
      <c r="A311">
        <v>310</v>
      </c>
      <c r="B311">
        <v>15746726</v>
      </c>
      <c r="C311" t="s">
        <v>296</v>
      </c>
      <c r="D311" t="s">
        <v>26</v>
      </c>
      <c r="E311" t="s">
        <v>23</v>
      </c>
      <c r="F311">
        <v>438</v>
      </c>
      <c r="G311">
        <v>31</v>
      </c>
      <c r="H311">
        <v>8</v>
      </c>
      <c r="I311">
        <v>78398.69</v>
      </c>
      <c r="J311">
        <v>1</v>
      </c>
      <c r="K311">
        <v>1</v>
      </c>
      <c r="L311">
        <v>0</v>
      </c>
      <c r="M311">
        <v>44937.01</v>
      </c>
      <c r="N311">
        <v>0</v>
      </c>
      <c r="O311" t="str">
        <f t="shared" si="16"/>
        <v>Poor</v>
      </c>
      <c r="P311" t="str">
        <f t="shared" si="17"/>
        <v>Adult</v>
      </c>
      <c r="Q311" t="str">
        <f t="shared" si="18"/>
        <v>Medium Salary</v>
      </c>
      <c r="R311" t="str">
        <f t="shared" si="19"/>
        <v>Medium Balance</v>
      </c>
    </row>
    <row r="312" spans="1:18" x14ac:dyDescent="0.25">
      <c r="A312">
        <v>311</v>
      </c>
      <c r="B312">
        <v>15712287</v>
      </c>
      <c r="C312" t="s">
        <v>297</v>
      </c>
      <c r="D312" t="s">
        <v>15</v>
      </c>
      <c r="E312" t="s">
        <v>16</v>
      </c>
      <c r="F312">
        <v>652</v>
      </c>
      <c r="G312">
        <v>80</v>
      </c>
      <c r="H312">
        <v>4</v>
      </c>
      <c r="I312">
        <v>0</v>
      </c>
      <c r="J312">
        <v>2</v>
      </c>
      <c r="K312">
        <v>1</v>
      </c>
      <c r="L312">
        <v>1</v>
      </c>
      <c r="M312">
        <v>188603.07</v>
      </c>
      <c r="N312">
        <v>0</v>
      </c>
      <c r="O312" t="str">
        <f t="shared" si="16"/>
        <v>Average</v>
      </c>
      <c r="P312" t="str">
        <f t="shared" si="17"/>
        <v>Senior</v>
      </c>
      <c r="Q312" t="str">
        <f t="shared" si="18"/>
        <v>High Salary</v>
      </c>
      <c r="R312" t="str">
        <f t="shared" si="19"/>
        <v>Low Balance</v>
      </c>
    </row>
    <row r="313" spans="1:18" x14ac:dyDescent="0.25">
      <c r="A313">
        <v>312</v>
      </c>
      <c r="B313">
        <v>15702919</v>
      </c>
      <c r="C313" t="s">
        <v>210</v>
      </c>
      <c r="D313" t="s">
        <v>26</v>
      </c>
      <c r="E313" t="s">
        <v>23</v>
      </c>
      <c r="F313">
        <v>729</v>
      </c>
      <c r="G313">
        <v>30</v>
      </c>
      <c r="H313">
        <v>6</v>
      </c>
      <c r="I313">
        <v>63669.42</v>
      </c>
      <c r="J313">
        <v>1</v>
      </c>
      <c r="K313">
        <v>1</v>
      </c>
      <c r="L313">
        <v>0</v>
      </c>
      <c r="M313">
        <v>145111.37</v>
      </c>
      <c r="N313">
        <v>0</v>
      </c>
      <c r="O313" t="str">
        <f t="shared" si="16"/>
        <v>Good</v>
      </c>
      <c r="P313" t="str">
        <f t="shared" si="17"/>
        <v>Young Adult</v>
      </c>
      <c r="Q313" t="str">
        <f t="shared" si="18"/>
        <v>High Salary</v>
      </c>
      <c r="R313" t="str">
        <f t="shared" si="19"/>
        <v>Medium Balance</v>
      </c>
    </row>
    <row r="314" spans="1:18" x14ac:dyDescent="0.25">
      <c r="A314">
        <v>313</v>
      </c>
      <c r="B314">
        <v>15674398</v>
      </c>
      <c r="C314" t="s">
        <v>298</v>
      </c>
      <c r="D314" t="s">
        <v>15</v>
      </c>
      <c r="E314" t="s">
        <v>23</v>
      </c>
      <c r="F314">
        <v>642</v>
      </c>
      <c r="G314">
        <v>38</v>
      </c>
      <c r="H314">
        <v>3</v>
      </c>
      <c r="I314">
        <v>0</v>
      </c>
      <c r="J314">
        <v>2</v>
      </c>
      <c r="K314">
        <v>0</v>
      </c>
      <c r="L314">
        <v>0</v>
      </c>
      <c r="M314">
        <v>171463.83</v>
      </c>
      <c r="N314">
        <v>0</v>
      </c>
      <c r="O314" t="str">
        <f t="shared" si="16"/>
        <v>Average</v>
      </c>
      <c r="P314" t="str">
        <f t="shared" si="17"/>
        <v>Adult</v>
      </c>
      <c r="Q314" t="str">
        <f t="shared" si="18"/>
        <v>High Salary</v>
      </c>
      <c r="R314" t="str">
        <f t="shared" si="19"/>
        <v>Low Balance</v>
      </c>
    </row>
    <row r="315" spans="1:18" x14ac:dyDescent="0.25">
      <c r="A315">
        <v>314</v>
      </c>
      <c r="B315">
        <v>15797960</v>
      </c>
      <c r="C315" t="s">
        <v>299</v>
      </c>
      <c r="D315" t="s">
        <v>26</v>
      </c>
      <c r="E315" t="s">
        <v>16</v>
      </c>
      <c r="F315">
        <v>806</v>
      </c>
      <c r="G315">
        <v>59</v>
      </c>
      <c r="H315">
        <v>0</v>
      </c>
      <c r="I315">
        <v>135296.32999999999</v>
      </c>
      <c r="J315">
        <v>1</v>
      </c>
      <c r="K315">
        <v>1</v>
      </c>
      <c r="L315">
        <v>0</v>
      </c>
      <c r="M315">
        <v>182822.5</v>
      </c>
      <c r="N315">
        <v>0</v>
      </c>
      <c r="O315" t="str">
        <f t="shared" si="16"/>
        <v>Good</v>
      </c>
      <c r="P315" t="str">
        <f t="shared" si="17"/>
        <v>Senior</v>
      </c>
      <c r="Q315" t="str">
        <f t="shared" si="18"/>
        <v>High Salary</v>
      </c>
      <c r="R315" t="str">
        <f t="shared" si="19"/>
        <v>High Balance</v>
      </c>
    </row>
    <row r="316" spans="1:18" x14ac:dyDescent="0.25">
      <c r="A316">
        <v>315</v>
      </c>
      <c r="B316">
        <v>15631868</v>
      </c>
      <c r="C316" t="s">
        <v>300</v>
      </c>
      <c r="D316" t="s">
        <v>18</v>
      </c>
      <c r="E316" t="s">
        <v>23</v>
      </c>
      <c r="F316">
        <v>744</v>
      </c>
      <c r="G316">
        <v>36</v>
      </c>
      <c r="H316">
        <v>2</v>
      </c>
      <c r="I316">
        <v>153804.44</v>
      </c>
      <c r="J316">
        <v>1</v>
      </c>
      <c r="K316">
        <v>1</v>
      </c>
      <c r="L316">
        <v>1</v>
      </c>
      <c r="M316">
        <v>87213.33</v>
      </c>
      <c r="N316">
        <v>0</v>
      </c>
      <c r="O316" t="str">
        <f t="shared" si="16"/>
        <v>Good</v>
      </c>
      <c r="P316" t="str">
        <f t="shared" si="17"/>
        <v>Adult</v>
      </c>
      <c r="Q316" t="str">
        <f t="shared" si="18"/>
        <v>High Salary</v>
      </c>
      <c r="R316" t="str">
        <f t="shared" si="19"/>
        <v>High Balance</v>
      </c>
    </row>
    <row r="317" spans="1:18" x14ac:dyDescent="0.25">
      <c r="A317">
        <v>316</v>
      </c>
      <c r="B317">
        <v>15581539</v>
      </c>
      <c r="C317" t="s">
        <v>301</v>
      </c>
      <c r="D317" t="s">
        <v>18</v>
      </c>
      <c r="E317" t="s">
        <v>23</v>
      </c>
      <c r="F317">
        <v>474</v>
      </c>
      <c r="G317">
        <v>37</v>
      </c>
      <c r="H317">
        <v>3</v>
      </c>
      <c r="I317">
        <v>0</v>
      </c>
      <c r="J317">
        <v>2</v>
      </c>
      <c r="K317">
        <v>0</v>
      </c>
      <c r="L317">
        <v>0</v>
      </c>
      <c r="M317">
        <v>57175.32</v>
      </c>
      <c r="N317">
        <v>0</v>
      </c>
      <c r="O317" t="str">
        <f t="shared" si="16"/>
        <v>Poor</v>
      </c>
      <c r="P317" t="str">
        <f t="shared" si="17"/>
        <v>Adult</v>
      </c>
      <c r="Q317" t="str">
        <f t="shared" si="18"/>
        <v>Medium Salary</v>
      </c>
      <c r="R317" t="str">
        <f t="shared" si="19"/>
        <v>Low Balance</v>
      </c>
    </row>
    <row r="318" spans="1:18" x14ac:dyDescent="0.25">
      <c r="A318">
        <v>317</v>
      </c>
      <c r="B318">
        <v>15662736</v>
      </c>
      <c r="C318" t="s">
        <v>296</v>
      </c>
      <c r="D318" t="s">
        <v>15</v>
      </c>
      <c r="E318" t="s">
        <v>23</v>
      </c>
      <c r="F318">
        <v>559</v>
      </c>
      <c r="G318">
        <v>49</v>
      </c>
      <c r="H318">
        <v>2</v>
      </c>
      <c r="I318">
        <v>147069.78</v>
      </c>
      <c r="J318">
        <v>1</v>
      </c>
      <c r="K318">
        <v>1</v>
      </c>
      <c r="L318">
        <v>0</v>
      </c>
      <c r="M318">
        <v>120540.83</v>
      </c>
      <c r="N318">
        <v>1</v>
      </c>
      <c r="O318" t="str">
        <f t="shared" si="16"/>
        <v>Poor</v>
      </c>
      <c r="P318" t="str">
        <f t="shared" si="17"/>
        <v>Adult</v>
      </c>
      <c r="Q318" t="str">
        <f t="shared" si="18"/>
        <v>High Salary</v>
      </c>
      <c r="R318" t="str">
        <f t="shared" si="19"/>
        <v>High Balance</v>
      </c>
    </row>
    <row r="319" spans="1:18" x14ac:dyDescent="0.25">
      <c r="A319">
        <v>318</v>
      </c>
      <c r="B319">
        <v>15666252</v>
      </c>
      <c r="C319" t="s">
        <v>109</v>
      </c>
      <c r="D319" t="s">
        <v>18</v>
      </c>
      <c r="E319" t="s">
        <v>23</v>
      </c>
      <c r="F319">
        <v>706</v>
      </c>
      <c r="G319">
        <v>42</v>
      </c>
      <c r="H319">
        <v>9</v>
      </c>
      <c r="I319">
        <v>0</v>
      </c>
      <c r="J319">
        <v>2</v>
      </c>
      <c r="K319">
        <v>1</v>
      </c>
      <c r="L319">
        <v>1</v>
      </c>
      <c r="M319">
        <v>28714.34</v>
      </c>
      <c r="N319">
        <v>0</v>
      </c>
      <c r="O319" t="str">
        <f t="shared" si="16"/>
        <v>Good</v>
      </c>
      <c r="P319" t="str">
        <f t="shared" si="17"/>
        <v>Adult</v>
      </c>
      <c r="Q319" t="str">
        <f t="shared" si="18"/>
        <v>Low Salary</v>
      </c>
      <c r="R319" t="str">
        <f t="shared" si="19"/>
        <v>Low Balance</v>
      </c>
    </row>
    <row r="320" spans="1:18" x14ac:dyDescent="0.25">
      <c r="A320">
        <v>319</v>
      </c>
      <c r="B320">
        <v>15677512</v>
      </c>
      <c r="C320" t="s">
        <v>302</v>
      </c>
      <c r="D320" t="s">
        <v>18</v>
      </c>
      <c r="E320" t="s">
        <v>16</v>
      </c>
      <c r="F320">
        <v>628</v>
      </c>
      <c r="G320">
        <v>22</v>
      </c>
      <c r="H320">
        <v>3</v>
      </c>
      <c r="I320">
        <v>0</v>
      </c>
      <c r="J320">
        <v>1</v>
      </c>
      <c r="K320">
        <v>1</v>
      </c>
      <c r="L320">
        <v>0</v>
      </c>
      <c r="M320">
        <v>85426.28</v>
      </c>
      <c r="N320">
        <v>0</v>
      </c>
      <c r="O320" t="str">
        <f t="shared" si="16"/>
        <v>Average</v>
      </c>
      <c r="P320" t="str">
        <f t="shared" si="17"/>
        <v>Young Adult</v>
      </c>
      <c r="Q320" t="str">
        <f t="shared" si="18"/>
        <v>High Salary</v>
      </c>
      <c r="R320" t="str">
        <f t="shared" si="19"/>
        <v>Low Balance</v>
      </c>
    </row>
    <row r="321" spans="1:18" x14ac:dyDescent="0.25">
      <c r="A321">
        <v>320</v>
      </c>
      <c r="B321">
        <v>15626114</v>
      </c>
      <c r="C321" t="s">
        <v>303</v>
      </c>
      <c r="D321" t="s">
        <v>15</v>
      </c>
      <c r="E321" t="s">
        <v>23</v>
      </c>
      <c r="F321">
        <v>429</v>
      </c>
      <c r="G321">
        <v>24</v>
      </c>
      <c r="H321">
        <v>4</v>
      </c>
      <c r="I321">
        <v>95741.75</v>
      </c>
      <c r="J321">
        <v>1</v>
      </c>
      <c r="K321">
        <v>1</v>
      </c>
      <c r="L321">
        <v>0</v>
      </c>
      <c r="M321">
        <v>46170.75</v>
      </c>
      <c r="N321">
        <v>0</v>
      </c>
      <c r="O321" t="str">
        <f t="shared" si="16"/>
        <v>Poor</v>
      </c>
      <c r="P321" t="str">
        <f t="shared" si="17"/>
        <v>Young Adult</v>
      </c>
      <c r="Q321" t="str">
        <f t="shared" si="18"/>
        <v>Medium Salary</v>
      </c>
      <c r="R321" t="str">
        <f t="shared" si="19"/>
        <v>Medium Balance</v>
      </c>
    </row>
    <row r="322" spans="1:18" x14ac:dyDescent="0.25">
      <c r="A322">
        <v>321</v>
      </c>
      <c r="B322">
        <v>15810834</v>
      </c>
      <c r="C322" t="s">
        <v>304</v>
      </c>
      <c r="D322" t="s">
        <v>18</v>
      </c>
      <c r="E322" t="s">
        <v>16</v>
      </c>
      <c r="F322">
        <v>525</v>
      </c>
      <c r="G322">
        <v>57</v>
      </c>
      <c r="H322">
        <v>2</v>
      </c>
      <c r="I322">
        <v>145965.32999999999</v>
      </c>
      <c r="J322">
        <v>1</v>
      </c>
      <c r="K322">
        <v>1</v>
      </c>
      <c r="L322">
        <v>1</v>
      </c>
      <c r="M322">
        <v>64448.36</v>
      </c>
      <c r="N322">
        <v>0</v>
      </c>
      <c r="O322" t="str">
        <f t="shared" si="16"/>
        <v>Poor</v>
      </c>
      <c r="P322" t="str">
        <f t="shared" si="17"/>
        <v>Senior</v>
      </c>
      <c r="Q322" t="str">
        <f t="shared" si="18"/>
        <v>Medium Salary</v>
      </c>
      <c r="R322" t="str">
        <f t="shared" si="19"/>
        <v>High Balance</v>
      </c>
    </row>
    <row r="323" spans="1:18" x14ac:dyDescent="0.25">
      <c r="A323">
        <v>322</v>
      </c>
      <c r="B323">
        <v>15678910</v>
      </c>
      <c r="C323" t="s">
        <v>305</v>
      </c>
      <c r="D323" t="s">
        <v>15</v>
      </c>
      <c r="E323" t="s">
        <v>16</v>
      </c>
      <c r="F323">
        <v>680</v>
      </c>
      <c r="G323">
        <v>30</v>
      </c>
      <c r="H323">
        <v>8</v>
      </c>
      <c r="I323">
        <v>141441.75</v>
      </c>
      <c r="J323">
        <v>1</v>
      </c>
      <c r="K323">
        <v>1</v>
      </c>
      <c r="L323">
        <v>1</v>
      </c>
      <c r="M323">
        <v>16278.97</v>
      </c>
      <c r="N323">
        <v>0</v>
      </c>
      <c r="O323" t="str">
        <f t="shared" ref="O323:O386" si="20">IF(F323&lt;580, "Poor", IF(AND(F323&gt;=580, F323&lt;=669), "Average", "Good"))</f>
        <v>Good</v>
      </c>
      <c r="P323" t="str">
        <f t="shared" ref="P323:P386" si="21">IF(G323&lt;=30, "Young Adult", IF(AND(G323&gt;=31, G323&lt;=50), "Adult", "Senior"))</f>
        <v>Young Adult</v>
      </c>
      <c r="Q323" t="str">
        <f t="shared" ref="Q323:Q386" si="22">IF(M323&lt;30000, "Low Salary", IF(AND(M323&gt;=30000, M323&lt;=70000), "Medium Salary", "High Salary"))</f>
        <v>Low Salary</v>
      </c>
      <c r="R323" t="str">
        <f t="shared" ref="R323:R386" si="23">IF(I323&lt;50000, "Low Balance", IF(AND(I323&gt;=50000, I323&lt;=100000), "Medium Balance", "High Balance"))</f>
        <v>High Balance</v>
      </c>
    </row>
    <row r="324" spans="1:18" x14ac:dyDescent="0.25">
      <c r="A324">
        <v>323</v>
      </c>
      <c r="B324">
        <v>15694408</v>
      </c>
      <c r="C324" t="s">
        <v>306</v>
      </c>
      <c r="D324" t="s">
        <v>15</v>
      </c>
      <c r="E324" t="s">
        <v>23</v>
      </c>
      <c r="F324">
        <v>749</v>
      </c>
      <c r="G324">
        <v>40</v>
      </c>
      <c r="H324">
        <v>1</v>
      </c>
      <c r="I324">
        <v>139290.41</v>
      </c>
      <c r="J324">
        <v>1</v>
      </c>
      <c r="K324">
        <v>1</v>
      </c>
      <c r="L324">
        <v>0</v>
      </c>
      <c r="M324">
        <v>182855.42</v>
      </c>
      <c r="N324">
        <v>1</v>
      </c>
      <c r="O324" t="str">
        <f t="shared" si="20"/>
        <v>Good</v>
      </c>
      <c r="P324" t="str">
        <f t="shared" si="21"/>
        <v>Adult</v>
      </c>
      <c r="Q324" t="str">
        <f t="shared" si="22"/>
        <v>High Salary</v>
      </c>
      <c r="R324" t="str">
        <f t="shared" si="23"/>
        <v>High Balance</v>
      </c>
    </row>
    <row r="325" spans="1:18" x14ac:dyDescent="0.25">
      <c r="A325">
        <v>324</v>
      </c>
      <c r="B325">
        <v>15585215</v>
      </c>
      <c r="C325" t="s">
        <v>307</v>
      </c>
      <c r="D325" t="s">
        <v>15</v>
      </c>
      <c r="E325" t="s">
        <v>16</v>
      </c>
      <c r="F325">
        <v>763</v>
      </c>
      <c r="G325">
        <v>31</v>
      </c>
      <c r="H325">
        <v>4</v>
      </c>
      <c r="I325">
        <v>0</v>
      </c>
      <c r="J325">
        <v>2</v>
      </c>
      <c r="K325">
        <v>0</v>
      </c>
      <c r="L325">
        <v>0</v>
      </c>
      <c r="M325">
        <v>50404.72</v>
      </c>
      <c r="N325">
        <v>0</v>
      </c>
      <c r="O325" t="str">
        <f t="shared" si="20"/>
        <v>Good</v>
      </c>
      <c r="P325" t="str">
        <f t="shared" si="21"/>
        <v>Adult</v>
      </c>
      <c r="Q325" t="str">
        <f t="shared" si="22"/>
        <v>Medium Salary</v>
      </c>
      <c r="R325" t="str">
        <f t="shared" si="23"/>
        <v>Low Balance</v>
      </c>
    </row>
    <row r="326" spans="1:18" x14ac:dyDescent="0.25">
      <c r="A326">
        <v>325</v>
      </c>
      <c r="B326">
        <v>15682757</v>
      </c>
      <c r="C326" t="s">
        <v>308</v>
      </c>
      <c r="D326" t="s">
        <v>15</v>
      </c>
      <c r="E326" t="s">
        <v>23</v>
      </c>
      <c r="F326">
        <v>734</v>
      </c>
      <c r="G326">
        <v>30</v>
      </c>
      <c r="H326">
        <v>3</v>
      </c>
      <c r="I326">
        <v>0</v>
      </c>
      <c r="J326">
        <v>2</v>
      </c>
      <c r="K326">
        <v>1</v>
      </c>
      <c r="L326">
        <v>0</v>
      </c>
      <c r="M326">
        <v>107640.25</v>
      </c>
      <c r="N326">
        <v>0</v>
      </c>
      <c r="O326" t="str">
        <f t="shared" si="20"/>
        <v>Good</v>
      </c>
      <c r="P326" t="str">
        <f t="shared" si="21"/>
        <v>Young Adult</v>
      </c>
      <c r="Q326" t="str">
        <f t="shared" si="22"/>
        <v>High Salary</v>
      </c>
      <c r="R326" t="str">
        <f t="shared" si="23"/>
        <v>Low Balance</v>
      </c>
    </row>
    <row r="327" spans="1:18" x14ac:dyDescent="0.25">
      <c r="A327">
        <v>326</v>
      </c>
      <c r="B327">
        <v>15736601</v>
      </c>
      <c r="C327" t="s">
        <v>309</v>
      </c>
      <c r="D327" t="s">
        <v>15</v>
      </c>
      <c r="E327" t="s">
        <v>23</v>
      </c>
      <c r="F327">
        <v>716</v>
      </c>
      <c r="G327">
        <v>35</v>
      </c>
      <c r="H327">
        <v>4</v>
      </c>
      <c r="I327">
        <v>144428.87</v>
      </c>
      <c r="J327">
        <v>1</v>
      </c>
      <c r="K327">
        <v>1</v>
      </c>
      <c r="L327">
        <v>0</v>
      </c>
      <c r="M327">
        <v>134132.65</v>
      </c>
      <c r="N327">
        <v>0</v>
      </c>
      <c r="O327" t="str">
        <f t="shared" si="20"/>
        <v>Good</v>
      </c>
      <c r="P327" t="str">
        <f t="shared" si="21"/>
        <v>Adult</v>
      </c>
      <c r="Q327" t="str">
        <f t="shared" si="22"/>
        <v>High Salary</v>
      </c>
      <c r="R327" t="str">
        <f t="shared" si="23"/>
        <v>High Balance</v>
      </c>
    </row>
    <row r="328" spans="1:18" x14ac:dyDescent="0.25">
      <c r="A328">
        <v>327</v>
      </c>
      <c r="B328">
        <v>15601848</v>
      </c>
      <c r="C328" t="s">
        <v>33</v>
      </c>
      <c r="D328" t="s">
        <v>15</v>
      </c>
      <c r="E328" t="s">
        <v>23</v>
      </c>
      <c r="F328">
        <v>594</v>
      </c>
      <c r="G328">
        <v>35</v>
      </c>
      <c r="H328">
        <v>2</v>
      </c>
      <c r="I328">
        <v>0</v>
      </c>
      <c r="J328">
        <v>2</v>
      </c>
      <c r="K328">
        <v>1</v>
      </c>
      <c r="L328">
        <v>0</v>
      </c>
      <c r="M328">
        <v>103480.69</v>
      </c>
      <c r="N328">
        <v>0</v>
      </c>
      <c r="O328" t="str">
        <f t="shared" si="20"/>
        <v>Average</v>
      </c>
      <c r="P328" t="str">
        <f t="shared" si="21"/>
        <v>Adult</v>
      </c>
      <c r="Q328" t="str">
        <f t="shared" si="22"/>
        <v>High Salary</v>
      </c>
      <c r="R328" t="str">
        <f t="shared" si="23"/>
        <v>Low Balance</v>
      </c>
    </row>
    <row r="329" spans="1:18" x14ac:dyDescent="0.25">
      <c r="A329">
        <v>328</v>
      </c>
      <c r="B329">
        <v>15736008</v>
      </c>
      <c r="C329" t="s">
        <v>79</v>
      </c>
      <c r="D329" t="s">
        <v>15</v>
      </c>
      <c r="E329" t="s">
        <v>16</v>
      </c>
      <c r="F329">
        <v>644</v>
      </c>
      <c r="G329">
        <v>46</v>
      </c>
      <c r="H329">
        <v>9</v>
      </c>
      <c r="I329">
        <v>95441.27</v>
      </c>
      <c r="J329">
        <v>1</v>
      </c>
      <c r="K329">
        <v>1</v>
      </c>
      <c r="L329">
        <v>0</v>
      </c>
      <c r="M329">
        <v>108761.05</v>
      </c>
      <c r="N329">
        <v>1</v>
      </c>
      <c r="O329" t="str">
        <f t="shared" si="20"/>
        <v>Average</v>
      </c>
      <c r="P329" t="str">
        <f t="shared" si="21"/>
        <v>Adult</v>
      </c>
      <c r="Q329" t="str">
        <f t="shared" si="22"/>
        <v>High Salary</v>
      </c>
      <c r="R329" t="str">
        <f t="shared" si="23"/>
        <v>Medium Balance</v>
      </c>
    </row>
    <row r="330" spans="1:18" x14ac:dyDescent="0.25">
      <c r="A330">
        <v>329</v>
      </c>
      <c r="B330">
        <v>15669064</v>
      </c>
      <c r="C330" t="s">
        <v>310</v>
      </c>
      <c r="D330" t="s">
        <v>26</v>
      </c>
      <c r="E330" t="s">
        <v>23</v>
      </c>
      <c r="F330">
        <v>671</v>
      </c>
      <c r="G330">
        <v>35</v>
      </c>
      <c r="H330">
        <v>1</v>
      </c>
      <c r="I330">
        <v>144848.74</v>
      </c>
      <c r="J330">
        <v>1</v>
      </c>
      <c r="K330">
        <v>1</v>
      </c>
      <c r="L330">
        <v>1</v>
      </c>
      <c r="M330">
        <v>179012.3</v>
      </c>
      <c r="N330">
        <v>0</v>
      </c>
      <c r="O330" t="str">
        <f t="shared" si="20"/>
        <v>Good</v>
      </c>
      <c r="P330" t="str">
        <f t="shared" si="21"/>
        <v>Adult</v>
      </c>
      <c r="Q330" t="str">
        <f t="shared" si="22"/>
        <v>High Salary</v>
      </c>
      <c r="R330" t="str">
        <f t="shared" si="23"/>
        <v>High Balance</v>
      </c>
    </row>
    <row r="331" spans="1:18" x14ac:dyDescent="0.25">
      <c r="A331">
        <v>330</v>
      </c>
      <c r="B331">
        <v>15624528</v>
      </c>
      <c r="C331" t="s">
        <v>311</v>
      </c>
      <c r="D331" t="s">
        <v>26</v>
      </c>
      <c r="E331" t="s">
        <v>23</v>
      </c>
      <c r="F331">
        <v>664</v>
      </c>
      <c r="G331">
        <v>26</v>
      </c>
      <c r="H331">
        <v>7</v>
      </c>
      <c r="I331">
        <v>116244.14</v>
      </c>
      <c r="J331">
        <v>2</v>
      </c>
      <c r="K331">
        <v>1</v>
      </c>
      <c r="L331">
        <v>1</v>
      </c>
      <c r="M331">
        <v>95145.14</v>
      </c>
      <c r="N331">
        <v>0</v>
      </c>
      <c r="O331" t="str">
        <f t="shared" si="20"/>
        <v>Average</v>
      </c>
      <c r="P331" t="str">
        <f t="shared" si="21"/>
        <v>Young Adult</v>
      </c>
      <c r="Q331" t="str">
        <f t="shared" si="22"/>
        <v>High Salary</v>
      </c>
      <c r="R331" t="str">
        <f t="shared" si="23"/>
        <v>High Balance</v>
      </c>
    </row>
    <row r="332" spans="1:18" x14ac:dyDescent="0.25">
      <c r="A332">
        <v>331</v>
      </c>
      <c r="B332">
        <v>15598493</v>
      </c>
      <c r="C332" t="s">
        <v>312</v>
      </c>
      <c r="D332" t="s">
        <v>15</v>
      </c>
      <c r="E332" t="s">
        <v>23</v>
      </c>
      <c r="F332">
        <v>656</v>
      </c>
      <c r="G332">
        <v>50</v>
      </c>
      <c r="H332">
        <v>7</v>
      </c>
      <c r="I332">
        <v>0</v>
      </c>
      <c r="J332">
        <v>2</v>
      </c>
      <c r="K332">
        <v>0</v>
      </c>
      <c r="L332">
        <v>1</v>
      </c>
      <c r="M332">
        <v>72143.44</v>
      </c>
      <c r="N332">
        <v>0</v>
      </c>
      <c r="O332" t="str">
        <f t="shared" si="20"/>
        <v>Average</v>
      </c>
      <c r="P332" t="str">
        <f t="shared" si="21"/>
        <v>Adult</v>
      </c>
      <c r="Q332" t="str">
        <f t="shared" si="22"/>
        <v>High Salary</v>
      </c>
      <c r="R332" t="str">
        <f t="shared" si="23"/>
        <v>Low Balance</v>
      </c>
    </row>
    <row r="333" spans="1:18" x14ac:dyDescent="0.25">
      <c r="A333">
        <v>332</v>
      </c>
      <c r="B333">
        <v>15601274</v>
      </c>
      <c r="C333" t="s">
        <v>313</v>
      </c>
      <c r="D333" t="s">
        <v>18</v>
      </c>
      <c r="E333" t="s">
        <v>16</v>
      </c>
      <c r="F333">
        <v>667</v>
      </c>
      <c r="G333">
        <v>40</v>
      </c>
      <c r="H333">
        <v>1</v>
      </c>
      <c r="I333">
        <v>146502.07</v>
      </c>
      <c r="J333">
        <v>1</v>
      </c>
      <c r="K333">
        <v>1</v>
      </c>
      <c r="L333">
        <v>0</v>
      </c>
      <c r="M333">
        <v>19162.89</v>
      </c>
      <c r="N333">
        <v>0</v>
      </c>
      <c r="O333" t="str">
        <f t="shared" si="20"/>
        <v>Average</v>
      </c>
      <c r="P333" t="str">
        <f t="shared" si="21"/>
        <v>Adult</v>
      </c>
      <c r="Q333" t="str">
        <f t="shared" si="22"/>
        <v>Low Salary</v>
      </c>
      <c r="R333" t="str">
        <f t="shared" si="23"/>
        <v>High Balance</v>
      </c>
    </row>
    <row r="334" spans="1:18" x14ac:dyDescent="0.25">
      <c r="A334">
        <v>333</v>
      </c>
      <c r="B334">
        <v>15702669</v>
      </c>
      <c r="C334" t="s">
        <v>314</v>
      </c>
      <c r="D334" t="s">
        <v>26</v>
      </c>
      <c r="E334" t="s">
        <v>23</v>
      </c>
      <c r="F334">
        <v>663</v>
      </c>
      <c r="G334">
        <v>44</v>
      </c>
      <c r="H334">
        <v>2</v>
      </c>
      <c r="I334">
        <v>117028.6</v>
      </c>
      <c r="J334">
        <v>2</v>
      </c>
      <c r="K334">
        <v>0</v>
      </c>
      <c r="L334">
        <v>1</v>
      </c>
      <c r="M334">
        <v>144680.18</v>
      </c>
      <c r="N334">
        <v>0</v>
      </c>
      <c r="O334" t="str">
        <f t="shared" si="20"/>
        <v>Average</v>
      </c>
      <c r="P334" t="str">
        <f t="shared" si="21"/>
        <v>Adult</v>
      </c>
      <c r="Q334" t="str">
        <f t="shared" si="22"/>
        <v>High Salary</v>
      </c>
      <c r="R334" t="str">
        <f t="shared" si="23"/>
        <v>High Balance</v>
      </c>
    </row>
    <row r="335" spans="1:18" x14ac:dyDescent="0.25">
      <c r="A335">
        <v>334</v>
      </c>
      <c r="B335">
        <v>15728669</v>
      </c>
      <c r="C335" t="s">
        <v>315</v>
      </c>
      <c r="D335" t="s">
        <v>26</v>
      </c>
      <c r="E335" t="s">
        <v>16</v>
      </c>
      <c r="F335">
        <v>584</v>
      </c>
      <c r="G335">
        <v>30</v>
      </c>
      <c r="H335">
        <v>8</v>
      </c>
      <c r="I335">
        <v>112013.81</v>
      </c>
      <c r="J335">
        <v>1</v>
      </c>
      <c r="K335">
        <v>1</v>
      </c>
      <c r="L335">
        <v>0</v>
      </c>
      <c r="M335">
        <v>177772.03</v>
      </c>
      <c r="N335">
        <v>1</v>
      </c>
      <c r="O335" t="str">
        <f t="shared" si="20"/>
        <v>Average</v>
      </c>
      <c r="P335" t="str">
        <f t="shared" si="21"/>
        <v>Young Adult</v>
      </c>
      <c r="Q335" t="str">
        <f t="shared" si="22"/>
        <v>High Salary</v>
      </c>
      <c r="R335" t="str">
        <f t="shared" si="23"/>
        <v>High Balance</v>
      </c>
    </row>
    <row r="336" spans="1:18" x14ac:dyDescent="0.25">
      <c r="A336">
        <v>335</v>
      </c>
      <c r="B336">
        <v>15742668</v>
      </c>
      <c r="C336" t="s">
        <v>316</v>
      </c>
      <c r="D336" t="s">
        <v>18</v>
      </c>
      <c r="E336" t="s">
        <v>16</v>
      </c>
      <c r="F336">
        <v>626</v>
      </c>
      <c r="G336">
        <v>37</v>
      </c>
      <c r="H336">
        <v>6</v>
      </c>
      <c r="I336">
        <v>108269.37</v>
      </c>
      <c r="J336">
        <v>1</v>
      </c>
      <c r="K336">
        <v>1</v>
      </c>
      <c r="L336">
        <v>0</v>
      </c>
      <c r="M336">
        <v>5597.94</v>
      </c>
      <c r="N336">
        <v>0</v>
      </c>
      <c r="O336" t="str">
        <f t="shared" si="20"/>
        <v>Average</v>
      </c>
      <c r="P336" t="str">
        <f t="shared" si="21"/>
        <v>Adult</v>
      </c>
      <c r="Q336" t="str">
        <f t="shared" si="22"/>
        <v>Low Salary</v>
      </c>
      <c r="R336" t="str">
        <f t="shared" si="23"/>
        <v>High Balance</v>
      </c>
    </row>
    <row r="337" spans="1:18" x14ac:dyDescent="0.25">
      <c r="A337">
        <v>336</v>
      </c>
      <c r="B337">
        <v>15697441</v>
      </c>
      <c r="C337" t="s">
        <v>317</v>
      </c>
      <c r="D337" t="s">
        <v>15</v>
      </c>
      <c r="E337" t="s">
        <v>23</v>
      </c>
      <c r="F337">
        <v>485</v>
      </c>
      <c r="G337">
        <v>29</v>
      </c>
      <c r="H337">
        <v>7</v>
      </c>
      <c r="I337">
        <v>182123.79</v>
      </c>
      <c r="J337">
        <v>1</v>
      </c>
      <c r="K337">
        <v>1</v>
      </c>
      <c r="L337">
        <v>0</v>
      </c>
      <c r="M337">
        <v>116828.51</v>
      </c>
      <c r="N337">
        <v>1</v>
      </c>
      <c r="O337" t="str">
        <f t="shared" si="20"/>
        <v>Poor</v>
      </c>
      <c r="P337" t="str">
        <f t="shared" si="21"/>
        <v>Young Adult</v>
      </c>
      <c r="Q337" t="str">
        <f t="shared" si="22"/>
        <v>High Salary</v>
      </c>
      <c r="R337" t="str">
        <f t="shared" si="23"/>
        <v>High Balance</v>
      </c>
    </row>
    <row r="338" spans="1:18" x14ac:dyDescent="0.25">
      <c r="A338">
        <v>337</v>
      </c>
      <c r="B338">
        <v>15740476</v>
      </c>
      <c r="C338" t="s">
        <v>75</v>
      </c>
      <c r="D338" t="s">
        <v>26</v>
      </c>
      <c r="E338" t="s">
        <v>16</v>
      </c>
      <c r="F338">
        <v>659</v>
      </c>
      <c r="G338">
        <v>32</v>
      </c>
      <c r="H338">
        <v>3</v>
      </c>
      <c r="I338">
        <v>150923.74</v>
      </c>
      <c r="J338">
        <v>2</v>
      </c>
      <c r="K338">
        <v>0</v>
      </c>
      <c r="L338">
        <v>1</v>
      </c>
      <c r="M338">
        <v>174652.51</v>
      </c>
      <c r="N338">
        <v>0</v>
      </c>
      <c r="O338" t="str">
        <f t="shared" si="20"/>
        <v>Average</v>
      </c>
      <c r="P338" t="str">
        <f t="shared" si="21"/>
        <v>Adult</v>
      </c>
      <c r="Q338" t="str">
        <f t="shared" si="22"/>
        <v>High Salary</v>
      </c>
      <c r="R338" t="str">
        <f t="shared" si="23"/>
        <v>High Balance</v>
      </c>
    </row>
    <row r="339" spans="1:18" x14ac:dyDescent="0.25">
      <c r="A339">
        <v>338</v>
      </c>
      <c r="B339">
        <v>15648064</v>
      </c>
      <c r="C339" t="s">
        <v>136</v>
      </c>
      <c r="D339" t="s">
        <v>15</v>
      </c>
      <c r="E339" t="s">
        <v>23</v>
      </c>
      <c r="F339">
        <v>649</v>
      </c>
      <c r="G339">
        <v>33</v>
      </c>
      <c r="H339">
        <v>2</v>
      </c>
      <c r="I339">
        <v>0</v>
      </c>
      <c r="J339">
        <v>2</v>
      </c>
      <c r="K339">
        <v>1</v>
      </c>
      <c r="L339">
        <v>0</v>
      </c>
      <c r="M339">
        <v>2010.98</v>
      </c>
      <c r="N339">
        <v>0</v>
      </c>
      <c r="O339" t="str">
        <f t="shared" si="20"/>
        <v>Average</v>
      </c>
      <c r="P339" t="str">
        <f t="shared" si="21"/>
        <v>Adult</v>
      </c>
      <c r="Q339" t="str">
        <f t="shared" si="22"/>
        <v>Low Salary</v>
      </c>
      <c r="R339" t="str">
        <f t="shared" si="23"/>
        <v>Low Balance</v>
      </c>
    </row>
    <row r="340" spans="1:18" x14ac:dyDescent="0.25">
      <c r="A340">
        <v>339</v>
      </c>
      <c r="B340">
        <v>15636624</v>
      </c>
      <c r="C340" t="s">
        <v>318</v>
      </c>
      <c r="D340" t="s">
        <v>18</v>
      </c>
      <c r="E340" t="s">
        <v>16</v>
      </c>
      <c r="F340">
        <v>805</v>
      </c>
      <c r="G340">
        <v>39</v>
      </c>
      <c r="H340">
        <v>5</v>
      </c>
      <c r="I340">
        <v>165272.13</v>
      </c>
      <c r="J340">
        <v>1</v>
      </c>
      <c r="K340">
        <v>1</v>
      </c>
      <c r="L340">
        <v>0</v>
      </c>
      <c r="M340">
        <v>14109.85</v>
      </c>
      <c r="N340">
        <v>1</v>
      </c>
      <c r="O340" t="str">
        <f t="shared" si="20"/>
        <v>Good</v>
      </c>
      <c r="P340" t="str">
        <f t="shared" si="21"/>
        <v>Adult</v>
      </c>
      <c r="Q340" t="str">
        <f t="shared" si="22"/>
        <v>Low Salary</v>
      </c>
      <c r="R340" t="str">
        <f t="shared" si="23"/>
        <v>High Balance</v>
      </c>
    </row>
    <row r="341" spans="1:18" x14ac:dyDescent="0.25">
      <c r="A341">
        <v>340</v>
      </c>
      <c r="B341">
        <v>15807923</v>
      </c>
      <c r="C341" t="s">
        <v>45</v>
      </c>
      <c r="D341" t="s">
        <v>26</v>
      </c>
      <c r="E341" t="s">
        <v>16</v>
      </c>
      <c r="F341">
        <v>716</v>
      </c>
      <c r="G341">
        <v>39</v>
      </c>
      <c r="H341">
        <v>10</v>
      </c>
      <c r="I341">
        <v>115301.31</v>
      </c>
      <c r="J341">
        <v>1</v>
      </c>
      <c r="K341">
        <v>1</v>
      </c>
      <c r="L341">
        <v>0</v>
      </c>
      <c r="M341">
        <v>43527.4</v>
      </c>
      <c r="N341">
        <v>1</v>
      </c>
      <c r="O341" t="str">
        <f t="shared" si="20"/>
        <v>Good</v>
      </c>
      <c r="P341" t="str">
        <f t="shared" si="21"/>
        <v>Adult</v>
      </c>
      <c r="Q341" t="str">
        <f t="shared" si="22"/>
        <v>Medium Salary</v>
      </c>
      <c r="R341" t="str">
        <f t="shared" si="23"/>
        <v>High Balance</v>
      </c>
    </row>
    <row r="342" spans="1:18" x14ac:dyDescent="0.25">
      <c r="A342">
        <v>341</v>
      </c>
      <c r="B342">
        <v>15745844</v>
      </c>
      <c r="C342" t="s">
        <v>319</v>
      </c>
      <c r="D342" t="s">
        <v>26</v>
      </c>
      <c r="E342" t="s">
        <v>16</v>
      </c>
      <c r="F342">
        <v>642</v>
      </c>
      <c r="G342">
        <v>40</v>
      </c>
      <c r="H342">
        <v>6</v>
      </c>
      <c r="I342">
        <v>129502.49</v>
      </c>
      <c r="J342">
        <v>2</v>
      </c>
      <c r="K342">
        <v>0</v>
      </c>
      <c r="L342">
        <v>1</v>
      </c>
      <c r="M342">
        <v>86099.23</v>
      </c>
      <c r="N342">
        <v>1</v>
      </c>
      <c r="O342" t="str">
        <f t="shared" si="20"/>
        <v>Average</v>
      </c>
      <c r="P342" t="str">
        <f t="shared" si="21"/>
        <v>Adult</v>
      </c>
      <c r="Q342" t="str">
        <f t="shared" si="22"/>
        <v>High Salary</v>
      </c>
      <c r="R342" t="str">
        <f t="shared" si="23"/>
        <v>High Balance</v>
      </c>
    </row>
    <row r="343" spans="1:18" x14ac:dyDescent="0.25">
      <c r="A343">
        <v>342</v>
      </c>
      <c r="B343">
        <v>15786170</v>
      </c>
      <c r="C343" t="s">
        <v>153</v>
      </c>
      <c r="D343" t="s">
        <v>15</v>
      </c>
      <c r="E343" t="s">
        <v>23</v>
      </c>
      <c r="F343">
        <v>659</v>
      </c>
      <c r="G343">
        <v>31</v>
      </c>
      <c r="H343">
        <v>4</v>
      </c>
      <c r="I343">
        <v>118342.26</v>
      </c>
      <c r="J343">
        <v>1</v>
      </c>
      <c r="K343">
        <v>0</v>
      </c>
      <c r="L343">
        <v>0</v>
      </c>
      <c r="M343">
        <v>161574.19</v>
      </c>
      <c r="N343">
        <v>0</v>
      </c>
      <c r="O343" t="str">
        <f t="shared" si="20"/>
        <v>Average</v>
      </c>
      <c r="P343" t="str">
        <f t="shared" si="21"/>
        <v>Adult</v>
      </c>
      <c r="Q343" t="str">
        <f t="shared" si="22"/>
        <v>High Salary</v>
      </c>
      <c r="R343" t="str">
        <f t="shared" si="23"/>
        <v>High Balance</v>
      </c>
    </row>
    <row r="344" spans="1:18" x14ac:dyDescent="0.25">
      <c r="A344">
        <v>343</v>
      </c>
      <c r="B344">
        <v>15681081</v>
      </c>
      <c r="C344" t="s">
        <v>320</v>
      </c>
      <c r="D344" t="s">
        <v>18</v>
      </c>
      <c r="E344" t="s">
        <v>16</v>
      </c>
      <c r="F344">
        <v>545</v>
      </c>
      <c r="G344">
        <v>47</v>
      </c>
      <c r="H344">
        <v>5</v>
      </c>
      <c r="I344">
        <v>0</v>
      </c>
      <c r="J344">
        <v>2</v>
      </c>
      <c r="K344">
        <v>1</v>
      </c>
      <c r="L344">
        <v>1</v>
      </c>
      <c r="M344">
        <v>38970.14</v>
      </c>
      <c r="N344">
        <v>0</v>
      </c>
      <c r="O344" t="str">
        <f t="shared" si="20"/>
        <v>Poor</v>
      </c>
      <c r="P344" t="str">
        <f t="shared" si="21"/>
        <v>Adult</v>
      </c>
      <c r="Q344" t="str">
        <f t="shared" si="22"/>
        <v>Medium Salary</v>
      </c>
      <c r="R344" t="str">
        <f t="shared" si="23"/>
        <v>Low Balance</v>
      </c>
    </row>
    <row r="345" spans="1:18" x14ac:dyDescent="0.25">
      <c r="A345">
        <v>344</v>
      </c>
      <c r="B345">
        <v>15684484</v>
      </c>
      <c r="C345" t="s">
        <v>321</v>
      </c>
      <c r="D345" t="s">
        <v>15</v>
      </c>
      <c r="E345" t="s">
        <v>23</v>
      </c>
      <c r="F345">
        <v>543</v>
      </c>
      <c r="G345">
        <v>22</v>
      </c>
      <c r="H345">
        <v>8</v>
      </c>
      <c r="I345">
        <v>0</v>
      </c>
      <c r="J345">
        <v>2</v>
      </c>
      <c r="K345">
        <v>0</v>
      </c>
      <c r="L345">
        <v>0</v>
      </c>
      <c r="M345">
        <v>127587.22</v>
      </c>
      <c r="N345">
        <v>0</v>
      </c>
      <c r="O345" t="str">
        <f t="shared" si="20"/>
        <v>Poor</v>
      </c>
      <c r="P345" t="str">
        <f t="shared" si="21"/>
        <v>Young Adult</v>
      </c>
      <c r="Q345" t="str">
        <f t="shared" si="22"/>
        <v>High Salary</v>
      </c>
      <c r="R345" t="str">
        <f t="shared" si="23"/>
        <v>Low Balance</v>
      </c>
    </row>
    <row r="346" spans="1:18" x14ac:dyDescent="0.25">
      <c r="A346">
        <v>345</v>
      </c>
      <c r="B346">
        <v>15785869</v>
      </c>
      <c r="C346" t="s">
        <v>88</v>
      </c>
      <c r="D346" t="s">
        <v>15</v>
      </c>
      <c r="E346" t="s">
        <v>16</v>
      </c>
      <c r="F346">
        <v>718</v>
      </c>
      <c r="G346">
        <v>25</v>
      </c>
      <c r="H346">
        <v>7</v>
      </c>
      <c r="I346">
        <v>0</v>
      </c>
      <c r="J346">
        <v>2</v>
      </c>
      <c r="K346">
        <v>1</v>
      </c>
      <c r="L346">
        <v>0</v>
      </c>
      <c r="M346">
        <v>30380.12</v>
      </c>
      <c r="N346">
        <v>0</v>
      </c>
      <c r="O346" t="str">
        <f t="shared" si="20"/>
        <v>Good</v>
      </c>
      <c r="P346" t="str">
        <f t="shared" si="21"/>
        <v>Young Adult</v>
      </c>
      <c r="Q346" t="str">
        <f t="shared" si="22"/>
        <v>Medium Salary</v>
      </c>
      <c r="R346" t="str">
        <f t="shared" si="23"/>
        <v>Low Balance</v>
      </c>
    </row>
    <row r="347" spans="1:18" x14ac:dyDescent="0.25">
      <c r="A347">
        <v>346</v>
      </c>
      <c r="B347">
        <v>15763859</v>
      </c>
      <c r="C347" t="s">
        <v>322</v>
      </c>
      <c r="D347" t="s">
        <v>15</v>
      </c>
      <c r="E347" t="s">
        <v>16</v>
      </c>
      <c r="F347">
        <v>840</v>
      </c>
      <c r="G347">
        <v>43</v>
      </c>
      <c r="H347">
        <v>7</v>
      </c>
      <c r="I347">
        <v>0</v>
      </c>
      <c r="J347">
        <v>2</v>
      </c>
      <c r="K347">
        <v>1</v>
      </c>
      <c r="L347">
        <v>0</v>
      </c>
      <c r="M347">
        <v>90908.95</v>
      </c>
      <c r="N347">
        <v>0</v>
      </c>
      <c r="O347" t="str">
        <f t="shared" si="20"/>
        <v>Good</v>
      </c>
      <c r="P347" t="str">
        <f t="shared" si="21"/>
        <v>Adult</v>
      </c>
      <c r="Q347" t="str">
        <f t="shared" si="22"/>
        <v>High Salary</v>
      </c>
      <c r="R347" t="str">
        <f t="shared" si="23"/>
        <v>Low Balance</v>
      </c>
    </row>
    <row r="348" spans="1:18" x14ac:dyDescent="0.25">
      <c r="A348">
        <v>347</v>
      </c>
      <c r="B348">
        <v>15658935</v>
      </c>
      <c r="C348" t="s">
        <v>231</v>
      </c>
      <c r="D348" t="s">
        <v>26</v>
      </c>
      <c r="E348" t="s">
        <v>16</v>
      </c>
      <c r="F348">
        <v>630</v>
      </c>
      <c r="G348">
        <v>34</v>
      </c>
      <c r="H348">
        <v>9</v>
      </c>
      <c r="I348">
        <v>106937.05</v>
      </c>
      <c r="J348">
        <v>2</v>
      </c>
      <c r="K348">
        <v>1</v>
      </c>
      <c r="L348">
        <v>0</v>
      </c>
      <c r="M348">
        <v>138275.01</v>
      </c>
      <c r="N348">
        <v>0</v>
      </c>
      <c r="O348" t="str">
        <f t="shared" si="20"/>
        <v>Average</v>
      </c>
      <c r="P348" t="str">
        <f t="shared" si="21"/>
        <v>Adult</v>
      </c>
      <c r="Q348" t="str">
        <f t="shared" si="22"/>
        <v>High Salary</v>
      </c>
      <c r="R348" t="str">
        <f t="shared" si="23"/>
        <v>High Balance</v>
      </c>
    </row>
    <row r="349" spans="1:18" x14ac:dyDescent="0.25">
      <c r="A349">
        <v>348</v>
      </c>
      <c r="B349">
        <v>15747358</v>
      </c>
      <c r="C349" t="s">
        <v>323</v>
      </c>
      <c r="D349" t="s">
        <v>26</v>
      </c>
      <c r="E349" t="s">
        <v>23</v>
      </c>
      <c r="F349">
        <v>643</v>
      </c>
      <c r="G349">
        <v>59</v>
      </c>
      <c r="H349">
        <v>3</v>
      </c>
      <c r="I349">
        <v>170331.37</v>
      </c>
      <c r="J349">
        <v>1</v>
      </c>
      <c r="K349">
        <v>1</v>
      </c>
      <c r="L349">
        <v>1</v>
      </c>
      <c r="M349">
        <v>32171.79</v>
      </c>
      <c r="N349">
        <v>0</v>
      </c>
      <c r="O349" t="str">
        <f t="shared" si="20"/>
        <v>Average</v>
      </c>
      <c r="P349" t="str">
        <f t="shared" si="21"/>
        <v>Senior</v>
      </c>
      <c r="Q349" t="str">
        <f t="shared" si="22"/>
        <v>Medium Salary</v>
      </c>
      <c r="R349" t="str">
        <f t="shared" si="23"/>
        <v>High Balance</v>
      </c>
    </row>
    <row r="350" spans="1:18" x14ac:dyDescent="0.25">
      <c r="A350">
        <v>349</v>
      </c>
      <c r="B350">
        <v>15735203</v>
      </c>
      <c r="C350" t="s">
        <v>324</v>
      </c>
      <c r="D350" t="s">
        <v>26</v>
      </c>
      <c r="E350" t="s">
        <v>16</v>
      </c>
      <c r="F350">
        <v>654</v>
      </c>
      <c r="G350">
        <v>32</v>
      </c>
      <c r="H350">
        <v>1</v>
      </c>
      <c r="I350">
        <v>114510.85</v>
      </c>
      <c r="J350">
        <v>1</v>
      </c>
      <c r="K350">
        <v>1</v>
      </c>
      <c r="L350">
        <v>1</v>
      </c>
      <c r="M350">
        <v>126143.23</v>
      </c>
      <c r="N350">
        <v>0</v>
      </c>
      <c r="O350" t="str">
        <f t="shared" si="20"/>
        <v>Average</v>
      </c>
      <c r="P350" t="str">
        <f t="shared" si="21"/>
        <v>Adult</v>
      </c>
      <c r="Q350" t="str">
        <f t="shared" si="22"/>
        <v>High Salary</v>
      </c>
      <c r="R350" t="str">
        <f t="shared" si="23"/>
        <v>High Balance</v>
      </c>
    </row>
    <row r="351" spans="1:18" x14ac:dyDescent="0.25">
      <c r="A351">
        <v>350</v>
      </c>
      <c r="B351">
        <v>15576256</v>
      </c>
      <c r="C351" t="s">
        <v>325</v>
      </c>
      <c r="D351" t="s">
        <v>15</v>
      </c>
      <c r="E351" t="s">
        <v>23</v>
      </c>
      <c r="F351">
        <v>582</v>
      </c>
      <c r="G351">
        <v>39</v>
      </c>
      <c r="H351">
        <v>5</v>
      </c>
      <c r="I351">
        <v>0</v>
      </c>
      <c r="J351">
        <v>2</v>
      </c>
      <c r="K351">
        <v>1</v>
      </c>
      <c r="L351">
        <v>1</v>
      </c>
      <c r="M351">
        <v>129892.93</v>
      </c>
      <c r="N351">
        <v>0</v>
      </c>
      <c r="O351" t="str">
        <f t="shared" si="20"/>
        <v>Average</v>
      </c>
      <c r="P351" t="str">
        <f t="shared" si="21"/>
        <v>Adult</v>
      </c>
      <c r="Q351" t="str">
        <f t="shared" si="22"/>
        <v>High Salary</v>
      </c>
      <c r="R351" t="str">
        <f t="shared" si="23"/>
        <v>Low Balance</v>
      </c>
    </row>
    <row r="352" spans="1:18" x14ac:dyDescent="0.25">
      <c r="A352">
        <v>351</v>
      </c>
      <c r="B352">
        <v>15659420</v>
      </c>
      <c r="C352" t="s">
        <v>326</v>
      </c>
      <c r="D352" t="s">
        <v>18</v>
      </c>
      <c r="E352" t="s">
        <v>23</v>
      </c>
      <c r="F352">
        <v>659</v>
      </c>
      <c r="G352">
        <v>32</v>
      </c>
      <c r="H352">
        <v>3</v>
      </c>
      <c r="I352">
        <v>107594.11</v>
      </c>
      <c r="J352">
        <v>2</v>
      </c>
      <c r="K352">
        <v>1</v>
      </c>
      <c r="L352">
        <v>1</v>
      </c>
      <c r="M352">
        <v>102416.84</v>
      </c>
      <c r="N352">
        <v>0</v>
      </c>
      <c r="O352" t="str">
        <f t="shared" si="20"/>
        <v>Average</v>
      </c>
      <c r="P352" t="str">
        <f t="shared" si="21"/>
        <v>Adult</v>
      </c>
      <c r="Q352" t="str">
        <f t="shared" si="22"/>
        <v>High Salary</v>
      </c>
      <c r="R352" t="str">
        <f t="shared" si="23"/>
        <v>High Balance</v>
      </c>
    </row>
    <row r="353" spans="1:18" x14ac:dyDescent="0.25">
      <c r="A353">
        <v>352</v>
      </c>
      <c r="B353">
        <v>15593365</v>
      </c>
      <c r="C353" t="s">
        <v>219</v>
      </c>
      <c r="D353" t="s">
        <v>18</v>
      </c>
      <c r="E353" t="s">
        <v>23</v>
      </c>
      <c r="F353">
        <v>762</v>
      </c>
      <c r="G353">
        <v>39</v>
      </c>
      <c r="H353">
        <v>2</v>
      </c>
      <c r="I353">
        <v>81273.13</v>
      </c>
      <c r="J353">
        <v>1</v>
      </c>
      <c r="K353">
        <v>1</v>
      </c>
      <c r="L353">
        <v>1</v>
      </c>
      <c r="M353">
        <v>18719.669999999998</v>
      </c>
      <c r="N353">
        <v>0</v>
      </c>
      <c r="O353" t="str">
        <f t="shared" si="20"/>
        <v>Good</v>
      </c>
      <c r="P353" t="str">
        <f t="shared" si="21"/>
        <v>Adult</v>
      </c>
      <c r="Q353" t="str">
        <f t="shared" si="22"/>
        <v>Low Salary</v>
      </c>
      <c r="R353" t="str">
        <f t="shared" si="23"/>
        <v>Medium Balance</v>
      </c>
    </row>
    <row r="354" spans="1:18" x14ac:dyDescent="0.25">
      <c r="A354">
        <v>353</v>
      </c>
      <c r="B354">
        <v>15777352</v>
      </c>
      <c r="C354" t="s">
        <v>327</v>
      </c>
      <c r="D354" t="s">
        <v>18</v>
      </c>
      <c r="E354" t="s">
        <v>16</v>
      </c>
      <c r="F354">
        <v>568</v>
      </c>
      <c r="G354">
        <v>32</v>
      </c>
      <c r="H354">
        <v>7</v>
      </c>
      <c r="I354">
        <v>169399.6</v>
      </c>
      <c r="J354">
        <v>1</v>
      </c>
      <c r="K354">
        <v>1</v>
      </c>
      <c r="L354">
        <v>0</v>
      </c>
      <c r="M354">
        <v>61936.22</v>
      </c>
      <c r="N354">
        <v>0</v>
      </c>
      <c r="O354" t="str">
        <f t="shared" si="20"/>
        <v>Poor</v>
      </c>
      <c r="P354" t="str">
        <f t="shared" si="21"/>
        <v>Adult</v>
      </c>
      <c r="Q354" t="str">
        <f t="shared" si="22"/>
        <v>Medium Salary</v>
      </c>
      <c r="R354" t="str">
        <f t="shared" si="23"/>
        <v>High Balance</v>
      </c>
    </row>
    <row r="355" spans="1:18" x14ac:dyDescent="0.25">
      <c r="A355">
        <v>354</v>
      </c>
      <c r="B355">
        <v>15812007</v>
      </c>
      <c r="C355" t="s">
        <v>328</v>
      </c>
      <c r="D355" t="s">
        <v>18</v>
      </c>
      <c r="E355" t="s">
        <v>23</v>
      </c>
      <c r="F355">
        <v>670</v>
      </c>
      <c r="G355">
        <v>25</v>
      </c>
      <c r="H355">
        <v>6</v>
      </c>
      <c r="I355">
        <v>0</v>
      </c>
      <c r="J355">
        <v>2</v>
      </c>
      <c r="K355">
        <v>1</v>
      </c>
      <c r="L355">
        <v>1</v>
      </c>
      <c r="M355">
        <v>78358.94</v>
      </c>
      <c r="N355">
        <v>0</v>
      </c>
      <c r="O355" t="str">
        <f t="shared" si="20"/>
        <v>Good</v>
      </c>
      <c r="P355" t="str">
        <f t="shared" si="21"/>
        <v>Young Adult</v>
      </c>
      <c r="Q355" t="str">
        <f t="shared" si="22"/>
        <v>High Salary</v>
      </c>
      <c r="R355" t="str">
        <f t="shared" si="23"/>
        <v>Low Balance</v>
      </c>
    </row>
    <row r="356" spans="1:18" x14ac:dyDescent="0.25">
      <c r="A356">
        <v>355</v>
      </c>
      <c r="B356">
        <v>15625461</v>
      </c>
      <c r="C356" t="s">
        <v>329</v>
      </c>
      <c r="D356" t="s">
        <v>15</v>
      </c>
      <c r="E356" t="s">
        <v>16</v>
      </c>
      <c r="F356">
        <v>613</v>
      </c>
      <c r="G356">
        <v>45</v>
      </c>
      <c r="H356">
        <v>1</v>
      </c>
      <c r="I356">
        <v>187841.99</v>
      </c>
      <c r="J356">
        <v>2</v>
      </c>
      <c r="K356">
        <v>1</v>
      </c>
      <c r="L356">
        <v>1</v>
      </c>
      <c r="M356">
        <v>147224.26999999999</v>
      </c>
      <c r="N356">
        <v>0</v>
      </c>
      <c r="O356" t="str">
        <f t="shared" si="20"/>
        <v>Average</v>
      </c>
      <c r="P356" t="str">
        <f t="shared" si="21"/>
        <v>Adult</v>
      </c>
      <c r="Q356" t="str">
        <f t="shared" si="22"/>
        <v>High Salary</v>
      </c>
      <c r="R356" t="str">
        <f t="shared" si="23"/>
        <v>High Balance</v>
      </c>
    </row>
    <row r="357" spans="1:18" x14ac:dyDescent="0.25">
      <c r="A357">
        <v>356</v>
      </c>
      <c r="B357">
        <v>15739438</v>
      </c>
      <c r="C357" t="s">
        <v>330</v>
      </c>
      <c r="D357" t="s">
        <v>15</v>
      </c>
      <c r="E357" t="s">
        <v>23</v>
      </c>
      <c r="F357">
        <v>539</v>
      </c>
      <c r="G357">
        <v>30</v>
      </c>
      <c r="H357">
        <v>0</v>
      </c>
      <c r="I357">
        <v>0</v>
      </c>
      <c r="J357">
        <v>2</v>
      </c>
      <c r="K357">
        <v>1</v>
      </c>
      <c r="L357">
        <v>0</v>
      </c>
      <c r="M357">
        <v>160979.66</v>
      </c>
      <c r="N357">
        <v>0</v>
      </c>
      <c r="O357" t="str">
        <f t="shared" si="20"/>
        <v>Poor</v>
      </c>
      <c r="P357" t="str">
        <f t="shared" si="21"/>
        <v>Young Adult</v>
      </c>
      <c r="Q357" t="str">
        <f t="shared" si="22"/>
        <v>High Salary</v>
      </c>
      <c r="R357" t="str">
        <f t="shared" si="23"/>
        <v>Low Balance</v>
      </c>
    </row>
    <row r="358" spans="1:18" x14ac:dyDescent="0.25">
      <c r="A358">
        <v>357</v>
      </c>
      <c r="B358">
        <v>15611759</v>
      </c>
      <c r="C358" t="s">
        <v>331</v>
      </c>
      <c r="D358" t="s">
        <v>18</v>
      </c>
      <c r="E358" t="s">
        <v>16</v>
      </c>
      <c r="F358">
        <v>850</v>
      </c>
      <c r="G358">
        <v>57</v>
      </c>
      <c r="H358">
        <v>8</v>
      </c>
      <c r="I358">
        <v>126776.3</v>
      </c>
      <c r="J358">
        <v>2</v>
      </c>
      <c r="K358">
        <v>1</v>
      </c>
      <c r="L358">
        <v>1</v>
      </c>
      <c r="M358">
        <v>132298.49</v>
      </c>
      <c r="N358">
        <v>0</v>
      </c>
      <c r="O358" t="str">
        <f t="shared" si="20"/>
        <v>Good</v>
      </c>
      <c r="P358" t="str">
        <f t="shared" si="21"/>
        <v>Senior</v>
      </c>
      <c r="Q358" t="str">
        <f t="shared" si="22"/>
        <v>High Salary</v>
      </c>
      <c r="R358" t="str">
        <f t="shared" si="23"/>
        <v>High Balance</v>
      </c>
    </row>
    <row r="359" spans="1:18" x14ac:dyDescent="0.25">
      <c r="A359">
        <v>358</v>
      </c>
      <c r="B359">
        <v>15661629</v>
      </c>
      <c r="C359" t="s">
        <v>332</v>
      </c>
      <c r="D359" t="s">
        <v>18</v>
      </c>
      <c r="E359" t="s">
        <v>23</v>
      </c>
      <c r="F359">
        <v>522</v>
      </c>
      <c r="G359">
        <v>34</v>
      </c>
      <c r="H359">
        <v>9</v>
      </c>
      <c r="I359">
        <v>126436.29</v>
      </c>
      <c r="J359">
        <v>1</v>
      </c>
      <c r="K359">
        <v>1</v>
      </c>
      <c r="L359">
        <v>0</v>
      </c>
      <c r="M359">
        <v>174248.52</v>
      </c>
      <c r="N359">
        <v>1</v>
      </c>
      <c r="O359" t="str">
        <f t="shared" si="20"/>
        <v>Poor</v>
      </c>
      <c r="P359" t="str">
        <f t="shared" si="21"/>
        <v>Adult</v>
      </c>
      <c r="Q359" t="str">
        <f t="shared" si="22"/>
        <v>High Salary</v>
      </c>
      <c r="R359" t="str">
        <f t="shared" si="23"/>
        <v>High Balance</v>
      </c>
    </row>
    <row r="360" spans="1:18" x14ac:dyDescent="0.25">
      <c r="A360">
        <v>359</v>
      </c>
      <c r="B360">
        <v>15633950</v>
      </c>
      <c r="C360" t="s">
        <v>43</v>
      </c>
      <c r="D360" t="s">
        <v>15</v>
      </c>
      <c r="E360" t="s">
        <v>23</v>
      </c>
      <c r="F360">
        <v>737</v>
      </c>
      <c r="G360">
        <v>41</v>
      </c>
      <c r="H360">
        <v>1</v>
      </c>
      <c r="I360">
        <v>101960.74</v>
      </c>
      <c r="J360">
        <v>1</v>
      </c>
      <c r="K360">
        <v>1</v>
      </c>
      <c r="L360">
        <v>1</v>
      </c>
      <c r="M360">
        <v>123547.28</v>
      </c>
      <c r="N360">
        <v>0</v>
      </c>
      <c r="O360" t="str">
        <f t="shared" si="20"/>
        <v>Good</v>
      </c>
      <c r="P360" t="str">
        <f t="shared" si="21"/>
        <v>Adult</v>
      </c>
      <c r="Q360" t="str">
        <f t="shared" si="22"/>
        <v>High Salary</v>
      </c>
      <c r="R360" t="str">
        <f t="shared" si="23"/>
        <v>High Balance</v>
      </c>
    </row>
    <row r="361" spans="1:18" x14ac:dyDescent="0.25">
      <c r="A361">
        <v>360</v>
      </c>
      <c r="B361">
        <v>15592386</v>
      </c>
      <c r="C361" t="s">
        <v>186</v>
      </c>
      <c r="D361" t="s">
        <v>15</v>
      </c>
      <c r="E361" t="s">
        <v>23</v>
      </c>
      <c r="F361">
        <v>520</v>
      </c>
      <c r="G361">
        <v>58</v>
      </c>
      <c r="H361">
        <v>3</v>
      </c>
      <c r="I361">
        <v>0</v>
      </c>
      <c r="J361">
        <v>2</v>
      </c>
      <c r="K361">
        <v>0</v>
      </c>
      <c r="L361">
        <v>1</v>
      </c>
      <c r="M361">
        <v>32790.019999999997</v>
      </c>
      <c r="N361">
        <v>0</v>
      </c>
      <c r="O361" t="str">
        <f t="shared" si="20"/>
        <v>Poor</v>
      </c>
      <c r="P361" t="str">
        <f t="shared" si="21"/>
        <v>Senior</v>
      </c>
      <c r="Q361" t="str">
        <f t="shared" si="22"/>
        <v>Medium Salary</v>
      </c>
      <c r="R361" t="str">
        <f t="shared" si="23"/>
        <v>Low Balance</v>
      </c>
    </row>
    <row r="362" spans="1:18" x14ac:dyDescent="0.25">
      <c r="A362">
        <v>361</v>
      </c>
      <c r="B362">
        <v>15803716</v>
      </c>
      <c r="C362" t="s">
        <v>333</v>
      </c>
      <c r="D362" t="s">
        <v>18</v>
      </c>
      <c r="E362" t="s">
        <v>23</v>
      </c>
      <c r="F362">
        <v>706</v>
      </c>
      <c r="G362">
        <v>28</v>
      </c>
      <c r="H362">
        <v>3</v>
      </c>
      <c r="I362">
        <v>0</v>
      </c>
      <c r="J362">
        <v>2</v>
      </c>
      <c r="K362">
        <v>0</v>
      </c>
      <c r="L362">
        <v>1</v>
      </c>
      <c r="M362">
        <v>181543.67</v>
      </c>
      <c r="N362">
        <v>0</v>
      </c>
      <c r="O362" t="str">
        <f t="shared" si="20"/>
        <v>Good</v>
      </c>
      <c r="P362" t="str">
        <f t="shared" si="21"/>
        <v>Young Adult</v>
      </c>
      <c r="Q362" t="str">
        <f t="shared" si="22"/>
        <v>High Salary</v>
      </c>
      <c r="R362" t="str">
        <f t="shared" si="23"/>
        <v>Low Balance</v>
      </c>
    </row>
    <row r="363" spans="1:18" x14ac:dyDescent="0.25">
      <c r="A363">
        <v>362</v>
      </c>
      <c r="B363">
        <v>15696674</v>
      </c>
      <c r="C363" t="s">
        <v>176</v>
      </c>
      <c r="D363" t="s">
        <v>26</v>
      </c>
      <c r="E363" t="s">
        <v>16</v>
      </c>
      <c r="F363">
        <v>643</v>
      </c>
      <c r="G363">
        <v>45</v>
      </c>
      <c r="H363">
        <v>2</v>
      </c>
      <c r="I363">
        <v>150842.93</v>
      </c>
      <c r="J363">
        <v>1</v>
      </c>
      <c r="K363">
        <v>0</v>
      </c>
      <c r="L363">
        <v>1</v>
      </c>
      <c r="M363">
        <v>2319.96</v>
      </c>
      <c r="N363">
        <v>1</v>
      </c>
      <c r="O363" t="str">
        <f t="shared" si="20"/>
        <v>Average</v>
      </c>
      <c r="P363" t="str">
        <f t="shared" si="21"/>
        <v>Adult</v>
      </c>
      <c r="Q363" t="str">
        <f t="shared" si="22"/>
        <v>Low Salary</v>
      </c>
      <c r="R363" t="str">
        <f t="shared" si="23"/>
        <v>High Balance</v>
      </c>
    </row>
    <row r="364" spans="1:18" x14ac:dyDescent="0.25">
      <c r="A364">
        <v>363</v>
      </c>
      <c r="B364">
        <v>15706365</v>
      </c>
      <c r="C364" t="s">
        <v>63</v>
      </c>
      <c r="D364" t="s">
        <v>15</v>
      </c>
      <c r="E364" t="s">
        <v>16</v>
      </c>
      <c r="F364">
        <v>648</v>
      </c>
      <c r="G364">
        <v>50</v>
      </c>
      <c r="H364">
        <v>9</v>
      </c>
      <c r="I364">
        <v>102535.57</v>
      </c>
      <c r="J364">
        <v>1</v>
      </c>
      <c r="K364">
        <v>1</v>
      </c>
      <c r="L364">
        <v>1</v>
      </c>
      <c r="M364">
        <v>189543.19</v>
      </c>
      <c r="N364">
        <v>0</v>
      </c>
      <c r="O364" t="str">
        <f t="shared" si="20"/>
        <v>Average</v>
      </c>
      <c r="P364" t="str">
        <f t="shared" si="21"/>
        <v>Adult</v>
      </c>
      <c r="Q364" t="str">
        <f t="shared" si="22"/>
        <v>High Salary</v>
      </c>
      <c r="R364" t="str">
        <f t="shared" si="23"/>
        <v>High Balance</v>
      </c>
    </row>
    <row r="365" spans="1:18" x14ac:dyDescent="0.25">
      <c r="A365">
        <v>364</v>
      </c>
      <c r="B365">
        <v>15745088</v>
      </c>
      <c r="C365" t="s">
        <v>334</v>
      </c>
      <c r="D365" t="s">
        <v>26</v>
      </c>
      <c r="E365" t="s">
        <v>16</v>
      </c>
      <c r="F365">
        <v>443</v>
      </c>
      <c r="G365">
        <v>29</v>
      </c>
      <c r="H365">
        <v>9</v>
      </c>
      <c r="I365">
        <v>99027.61</v>
      </c>
      <c r="J365">
        <v>2</v>
      </c>
      <c r="K365">
        <v>1</v>
      </c>
      <c r="L365">
        <v>0</v>
      </c>
      <c r="M365">
        <v>10940.4</v>
      </c>
      <c r="N365">
        <v>0</v>
      </c>
      <c r="O365" t="str">
        <f t="shared" si="20"/>
        <v>Poor</v>
      </c>
      <c r="P365" t="str">
        <f t="shared" si="21"/>
        <v>Young Adult</v>
      </c>
      <c r="Q365" t="str">
        <f t="shared" si="22"/>
        <v>Low Salary</v>
      </c>
      <c r="R365" t="str">
        <f t="shared" si="23"/>
        <v>Medium Balance</v>
      </c>
    </row>
    <row r="366" spans="1:18" x14ac:dyDescent="0.25">
      <c r="A366">
        <v>365</v>
      </c>
      <c r="B366">
        <v>15676715</v>
      </c>
      <c r="C366" t="s">
        <v>335</v>
      </c>
      <c r="D366" t="s">
        <v>15</v>
      </c>
      <c r="E366" t="s">
        <v>23</v>
      </c>
      <c r="F366">
        <v>640</v>
      </c>
      <c r="G366">
        <v>68</v>
      </c>
      <c r="H366">
        <v>9</v>
      </c>
      <c r="I366">
        <v>0</v>
      </c>
      <c r="J366">
        <v>2</v>
      </c>
      <c r="K366">
        <v>1</v>
      </c>
      <c r="L366">
        <v>1</v>
      </c>
      <c r="M366">
        <v>199493.38</v>
      </c>
      <c r="N366">
        <v>0</v>
      </c>
      <c r="O366" t="str">
        <f t="shared" si="20"/>
        <v>Average</v>
      </c>
      <c r="P366" t="str">
        <f t="shared" si="21"/>
        <v>Senior</v>
      </c>
      <c r="Q366" t="str">
        <f t="shared" si="22"/>
        <v>High Salary</v>
      </c>
      <c r="R366" t="str">
        <f t="shared" si="23"/>
        <v>Low Balance</v>
      </c>
    </row>
    <row r="367" spans="1:18" x14ac:dyDescent="0.25">
      <c r="A367">
        <v>366</v>
      </c>
      <c r="B367">
        <v>15613085</v>
      </c>
      <c r="C367" t="s">
        <v>336</v>
      </c>
      <c r="D367" t="s">
        <v>18</v>
      </c>
      <c r="E367" t="s">
        <v>16</v>
      </c>
      <c r="F367">
        <v>628</v>
      </c>
      <c r="G367">
        <v>33</v>
      </c>
      <c r="H367">
        <v>3</v>
      </c>
      <c r="I367">
        <v>0</v>
      </c>
      <c r="J367">
        <v>1</v>
      </c>
      <c r="K367">
        <v>1</v>
      </c>
      <c r="L367">
        <v>1</v>
      </c>
      <c r="M367">
        <v>188193.25</v>
      </c>
      <c r="N367">
        <v>0</v>
      </c>
      <c r="O367" t="str">
        <f t="shared" si="20"/>
        <v>Average</v>
      </c>
      <c r="P367" t="str">
        <f t="shared" si="21"/>
        <v>Adult</v>
      </c>
      <c r="Q367" t="str">
        <f t="shared" si="22"/>
        <v>High Salary</v>
      </c>
      <c r="R367" t="str">
        <f t="shared" si="23"/>
        <v>Low Balance</v>
      </c>
    </row>
    <row r="368" spans="1:18" x14ac:dyDescent="0.25">
      <c r="A368">
        <v>367</v>
      </c>
      <c r="B368">
        <v>15633537</v>
      </c>
      <c r="C368" t="s">
        <v>337</v>
      </c>
      <c r="D368" t="s">
        <v>26</v>
      </c>
      <c r="E368" t="s">
        <v>16</v>
      </c>
      <c r="F368">
        <v>540</v>
      </c>
      <c r="G368">
        <v>42</v>
      </c>
      <c r="H368">
        <v>9</v>
      </c>
      <c r="I368">
        <v>87271.41</v>
      </c>
      <c r="J368">
        <v>2</v>
      </c>
      <c r="K368">
        <v>1</v>
      </c>
      <c r="L368">
        <v>0</v>
      </c>
      <c r="M368">
        <v>172572.64</v>
      </c>
      <c r="N368">
        <v>0</v>
      </c>
      <c r="O368" t="str">
        <f t="shared" si="20"/>
        <v>Poor</v>
      </c>
      <c r="P368" t="str">
        <f t="shared" si="21"/>
        <v>Adult</v>
      </c>
      <c r="Q368" t="str">
        <f t="shared" si="22"/>
        <v>High Salary</v>
      </c>
      <c r="R368" t="str">
        <f t="shared" si="23"/>
        <v>Medium Balance</v>
      </c>
    </row>
    <row r="369" spans="1:18" x14ac:dyDescent="0.25">
      <c r="A369">
        <v>368</v>
      </c>
      <c r="B369">
        <v>15594720</v>
      </c>
      <c r="C369" t="s">
        <v>33</v>
      </c>
      <c r="D369" t="s">
        <v>26</v>
      </c>
      <c r="E369" t="s">
        <v>16</v>
      </c>
      <c r="F369">
        <v>460</v>
      </c>
      <c r="G369">
        <v>35</v>
      </c>
      <c r="H369">
        <v>8</v>
      </c>
      <c r="I369">
        <v>102742.91</v>
      </c>
      <c r="J369">
        <v>2</v>
      </c>
      <c r="K369">
        <v>1</v>
      </c>
      <c r="L369">
        <v>1</v>
      </c>
      <c r="M369">
        <v>189339.6</v>
      </c>
      <c r="N369">
        <v>0</v>
      </c>
      <c r="O369" t="str">
        <f t="shared" si="20"/>
        <v>Poor</v>
      </c>
      <c r="P369" t="str">
        <f t="shared" si="21"/>
        <v>Adult</v>
      </c>
      <c r="Q369" t="str">
        <f t="shared" si="22"/>
        <v>High Salary</v>
      </c>
      <c r="R369" t="str">
        <f t="shared" si="23"/>
        <v>High Balance</v>
      </c>
    </row>
    <row r="370" spans="1:18" x14ac:dyDescent="0.25">
      <c r="A370">
        <v>369</v>
      </c>
      <c r="B370">
        <v>15684042</v>
      </c>
      <c r="C370" t="s">
        <v>338</v>
      </c>
      <c r="D370" t="s">
        <v>26</v>
      </c>
      <c r="E370" t="s">
        <v>23</v>
      </c>
      <c r="F370">
        <v>636</v>
      </c>
      <c r="G370">
        <v>34</v>
      </c>
      <c r="H370">
        <v>2</v>
      </c>
      <c r="I370">
        <v>40105.51</v>
      </c>
      <c r="J370">
        <v>2</v>
      </c>
      <c r="K370">
        <v>0</v>
      </c>
      <c r="L370">
        <v>1</v>
      </c>
      <c r="M370">
        <v>53512.160000000003</v>
      </c>
      <c r="N370">
        <v>0</v>
      </c>
      <c r="O370" t="str">
        <f t="shared" si="20"/>
        <v>Average</v>
      </c>
      <c r="P370" t="str">
        <f t="shared" si="21"/>
        <v>Adult</v>
      </c>
      <c r="Q370" t="str">
        <f t="shared" si="22"/>
        <v>Medium Salary</v>
      </c>
      <c r="R370" t="str">
        <f t="shared" si="23"/>
        <v>Low Balance</v>
      </c>
    </row>
    <row r="371" spans="1:18" x14ac:dyDescent="0.25">
      <c r="A371">
        <v>370</v>
      </c>
      <c r="B371">
        <v>15583303</v>
      </c>
      <c r="C371" t="s">
        <v>339</v>
      </c>
      <c r="D371" t="s">
        <v>15</v>
      </c>
      <c r="E371" t="s">
        <v>16</v>
      </c>
      <c r="F371">
        <v>593</v>
      </c>
      <c r="G371">
        <v>29</v>
      </c>
      <c r="H371">
        <v>2</v>
      </c>
      <c r="I371">
        <v>152265.43</v>
      </c>
      <c r="J371">
        <v>1</v>
      </c>
      <c r="K371">
        <v>1</v>
      </c>
      <c r="L371">
        <v>0</v>
      </c>
      <c r="M371">
        <v>34004.44</v>
      </c>
      <c r="N371">
        <v>0</v>
      </c>
      <c r="O371" t="str">
        <f t="shared" si="20"/>
        <v>Average</v>
      </c>
      <c r="P371" t="str">
        <f t="shared" si="21"/>
        <v>Young Adult</v>
      </c>
      <c r="Q371" t="str">
        <f t="shared" si="22"/>
        <v>Medium Salary</v>
      </c>
      <c r="R371" t="str">
        <f t="shared" si="23"/>
        <v>High Balance</v>
      </c>
    </row>
    <row r="372" spans="1:18" x14ac:dyDescent="0.25">
      <c r="A372">
        <v>371</v>
      </c>
      <c r="B372">
        <v>15611579</v>
      </c>
      <c r="C372" t="s">
        <v>340</v>
      </c>
      <c r="D372" t="s">
        <v>18</v>
      </c>
      <c r="E372" t="s">
        <v>23</v>
      </c>
      <c r="F372">
        <v>801</v>
      </c>
      <c r="G372">
        <v>42</v>
      </c>
      <c r="H372">
        <v>4</v>
      </c>
      <c r="I372">
        <v>141947.67000000001</v>
      </c>
      <c r="J372">
        <v>1</v>
      </c>
      <c r="K372">
        <v>1</v>
      </c>
      <c r="L372">
        <v>1</v>
      </c>
      <c r="M372">
        <v>10598.29</v>
      </c>
      <c r="N372">
        <v>0</v>
      </c>
      <c r="O372" t="str">
        <f t="shared" si="20"/>
        <v>Good</v>
      </c>
      <c r="P372" t="str">
        <f t="shared" si="21"/>
        <v>Adult</v>
      </c>
      <c r="Q372" t="str">
        <f t="shared" si="22"/>
        <v>Low Salary</v>
      </c>
      <c r="R372" t="str">
        <f t="shared" si="23"/>
        <v>High Balance</v>
      </c>
    </row>
    <row r="373" spans="1:18" x14ac:dyDescent="0.25">
      <c r="A373">
        <v>372</v>
      </c>
      <c r="B373">
        <v>15774696</v>
      </c>
      <c r="C373" t="s">
        <v>110</v>
      </c>
      <c r="D373" t="s">
        <v>26</v>
      </c>
      <c r="E373" t="s">
        <v>16</v>
      </c>
      <c r="F373">
        <v>640</v>
      </c>
      <c r="G373">
        <v>75</v>
      </c>
      <c r="H373">
        <v>1</v>
      </c>
      <c r="I373">
        <v>106307.91</v>
      </c>
      <c r="J373">
        <v>2</v>
      </c>
      <c r="K373">
        <v>0</v>
      </c>
      <c r="L373">
        <v>1</v>
      </c>
      <c r="M373">
        <v>113428.77</v>
      </c>
      <c r="N373">
        <v>0</v>
      </c>
      <c r="O373" t="str">
        <f t="shared" si="20"/>
        <v>Average</v>
      </c>
      <c r="P373" t="str">
        <f t="shared" si="21"/>
        <v>Senior</v>
      </c>
      <c r="Q373" t="str">
        <f t="shared" si="22"/>
        <v>High Salary</v>
      </c>
      <c r="R373" t="str">
        <f t="shared" si="23"/>
        <v>High Balance</v>
      </c>
    </row>
    <row r="374" spans="1:18" x14ac:dyDescent="0.25">
      <c r="A374">
        <v>373</v>
      </c>
      <c r="B374">
        <v>15694506</v>
      </c>
      <c r="C374" t="s">
        <v>341</v>
      </c>
      <c r="D374" t="s">
        <v>26</v>
      </c>
      <c r="E374" t="s">
        <v>23</v>
      </c>
      <c r="F374">
        <v>611</v>
      </c>
      <c r="G374">
        <v>31</v>
      </c>
      <c r="H374">
        <v>0</v>
      </c>
      <c r="I374">
        <v>107884.81</v>
      </c>
      <c r="J374">
        <v>2</v>
      </c>
      <c r="K374">
        <v>1</v>
      </c>
      <c r="L374">
        <v>1</v>
      </c>
      <c r="M374">
        <v>183487.98</v>
      </c>
      <c r="N374">
        <v>0</v>
      </c>
      <c r="O374" t="str">
        <f t="shared" si="20"/>
        <v>Average</v>
      </c>
      <c r="P374" t="str">
        <f t="shared" si="21"/>
        <v>Adult</v>
      </c>
      <c r="Q374" t="str">
        <f t="shared" si="22"/>
        <v>High Salary</v>
      </c>
      <c r="R374" t="str">
        <f t="shared" si="23"/>
        <v>High Balance</v>
      </c>
    </row>
    <row r="375" spans="1:18" x14ac:dyDescent="0.25">
      <c r="A375">
        <v>374</v>
      </c>
      <c r="B375">
        <v>15688074</v>
      </c>
      <c r="C375" t="s">
        <v>342</v>
      </c>
      <c r="D375" t="s">
        <v>26</v>
      </c>
      <c r="E375" t="s">
        <v>23</v>
      </c>
      <c r="F375">
        <v>802</v>
      </c>
      <c r="G375">
        <v>31</v>
      </c>
      <c r="H375">
        <v>1</v>
      </c>
      <c r="I375">
        <v>125013.72</v>
      </c>
      <c r="J375">
        <v>1</v>
      </c>
      <c r="K375">
        <v>1</v>
      </c>
      <c r="L375">
        <v>1</v>
      </c>
      <c r="M375">
        <v>187658.09</v>
      </c>
      <c r="N375">
        <v>0</v>
      </c>
      <c r="O375" t="str">
        <f t="shared" si="20"/>
        <v>Good</v>
      </c>
      <c r="P375" t="str">
        <f t="shared" si="21"/>
        <v>Adult</v>
      </c>
      <c r="Q375" t="str">
        <f t="shared" si="22"/>
        <v>High Salary</v>
      </c>
      <c r="R375" t="str">
        <f t="shared" si="23"/>
        <v>High Balance</v>
      </c>
    </row>
    <row r="376" spans="1:18" x14ac:dyDescent="0.25">
      <c r="A376">
        <v>375</v>
      </c>
      <c r="B376">
        <v>15759537</v>
      </c>
      <c r="C376" t="s">
        <v>63</v>
      </c>
      <c r="D376" t="s">
        <v>26</v>
      </c>
      <c r="E376" t="s">
        <v>23</v>
      </c>
      <c r="F376">
        <v>717</v>
      </c>
      <c r="G376">
        <v>35</v>
      </c>
      <c r="H376">
        <v>7</v>
      </c>
      <c r="I376">
        <v>58469.37</v>
      </c>
      <c r="J376">
        <v>2</v>
      </c>
      <c r="K376">
        <v>1</v>
      </c>
      <c r="L376">
        <v>1</v>
      </c>
      <c r="M376">
        <v>172459.39</v>
      </c>
      <c r="N376">
        <v>0</v>
      </c>
      <c r="O376" t="str">
        <f t="shared" si="20"/>
        <v>Good</v>
      </c>
      <c r="P376" t="str">
        <f t="shared" si="21"/>
        <v>Adult</v>
      </c>
      <c r="Q376" t="str">
        <f t="shared" si="22"/>
        <v>High Salary</v>
      </c>
      <c r="R376" t="str">
        <f t="shared" si="23"/>
        <v>Medium Balance</v>
      </c>
    </row>
    <row r="377" spans="1:18" x14ac:dyDescent="0.25">
      <c r="A377">
        <v>376</v>
      </c>
      <c r="B377">
        <v>15758449</v>
      </c>
      <c r="C377" t="s">
        <v>343</v>
      </c>
      <c r="D377" t="s">
        <v>15</v>
      </c>
      <c r="E377" t="s">
        <v>16</v>
      </c>
      <c r="F377">
        <v>769</v>
      </c>
      <c r="G377">
        <v>39</v>
      </c>
      <c r="H377">
        <v>8</v>
      </c>
      <c r="I377">
        <v>0</v>
      </c>
      <c r="J377">
        <v>1</v>
      </c>
      <c r="K377">
        <v>0</v>
      </c>
      <c r="L377">
        <v>1</v>
      </c>
      <c r="M377">
        <v>21016</v>
      </c>
      <c r="N377">
        <v>0</v>
      </c>
      <c r="O377" t="str">
        <f t="shared" si="20"/>
        <v>Good</v>
      </c>
      <c r="P377" t="str">
        <f t="shared" si="21"/>
        <v>Adult</v>
      </c>
      <c r="Q377" t="str">
        <f t="shared" si="22"/>
        <v>Low Salary</v>
      </c>
      <c r="R377" t="str">
        <f t="shared" si="23"/>
        <v>Low Balance</v>
      </c>
    </row>
    <row r="378" spans="1:18" x14ac:dyDescent="0.25">
      <c r="A378">
        <v>377</v>
      </c>
      <c r="B378">
        <v>15583456</v>
      </c>
      <c r="C378" t="s">
        <v>344</v>
      </c>
      <c r="D378" t="s">
        <v>26</v>
      </c>
      <c r="E378" t="s">
        <v>23</v>
      </c>
      <c r="F378">
        <v>745</v>
      </c>
      <c r="G378">
        <v>45</v>
      </c>
      <c r="H378">
        <v>10</v>
      </c>
      <c r="I378">
        <v>117231.63</v>
      </c>
      <c r="J378">
        <v>3</v>
      </c>
      <c r="K378">
        <v>1</v>
      </c>
      <c r="L378">
        <v>1</v>
      </c>
      <c r="M378">
        <v>122381.02</v>
      </c>
      <c r="N378">
        <v>1</v>
      </c>
      <c r="O378" t="str">
        <f t="shared" si="20"/>
        <v>Good</v>
      </c>
      <c r="P378" t="str">
        <f t="shared" si="21"/>
        <v>Adult</v>
      </c>
      <c r="Q378" t="str">
        <f t="shared" si="22"/>
        <v>High Salary</v>
      </c>
      <c r="R378" t="str">
        <f t="shared" si="23"/>
        <v>High Balance</v>
      </c>
    </row>
    <row r="379" spans="1:18" x14ac:dyDescent="0.25">
      <c r="A379">
        <v>378</v>
      </c>
      <c r="B379">
        <v>15667871</v>
      </c>
      <c r="C379" t="s">
        <v>319</v>
      </c>
      <c r="D379" t="s">
        <v>18</v>
      </c>
      <c r="E379" t="s">
        <v>23</v>
      </c>
      <c r="F379">
        <v>572</v>
      </c>
      <c r="G379">
        <v>35</v>
      </c>
      <c r="H379">
        <v>4</v>
      </c>
      <c r="I379">
        <v>152390.26</v>
      </c>
      <c r="J379">
        <v>1</v>
      </c>
      <c r="K379">
        <v>1</v>
      </c>
      <c r="L379">
        <v>0</v>
      </c>
      <c r="M379">
        <v>128123.66</v>
      </c>
      <c r="N379">
        <v>0</v>
      </c>
      <c r="O379" t="str">
        <f t="shared" si="20"/>
        <v>Poor</v>
      </c>
      <c r="P379" t="str">
        <f t="shared" si="21"/>
        <v>Adult</v>
      </c>
      <c r="Q379" t="str">
        <f t="shared" si="22"/>
        <v>High Salary</v>
      </c>
      <c r="R379" t="str">
        <f t="shared" si="23"/>
        <v>High Balance</v>
      </c>
    </row>
    <row r="380" spans="1:18" x14ac:dyDescent="0.25">
      <c r="A380">
        <v>379</v>
      </c>
      <c r="B380">
        <v>15677371</v>
      </c>
      <c r="C380" t="s">
        <v>130</v>
      </c>
      <c r="D380" t="s">
        <v>18</v>
      </c>
      <c r="E380" t="s">
        <v>16</v>
      </c>
      <c r="F380">
        <v>629</v>
      </c>
      <c r="G380">
        <v>30</v>
      </c>
      <c r="H380">
        <v>2</v>
      </c>
      <c r="I380">
        <v>34013.629999999997</v>
      </c>
      <c r="J380">
        <v>1</v>
      </c>
      <c r="K380">
        <v>1</v>
      </c>
      <c r="L380">
        <v>0</v>
      </c>
      <c r="M380">
        <v>19570.63</v>
      </c>
      <c r="N380">
        <v>0</v>
      </c>
      <c r="O380" t="str">
        <f t="shared" si="20"/>
        <v>Average</v>
      </c>
      <c r="P380" t="str">
        <f t="shared" si="21"/>
        <v>Young Adult</v>
      </c>
      <c r="Q380" t="str">
        <f t="shared" si="22"/>
        <v>Low Salary</v>
      </c>
      <c r="R380" t="str">
        <f t="shared" si="23"/>
        <v>Low Balance</v>
      </c>
    </row>
    <row r="381" spans="1:18" x14ac:dyDescent="0.25">
      <c r="A381">
        <v>380</v>
      </c>
      <c r="B381">
        <v>15629677</v>
      </c>
      <c r="C381" t="s">
        <v>345</v>
      </c>
      <c r="D381" t="s">
        <v>18</v>
      </c>
      <c r="E381" t="s">
        <v>16</v>
      </c>
      <c r="F381">
        <v>687</v>
      </c>
      <c r="G381">
        <v>39</v>
      </c>
      <c r="H381">
        <v>2</v>
      </c>
      <c r="I381">
        <v>0</v>
      </c>
      <c r="J381">
        <v>3</v>
      </c>
      <c r="K381">
        <v>0</v>
      </c>
      <c r="L381">
        <v>0</v>
      </c>
      <c r="M381">
        <v>188150.6</v>
      </c>
      <c r="N381">
        <v>1</v>
      </c>
      <c r="O381" t="str">
        <f t="shared" si="20"/>
        <v>Good</v>
      </c>
      <c r="P381" t="str">
        <f t="shared" si="21"/>
        <v>Adult</v>
      </c>
      <c r="Q381" t="str">
        <f t="shared" si="22"/>
        <v>High Salary</v>
      </c>
      <c r="R381" t="str">
        <f t="shared" si="23"/>
        <v>Low Balance</v>
      </c>
    </row>
    <row r="382" spans="1:18" x14ac:dyDescent="0.25">
      <c r="A382">
        <v>381</v>
      </c>
      <c r="B382">
        <v>15713578</v>
      </c>
      <c r="C382" t="s">
        <v>346</v>
      </c>
      <c r="D382" t="s">
        <v>15</v>
      </c>
      <c r="E382" t="s">
        <v>16</v>
      </c>
      <c r="F382">
        <v>483</v>
      </c>
      <c r="G382">
        <v>50</v>
      </c>
      <c r="H382">
        <v>9</v>
      </c>
      <c r="I382">
        <v>0</v>
      </c>
      <c r="J382">
        <v>2</v>
      </c>
      <c r="K382">
        <v>1</v>
      </c>
      <c r="L382">
        <v>1</v>
      </c>
      <c r="M382">
        <v>111020.24</v>
      </c>
      <c r="N382">
        <v>0</v>
      </c>
      <c r="O382" t="str">
        <f t="shared" si="20"/>
        <v>Poor</v>
      </c>
      <c r="P382" t="str">
        <f t="shared" si="21"/>
        <v>Adult</v>
      </c>
      <c r="Q382" t="str">
        <f t="shared" si="22"/>
        <v>High Salary</v>
      </c>
      <c r="R382" t="str">
        <f t="shared" si="23"/>
        <v>Low Balance</v>
      </c>
    </row>
    <row r="383" spans="1:18" x14ac:dyDescent="0.25">
      <c r="A383">
        <v>382</v>
      </c>
      <c r="B383">
        <v>15591509</v>
      </c>
      <c r="C383" t="s">
        <v>347</v>
      </c>
      <c r="D383" t="s">
        <v>15</v>
      </c>
      <c r="E383" t="s">
        <v>23</v>
      </c>
      <c r="F383">
        <v>690</v>
      </c>
      <c r="G383">
        <v>36</v>
      </c>
      <c r="H383">
        <v>7</v>
      </c>
      <c r="I383">
        <v>101583.11</v>
      </c>
      <c r="J383">
        <v>2</v>
      </c>
      <c r="K383">
        <v>1</v>
      </c>
      <c r="L383">
        <v>0</v>
      </c>
      <c r="M383">
        <v>123775.15</v>
      </c>
      <c r="N383">
        <v>0</v>
      </c>
      <c r="O383" t="str">
        <f t="shared" si="20"/>
        <v>Good</v>
      </c>
      <c r="P383" t="str">
        <f t="shared" si="21"/>
        <v>Adult</v>
      </c>
      <c r="Q383" t="str">
        <f t="shared" si="22"/>
        <v>High Salary</v>
      </c>
      <c r="R383" t="str">
        <f t="shared" si="23"/>
        <v>High Balance</v>
      </c>
    </row>
    <row r="384" spans="1:18" x14ac:dyDescent="0.25">
      <c r="A384">
        <v>383</v>
      </c>
      <c r="B384">
        <v>15568240</v>
      </c>
      <c r="C384" t="s">
        <v>182</v>
      </c>
      <c r="D384" t="s">
        <v>26</v>
      </c>
      <c r="E384" t="s">
        <v>16</v>
      </c>
      <c r="F384">
        <v>492</v>
      </c>
      <c r="G384">
        <v>30</v>
      </c>
      <c r="H384">
        <v>10</v>
      </c>
      <c r="I384">
        <v>77168.87</v>
      </c>
      <c r="J384">
        <v>2</v>
      </c>
      <c r="K384">
        <v>0</v>
      </c>
      <c r="L384">
        <v>1</v>
      </c>
      <c r="M384">
        <v>146700.22</v>
      </c>
      <c r="N384">
        <v>0</v>
      </c>
      <c r="O384" t="str">
        <f t="shared" si="20"/>
        <v>Poor</v>
      </c>
      <c r="P384" t="str">
        <f t="shared" si="21"/>
        <v>Young Adult</v>
      </c>
      <c r="Q384" t="str">
        <f t="shared" si="22"/>
        <v>High Salary</v>
      </c>
      <c r="R384" t="str">
        <f t="shared" si="23"/>
        <v>Medium Balance</v>
      </c>
    </row>
    <row r="385" spans="1:18" x14ac:dyDescent="0.25">
      <c r="A385">
        <v>384</v>
      </c>
      <c r="B385">
        <v>15622993</v>
      </c>
      <c r="C385" t="s">
        <v>348</v>
      </c>
      <c r="D385" t="s">
        <v>26</v>
      </c>
      <c r="E385" t="s">
        <v>23</v>
      </c>
      <c r="F385">
        <v>709</v>
      </c>
      <c r="G385">
        <v>28</v>
      </c>
      <c r="H385">
        <v>8</v>
      </c>
      <c r="I385">
        <v>124695.72</v>
      </c>
      <c r="J385">
        <v>2</v>
      </c>
      <c r="K385">
        <v>1</v>
      </c>
      <c r="L385">
        <v>0</v>
      </c>
      <c r="M385">
        <v>145251.35</v>
      </c>
      <c r="N385">
        <v>0</v>
      </c>
      <c r="O385" t="str">
        <f t="shared" si="20"/>
        <v>Good</v>
      </c>
      <c r="P385" t="str">
        <f t="shared" si="21"/>
        <v>Young Adult</v>
      </c>
      <c r="Q385" t="str">
        <f t="shared" si="22"/>
        <v>High Salary</v>
      </c>
      <c r="R385" t="str">
        <f t="shared" si="23"/>
        <v>High Balance</v>
      </c>
    </row>
    <row r="386" spans="1:18" x14ac:dyDescent="0.25">
      <c r="A386">
        <v>385</v>
      </c>
      <c r="B386">
        <v>15689294</v>
      </c>
      <c r="C386" t="s">
        <v>349</v>
      </c>
      <c r="D386" t="s">
        <v>26</v>
      </c>
      <c r="E386" t="s">
        <v>23</v>
      </c>
      <c r="F386">
        <v>705</v>
      </c>
      <c r="G386">
        <v>44</v>
      </c>
      <c r="H386">
        <v>3</v>
      </c>
      <c r="I386">
        <v>105934.96</v>
      </c>
      <c r="J386">
        <v>1</v>
      </c>
      <c r="K386">
        <v>1</v>
      </c>
      <c r="L386">
        <v>0</v>
      </c>
      <c r="M386">
        <v>82463.69</v>
      </c>
      <c r="N386">
        <v>0</v>
      </c>
      <c r="O386" t="str">
        <f t="shared" si="20"/>
        <v>Good</v>
      </c>
      <c r="P386" t="str">
        <f t="shared" si="21"/>
        <v>Adult</v>
      </c>
      <c r="Q386" t="str">
        <f t="shared" si="22"/>
        <v>High Salary</v>
      </c>
      <c r="R386" t="str">
        <f t="shared" si="23"/>
        <v>High Balance</v>
      </c>
    </row>
    <row r="387" spans="1:18" x14ac:dyDescent="0.25">
      <c r="A387">
        <v>386</v>
      </c>
      <c r="B387">
        <v>15720910</v>
      </c>
      <c r="C387" t="s">
        <v>350</v>
      </c>
      <c r="D387" t="s">
        <v>15</v>
      </c>
      <c r="E387" t="s">
        <v>16</v>
      </c>
      <c r="F387">
        <v>560</v>
      </c>
      <c r="G387">
        <v>66</v>
      </c>
      <c r="H387">
        <v>9</v>
      </c>
      <c r="I387">
        <v>0</v>
      </c>
      <c r="J387">
        <v>1</v>
      </c>
      <c r="K387">
        <v>1</v>
      </c>
      <c r="L387">
        <v>1</v>
      </c>
      <c r="M387">
        <v>15928.49</v>
      </c>
      <c r="N387">
        <v>0</v>
      </c>
      <c r="O387" t="str">
        <f t="shared" ref="O387:O450" si="24">IF(F387&lt;580, "Poor", IF(AND(F387&gt;=580, F387&lt;=669), "Average", "Good"))</f>
        <v>Poor</v>
      </c>
      <c r="P387" t="str">
        <f t="shared" ref="P387:P450" si="25">IF(G387&lt;=30, "Young Adult", IF(AND(G387&gt;=31, G387&lt;=50), "Adult", "Senior"))</f>
        <v>Senior</v>
      </c>
      <c r="Q387" t="str">
        <f t="shared" ref="Q387:Q450" si="26">IF(M387&lt;30000, "Low Salary", IF(AND(M387&gt;=30000, M387&lt;=70000), "Medium Salary", "High Salary"))</f>
        <v>Low Salary</v>
      </c>
      <c r="R387" t="str">
        <f t="shared" ref="R387:R450" si="27">IF(I387&lt;50000, "Low Balance", IF(AND(I387&gt;=50000, I387&lt;=100000), "Medium Balance", "High Balance"))</f>
        <v>Low Balance</v>
      </c>
    </row>
    <row r="388" spans="1:18" x14ac:dyDescent="0.25">
      <c r="A388">
        <v>387</v>
      </c>
      <c r="B388">
        <v>15721181</v>
      </c>
      <c r="C388" t="s">
        <v>351</v>
      </c>
      <c r="D388" t="s">
        <v>18</v>
      </c>
      <c r="E388" t="s">
        <v>23</v>
      </c>
      <c r="F388">
        <v>611</v>
      </c>
      <c r="G388">
        <v>46</v>
      </c>
      <c r="H388">
        <v>6</v>
      </c>
      <c r="I388">
        <v>0</v>
      </c>
      <c r="J388">
        <v>2</v>
      </c>
      <c r="K388">
        <v>1</v>
      </c>
      <c r="L388">
        <v>0</v>
      </c>
      <c r="M388">
        <v>45886.33</v>
      </c>
      <c r="N388">
        <v>0</v>
      </c>
      <c r="O388" t="str">
        <f t="shared" si="24"/>
        <v>Average</v>
      </c>
      <c r="P388" t="str">
        <f t="shared" si="25"/>
        <v>Adult</v>
      </c>
      <c r="Q388" t="str">
        <f t="shared" si="26"/>
        <v>Medium Salary</v>
      </c>
      <c r="R388" t="str">
        <f t="shared" si="27"/>
        <v>Low Balance</v>
      </c>
    </row>
    <row r="389" spans="1:18" x14ac:dyDescent="0.25">
      <c r="A389">
        <v>388</v>
      </c>
      <c r="B389">
        <v>15776433</v>
      </c>
      <c r="C389" t="s">
        <v>352</v>
      </c>
      <c r="D389" t="s">
        <v>18</v>
      </c>
      <c r="E389" t="s">
        <v>23</v>
      </c>
      <c r="F389">
        <v>730</v>
      </c>
      <c r="G389">
        <v>62</v>
      </c>
      <c r="H389">
        <v>2</v>
      </c>
      <c r="I389">
        <v>0</v>
      </c>
      <c r="J389">
        <v>2</v>
      </c>
      <c r="K389">
        <v>1</v>
      </c>
      <c r="L389">
        <v>1</v>
      </c>
      <c r="M389">
        <v>186489.95</v>
      </c>
      <c r="N389">
        <v>0</v>
      </c>
      <c r="O389" t="str">
        <f t="shared" si="24"/>
        <v>Good</v>
      </c>
      <c r="P389" t="str">
        <f t="shared" si="25"/>
        <v>Senior</v>
      </c>
      <c r="Q389" t="str">
        <f t="shared" si="26"/>
        <v>High Salary</v>
      </c>
      <c r="R389" t="str">
        <f t="shared" si="27"/>
        <v>Low Balance</v>
      </c>
    </row>
    <row r="390" spans="1:18" x14ac:dyDescent="0.25">
      <c r="A390">
        <v>389</v>
      </c>
      <c r="B390">
        <v>15748936</v>
      </c>
      <c r="C390" t="s">
        <v>353</v>
      </c>
      <c r="D390" t="s">
        <v>18</v>
      </c>
      <c r="E390" t="s">
        <v>16</v>
      </c>
      <c r="F390">
        <v>709</v>
      </c>
      <c r="G390">
        <v>45</v>
      </c>
      <c r="H390">
        <v>2</v>
      </c>
      <c r="I390">
        <v>0</v>
      </c>
      <c r="J390">
        <v>2</v>
      </c>
      <c r="K390">
        <v>0</v>
      </c>
      <c r="L390">
        <v>1</v>
      </c>
      <c r="M390">
        <v>162922.65</v>
      </c>
      <c r="N390">
        <v>0</v>
      </c>
      <c r="O390" t="str">
        <f t="shared" si="24"/>
        <v>Good</v>
      </c>
      <c r="P390" t="str">
        <f t="shared" si="25"/>
        <v>Adult</v>
      </c>
      <c r="Q390" t="str">
        <f t="shared" si="26"/>
        <v>High Salary</v>
      </c>
      <c r="R390" t="str">
        <f t="shared" si="27"/>
        <v>Low Balance</v>
      </c>
    </row>
    <row r="391" spans="1:18" x14ac:dyDescent="0.25">
      <c r="A391">
        <v>390</v>
      </c>
      <c r="B391">
        <v>15717225</v>
      </c>
      <c r="C391" t="s">
        <v>354</v>
      </c>
      <c r="D391" t="s">
        <v>15</v>
      </c>
      <c r="E391" t="s">
        <v>16</v>
      </c>
      <c r="F391">
        <v>544</v>
      </c>
      <c r="G391">
        <v>21</v>
      </c>
      <c r="H391">
        <v>10</v>
      </c>
      <c r="I391">
        <v>161525.96</v>
      </c>
      <c r="J391">
        <v>2</v>
      </c>
      <c r="K391">
        <v>1</v>
      </c>
      <c r="L391">
        <v>0</v>
      </c>
      <c r="M391">
        <v>9262.77</v>
      </c>
      <c r="N391">
        <v>0</v>
      </c>
      <c r="O391" t="str">
        <f t="shared" si="24"/>
        <v>Poor</v>
      </c>
      <c r="P391" t="str">
        <f t="shared" si="25"/>
        <v>Young Adult</v>
      </c>
      <c r="Q391" t="str">
        <f t="shared" si="26"/>
        <v>Low Salary</v>
      </c>
      <c r="R391" t="str">
        <f t="shared" si="27"/>
        <v>High Balance</v>
      </c>
    </row>
    <row r="392" spans="1:18" x14ac:dyDescent="0.25">
      <c r="A392">
        <v>391</v>
      </c>
      <c r="B392">
        <v>15685226</v>
      </c>
      <c r="C392" t="s">
        <v>250</v>
      </c>
      <c r="D392" t="s">
        <v>26</v>
      </c>
      <c r="E392" t="s">
        <v>16</v>
      </c>
      <c r="F392">
        <v>712</v>
      </c>
      <c r="G392">
        <v>29</v>
      </c>
      <c r="H392">
        <v>7</v>
      </c>
      <c r="I392">
        <v>147199.07</v>
      </c>
      <c r="J392">
        <v>1</v>
      </c>
      <c r="K392">
        <v>1</v>
      </c>
      <c r="L392">
        <v>1</v>
      </c>
      <c r="M392">
        <v>84932.4</v>
      </c>
      <c r="N392">
        <v>0</v>
      </c>
      <c r="O392" t="str">
        <f t="shared" si="24"/>
        <v>Good</v>
      </c>
      <c r="P392" t="str">
        <f t="shared" si="25"/>
        <v>Young Adult</v>
      </c>
      <c r="Q392" t="str">
        <f t="shared" si="26"/>
        <v>High Salary</v>
      </c>
      <c r="R392" t="str">
        <f t="shared" si="27"/>
        <v>High Balance</v>
      </c>
    </row>
    <row r="393" spans="1:18" x14ac:dyDescent="0.25">
      <c r="A393">
        <v>392</v>
      </c>
      <c r="B393">
        <v>15785611</v>
      </c>
      <c r="C393" t="s">
        <v>355</v>
      </c>
      <c r="D393" t="s">
        <v>26</v>
      </c>
      <c r="E393" t="s">
        <v>23</v>
      </c>
      <c r="F393">
        <v>752</v>
      </c>
      <c r="G393">
        <v>38</v>
      </c>
      <c r="H393">
        <v>3</v>
      </c>
      <c r="I393">
        <v>183102.29</v>
      </c>
      <c r="J393">
        <v>1</v>
      </c>
      <c r="K393">
        <v>1</v>
      </c>
      <c r="L393">
        <v>1</v>
      </c>
      <c r="M393">
        <v>71557.119999999995</v>
      </c>
      <c r="N393">
        <v>0</v>
      </c>
      <c r="O393" t="str">
        <f t="shared" si="24"/>
        <v>Good</v>
      </c>
      <c r="P393" t="str">
        <f t="shared" si="25"/>
        <v>Adult</v>
      </c>
      <c r="Q393" t="str">
        <f t="shared" si="26"/>
        <v>High Salary</v>
      </c>
      <c r="R393" t="str">
        <f t="shared" si="27"/>
        <v>High Balance</v>
      </c>
    </row>
    <row r="394" spans="1:18" x14ac:dyDescent="0.25">
      <c r="A394">
        <v>393</v>
      </c>
      <c r="B394">
        <v>15573456</v>
      </c>
      <c r="C394" t="s">
        <v>356</v>
      </c>
      <c r="D394" t="s">
        <v>18</v>
      </c>
      <c r="E394" t="s">
        <v>23</v>
      </c>
      <c r="F394">
        <v>648</v>
      </c>
      <c r="G394">
        <v>46</v>
      </c>
      <c r="H394">
        <v>9</v>
      </c>
      <c r="I394">
        <v>127209</v>
      </c>
      <c r="J394">
        <v>2</v>
      </c>
      <c r="K394">
        <v>1</v>
      </c>
      <c r="L394">
        <v>0</v>
      </c>
      <c r="M394">
        <v>77405.95</v>
      </c>
      <c r="N394">
        <v>1</v>
      </c>
      <c r="O394" t="str">
        <f t="shared" si="24"/>
        <v>Average</v>
      </c>
      <c r="P394" t="str">
        <f t="shared" si="25"/>
        <v>Adult</v>
      </c>
      <c r="Q394" t="str">
        <f t="shared" si="26"/>
        <v>High Salary</v>
      </c>
      <c r="R394" t="str">
        <f t="shared" si="27"/>
        <v>High Balance</v>
      </c>
    </row>
    <row r="395" spans="1:18" x14ac:dyDescent="0.25">
      <c r="A395">
        <v>394</v>
      </c>
      <c r="B395">
        <v>15684548</v>
      </c>
      <c r="C395" t="s">
        <v>357</v>
      </c>
      <c r="D395" t="s">
        <v>18</v>
      </c>
      <c r="E395" t="s">
        <v>23</v>
      </c>
      <c r="F395">
        <v>556</v>
      </c>
      <c r="G395">
        <v>38</v>
      </c>
      <c r="H395">
        <v>8</v>
      </c>
      <c r="I395">
        <v>0</v>
      </c>
      <c r="J395">
        <v>2</v>
      </c>
      <c r="K395">
        <v>0</v>
      </c>
      <c r="L395">
        <v>0</v>
      </c>
      <c r="M395">
        <v>417.41</v>
      </c>
      <c r="N395">
        <v>1</v>
      </c>
      <c r="O395" t="str">
        <f t="shared" si="24"/>
        <v>Poor</v>
      </c>
      <c r="P395" t="str">
        <f t="shared" si="25"/>
        <v>Adult</v>
      </c>
      <c r="Q395" t="str">
        <f t="shared" si="26"/>
        <v>Low Salary</v>
      </c>
      <c r="R395" t="str">
        <f t="shared" si="27"/>
        <v>Low Balance</v>
      </c>
    </row>
    <row r="396" spans="1:18" x14ac:dyDescent="0.25">
      <c r="A396">
        <v>395</v>
      </c>
      <c r="B396">
        <v>15620505</v>
      </c>
      <c r="C396" t="s">
        <v>358</v>
      </c>
      <c r="D396" t="s">
        <v>18</v>
      </c>
      <c r="E396" t="s">
        <v>16</v>
      </c>
      <c r="F396">
        <v>594</v>
      </c>
      <c r="G396">
        <v>24</v>
      </c>
      <c r="H396">
        <v>0</v>
      </c>
      <c r="I396">
        <v>97378.54</v>
      </c>
      <c r="J396">
        <v>1</v>
      </c>
      <c r="K396">
        <v>1</v>
      </c>
      <c r="L396">
        <v>1</v>
      </c>
      <c r="M396">
        <v>71405.17</v>
      </c>
      <c r="N396">
        <v>0</v>
      </c>
      <c r="O396" t="str">
        <f t="shared" si="24"/>
        <v>Average</v>
      </c>
      <c r="P396" t="str">
        <f t="shared" si="25"/>
        <v>Young Adult</v>
      </c>
      <c r="Q396" t="str">
        <f t="shared" si="26"/>
        <v>High Salary</v>
      </c>
      <c r="R396" t="str">
        <f t="shared" si="27"/>
        <v>Medium Balance</v>
      </c>
    </row>
    <row r="397" spans="1:18" x14ac:dyDescent="0.25">
      <c r="A397">
        <v>396</v>
      </c>
      <c r="B397">
        <v>15807432</v>
      </c>
      <c r="C397" t="s">
        <v>359</v>
      </c>
      <c r="D397" t="s">
        <v>26</v>
      </c>
      <c r="E397" t="s">
        <v>16</v>
      </c>
      <c r="F397">
        <v>645</v>
      </c>
      <c r="G397">
        <v>37</v>
      </c>
      <c r="H397">
        <v>2</v>
      </c>
      <c r="I397">
        <v>136925.09</v>
      </c>
      <c r="J397">
        <v>2</v>
      </c>
      <c r="K397">
        <v>0</v>
      </c>
      <c r="L397">
        <v>1</v>
      </c>
      <c r="M397">
        <v>153400.24</v>
      </c>
      <c r="N397">
        <v>0</v>
      </c>
      <c r="O397" t="str">
        <f t="shared" si="24"/>
        <v>Average</v>
      </c>
      <c r="P397" t="str">
        <f t="shared" si="25"/>
        <v>Adult</v>
      </c>
      <c r="Q397" t="str">
        <f t="shared" si="26"/>
        <v>High Salary</v>
      </c>
      <c r="R397" t="str">
        <f t="shared" si="27"/>
        <v>High Balance</v>
      </c>
    </row>
    <row r="398" spans="1:18" x14ac:dyDescent="0.25">
      <c r="A398">
        <v>397</v>
      </c>
      <c r="B398">
        <v>15584766</v>
      </c>
      <c r="C398" t="s">
        <v>360</v>
      </c>
      <c r="D398" t="s">
        <v>15</v>
      </c>
      <c r="E398" t="s">
        <v>23</v>
      </c>
      <c r="F398">
        <v>557</v>
      </c>
      <c r="G398">
        <v>33</v>
      </c>
      <c r="H398">
        <v>3</v>
      </c>
      <c r="I398">
        <v>54503.55</v>
      </c>
      <c r="J398">
        <v>1</v>
      </c>
      <c r="K398">
        <v>1</v>
      </c>
      <c r="L398">
        <v>1</v>
      </c>
      <c r="M398">
        <v>371.05</v>
      </c>
      <c r="N398">
        <v>0</v>
      </c>
      <c r="O398" t="str">
        <f t="shared" si="24"/>
        <v>Poor</v>
      </c>
      <c r="P398" t="str">
        <f t="shared" si="25"/>
        <v>Adult</v>
      </c>
      <c r="Q398" t="str">
        <f t="shared" si="26"/>
        <v>Low Salary</v>
      </c>
      <c r="R398" t="str">
        <f t="shared" si="27"/>
        <v>Medium Balance</v>
      </c>
    </row>
    <row r="399" spans="1:18" x14ac:dyDescent="0.25">
      <c r="A399">
        <v>398</v>
      </c>
      <c r="B399">
        <v>15612187</v>
      </c>
      <c r="C399" t="s">
        <v>361</v>
      </c>
      <c r="D399" t="s">
        <v>26</v>
      </c>
      <c r="E399" t="s">
        <v>23</v>
      </c>
      <c r="F399">
        <v>547</v>
      </c>
      <c r="G399">
        <v>32</v>
      </c>
      <c r="H399">
        <v>8</v>
      </c>
      <c r="I399">
        <v>155726.85</v>
      </c>
      <c r="J399">
        <v>1</v>
      </c>
      <c r="K399">
        <v>1</v>
      </c>
      <c r="L399">
        <v>0</v>
      </c>
      <c r="M399">
        <v>67789.990000000005</v>
      </c>
      <c r="N399">
        <v>0</v>
      </c>
      <c r="O399" t="str">
        <f t="shared" si="24"/>
        <v>Poor</v>
      </c>
      <c r="P399" t="str">
        <f t="shared" si="25"/>
        <v>Adult</v>
      </c>
      <c r="Q399" t="str">
        <f t="shared" si="26"/>
        <v>Medium Salary</v>
      </c>
      <c r="R399" t="str">
        <f t="shared" si="27"/>
        <v>High Balance</v>
      </c>
    </row>
    <row r="400" spans="1:18" x14ac:dyDescent="0.25">
      <c r="A400">
        <v>399</v>
      </c>
      <c r="B400">
        <v>15762218</v>
      </c>
      <c r="C400" t="s">
        <v>101</v>
      </c>
      <c r="D400" t="s">
        <v>15</v>
      </c>
      <c r="E400" t="s">
        <v>16</v>
      </c>
      <c r="F400">
        <v>701</v>
      </c>
      <c r="G400">
        <v>39</v>
      </c>
      <c r="H400">
        <v>9</v>
      </c>
      <c r="I400">
        <v>0</v>
      </c>
      <c r="J400">
        <v>2</v>
      </c>
      <c r="K400">
        <v>0</v>
      </c>
      <c r="L400">
        <v>1</v>
      </c>
      <c r="M400">
        <v>145894.9</v>
      </c>
      <c r="N400">
        <v>0</v>
      </c>
      <c r="O400" t="str">
        <f t="shared" si="24"/>
        <v>Good</v>
      </c>
      <c r="P400" t="str">
        <f t="shared" si="25"/>
        <v>Adult</v>
      </c>
      <c r="Q400" t="str">
        <f t="shared" si="26"/>
        <v>High Salary</v>
      </c>
      <c r="R400" t="str">
        <f t="shared" si="27"/>
        <v>Low Balance</v>
      </c>
    </row>
    <row r="401" spans="1:18" x14ac:dyDescent="0.25">
      <c r="A401">
        <v>400</v>
      </c>
      <c r="B401">
        <v>15646372</v>
      </c>
      <c r="C401" t="s">
        <v>362</v>
      </c>
      <c r="D401" t="s">
        <v>15</v>
      </c>
      <c r="E401" t="s">
        <v>16</v>
      </c>
      <c r="F401">
        <v>616</v>
      </c>
      <c r="G401">
        <v>66</v>
      </c>
      <c r="H401">
        <v>1</v>
      </c>
      <c r="I401">
        <v>135842.41</v>
      </c>
      <c r="J401">
        <v>1</v>
      </c>
      <c r="K401">
        <v>1</v>
      </c>
      <c r="L401">
        <v>0</v>
      </c>
      <c r="M401">
        <v>183840.51</v>
      </c>
      <c r="N401">
        <v>1</v>
      </c>
      <c r="O401" t="str">
        <f t="shared" si="24"/>
        <v>Average</v>
      </c>
      <c r="P401" t="str">
        <f t="shared" si="25"/>
        <v>Senior</v>
      </c>
      <c r="Q401" t="str">
        <f t="shared" si="26"/>
        <v>High Salary</v>
      </c>
      <c r="R401" t="str">
        <f t="shared" si="27"/>
        <v>High Balance</v>
      </c>
    </row>
    <row r="402" spans="1:18" x14ac:dyDescent="0.25">
      <c r="A402">
        <v>401</v>
      </c>
      <c r="B402">
        <v>15690452</v>
      </c>
      <c r="C402" t="s">
        <v>363</v>
      </c>
      <c r="D402" t="s">
        <v>15</v>
      </c>
      <c r="E402" t="s">
        <v>23</v>
      </c>
      <c r="F402">
        <v>605</v>
      </c>
      <c r="G402">
        <v>52</v>
      </c>
      <c r="H402">
        <v>1</v>
      </c>
      <c r="I402">
        <v>63349.75</v>
      </c>
      <c r="J402">
        <v>1</v>
      </c>
      <c r="K402">
        <v>1</v>
      </c>
      <c r="L402">
        <v>0</v>
      </c>
      <c r="M402">
        <v>108887.44</v>
      </c>
      <c r="N402">
        <v>0</v>
      </c>
      <c r="O402" t="str">
        <f t="shared" si="24"/>
        <v>Average</v>
      </c>
      <c r="P402" t="str">
        <f t="shared" si="25"/>
        <v>Senior</v>
      </c>
      <c r="Q402" t="str">
        <f t="shared" si="26"/>
        <v>High Salary</v>
      </c>
      <c r="R402" t="str">
        <f t="shared" si="27"/>
        <v>Medium Balance</v>
      </c>
    </row>
    <row r="403" spans="1:18" x14ac:dyDescent="0.25">
      <c r="A403">
        <v>402</v>
      </c>
      <c r="B403">
        <v>15747795</v>
      </c>
      <c r="C403" t="s">
        <v>364</v>
      </c>
      <c r="D403" t="s">
        <v>26</v>
      </c>
      <c r="E403" t="s">
        <v>16</v>
      </c>
      <c r="F403">
        <v>593</v>
      </c>
      <c r="G403">
        <v>38</v>
      </c>
      <c r="H403">
        <v>4</v>
      </c>
      <c r="I403">
        <v>129499.42</v>
      </c>
      <c r="J403">
        <v>1</v>
      </c>
      <c r="K403">
        <v>1</v>
      </c>
      <c r="L403">
        <v>1</v>
      </c>
      <c r="M403">
        <v>154071.26999999999</v>
      </c>
      <c r="N403">
        <v>0</v>
      </c>
      <c r="O403" t="str">
        <f t="shared" si="24"/>
        <v>Average</v>
      </c>
      <c r="P403" t="str">
        <f t="shared" si="25"/>
        <v>Adult</v>
      </c>
      <c r="Q403" t="str">
        <f t="shared" si="26"/>
        <v>High Salary</v>
      </c>
      <c r="R403" t="str">
        <f t="shared" si="27"/>
        <v>High Balance</v>
      </c>
    </row>
    <row r="404" spans="1:18" x14ac:dyDescent="0.25">
      <c r="A404">
        <v>403</v>
      </c>
      <c r="B404">
        <v>15781589</v>
      </c>
      <c r="C404" t="s">
        <v>365</v>
      </c>
      <c r="D404" t="s">
        <v>18</v>
      </c>
      <c r="E404" t="s">
        <v>23</v>
      </c>
      <c r="F404">
        <v>751</v>
      </c>
      <c r="G404">
        <v>52</v>
      </c>
      <c r="H404">
        <v>8</v>
      </c>
      <c r="I404">
        <v>0</v>
      </c>
      <c r="J404">
        <v>2</v>
      </c>
      <c r="K404">
        <v>0</v>
      </c>
      <c r="L404">
        <v>1</v>
      </c>
      <c r="M404">
        <v>179291.85</v>
      </c>
      <c r="N404">
        <v>0</v>
      </c>
      <c r="O404" t="str">
        <f t="shared" si="24"/>
        <v>Good</v>
      </c>
      <c r="P404" t="str">
        <f t="shared" si="25"/>
        <v>Senior</v>
      </c>
      <c r="Q404" t="str">
        <f t="shared" si="26"/>
        <v>High Salary</v>
      </c>
      <c r="R404" t="str">
        <f t="shared" si="27"/>
        <v>Low Balance</v>
      </c>
    </row>
    <row r="405" spans="1:18" x14ac:dyDescent="0.25">
      <c r="A405">
        <v>404</v>
      </c>
      <c r="B405">
        <v>15732674</v>
      </c>
      <c r="C405" t="s">
        <v>366</v>
      </c>
      <c r="D405" t="s">
        <v>18</v>
      </c>
      <c r="E405" t="s">
        <v>23</v>
      </c>
      <c r="F405">
        <v>443</v>
      </c>
      <c r="G405">
        <v>36</v>
      </c>
      <c r="H405">
        <v>6</v>
      </c>
      <c r="I405">
        <v>70438.009999999995</v>
      </c>
      <c r="J405">
        <v>2</v>
      </c>
      <c r="K405">
        <v>0</v>
      </c>
      <c r="L405">
        <v>1</v>
      </c>
      <c r="M405">
        <v>56937.43</v>
      </c>
      <c r="N405">
        <v>0</v>
      </c>
      <c r="O405" t="str">
        <f t="shared" si="24"/>
        <v>Poor</v>
      </c>
      <c r="P405" t="str">
        <f t="shared" si="25"/>
        <v>Adult</v>
      </c>
      <c r="Q405" t="str">
        <f t="shared" si="26"/>
        <v>Medium Salary</v>
      </c>
      <c r="R405" t="str">
        <f t="shared" si="27"/>
        <v>Medium Balance</v>
      </c>
    </row>
    <row r="406" spans="1:18" x14ac:dyDescent="0.25">
      <c r="A406">
        <v>405</v>
      </c>
      <c r="B406">
        <v>15642291</v>
      </c>
      <c r="C406" t="s">
        <v>367</v>
      </c>
      <c r="D406" t="s">
        <v>15</v>
      </c>
      <c r="E406" t="s">
        <v>23</v>
      </c>
      <c r="F406">
        <v>685</v>
      </c>
      <c r="G406">
        <v>23</v>
      </c>
      <c r="H406">
        <v>8</v>
      </c>
      <c r="I406">
        <v>0</v>
      </c>
      <c r="J406">
        <v>2</v>
      </c>
      <c r="K406">
        <v>1</v>
      </c>
      <c r="L406">
        <v>1</v>
      </c>
      <c r="M406">
        <v>112239.03</v>
      </c>
      <c r="N406">
        <v>0</v>
      </c>
      <c r="O406" t="str">
        <f t="shared" si="24"/>
        <v>Good</v>
      </c>
      <c r="P406" t="str">
        <f t="shared" si="25"/>
        <v>Young Adult</v>
      </c>
      <c r="Q406" t="str">
        <f t="shared" si="26"/>
        <v>High Salary</v>
      </c>
      <c r="R406" t="str">
        <f t="shared" si="27"/>
        <v>Low Balance</v>
      </c>
    </row>
    <row r="407" spans="1:18" x14ac:dyDescent="0.25">
      <c r="A407">
        <v>406</v>
      </c>
      <c r="B407">
        <v>15692761</v>
      </c>
      <c r="C407" t="s">
        <v>368</v>
      </c>
      <c r="D407" t="s">
        <v>15</v>
      </c>
      <c r="E407" t="s">
        <v>23</v>
      </c>
      <c r="F407">
        <v>718</v>
      </c>
      <c r="G407">
        <v>36</v>
      </c>
      <c r="H407">
        <v>9</v>
      </c>
      <c r="I407">
        <v>0</v>
      </c>
      <c r="J407">
        <v>1</v>
      </c>
      <c r="K407">
        <v>1</v>
      </c>
      <c r="L407">
        <v>0</v>
      </c>
      <c r="M407">
        <v>45909.87</v>
      </c>
      <c r="N407">
        <v>0</v>
      </c>
      <c r="O407" t="str">
        <f t="shared" si="24"/>
        <v>Good</v>
      </c>
      <c r="P407" t="str">
        <f t="shared" si="25"/>
        <v>Adult</v>
      </c>
      <c r="Q407" t="str">
        <f t="shared" si="26"/>
        <v>Medium Salary</v>
      </c>
      <c r="R407" t="str">
        <f t="shared" si="27"/>
        <v>Low Balance</v>
      </c>
    </row>
    <row r="408" spans="1:18" x14ac:dyDescent="0.25">
      <c r="A408">
        <v>407</v>
      </c>
      <c r="B408">
        <v>15578045</v>
      </c>
      <c r="C408" t="s">
        <v>21</v>
      </c>
      <c r="D408" t="s">
        <v>18</v>
      </c>
      <c r="E408" t="s">
        <v>16</v>
      </c>
      <c r="F408">
        <v>538</v>
      </c>
      <c r="G408">
        <v>49</v>
      </c>
      <c r="H408">
        <v>9</v>
      </c>
      <c r="I408">
        <v>141434.04</v>
      </c>
      <c r="J408">
        <v>1</v>
      </c>
      <c r="K408">
        <v>0</v>
      </c>
      <c r="L408">
        <v>0</v>
      </c>
      <c r="M408">
        <v>173779.25</v>
      </c>
      <c r="N408">
        <v>1</v>
      </c>
      <c r="O408" t="str">
        <f t="shared" si="24"/>
        <v>Poor</v>
      </c>
      <c r="P408" t="str">
        <f t="shared" si="25"/>
        <v>Adult</v>
      </c>
      <c r="Q408" t="str">
        <f t="shared" si="26"/>
        <v>High Salary</v>
      </c>
      <c r="R408" t="str">
        <f t="shared" si="27"/>
        <v>High Balance</v>
      </c>
    </row>
    <row r="409" spans="1:18" x14ac:dyDescent="0.25">
      <c r="A409">
        <v>408</v>
      </c>
      <c r="B409">
        <v>15745354</v>
      </c>
      <c r="C409" t="s">
        <v>369</v>
      </c>
      <c r="D409" t="s">
        <v>18</v>
      </c>
      <c r="E409" t="s">
        <v>16</v>
      </c>
      <c r="F409">
        <v>611</v>
      </c>
      <c r="G409">
        <v>37</v>
      </c>
      <c r="H409">
        <v>4</v>
      </c>
      <c r="I409">
        <v>0</v>
      </c>
      <c r="J409">
        <v>2</v>
      </c>
      <c r="K409">
        <v>1</v>
      </c>
      <c r="L409">
        <v>0</v>
      </c>
      <c r="M409">
        <v>125696.26</v>
      </c>
      <c r="N409">
        <v>0</v>
      </c>
      <c r="O409" t="str">
        <f t="shared" si="24"/>
        <v>Average</v>
      </c>
      <c r="P409" t="str">
        <f t="shared" si="25"/>
        <v>Adult</v>
      </c>
      <c r="Q409" t="str">
        <f t="shared" si="26"/>
        <v>High Salary</v>
      </c>
      <c r="R409" t="str">
        <f t="shared" si="27"/>
        <v>Low Balance</v>
      </c>
    </row>
    <row r="410" spans="1:18" x14ac:dyDescent="0.25">
      <c r="A410">
        <v>409</v>
      </c>
      <c r="B410">
        <v>15701376</v>
      </c>
      <c r="C410" t="s">
        <v>274</v>
      </c>
      <c r="D410" t="s">
        <v>26</v>
      </c>
      <c r="E410" t="s">
        <v>23</v>
      </c>
      <c r="F410">
        <v>668</v>
      </c>
      <c r="G410">
        <v>37</v>
      </c>
      <c r="H410">
        <v>10</v>
      </c>
      <c r="I410">
        <v>152958.29</v>
      </c>
      <c r="J410">
        <v>2</v>
      </c>
      <c r="K410">
        <v>1</v>
      </c>
      <c r="L410">
        <v>1</v>
      </c>
      <c r="M410">
        <v>159585.60999999999</v>
      </c>
      <c r="N410">
        <v>0</v>
      </c>
      <c r="O410" t="str">
        <f t="shared" si="24"/>
        <v>Average</v>
      </c>
      <c r="P410" t="str">
        <f t="shared" si="25"/>
        <v>Adult</v>
      </c>
      <c r="Q410" t="str">
        <f t="shared" si="26"/>
        <v>High Salary</v>
      </c>
      <c r="R410" t="str">
        <f t="shared" si="27"/>
        <v>High Balance</v>
      </c>
    </row>
    <row r="411" spans="1:18" x14ac:dyDescent="0.25">
      <c r="A411">
        <v>410</v>
      </c>
      <c r="B411">
        <v>15691625</v>
      </c>
      <c r="C411" t="s">
        <v>130</v>
      </c>
      <c r="D411" t="s">
        <v>26</v>
      </c>
      <c r="E411" t="s">
        <v>16</v>
      </c>
      <c r="F411">
        <v>537</v>
      </c>
      <c r="G411">
        <v>41</v>
      </c>
      <c r="H411">
        <v>3</v>
      </c>
      <c r="I411">
        <v>138306.34</v>
      </c>
      <c r="J411">
        <v>1</v>
      </c>
      <c r="K411">
        <v>1</v>
      </c>
      <c r="L411">
        <v>0</v>
      </c>
      <c r="M411">
        <v>106761.47</v>
      </c>
      <c r="N411">
        <v>0</v>
      </c>
      <c r="O411" t="str">
        <f t="shared" si="24"/>
        <v>Poor</v>
      </c>
      <c r="P411" t="str">
        <f t="shared" si="25"/>
        <v>Adult</v>
      </c>
      <c r="Q411" t="str">
        <f t="shared" si="26"/>
        <v>High Salary</v>
      </c>
      <c r="R411" t="str">
        <f t="shared" si="27"/>
        <v>High Balance</v>
      </c>
    </row>
    <row r="412" spans="1:18" x14ac:dyDescent="0.25">
      <c r="A412">
        <v>411</v>
      </c>
      <c r="B412">
        <v>15566594</v>
      </c>
      <c r="C412" t="s">
        <v>370</v>
      </c>
      <c r="D412" t="s">
        <v>18</v>
      </c>
      <c r="E412" t="s">
        <v>23</v>
      </c>
      <c r="F412">
        <v>709</v>
      </c>
      <c r="G412">
        <v>23</v>
      </c>
      <c r="H412">
        <v>10</v>
      </c>
      <c r="I412">
        <v>0</v>
      </c>
      <c r="J412">
        <v>2</v>
      </c>
      <c r="K412">
        <v>0</v>
      </c>
      <c r="L412">
        <v>0</v>
      </c>
      <c r="M412">
        <v>129590.18</v>
      </c>
      <c r="N412">
        <v>0</v>
      </c>
      <c r="O412" t="str">
        <f t="shared" si="24"/>
        <v>Good</v>
      </c>
      <c r="P412" t="str">
        <f t="shared" si="25"/>
        <v>Young Adult</v>
      </c>
      <c r="Q412" t="str">
        <f t="shared" si="26"/>
        <v>High Salary</v>
      </c>
      <c r="R412" t="str">
        <f t="shared" si="27"/>
        <v>Low Balance</v>
      </c>
    </row>
    <row r="413" spans="1:18" x14ac:dyDescent="0.25">
      <c r="A413">
        <v>412</v>
      </c>
      <c r="B413">
        <v>15760431</v>
      </c>
      <c r="C413" t="s">
        <v>371</v>
      </c>
      <c r="D413" t="s">
        <v>15</v>
      </c>
      <c r="E413" t="s">
        <v>23</v>
      </c>
      <c r="F413">
        <v>850</v>
      </c>
      <c r="G413">
        <v>38</v>
      </c>
      <c r="H413">
        <v>1</v>
      </c>
      <c r="I413">
        <v>0</v>
      </c>
      <c r="J413">
        <v>2</v>
      </c>
      <c r="K413">
        <v>1</v>
      </c>
      <c r="L413">
        <v>1</v>
      </c>
      <c r="M413">
        <v>80006.649999999994</v>
      </c>
      <c r="N413">
        <v>0</v>
      </c>
      <c r="O413" t="str">
        <f t="shared" si="24"/>
        <v>Good</v>
      </c>
      <c r="P413" t="str">
        <f t="shared" si="25"/>
        <v>Adult</v>
      </c>
      <c r="Q413" t="str">
        <f t="shared" si="26"/>
        <v>High Salary</v>
      </c>
      <c r="R413" t="str">
        <f t="shared" si="27"/>
        <v>Low Balance</v>
      </c>
    </row>
    <row r="414" spans="1:18" x14ac:dyDescent="0.25">
      <c r="A414">
        <v>413</v>
      </c>
      <c r="B414">
        <v>15686302</v>
      </c>
      <c r="C414" t="s">
        <v>372</v>
      </c>
      <c r="D414" t="s">
        <v>18</v>
      </c>
      <c r="E414" t="s">
        <v>16</v>
      </c>
      <c r="F414">
        <v>745</v>
      </c>
      <c r="G414">
        <v>31</v>
      </c>
      <c r="H414">
        <v>3</v>
      </c>
      <c r="I414">
        <v>124328.84</v>
      </c>
      <c r="J414">
        <v>1</v>
      </c>
      <c r="K414">
        <v>1</v>
      </c>
      <c r="L414">
        <v>1</v>
      </c>
      <c r="M414">
        <v>140451.51999999999</v>
      </c>
      <c r="N414">
        <v>0</v>
      </c>
      <c r="O414" t="str">
        <f t="shared" si="24"/>
        <v>Good</v>
      </c>
      <c r="P414" t="str">
        <f t="shared" si="25"/>
        <v>Adult</v>
      </c>
      <c r="Q414" t="str">
        <f t="shared" si="26"/>
        <v>High Salary</v>
      </c>
      <c r="R414" t="str">
        <f t="shared" si="27"/>
        <v>High Balance</v>
      </c>
    </row>
    <row r="415" spans="1:18" x14ac:dyDescent="0.25">
      <c r="A415">
        <v>414</v>
      </c>
      <c r="B415">
        <v>15801559</v>
      </c>
      <c r="C415" t="s">
        <v>373</v>
      </c>
      <c r="D415" t="s">
        <v>26</v>
      </c>
      <c r="E415" t="s">
        <v>16</v>
      </c>
      <c r="F415">
        <v>693</v>
      </c>
      <c r="G415">
        <v>41</v>
      </c>
      <c r="H415">
        <v>9</v>
      </c>
      <c r="I415">
        <v>181461.48</v>
      </c>
      <c r="J415">
        <v>3</v>
      </c>
      <c r="K415">
        <v>1</v>
      </c>
      <c r="L415">
        <v>1</v>
      </c>
      <c r="M415">
        <v>187929.43</v>
      </c>
      <c r="N415">
        <v>1</v>
      </c>
      <c r="O415" t="str">
        <f t="shared" si="24"/>
        <v>Good</v>
      </c>
      <c r="P415" t="str">
        <f t="shared" si="25"/>
        <v>Adult</v>
      </c>
      <c r="Q415" t="str">
        <f t="shared" si="26"/>
        <v>High Salary</v>
      </c>
      <c r="R415" t="str">
        <f t="shared" si="27"/>
        <v>High Balance</v>
      </c>
    </row>
    <row r="416" spans="1:18" x14ac:dyDescent="0.25">
      <c r="A416">
        <v>415</v>
      </c>
      <c r="B416">
        <v>15810432</v>
      </c>
      <c r="C416" t="s">
        <v>374</v>
      </c>
      <c r="D416" t="s">
        <v>18</v>
      </c>
      <c r="E416" t="s">
        <v>23</v>
      </c>
      <c r="F416">
        <v>795</v>
      </c>
      <c r="G416">
        <v>35</v>
      </c>
      <c r="H416">
        <v>8</v>
      </c>
      <c r="I416">
        <v>0</v>
      </c>
      <c r="J416">
        <v>2</v>
      </c>
      <c r="K416">
        <v>1</v>
      </c>
      <c r="L416">
        <v>0</v>
      </c>
      <c r="M416">
        <v>167155.35999999999</v>
      </c>
      <c r="N416">
        <v>0</v>
      </c>
      <c r="O416" t="str">
        <f t="shared" si="24"/>
        <v>Good</v>
      </c>
      <c r="P416" t="str">
        <f t="shared" si="25"/>
        <v>Adult</v>
      </c>
      <c r="Q416" t="str">
        <f t="shared" si="26"/>
        <v>High Salary</v>
      </c>
      <c r="R416" t="str">
        <f t="shared" si="27"/>
        <v>Low Balance</v>
      </c>
    </row>
    <row r="417" spans="1:18" x14ac:dyDescent="0.25">
      <c r="A417">
        <v>416</v>
      </c>
      <c r="B417">
        <v>15809616</v>
      </c>
      <c r="C417" t="s">
        <v>375</v>
      </c>
      <c r="D417" t="s">
        <v>18</v>
      </c>
      <c r="E417" t="s">
        <v>23</v>
      </c>
      <c r="F417">
        <v>626</v>
      </c>
      <c r="G417">
        <v>26</v>
      </c>
      <c r="H417">
        <v>8</v>
      </c>
      <c r="I417">
        <v>0</v>
      </c>
      <c r="J417">
        <v>2</v>
      </c>
      <c r="K417">
        <v>0</v>
      </c>
      <c r="L417">
        <v>0</v>
      </c>
      <c r="M417">
        <v>191420.71</v>
      </c>
      <c r="N417">
        <v>0</v>
      </c>
      <c r="O417" t="str">
        <f t="shared" si="24"/>
        <v>Average</v>
      </c>
      <c r="P417" t="str">
        <f t="shared" si="25"/>
        <v>Young Adult</v>
      </c>
      <c r="Q417" t="str">
        <f t="shared" si="26"/>
        <v>High Salary</v>
      </c>
      <c r="R417" t="str">
        <f t="shared" si="27"/>
        <v>Low Balance</v>
      </c>
    </row>
    <row r="418" spans="1:18" x14ac:dyDescent="0.25">
      <c r="A418">
        <v>417</v>
      </c>
      <c r="B418">
        <v>15720559</v>
      </c>
      <c r="C418" t="s">
        <v>376</v>
      </c>
      <c r="D418" t="s">
        <v>26</v>
      </c>
      <c r="E418" t="s">
        <v>16</v>
      </c>
      <c r="F418">
        <v>487</v>
      </c>
      <c r="G418">
        <v>61</v>
      </c>
      <c r="H418">
        <v>5</v>
      </c>
      <c r="I418">
        <v>110368.03</v>
      </c>
      <c r="J418">
        <v>1</v>
      </c>
      <c r="K418">
        <v>0</v>
      </c>
      <c r="L418">
        <v>0</v>
      </c>
      <c r="M418">
        <v>11384.45</v>
      </c>
      <c r="N418">
        <v>1</v>
      </c>
      <c r="O418" t="str">
        <f t="shared" si="24"/>
        <v>Poor</v>
      </c>
      <c r="P418" t="str">
        <f t="shared" si="25"/>
        <v>Senior</v>
      </c>
      <c r="Q418" t="str">
        <f t="shared" si="26"/>
        <v>Low Salary</v>
      </c>
      <c r="R418" t="str">
        <f t="shared" si="27"/>
        <v>High Balance</v>
      </c>
    </row>
    <row r="419" spans="1:18" x14ac:dyDescent="0.25">
      <c r="A419">
        <v>418</v>
      </c>
      <c r="B419">
        <v>15695632</v>
      </c>
      <c r="C419" t="s">
        <v>40</v>
      </c>
      <c r="D419" t="s">
        <v>15</v>
      </c>
      <c r="E419" t="s">
        <v>16</v>
      </c>
      <c r="F419">
        <v>556</v>
      </c>
      <c r="G419">
        <v>39</v>
      </c>
      <c r="H419">
        <v>9</v>
      </c>
      <c r="I419">
        <v>89588.35</v>
      </c>
      <c r="J419">
        <v>1</v>
      </c>
      <c r="K419">
        <v>1</v>
      </c>
      <c r="L419">
        <v>1</v>
      </c>
      <c r="M419">
        <v>94898.1</v>
      </c>
      <c r="N419">
        <v>0</v>
      </c>
      <c r="O419" t="str">
        <f t="shared" si="24"/>
        <v>Poor</v>
      </c>
      <c r="P419" t="str">
        <f t="shared" si="25"/>
        <v>Adult</v>
      </c>
      <c r="Q419" t="str">
        <f t="shared" si="26"/>
        <v>High Salary</v>
      </c>
      <c r="R419" t="str">
        <f t="shared" si="27"/>
        <v>Medium Balance</v>
      </c>
    </row>
    <row r="420" spans="1:18" x14ac:dyDescent="0.25">
      <c r="A420">
        <v>419</v>
      </c>
      <c r="B420">
        <v>15659843</v>
      </c>
      <c r="C420" t="s">
        <v>148</v>
      </c>
      <c r="D420" t="s">
        <v>15</v>
      </c>
      <c r="E420" t="s">
        <v>16</v>
      </c>
      <c r="F420">
        <v>643</v>
      </c>
      <c r="G420">
        <v>46</v>
      </c>
      <c r="H420">
        <v>6</v>
      </c>
      <c r="I420">
        <v>0</v>
      </c>
      <c r="J420">
        <v>2</v>
      </c>
      <c r="K420">
        <v>0</v>
      </c>
      <c r="L420">
        <v>0</v>
      </c>
      <c r="M420">
        <v>106781.59</v>
      </c>
      <c r="N420">
        <v>0</v>
      </c>
      <c r="O420" t="str">
        <f t="shared" si="24"/>
        <v>Average</v>
      </c>
      <c r="P420" t="str">
        <f t="shared" si="25"/>
        <v>Adult</v>
      </c>
      <c r="Q420" t="str">
        <f t="shared" si="26"/>
        <v>High Salary</v>
      </c>
      <c r="R420" t="str">
        <f t="shared" si="27"/>
        <v>Low Balance</v>
      </c>
    </row>
    <row r="421" spans="1:18" x14ac:dyDescent="0.25">
      <c r="A421">
        <v>420</v>
      </c>
      <c r="B421">
        <v>15615624</v>
      </c>
      <c r="C421" t="s">
        <v>377</v>
      </c>
      <c r="D421" t="s">
        <v>15</v>
      </c>
      <c r="E421" t="s">
        <v>16</v>
      </c>
      <c r="F421">
        <v>605</v>
      </c>
      <c r="G421">
        <v>28</v>
      </c>
      <c r="H421">
        <v>6</v>
      </c>
      <c r="I421">
        <v>0</v>
      </c>
      <c r="J421">
        <v>2</v>
      </c>
      <c r="K421">
        <v>0</v>
      </c>
      <c r="L421">
        <v>0</v>
      </c>
      <c r="M421">
        <v>159508.51999999999</v>
      </c>
      <c r="N421">
        <v>0</v>
      </c>
      <c r="O421" t="str">
        <f t="shared" si="24"/>
        <v>Average</v>
      </c>
      <c r="P421" t="str">
        <f t="shared" si="25"/>
        <v>Young Adult</v>
      </c>
      <c r="Q421" t="str">
        <f t="shared" si="26"/>
        <v>High Salary</v>
      </c>
      <c r="R421" t="str">
        <f t="shared" si="27"/>
        <v>Low Balance</v>
      </c>
    </row>
    <row r="422" spans="1:18" x14ac:dyDescent="0.25">
      <c r="A422">
        <v>421</v>
      </c>
      <c r="B422">
        <v>15810418</v>
      </c>
      <c r="C422" t="s">
        <v>125</v>
      </c>
      <c r="D422" t="s">
        <v>26</v>
      </c>
      <c r="E422" t="s">
        <v>16</v>
      </c>
      <c r="F422">
        <v>756</v>
      </c>
      <c r="G422">
        <v>60</v>
      </c>
      <c r="H422">
        <v>3</v>
      </c>
      <c r="I422">
        <v>115924.89</v>
      </c>
      <c r="J422">
        <v>1</v>
      </c>
      <c r="K422">
        <v>1</v>
      </c>
      <c r="L422">
        <v>0</v>
      </c>
      <c r="M422">
        <v>93524.19</v>
      </c>
      <c r="N422">
        <v>1</v>
      </c>
      <c r="O422" t="str">
        <f t="shared" si="24"/>
        <v>Good</v>
      </c>
      <c r="P422" t="str">
        <f t="shared" si="25"/>
        <v>Senior</v>
      </c>
      <c r="Q422" t="str">
        <f t="shared" si="26"/>
        <v>High Salary</v>
      </c>
      <c r="R422" t="str">
        <f t="shared" si="27"/>
        <v>High Balance</v>
      </c>
    </row>
    <row r="423" spans="1:18" x14ac:dyDescent="0.25">
      <c r="A423">
        <v>422</v>
      </c>
      <c r="B423">
        <v>15716186</v>
      </c>
      <c r="C423" t="s">
        <v>378</v>
      </c>
      <c r="D423" t="s">
        <v>15</v>
      </c>
      <c r="E423" t="s">
        <v>16</v>
      </c>
      <c r="F423">
        <v>586</v>
      </c>
      <c r="G423">
        <v>38</v>
      </c>
      <c r="H423">
        <v>2</v>
      </c>
      <c r="I423">
        <v>0</v>
      </c>
      <c r="J423">
        <v>2</v>
      </c>
      <c r="K423">
        <v>1</v>
      </c>
      <c r="L423">
        <v>0</v>
      </c>
      <c r="M423">
        <v>87168.46</v>
      </c>
      <c r="N423">
        <v>0</v>
      </c>
      <c r="O423" t="str">
        <f t="shared" si="24"/>
        <v>Average</v>
      </c>
      <c r="P423" t="str">
        <f t="shared" si="25"/>
        <v>Adult</v>
      </c>
      <c r="Q423" t="str">
        <f t="shared" si="26"/>
        <v>High Salary</v>
      </c>
      <c r="R423" t="str">
        <f t="shared" si="27"/>
        <v>Low Balance</v>
      </c>
    </row>
    <row r="424" spans="1:18" x14ac:dyDescent="0.25">
      <c r="A424">
        <v>423</v>
      </c>
      <c r="B424">
        <v>15674551</v>
      </c>
      <c r="C424" t="s">
        <v>379</v>
      </c>
      <c r="D424" t="s">
        <v>26</v>
      </c>
      <c r="E424" t="s">
        <v>23</v>
      </c>
      <c r="F424">
        <v>535</v>
      </c>
      <c r="G424">
        <v>40</v>
      </c>
      <c r="H424">
        <v>7</v>
      </c>
      <c r="I424">
        <v>111756.5</v>
      </c>
      <c r="J424">
        <v>1</v>
      </c>
      <c r="K424">
        <v>1</v>
      </c>
      <c r="L424">
        <v>0</v>
      </c>
      <c r="M424">
        <v>8128.32</v>
      </c>
      <c r="N424">
        <v>1</v>
      </c>
      <c r="O424" t="str">
        <f t="shared" si="24"/>
        <v>Poor</v>
      </c>
      <c r="P424" t="str">
        <f t="shared" si="25"/>
        <v>Adult</v>
      </c>
      <c r="Q424" t="str">
        <f t="shared" si="26"/>
        <v>Low Salary</v>
      </c>
      <c r="R424" t="str">
        <f t="shared" si="27"/>
        <v>High Balance</v>
      </c>
    </row>
    <row r="425" spans="1:18" x14ac:dyDescent="0.25">
      <c r="A425">
        <v>424</v>
      </c>
      <c r="B425">
        <v>15622834</v>
      </c>
      <c r="C425" t="s">
        <v>223</v>
      </c>
      <c r="D425" t="s">
        <v>15</v>
      </c>
      <c r="E425" t="s">
        <v>16</v>
      </c>
      <c r="F425">
        <v>678</v>
      </c>
      <c r="G425">
        <v>35</v>
      </c>
      <c r="H425">
        <v>4</v>
      </c>
      <c r="I425">
        <v>0</v>
      </c>
      <c r="J425">
        <v>1</v>
      </c>
      <c r="K425">
        <v>1</v>
      </c>
      <c r="L425">
        <v>0</v>
      </c>
      <c r="M425">
        <v>125518.32</v>
      </c>
      <c r="N425">
        <v>0</v>
      </c>
      <c r="O425" t="str">
        <f t="shared" si="24"/>
        <v>Good</v>
      </c>
      <c r="P425" t="str">
        <f t="shared" si="25"/>
        <v>Adult</v>
      </c>
      <c r="Q425" t="str">
        <f t="shared" si="26"/>
        <v>High Salary</v>
      </c>
      <c r="R425" t="str">
        <f t="shared" si="27"/>
        <v>Low Balance</v>
      </c>
    </row>
    <row r="426" spans="1:18" x14ac:dyDescent="0.25">
      <c r="A426">
        <v>425</v>
      </c>
      <c r="B426">
        <v>15566111</v>
      </c>
      <c r="C426" t="s">
        <v>380</v>
      </c>
      <c r="D426" t="s">
        <v>15</v>
      </c>
      <c r="E426" t="s">
        <v>23</v>
      </c>
      <c r="F426">
        <v>596</v>
      </c>
      <c r="G426">
        <v>39</v>
      </c>
      <c r="H426">
        <v>9</v>
      </c>
      <c r="I426">
        <v>0</v>
      </c>
      <c r="J426">
        <v>1</v>
      </c>
      <c r="K426">
        <v>1</v>
      </c>
      <c r="L426">
        <v>0</v>
      </c>
      <c r="M426">
        <v>48963.59</v>
      </c>
      <c r="N426">
        <v>0</v>
      </c>
      <c r="O426" t="str">
        <f t="shared" si="24"/>
        <v>Average</v>
      </c>
      <c r="P426" t="str">
        <f t="shared" si="25"/>
        <v>Adult</v>
      </c>
      <c r="Q426" t="str">
        <f t="shared" si="26"/>
        <v>Medium Salary</v>
      </c>
      <c r="R426" t="str">
        <f t="shared" si="27"/>
        <v>Low Balance</v>
      </c>
    </row>
    <row r="427" spans="1:18" x14ac:dyDescent="0.25">
      <c r="A427">
        <v>426</v>
      </c>
      <c r="B427">
        <v>15784597</v>
      </c>
      <c r="C427" t="s">
        <v>381</v>
      </c>
      <c r="D427" t="s">
        <v>15</v>
      </c>
      <c r="E427" t="s">
        <v>23</v>
      </c>
      <c r="F427">
        <v>648</v>
      </c>
      <c r="G427">
        <v>26</v>
      </c>
      <c r="H427">
        <v>9</v>
      </c>
      <c r="I427">
        <v>162923.85</v>
      </c>
      <c r="J427">
        <v>1</v>
      </c>
      <c r="K427">
        <v>1</v>
      </c>
      <c r="L427">
        <v>0</v>
      </c>
      <c r="M427">
        <v>98368.24</v>
      </c>
      <c r="N427">
        <v>0</v>
      </c>
      <c r="O427" t="str">
        <f t="shared" si="24"/>
        <v>Average</v>
      </c>
      <c r="P427" t="str">
        <f t="shared" si="25"/>
        <v>Young Adult</v>
      </c>
      <c r="Q427" t="str">
        <f t="shared" si="26"/>
        <v>High Salary</v>
      </c>
      <c r="R427" t="str">
        <f t="shared" si="27"/>
        <v>High Balance</v>
      </c>
    </row>
    <row r="428" spans="1:18" x14ac:dyDescent="0.25">
      <c r="A428">
        <v>427</v>
      </c>
      <c r="B428">
        <v>15652883</v>
      </c>
      <c r="C428" t="s">
        <v>382</v>
      </c>
      <c r="D428" t="s">
        <v>26</v>
      </c>
      <c r="E428" t="s">
        <v>23</v>
      </c>
      <c r="F428">
        <v>492</v>
      </c>
      <c r="G428">
        <v>39</v>
      </c>
      <c r="H428">
        <v>10</v>
      </c>
      <c r="I428">
        <v>124576.65</v>
      </c>
      <c r="J428">
        <v>2</v>
      </c>
      <c r="K428">
        <v>1</v>
      </c>
      <c r="L428">
        <v>0</v>
      </c>
      <c r="M428">
        <v>148584.60999999999</v>
      </c>
      <c r="N428">
        <v>0</v>
      </c>
      <c r="O428" t="str">
        <f t="shared" si="24"/>
        <v>Poor</v>
      </c>
      <c r="P428" t="str">
        <f t="shared" si="25"/>
        <v>Adult</v>
      </c>
      <c r="Q428" t="str">
        <f t="shared" si="26"/>
        <v>High Salary</v>
      </c>
      <c r="R428" t="str">
        <f t="shared" si="27"/>
        <v>High Balance</v>
      </c>
    </row>
    <row r="429" spans="1:18" x14ac:dyDescent="0.25">
      <c r="A429">
        <v>428</v>
      </c>
      <c r="B429">
        <v>15806964</v>
      </c>
      <c r="C429" t="s">
        <v>383</v>
      </c>
      <c r="D429" t="s">
        <v>15</v>
      </c>
      <c r="E429" t="s">
        <v>23</v>
      </c>
      <c r="F429">
        <v>702</v>
      </c>
      <c r="G429">
        <v>45</v>
      </c>
      <c r="H429">
        <v>0</v>
      </c>
      <c r="I429">
        <v>80793.58</v>
      </c>
      <c r="J429">
        <v>1</v>
      </c>
      <c r="K429">
        <v>1</v>
      </c>
      <c r="L429">
        <v>1</v>
      </c>
      <c r="M429">
        <v>27474.81</v>
      </c>
      <c r="N429">
        <v>0</v>
      </c>
      <c r="O429" t="str">
        <f t="shared" si="24"/>
        <v>Good</v>
      </c>
      <c r="P429" t="str">
        <f t="shared" si="25"/>
        <v>Adult</v>
      </c>
      <c r="Q429" t="str">
        <f t="shared" si="26"/>
        <v>Low Salary</v>
      </c>
      <c r="R429" t="str">
        <f t="shared" si="27"/>
        <v>Medium Balance</v>
      </c>
    </row>
    <row r="430" spans="1:18" x14ac:dyDescent="0.25">
      <c r="A430">
        <v>429</v>
      </c>
      <c r="B430">
        <v>15576313</v>
      </c>
      <c r="C430" t="s">
        <v>171</v>
      </c>
      <c r="D430" t="s">
        <v>26</v>
      </c>
      <c r="E430" t="s">
        <v>16</v>
      </c>
      <c r="F430">
        <v>486</v>
      </c>
      <c r="G430">
        <v>40</v>
      </c>
      <c r="H430">
        <v>9</v>
      </c>
      <c r="I430">
        <v>71340.09</v>
      </c>
      <c r="J430">
        <v>1</v>
      </c>
      <c r="K430">
        <v>1</v>
      </c>
      <c r="L430">
        <v>0</v>
      </c>
      <c r="M430">
        <v>76192.210000000006</v>
      </c>
      <c r="N430">
        <v>0</v>
      </c>
      <c r="O430" t="str">
        <f t="shared" si="24"/>
        <v>Poor</v>
      </c>
      <c r="P430" t="str">
        <f t="shared" si="25"/>
        <v>Adult</v>
      </c>
      <c r="Q430" t="str">
        <f t="shared" si="26"/>
        <v>High Salary</v>
      </c>
      <c r="R430" t="str">
        <f t="shared" si="27"/>
        <v>Medium Balance</v>
      </c>
    </row>
    <row r="431" spans="1:18" x14ac:dyDescent="0.25">
      <c r="A431">
        <v>430</v>
      </c>
      <c r="B431">
        <v>15806467</v>
      </c>
      <c r="C431" t="s">
        <v>267</v>
      </c>
      <c r="D431" t="s">
        <v>26</v>
      </c>
      <c r="E431" t="s">
        <v>23</v>
      </c>
      <c r="F431">
        <v>568</v>
      </c>
      <c r="G431">
        <v>40</v>
      </c>
      <c r="H431">
        <v>1</v>
      </c>
      <c r="I431">
        <v>99282.63</v>
      </c>
      <c r="J431">
        <v>1</v>
      </c>
      <c r="K431">
        <v>0</v>
      </c>
      <c r="L431">
        <v>0</v>
      </c>
      <c r="M431">
        <v>134600.94</v>
      </c>
      <c r="N431">
        <v>1</v>
      </c>
      <c r="O431" t="str">
        <f t="shared" si="24"/>
        <v>Poor</v>
      </c>
      <c r="P431" t="str">
        <f t="shared" si="25"/>
        <v>Adult</v>
      </c>
      <c r="Q431" t="str">
        <f t="shared" si="26"/>
        <v>High Salary</v>
      </c>
      <c r="R431" t="str">
        <f t="shared" si="27"/>
        <v>Medium Balance</v>
      </c>
    </row>
    <row r="432" spans="1:18" x14ac:dyDescent="0.25">
      <c r="A432">
        <v>431</v>
      </c>
      <c r="B432">
        <v>15597602</v>
      </c>
      <c r="C432" t="s">
        <v>384</v>
      </c>
      <c r="D432" t="s">
        <v>26</v>
      </c>
      <c r="E432" t="s">
        <v>23</v>
      </c>
      <c r="F432">
        <v>619</v>
      </c>
      <c r="G432">
        <v>57</v>
      </c>
      <c r="H432">
        <v>3</v>
      </c>
      <c r="I432">
        <v>137946.39000000001</v>
      </c>
      <c r="J432">
        <v>1</v>
      </c>
      <c r="K432">
        <v>1</v>
      </c>
      <c r="L432">
        <v>1</v>
      </c>
      <c r="M432">
        <v>72467.990000000005</v>
      </c>
      <c r="N432">
        <v>1</v>
      </c>
      <c r="O432" t="str">
        <f t="shared" si="24"/>
        <v>Average</v>
      </c>
      <c r="P432" t="str">
        <f t="shared" si="25"/>
        <v>Senior</v>
      </c>
      <c r="Q432" t="str">
        <f t="shared" si="26"/>
        <v>High Salary</v>
      </c>
      <c r="R432" t="str">
        <f t="shared" si="27"/>
        <v>High Balance</v>
      </c>
    </row>
    <row r="433" spans="1:18" x14ac:dyDescent="0.25">
      <c r="A433">
        <v>432</v>
      </c>
      <c r="B433">
        <v>15743040</v>
      </c>
      <c r="C433" t="s">
        <v>385</v>
      </c>
      <c r="D433" t="s">
        <v>26</v>
      </c>
      <c r="E433" t="s">
        <v>23</v>
      </c>
      <c r="F433">
        <v>724</v>
      </c>
      <c r="G433">
        <v>41</v>
      </c>
      <c r="H433">
        <v>2</v>
      </c>
      <c r="I433">
        <v>127892.57</v>
      </c>
      <c r="J433">
        <v>2</v>
      </c>
      <c r="K433">
        <v>0</v>
      </c>
      <c r="L433">
        <v>1</v>
      </c>
      <c r="M433">
        <v>199645.45</v>
      </c>
      <c r="N433">
        <v>0</v>
      </c>
      <c r="O433" t="str">
        <f t="shared" si="24"/>
        <v>Good</v>
      </c>
      <c r="P433" t="str">
        <f t="shared" si="25"/>
        <v>Adult</v>
      </c>
      <c r="Q433" t="str">
        <f t="shared" si="26"/>
        <v>High Salary</v>
      </c>
      <c r="R433" t="str">
        <f t="shared" si="27"/>
        <v>High Balance</v>
      </c>
    </row>
    <row r="434" spans="1:18" x14ac:dyDescent="0.25">
      <c r="A434">
        <v>433</v>
      </c>
      <c r="B434">
        <v>15705521</v>
      </c>
      <c r="C434" t="s">
        <v>386</v>
      </c>
      <c r="D434" t="s">
        <v>26</v>
      </c>
      <c r="E434" t="s">
        <v>16</v>
      </c>
      <c r="F434">
        <v>548</v>
      </c>
      <c r="G434">
        <v>33</v>
      </c>
      <c r="H434">
        <v>0</v>
      </c>
      <c r="I434">
        <v>101084.36</v>
      </c>
      <c r="J434">
        <v>1</v>
      </c>
      <c r="K434">
        <v>1</v>
      </c>
      <c r="L434">
        <v>0</v>
      </c>
      <c r="M434">
        <v>42749.85</v>
      </c>
      <c r="N434">
        <v>0</v>
      </c>
      <c r="O434" t="str">
        <f t="shared" si="24"/>
        <v>Poor</v>
      </c>
      <c r="P434" t="str">
        <f t="shared" si="25"/>
        <v>Adult</v>
      </c>
      <c r="Q434" t="str">
        <f t="shared" si="26"/>
        <v>Medium Salary</v>
      </c>
      <c r="R434" t="str">
        <f t="shared" si="27"/>
        <v>High Balance</v>
      </c>
    </row>
    <row r="435" spans="1:18" x14ac:dyDescent="0.25">
      <c r="A435">
        <v>434</v>
      </c>
      <c r="B435">
        <v>15595039</v>
      </c>
      <c r="C435" t="s">
        <v>387</v>
      </c>
      <c r="D435" t="s">
        <v>26</v>
      </c>
      <c r="E435" t="s">
        <v>16</v>
      </c>
      <c r="F435">
        <v>545</v>
      </c>
      <c r="G435">
        <v>37</v>
      </c>
      <c r="H435">
        <v>8</v>
      </c>
      <c r="I435">
        <v>114754.08</v>
      </c>
      <c r="J435">
        <v>1</v>
      </c>
      <c r="K435">
        <v>1</v>
      </c>
      <c r="L435">
        <v>0</v>
      </c>
      <c r="M435">
        <v>136050.44</v>
      </c>
      <c r="N435">
        <v>1</v>
      </c>
      <c r="O435" t="str">
        <f t="shared" si="24"/>
        <v>Poor</v>
      </c>
      <c r="P435" t="str">
        <f t="shared" si="25"/>
        <v>Adult</v>
      </c>
      <c r="Q435" t="str">
        <f t="shared" si="26"/>
        <v>High Salary</v>
      </c>
      <c r="R435" t="str">
        <f t="shared" si="27"/>
        <v>High Balance</v>
      </c>
    </row>
    <row r="436" spans="1:18" x14ac:dyDescent="0.25">
      <c r="A436">
        <v>435</v>
      </c>
      <c r="B436">
        <v>15799384</v>
      </c>
      <c r="C436" t="s">
        <v>388</v>
      </c>
      <c r="D436" t="s">
        <v>15</v>
      </c>
      <c r="E436" t="s">
        <v>23</v>
      </c>
      <c r="F436">
        <v>683</v>
      </c>
      <c r="G436">
        <v>33</v>
      </c>
      <c r="H436">
        <v>8</v>
      </c>
      <c r="I436">
        <v>0</v>
      </c>
      <c r="J436">
        <v>1</v>
      </c>
      <c r="K436">
        <v>0</v>
      </c>
      <c r="L436">
        <v>0</v>
      </c>
      <c r="M436">
        <v>73564.44</v>
      </c>
      <c r="N436">
        <v>0</v>
      </c>
      <c r="O436" t="str">
        <f t="shared" si="24"/>
        <v>Good</v>
      </c>
      <c r="P436" t="str">
        <f t="shared" si="25"/>
        <v>Adult</v>
      </c>
      <c r="Q436" t="str">
        <f t="shared" si="26"/>
        <v>High Salary</v>
      </c>
      <c r="R436" t="str">
        <f t="shared" si="27"/>
        <v>Low Balance</v>
      </c>
    </row>
    <row r="437" spans="1:18" x14ac:dyDescent="0.25">
      <c r="A437">
        <v>436</v>
      </c>
      <c r="B437">
        <v>15581197</v>
      </c>
      <c r="C437" t="s">
        <v>332</v>
      </c>
      <c r="D437" t="s">
        <v>15</v>
      </c>
      <c r="E437" t="s">
        <v>16</v>
      </c>
      <c r="F437">
        <v>762</v>
      </c>
      <c r="G437">
        <v>51</v>
      </c>
      <c r="H437">
        <v>3</v>
      </c>
      <c r="I437">
        <v>99286.98</v>
      </c>
      <c r="J437">
        <v>1</v>
      </c>
      <c r="K437">
        <v>0</v>
      </c>
      <c r="L437">
        <v>1</v>
      </c>
      <c r="M437">
        <v>85578.63</v>
      </c>
      <c r="N437">
        <v>0</v>
      </c>
      <c r="O437" t="str">
        <f t="shared" si="24"/>
        <v>Good</v>
      </c>
      <c r="P437" t="str">
        <f t="shared" si="25"/>
        <v>Senior</v>
      </c>
      <c r="Q437" t="str">
        <f t="shared" si="26"/>
        <v>High Salary</v>
      </c>
      <c r="R437" t="str">
        <f t="shared" si="27"/>
        <v>Medium Balance</v>
      </c>
    </row>
    <row r="438" spans="1:18" x14ac:dyDescent="0.25">
      <c r="A438">
        <v>437</v>
      </c>
      <c r="B438">
        <v>15693737</v>
      </c>
      <c r="C438" t="s">
        <v>389</v>
      </c>
      <c r="D438" t="s">
        <v>26</v>
      </c>
      <c r="E438" t="s">
        <v>16</v>
      </c>
      <c r="F438">
        <v>627</v>
      </c>
      <c r="G438">
        <v>30</v>
      </c>
      <c r="H438">
        <v>4</v>
      </c>
      <c r="I438">
        <v>79871.02</v>
      </c>
      <c r="J438">
        <v>2</v>
      </c>
      <c r="K438">
        <v>1</v>
      </c>
      <c r="L438">
        <v>0</v>
      </c>
      <c r="M438">
        <v>129826.89</v>
      </c>
      <c r="N438">
        <v>0</v>
      </c>
      <c r="O438" t="str">
        <f t="shared" si="24"/>
        <v>Average</v>
      </c>
      <c r="P438" t="str">
        <f t="shared" si="25"/>
        <v>Young Adult</v>
      </c>
      <c r="Q438" t="str">
        <f t="shared" si="26"/>
        <v>High Salary</v>
      </c>
      <c r="R438" t="str">
        <f t="shared" si="27"/>
        <v>Medium Balance</v>
      </c>
    </row>
    <row r="439" spans="1:18" x14ac:dyDescent="0.25">
      <c r="A439">
        <v>438</v>
      </c>
      <c r="B439">
        <v>15624623</v>
      </c>
      <c r="C439" t="s">
        <v>390</v>
      </c>
      <c r="D439" t="s">
        <v>15</v>
      </c>
      <c r="E439" t="s">
        <v>23</v>
      </c>
      <c r="F439">
        <v>516</v>
      </c>
      <c r="G439">
        <v>35</v>
      </c>
      <c r="H439">
        <v>10</v>
      </c>
      <c r="I439">
        <v>104088.59</v>
      </c>
      <c r="J439">
        <v>2</v>
      </c>
      <c r="K439">
        <v>0</v>
      </c>
      <c r="L439">
        <v>0</v>
      </c>
      <c r="M439">
        <v>119666</v>
      </c>
      <c r="N439">
        <v>0</v>
      </c>
      <c r="O439" t="str">
        <f t="shared" si="24"/>
        <v>Poor</v>
      </c>
      <c r="P439" t="str">
        <f t="shared" si="25"/>
        <v>Adult</v>
      </c>
      <c r="Q439" t="str">
        <f t="shared" si="26"/>
        <v>High Salary</v>
      </c>
      <c r="R439" t="str">
        <f t="shared" si="27"/>
        <v>High Balance</v>
      </c>
    </row>
    <row r="440" spans="1:18" x14ac:dyDescent="0.25">
      <c r="A440">
        <v>439</v>
      </c>
      <c r="B440">
        <v>15783501</v>
      </c>
      <c r="C440" t="s">
        <v>391</v>
      </c>
      <c r="D440" t="s">
        <v>15</v>
      </c>
      <c r="E440" t="s">
        <v>16</v>
      </c>
      <c r="F440">
        <v>800</v>
      </c>
      <c r="G440">
        <v>38</v>
      </c>
      <c r="H440">
        <v>2</v>
      </c>
      <c r="I440">
        <v>168190.33</v>
      </c>
      <c r="J440">
        <v>2</v>
      </c>
      <c r="K440">
        <v>1</v>
      </c>
      <c r="L440">
        <v>0</v>
      </c>
      <c r="M440">
        <v>68052.08</v>
      </c>
      <c r="N440">
        <v>0</v>
      </c>
      <c r="O440" t="str">
        <f t="shared" si="24"/>
        <v>Good</v>
      </c>
      <c r="P440" t="str">
        <f t="shared" si="25"/>
        <v>Adult</v>
      </c>
      <c r="Q440" t="str">
        <f t="shared" si="26"/>
        <v>Medium Salary</v>
      </c>
      <c r="R440" t="str">
        <f t="shared" si="27"/>
        <v>High Balance</v>
      </c>
    </row>
    <row r="441" spans="1:18" x14ac:dyDescent="0.25">
      <c r="A441">
        <v>440</v>
      </c>
      <c r="B441">
        <v>15690134</v>
      </c>
      <c r="C441" t="s">
        <v>249</v>
      </c>
      <c r="D441" t="s">
        <v>26</v>
      </c>
      <c r="E441" t="s">
        <v>16</v>
      </c>
      <c r="F441">
        <v>464</v>
      </c>
      <c r="G441">
        <v>42</v>
      </c>
      <c r="H441">
        <v>3</v>
      </c>
      <c r="I441">
        <v>85679.25</v>
      </c>
      <c r="J441">
        <v>1</v>
      </c>
      <c r="K441">
        <v>1</v>
      </c>
      <c r="L441">
        <v>1</v>
      </c>
      <c r="M441">
        <v>164104.74</v>
      </c>
      <c r="N441">
        <v>0</v>
      </c>
      <c r="O441" t="str">
        <f t="shared" si="24"/>
        <v>Poor</v>
      </c>
      <c r="P441" t="str">
        <f t="shared" si="25"/>
        <v>Adult</v>
      </c>
      <c r="Q441" t="str">
        <f t="shared" si="26"/>
        <v>High Salary</v>
      </c>
      <c r="R441" t="str">
        <f t="shared" si="27"/>
        <v>Medium Balance</v>
      </c>
    </row>
    <row r="442" spans="1:18" x14ac:dyDescent="0.25">
      <c r="A442">
        <v>441</v>
      </c>
      <c r="B442">
        <v>15782735</v>
      </c>
      <c r="C442" t="s">
        <v>392</v>
      </c>
      <c r="D442" t="s">
        <v>15</v>
      </c>
      <c r="E442" t="s">
        <v>16</v>
      </c>
      <c r="F442">
        <v>626</v>
      </c>
      <c r="G442">
        <v>35</v>
      </c>
      <c r="H442">
        <v>3</v>
      </c>
      <c r="I442">
        <v>0</v>
      </c>
      <c r="J442">
        <v>1</v>
      </c>
      <c r="K442">
        <v>0</v>
      </c>
      <c r="L442">
        <v>0</v>
      </c>
      <c r="M442">
        <v>80190.36</v>
      </c>
      <c r="N442">
        <v>0</v>
      </c>
      <c r="O442" t="str">
        <f t="shared" si="24"/>
        <v>Average</v>
      </c>
      <c r="P442" t="str">
        <f t="shared" si="25"/>
        <v>Adult</v>
      </c>
      <c r="Q442" t="str">
        <f t="shared" si="26"/>
        <v>High Salary</v>
      </c>
      <c r="R442" t="str">
        <f t="shared" si="27"/>
        <v>Low Balance</v>
      </c>
    </row>
    <row r="443" spans="1:18" x14ac:dyDescent="0.25">
      <c r="A443">
        <v>442</v>
      </c>
      <c r="B443">
        <v>15611088</v>
      </c>
      <c r="C443" t="s">
        <v>393</v>
      </c>
      <c r="D443" t="s">
        <v>15</v>
      </c>
      <c r="E443" t="s">
        <v>16</v>
      </c>
      <c r="F443">
        <v>790</v>
      </c>
      <c r="G443">
        <v>31</v>
      </c>
      <c r="H443">
        <v>9</v>
      </c>
      <c r="I443">
        <v>0</v>
      </c>
      <c r="J443">
        <v>2</v>
      </c>
      <c r="K443">
        <v>1</v>
      </c>
      <c r="L443">
        <v>0</v>
      </c>
      <c r="M443">
        <v>84126.75</v>
      </c>
      <c r="N443">
        <v>0</v>
      </c>
      <c r="O443" t="str">
        <f t="shared" si="24"/>
        <v>Good</v>
      </c>
      <c r="P443" t="str">
        <f t="shared" si="25"/>
        <v>Adult</v>
      </c>
      <c r="Q443" t="str">
        <f t="shared" si="26"/>
        <v>High Salary</v>
      </c>
      <c r="R443" t="str">
        <f t="shared" si="27"/>
        <v>Low Balance</v>
      </c>
    </row>
    <row r="444" spans="1:18" x14ac:dyDescent="0.25">
      <c r="A444">
        <v>443</v>
      </c>
      <c r="B444">
        <v>15672145</v>
      </c>
      <c r="C444" t="s">
        <v>394</v>
      </c>
      <c r="D444" t="s">
        <v>15</v>
      </c>
      <c r="E444" t="s">
        <v>16</v>
      </c>
      <c r="F444">
        <v>534</v>
      </c>
      <c r="G444">
        <v>34</v>
      </c>
      <c r="H444">
        <v>7</v>
      </c>
      <c r="I444">
        <v>121551.58</v>
      </c>
      <c r="J444">
        <v>2</v>
      </c>
      <c r="K444">
        <v>1</v>
      </c>
      <c r="L444">
        <v>1</v>
      </c>
      <c r="M444">
        <v>70179</v>
      </c>
      <c r="N444">
        <v>0</v>
      </c>
      <c r="O444" t="str">
        <f t="shared" si="24"/>
        <v>Poor</v>
      </c>
      <c r="P444" t="str">
        <f t="shared" si="25"/>
        <v>Adult</v>
      </c>
      <c r="Q444" t="str">
        <f t="shared" si="26"/>
        <v>High Salary</v>
      </c>
      <c r="R444" t="str">
        <f t="shared" si="27"/>
        <v>High Balance</v>
      </c>
    </row>
    <row r="445" spans="1:18" x14ac:dyDescent="0.25">
      <c r="A445">
        <v>444</v>
      </c>
      <c r="B445">
        <v>15732628</v>
      </c>
      <c r="C445" t="s">
        <v>395</v>
      </c>
      <c r="D445" t="s">
        <v>15</v>
      </c>
      <c r="E445" t="s">
        <v>23</v>
      </c>
      <c r="F445">
        <v>745</v>
      </c>
      <c r="G445">
        <v>46</v>
      </c>
      <c r="H445">
        <v>2</v>
      </c>
      <c r="I445">
        <v>122220.19</v>
      </c>
      <c r="J445">
        <v>1</v>
      </c>
      <c r="K445">
        <v>1</v>
      </c>
      <c r="L445">
        <v>1</v>
      </c>
      <c r="M445">
        <v>118024.1</v>
      </c>
      <c r="N445">
        <v>0</v>
      </c>
      <c r="O445" t="str">
        <f t="shared" si="24"/>
        <v>Good</v>
      </c>
      <c r="P445" t="str">
        <f t="shared" si="25"/>
        <v>Adult</v>
      </c>
      <c r="Q445" t="str">
        <f t="shared" si="26"/>
        <v>High Salary</v>
      </c>
      <c r="R445" t="str">
        <f t="shared" si="27"/>
        <v>High Balance</v>
      </c>
    </row>
    <row r="446" spans="1:18" x14ac:dyDescent="0.25">
      <c r="A446">
        <v>445</v>
      </c>
      <c r="B446">
        <v>15787470</v>
      </c>
      <c r="C446" t="s">
        <v>396</v>
      </c>
      <c r="D446" t="s">
        <v>18</v>
      </c>
      <c r="E446" t="s">
        <v>23</v>
      </c>
      <c r="F446">
        <v>553</v>
      </c>
      <c r="G446">
        <v>47</v>
      </c>
      <c r="H446">
        <v>3</v>
      </c>
      <c r="I446">
        <v>116528.15</v>
      </c>
      <c r="J446">
        <v>1</v>
      </c>
      <c r="K446">
        <v>0</v>
      </c>
      <c r="L446">
        <v>0</v>
      </c>
      <c r="M446">
        <v>145704.19</v>
      </c>
      <c r="N446">
        <v>1</v>
      </c>
      <c r="O446" t="str">
        <f t="shared" si="24"/>
        <v>Poor</v>
      </c>
      <c r="P446" t="str">
        <f t="shared" si="25"/>
        <v>Adult</v>
      </c>
      <c r="Q446" t="str">
        <f t="shared" si="26"/>
        <v>High Salary</v>
      </c>
      <c r="R446" t="str">
        <f t="shared" si="27"/>
        <v>High Balance</v>
      </c>
    </row>
    <row r="447" spans="1:18" x14ac:dyDescent="0.25">
      <c r="A447">
        <v>446</v>
      </c>
      <c r="B447">
        <v>15803406</v>
      </c>
      <c r="C447" t="s">
        <v>397</v>
      </c>
      <c r="D447" t="s">
        <v>15</v>
      </c>
      <c r="E447" t="s">
        <v>16</v>
      </c>
      <c r="F447">
        <v>748</v>
      </c>
      <c r="G447">
        <v>26</v>
      </c>
      <c r="H447">
        <v>1</v>
      </c>
      <c r="I447">
        <v>77780.289999999994</v>
      </c>
      <c r="J447">
        <v>1</v>
      </c>
      <c r="K447">
        <v>0</v>
      </c>
      <c r="L447">
        <v>1</v>
      </c>
      <c r="M447">
        <v>183049.41</v>
      </c>
      <c r="N447">
        <v>0</v>
      </c>
      <c r="O447" t="str">
        <f t="shared" si="24"/>
        <v>Good</v>
      </c>
      <c r="P447" t="str">
        <f t="shared" si="25"/>
        <v>Young Adult</v>
      </c>
      <c r="Q447" t="str">
        <f t="shared" si="26"/>
        <v>High Salary</v>
      </c>
      <c r="R447" t="str">
        <f t="shared" si="27"/>
        <v>Medium Balance</v>
      </c>
    </row>
    <row r="448" spans="1:18" x14ac:dyDescent="0.25">
      <c r="A448">
        <v>447</v>
      </c>
      <c r="B448">
        <v>15730460</v>
      </c>
      <c r="C448" t="s">
        <v>398</v>
      </c>
      <c r="D448" t="s">
        <v>15</v>
      </c>
      <c r="E448" t="s">
        <v>23</v>
      </c>
      <c r="F448">
        <v>722</v>
      </c>
      <c r="G448">
        <v>37</v>
      </c>
      <c r="H448">
        <v>2</v>
      </c>
      <c r="I448">
        <v>0</v>
      </c>
      <c r="J448">
        <v>1</v>
      </c>
      <c r="K448">
        <v>0</v>
      </c>
      <c r="L448">
        <v>0</v>
      </c>
      <c r="M448">
        <v>120906.83</v>
      </c>
      <c r="N448">
        <v>0</v>
      </c>
      <c r="O448" t="str">
        <f t="shared" si="24"/>
        <v>Good</v>
      </c>
      <c r="P448" t="str">
        <f t="shared" si="25"/>
        <v>Adult</v>
      </c>
      <c r="Q448" t="str">
        <f t="shared" si="26"/>
        <v>High Salary</v>
      </c>
      <c r="R448" t="str">
        <f t="shared" si="27"/>
        <v>Low Balance</v>
      </c>
    </row>
    <row r="449" spans="1:18" x14ac:dyDescent="0.25">
      <c r="A449">
        <v>448</v>
      </c>
      <c r="B449">
        <v>15644572</v>
      </c>
      <c r="C449" t="s">
        <v>399</v>
      </c>
      <c r="D449" t="s">
        <v>15</v>
      </c>
      <c r="E449" t="s">
        <v>23</v>
      </c>
      <c r="F449">
        <v>501</v>
      </c>
      <c r="G449">
        <v>40</v>
      </c>
      <c r="H449">
        <v>4</v>
      </c>
      <c r="I449">
        <v>125832.2</v>
      </c>
      <c r="J449">
        <v>1</v>
      </c>
      <c r="K449">
        <v>1</v>
      </c>
      <c r="L449">
        <v>1</v>
      </c>
      <c r="M449">
        <v>100433.83</v>
      </c>
      <c r="N449">
        <v>0</v>
      </c>
      <c r="O449" t="str">
        <f t="shared" si="24"/>
        <v>Poor</v>
      </c>
      <c r="P449" t="str">
        <f t="shared" si="25"/>
        <v>Adult</v>
      </c>
      <c r="Q449" t="str">
        <f t="shared" si="26"/>
        <v>High Salary</v>
      </c>
      <c r="R449" t="str">
        <f t="shared" si="27"/>
        <v>High Balance</v>
      </c>
    </row>
    <row r="450" spans="1:18" x14ac:dyDescent="0.25">
      <c r="A450">
        <v>449</v>
      </c>
      <c r="B450">
        <v>15694860</v>
      </c>
      <c r="C450" t="s">
        <v>400</v>
      </c>
      <c r="D450" t="s">
        <v>15</v>
      </c>
      <c r="E450" t="s">
        <v>16</v>
      </c>
      <c r="F450">
        <v>675</v>
      </c>
      <c r="G450">
        <v>38</v>
      </c>
      <c r="H450">
        <v>6</v>
      </c>
      <c r="I450">
        <v>68065.8</v>
      </c>
      <c r="J450">
        <v>1</v>
      </c>
      <c r="K450">
        <v>0</v>
      </c>
      <c r="L450">
        <v>0</v>
      </c>
      <c r="M450">
        <v>138777</v>
      </c>
      <c r="N450">
        <v>1</v>
      </c>
      <c r="O450" t="str">
        <f t="shared" si="24"/>
        <v>Good</v>
      </c>
      <c r="P450" t="str">
        <f t="shared" si="25"/>
        <v>Adult</v>
      </c>
      <c r="Q450" t="str">
        <f t="shared" si="26"/>
        <v>High Salary</v>
      </c>
      <c r="R450" t="str">
        <f t="shared" si="27"/>
        <v>Medium Balance</v>
      </c>
    </row>
    <row r="451" spans="1:18" x14ac:dyDescent="0.25">
      <c r="A451">
        <v>450</v>
      </c>
      <c r="B451">
        <v>15658169</v>
      </c>
      <c r="C451" t="s">
        <v>401</v>
      </c>
      <c r="D451" t="s">
        <v>18</v>
      </c>
      <c r="E451" t="s">
        <v>16</v>
      </c>
      <c r="F451">
        <v>778</v>
      </c>
      <c r="G451">
        <v>47</v>
      </c>
      <c r="H451">
        <v>6</v>
      </c>
      <c r="I451">
        <v>127299.34</v>
      </c>
      <c r="J451">
        <v>2</v>
      </c>
      <c r="K451">
        <v>1</v>
      </c>
      <c r="L451">
        <v>0</v>
      </c>
      <c r="M451">
        <v>124694.99</v>
      </c>
      <c r="N451">
        <v>0</v>
      </c>
      <c r="O451" t="str">
        <f t="shared" ref="O451:O514" si="28">IF(F451&lt;580, "Poor", IF(AND(F451&gt;=580, F451&lt;=669), "Average", "Good"))</f>
        <v>Good</v>
      </c>
      <c r="P451" t="str">
        <f t="shared" ref="P451:P514" si="29">IF(G451&lt;=30, "Young Adult", IF(AND(G451&gt;=31, G451&lt;=50), "Adult", "Senior"))</f>
        <v>Adult</v>
      </c>
      <c r="Q451" t="str">
        <f t="shared" ref="Q451:Q514" si="30">IF(M451&lt;30000, "Low Salary", IF(AND(M451&gt;=30000, M451&lt;=70000), "Medium Salary", "High Salary"))</f>
        <v>High Salary</v>
      </c>
      <c r="R451" t="str">
        <f t="shared" ref="R451:R514" si="31">IF(I451&lt;50000, "Low Balance", IF(AND(I451&gt;=50000, I451&lt;=100000), "Medium Balance", "High Balance"))</f>
        <v>High Balance</v>
      </c>
    </row>
    <row r="452" spans="1:18" x14ac:dyDescent="0.25">
      <c r="A452">
        <v>451</v>
      </c>
      <c r="B452">
        <v>15794396</v>
      </c>
      <c r="C452" t="s">
        <v>402</v>
      </c>
      <c r="D452" t="s">
        <v>26</v>
      </c>
      <c r="E452" t="s">
        <v>16</v>
      </c>
      <c r="F452">
        <v>494</v>
      </c>
      <c r="G452">
        <v>38</v>
      </c>
      <c r="H452">
        <v>7</v>
      </c>
      <c r="I452">
        <v>174937.64</v>
      </c>
      <c r="J452">
        <v>1</v>
      </c>
      <c r="K452">
        <v>1</v>
      </c>
      <c r="L452">
        <v>0</v>
      </c>
      <c r="M452">
        <v>40084.32</v>
      </c>
      <c r="N452">
        <v>0</v>
      </c>
      <c r="O452" t="str">
        <f t="shared" si="28"/>
        <v>Poor</v>
      </c>
      <c r="P452" t="str">
        <f t="shared" si="29"/>
        <v>Adult</v>
      </c>
      <c r="Q452" t="str">
        <f t="shared" si="30"/>
        <v>Medium Salary</v>
      </c>
      <c r="R452" t="str">
        <f t="shared" si="31"/>
        <v>High Balance</v>
      </c>
    </row>
    <row r="453" spans="1:18" x14ac:dyDescent="0.25">
      <c r="A453">
        <v>452</v>
      </c>
      <c r="B453">
        <v>15785798</v>
      </c>
      <c r="C453" t="s">
        <v>403</v>
      </c>
      <c r="D453" t="s">
        <v>15</v>
      </c>
      <c r="E453" t="s">
        <v>23</v>
      </c>
      <c r="F453">
        <v>850</v>
      </c>
      <c r="G453">
        <v>40</v>
      </c>
      <c r="H453">
        <v>9</v>
      </c>
      <c r="I453">
        <v>0</v>
      </c>
      <c r="J453">
        <v>2</v>
      </c>
      <c r="K453">
        <v>0</v>
      </c>
      <c r="L453">
        <v>1</v>
      </c>
      <c r="M453">
        <v>119232.33</v>
      </c>
      <c r="N453">
        <v>0</v>
      </c>
      <c r="O453" t="str">
        <f t="shared" si="28"/>
        <v>Good</v>
      </c>
      <c r="P453" t="str">
        <f t="shared" si="29"/>
        <v>Adult</v>
      </c>
      <c r="Q453" t="str">
        <f t="shared" si="30"/>
        <v>High Salary</v>
      </c>
      <c r="R453" t="str">
        <f t="shared" si="31"/>
        <v>Low Balance</v>
      </c>
    </row>
    <row r="454" spans="1:18" x14ac:dyDescent="0.25">
      <c r="A454">
        <v>453</v>
      </c>
      <c r="B454">
        <v>15710825</v>
      </c>
      <c r="C454" t="s">
        <v>404</v>
      </c>
      <c r="D454" t="s">
        <v>18</v>
      </c>
      <c r="E454" t="s">
        <v>23</v>
      </c>
      <c r="F454">
        <v>592</v>
      </c>
      <c r="G454">
        <v>31</v>
      </c>
      <c r="H454">
        <v>7</v>
      </c>
      <c r="I454">
        <v>110071.1</v>
      </c>
      <c r="J454">
        <v>1</v>
      </c>
      <c r="K454">
        <v>0</v>
      </c>
      <c r="L454">
        <v>0</v>
      </c>
      <c r="M454">
        <v>43921.36</v>
      </c>
      <c r="N454">
        <v>0</v>
      </c>
      <c r="O454" t="str">
        <f t="shared" si="28"/>
        <v>Average</v>
      </c>
      <c r="P454" t="str">
        <f t="shared" si="29"/>
        <v>Adult</v>
      </c>
      <c r="Q454" t="str">
        <f t="shared" si="30"/>
        <v>Medium Salary</v>
      </c>
      <c r="R454" t="str">
        <f t="shared" si="31"/>
        <v>High Balance</v>
      </c>
    </row>
    <row r="455" spans="1:18" x14ac:dyDescent="0.25">
      <c r="A455">
        <v>454</v>
      </c>
      <c r="B455">
        <v>15668444</v>
      </c>
      <c r="C455" t="s">
        <v>27</v>
      </c>
      <c r="D455" t="s">
        <v>18</v>
      </c>
      <c r="E455" t="s">
        <v>16</v>
      </c>
      <c r="F455">
        <v>590</v>
      </c>
      <c r="G455">
        <v>44</v>
      </c>
      <c r="H455">
        <v>3</v>
      </c>
      <c r="I455">
        <v>139432.37</v>
      </c>
      <c r="J455">
        <v>1</v>
      </c>
      <c r="K455">
        <v>1</v>
      </c>
      <c r="L455">
        <v>0</v>
      </c>
      <c r="M455">
        <v>62222.81</v>
      </c>
      <c r="N455">
        <v>0</v>
      </c>
      <c r="O455" t="str">
        <f t="shared" si="28"/>
        <v>Average</v>
      </c>
      <c r="P455" t="str">
        <f t="shared" si="29"/>
        <v>Adult</v>
      </c>
      <c r="Q455" t="str">
        <f t="shared" si="30"/>
        <v>Medium Salary</v>
      </c>
      <c r="R455" t="str">
        <f t="shared" si="31"/>
        <v>High Balance</v>
      </c>
    </row>
    <row r="456" spans="1:18" x14ac:dyDescent="0.25">
      <c r="A456">
        <v>455</v>
      </c>
      <c r="B456">
        <v>15726631</v>
      </c>
      <c r="C456" t="s">
        <v>405</v>
      </c>
      <c r="D456" t="s">
        <v>15</v>
      </c>
      <c r="E456" t="s">
        <v>16</v>
      </c>
      <c r="F456">
        <v>758</v>
      </c>
      <c r="G456">
        <v>39</v>
      </c>
      <c r="H456">
        <v>6</v>
      </c>
      <c r="I456">
        <v>127357.75999999999</v>
      </c>
      <c r="J456">
        <v>1</v>
      </c>
      <c r="K456">
        <v>0</v>
      </c>
      <c r="L456">
        <v>1</v>
      </c>
      <c r="M456">
        <v>56577</v>
      </c>
      <c r="N456">
        <v>0</v>
      </c>
      <c r="O456" t="str">
        <f t="shared" si="28"/>
        <v>Good</v>
      </c>
      <c r="P456" t="str">
        <f t="shared" si="29"/>
        <v>Adult</v>
      </c>
      <c r="Q456" t="str">
        <f t="shared" si="30"/>
        <v>Medium Salary</v>
      </c>
      <c r="R456" t="str">
        <f t="shared" si="31"/>
        <v>High Balance</v>
      </c>
    </row>
    <row r="457" spans="1:18" x14ac:dyDescent="0.25">
      <c r="A457">
        <v>456</v>
      </c>
      <c r="B457">
        <v>15733797</v>
      </c>
      <c r="C457" t="s">
        <v>406</v>
      </c>
      <c r="D457" t="s">
        <v>15</v>
      </c>
      <c r="E457" t="s">
        <v>23</v>
      </c>
      <c r="F457">
        <v>506</v>
      </c>
      <c r="G457">
        <v>36</v>
      </c>
      <c r="H457">
        <v>5</v>
      </c>
      <c r="I457">
        <v>0</v>
      </c>
      <c r="J457">
        <v>2</v>
      </c>
      <c r="K457">
        <v>1</v>
      </c>
      <c r="L457">
        <v>0</v>
      </c>
      <c r="M457">
        <v>164253.35</v>
      </c>
      <c r="N457">
        <v>0</v>
      </c>
      <c r="O457" t="str">
        <f t="shared" si="28"/>
        <v>Poor</v>
      </c>
      <c r="P457" t="str">
        <f t="shared" si="29"/>
        <v>Adult</v>
      </c>
      <c r="Q457" t="str">
        <f t="shared" si="30"/>
        <v>High Salary</v>
      </c>
      <c r="R457" t="str">
        <f t="shared" si="31"/>
        <v>Low Balance</v>
      </c>
    </row>
    <row r="458" spans="1:18" x14ac:dyDescent="0.25">
      <c r="A458">
        <v>457</v>
      </c>
      <c r="B458">
        <v>15747960</v>
      </c>
      <c r="C458" t="s">
        <v>407</v>
      </c>
      <c r="D458" t="s">
        <v>15</v>
      </c>
      <c r="E458" t="s">
        <v>23</v>
      </c>
      <c r="F458">
        <v>733</v>
      </c>
      <c r="G458">
        <v>33</v>
      </c>
      <c r="H458">
        <v>3</v>
      </c>
      <c r="I458">
        <v>0</v>
      </c>
      <c r="J458">
        <v>1</v>
      </c>
      <c r="K458">
        <v>1</v>
      </c>
      <c r="L458">
        <v>1</v>
      </c>
      <c r="M458">
        <v>7666.73</v>
      </c>
      <c r="N458">
        <v>0</v>
      </c>
      <c r="O458" t="str">
        <f t="shared" si="28"/>
        <v>Good</v>
      </c>
      <c r="P458" t="str">
        <f t="shared" si="29"/>
        <v>Adult</v>
      </c>
      <c r="Q458" t="str">
        <f t="shared" si="30"/>
        <v>Low Salary</v>
      </c>
      <c r="R458" t="str">
        <f t="shared" si="31"/>
        <v>Low Balance</v>
      </c>
    </row>
    <row r="459" spans="1:18" x14ac:dyDescent="0.25">
      <c r="A459">
        <v>458</v>
      </c>
      <c r="B459">
        <v>15634632</v>
      </c>
      <c r="C459" t="s">
        <v>408</v>
      </c>
      <c r="D459" t="s">
        <v>15</v>
      </c>
      <c r="E459" t="s">
        <v>23</v>
      </c>
      <c r="F459">
        <v>711</v>
      </c>
      <c r="G459">
        <v>38</v>
      </c>
      <c r="H459">
        <v>3</v>
      </c>
      <c r="I459">
        <v>0</v>
      </c>
      <c r="J459">
        <v>2</v>
      </c>
      <c r="K459">
        <v>1</v>
      </c>
      <c r="L459">
        <v>0</v>
      </c>
      <c r="M459">
        <v>68487.509999999995</v>
      </c>
      <c r="N459">
        <v>0</v>
      </c>
      <c r="O459" t="str">
        <f t="shared" si="28"/>
        <v>Good</v>
      </c>
      <c r="P459" t="str">
        <f t="shared" si="29"/>
        <v>Adult</v>
      </c>
      <c r="Q459" t="str">
        <f t="shared" si="30"/>
        <v>Medium Salary</v>
      </c>
      <c r="R459" t="str">
        <f t="shared" si="31"/>
        <v>Low Balance</v>
      </c>
    </row>
    <row r="460" spans="1:18" x14ac:dyDescent="0.25">
      <c r="A460">
        <v>459</v>
      </c>
      <c r="B460">
        <v>15707362</v>
      </c>
      <c r="C460" t="s">
        <v>67</v>
      </c>
      <c r="D460" t="s">
        <v>26</v>
      </c>
      <c r="E460" t="s">
        <v>23</v>
      </c>
      <c r="F460">
        <v>514</v>
      </c>
      <c r="G460">
        <v>43</v>
      </c>
      <c r="H460">
        <v>1</v>
      </c>
      <c r="I460">
        <v>95556.31</v>
      </c>
      <c r="J460">
        <v>1</v>
      </c>
      <c r="K460">
        <v>0</v>
      </c>
      <c r="L460">
        <v>1</v>
      </c>
      <c r="M460">
        <v>199273.98</v>
      </c>
      <c r="N460">
        <v>1</v>
      </c>
      <c r="O460" t="str">
        <f t="shared" si="28"/>
        <v>Poor</v>
      </c>
      <c r="P460" t="str">
        <f t="shared" si="29"/>
        <v>Adult</v>
      </c>
      <c r="Q460" t="str">
        <f t="shared" si="30"/>
        <v>High Salary</v>
      </c>
      <c r="R460" t="str">
        <f t="shared" si="31"/>
        <v>Medium Balance</v>
      </c>
    </row>
    <row r="461" spans="1:18" x14ac:dyDescent="0.25">
      <c r="A461">
        <v>460</v>
      </c>
      <c r="B461">
        <v>15662976</v>
      </c>
      <c r="C461" t="s">
        <v>409</v>
      </c>
      <c r="D461" t="s">
        <v>18</v>
      </c>
      <c r="E461" t="s">
        <v>23</v>
      </c>
      <c r="F461">
        <v>637</v>
      </c>
      <c r="G461">
        <v>37</v>
      </c>
      <c r="H461">
        <v>8</v>
      </c>
      <c r="I461">
        <v>0</v>
      </c>
      <c r="J461">
        <v>1</v>
      </c>
      <c r="K461">
        <v>1</v>
      </c>
      <c r="L461">
        <v>1</v>
      </c>
      <c r="M461">
        <v>186062.36</v>
      </c>
      <c r="N461">
        <v>0</v>
      </c>
      <c r="O461" t="str">
        <f t="shared" si="28"/>
        <v>Average</v>
      </c>
      <c r="P461" t="str">
        <f t="shared" si="29"/>
        <v>Adult</v>
      </c>
      <c r="Q461" t="str">
        <f t="shared" si="30"/>
        <v>High Salary</v>
      </c>
      <c r="R461" t="str">
        <f t="shared" si="31"/>
        <v>Low Balance</v>
      </c>
    </row>
    <row r="462" spans="1:18" x14ac:dyDescent="0.25">
      <c r="A462">
        <v>461</v>
      </c>
      <c r="B462">
        <v>15732778</v>
      </c>
      <c r="C462" t="s">
        <v>410</v>
      </c>
      <c r="D462" t="s">
        <v>26</v>
      </c>
      <c r="E462" t="s">
        <v>23</v>
      </c>
      <c r="F462">
        <v>468</v>
      </c>
      <c r="G462">
        <v>29</v>
      </c>
      <c r="H462">
        <v>1</v>
      </c>
      <c r="I462">
        <v>111681.98</v>
      </c>
      <c r="J462">
        <v>2</v>
      </c>
      <c r="K462">
        <v>1</v>
      </c>
      <c r="L462">
        <v>1</v>
      </c>
      <c r="M462">
        <v>195711.16</v>
      </c>
      <c r="N462">
        <v>0</v>
      </c>
      <c r="O462" t="str">
        <f t="shared" si="28"/>
        <v>Poor</v>
      </c>
      <c r="P462" t="str">
        <f t="shared" si="29"/>
        <v>Young Adult</v>
      </c>
      <c r="Q462" t="str">
        <f t="shared" si="30"/>
        <v>High Salary</v>
      </c>
      <c r="R462" t="str">
        <f t="shared" si="31"/>
        <v>High Balance</v>
      </c>
    </row>
    <row r="463" spans="1:18" x14ac:dyDescent="0.25">
      <c r="A463">
        <v>462</v>
      </c>
      <c r="B463">
        <v>15718443</v>
      </c>
      <c r="C463" t="s">
        <v>411</v>
      </c>
      <c r="D463" t="s">
        <v>15</v>
      </c>
      <c r="E463" t="s">
        <v>23</v>
      </c>
      <c r="F463">
        <v>539</v>
      </c>
      <c r="G463">
        <v>39</v>
      </c>
      <c r="H463">
        <v>3</v>
      </c>
      <c r="I463">
        <v>0</v>
      </c>
      <c r="J463">
        <v>2</v>
      </c>
      <c r="K463">
        <v>1</v>
      </c>
      <c r="L463">
        <v>0</v>
      </c>
      <c r="M463">
        <v>36692.17</v>
      </c>
      <c r="N463">
        <v>0</v>
      </c>
      <c r="O463" t="str">
        <f t="shared" si="28"/>
        <v>Poor</v>
      </c>
      <c r="P463" t="str">
        <f t="shared" si="29"/>
        <v>Adult</v>
      </c>
      <c r="Q463" t="str">
        <f t="shared" si="30"/>
        <v>Medium Salary</v>
      </c>
      <c r="R463" t="str">
        <f t="shared" si="31"/>
        <v>Low Balance</v>
      </c>
    </row>
    <row r="464" spans="1:18" x14ac:dyDescent="0.25">
      <c r="A464">
        <v>463</v>
      </c>
      <c r="B464">
        <v>15670039</v>
      </c>
      <c r="C464" t="s">
        <v>180</v>
      </c>
      <c r="D464" t="s">
        <v>18</v>
      </c>
      <c r="E464" t="s">
        <v>16</v>
      </c>
      <c r="F464">
        <v>509</v>
      </c>
      <c r="G464">
        <v>25</v>
      </c>
      <c r="H464">
        <v>3</v>
      </c>
      <c r="I464">
        <v>108738.71</v>
      </c>
      <c r="J464">
        <v>2</v>
      </c>
      <c r="K464">
        <v>1</v>
      </c>
      <c r="L464">
        <v>0</v>
      </c>
      <c r="M464">
        <v>106920.57</v>
      </c>
      <c r="N464">
        <v>0</v>
      </c>
      <c r="O464" t="str">
        <f t="shared" si="28"/>
        <v>Poor</v>
      </c>
      <c r="P464" t="str">
        <f t="shared" si="29"/>
        <v>Young Adult</v>
      </c>
      <c r="Q464" t="str">
        <f t="shared" si="30"/>
        <v>High Salary</v>
      </c>
      <c r="R464" t="str">
        <f t="shared" si="31"/>
        <v>High Balance</v>
      </c>
    </row>
    <row r="465" spans="1:18" x14ac:dyDescent="0.25">
      <c r="A465">
        <v>464</v>
      </c>
      <c r="B465">
        <v>15773792</v>
      </c>
      <c r="C465" t="s">
        <v>412</v>
      </c>
      <c r="D465" t="s">
        <v>15</v>
      </c>
      <c r="E465" t="s">
        <v>16</v>
      </c>
      <c r="F465">
        <v>662</v>
      </c>
      <c r="G465">
        <v>32</v>
      </c>
      <c r="H465">
        <v>4</v>
      </c>
      <c r="I465">
        <v>133950.37</v>
      </c>
      <c r="J465">
        <v>1</v>
      </c>
      <c r="K465">
        <v>1</v>
      </c>
      <c r="L465">
        <v>1</v>
      </c>
      <c r="M465">
        <v>48725.68</v>
      </c>
      <c r="N465">
        <v>1</v>
      </c>
      <c r="O465" t="str">
        <f t="shared" si="28"/>
        <v>Average</v>
      </c>
      <c r="P465" t="str">
        <f t="shared" si="29"/>
        <v>Adult</v>
      </c>
      <c r="Q465" t="str">
        <f t="shared" si="30"/>
        <v>Medium Salary</v>
      </c>
      <c r="R465" t="str">
        <f t="shared" si="31"/>
        <v>High Balance</v>
      </c>
    </row>
    <row r="466" spans="1:18" x14ac:dyDescent="0.25">
      <c r="A466">
        <v>465</v>
      </c>
      <c r="B466">
        <v>15613786</v>
      </c>
      <c r="C466" t="s">
        <v>190</v>
      </c>
      <c r="D466" t="s">
        <v>18</v>
      </c>
      <c r="E466" t="s">
        <v>23</v>
      </c>
      <c r="F466">
        <v>818</v>
      </c>
      <c r="G466">
        <v>26</v>
      </c>
      <c r="H466">
        <v>4</v>
      </c>
      <c r="I466">
        <v>0</v>
      </c>
      <c r="J466">
        <v>2</v>
      </c>
      <c r="K466">
        <v>1</v>
      </c>
      <c r="L466">
        <v>1</v>
      </c>
      <c r="M466">
        <v>167036.94</v>
      </c>
      <c r="N466">
        <v>0</v>
      </c>
      <c r="O466" t="str">
        <f t="shared" si="28"/>
        <v>Good</v>
      </c>
      <c r="P466" t="str">
        <f t="shared" si="29"/>
        <v>Young Adult</v>
      </c>
      <c r="Q466" t="str">
        <f t="shared" si="30"/>
        <v>High Salary</v>
      </c>
      <c r="R466" t="str">
        <f t="shared" si="31"/>
        <v>Low Balance</v>
      </c>
    </row>
    <row r="467" spans="1:18" x14ac:dyDescent="0.25">
      <c r="A467">
        <v>466</v>
      </c>
      <c r="B467">
        <v>15726032</v>
      </c>
      <c r="C467" t="s">
        <v>413</v>
      </c>
      <c r="D467" t="s">
        <v>15</v>
      </c>
      <c r="E467" t="s">
        <v>23</v>
      </c>
      <c r="F467">
        <v>608</v>
      </c>
      <c r="G467">
        <v>33</v>
      </c>
      <c r="H467">
        <v>9</v>
      </c>
      <c r="I467">
        <v>89968.69</v>
      </c>
      <c r="J467">
        <v>1</v>
      </c>
      <c r="K467">
        <v>1</v>
      </c>
      <c r="L467">
        <v>0</v>
      </c>
      <c r="M467">
        <v>68777.259999999995</v>
      </c>
      <c r="N467">
        <v>0</v>
      </c>
      <c r="O467" t="str">
        <f t="shared" si="28"/>
        <v>Average</v>
      </c>
      <c r="P467" t="str">
        <f t="shared" si="29"/>
        <v>Adult</v>
      </c>
      <c r="Q467" t="str">
        <f t="shared" si="30"/>
        <v>Medium Salary</v>
      </c>
      <c r="R467" t="str">
        <f t="shared" si="31"/>
        <v>Medium Balance</v>
      </c>
    </row>
    <row r="468" spans="1:18" x14ac:dyDescent="0.25">
      <c r="A468">
        <v>467</v>
      </c>
      <c r="B468">
        <v>15663252</v>
      </c>
      <c r="C468" t="s">
        <v>159</v>
      </c>
      <c r="D468" t="s">
        <v>18</v>
      </c>
      <c r="E468" t="s">
        <v>16</v>
      </c>
      <c r="F468">
        <v>850</v>
      </c>
      <c r="G468">
        <v>32</v>
      </c>
      <c r="H468">
        <v>9</v>
      </c>
      <c r="I468">
        <v>0</v>
      </c>
      <c r="J468">
        <v>2</v>
      </c>
      <c r="K468">
        <v>1</v>
      </c>
      <c r="L468">
        <v>1</v>
      </c>
      <c r="M468">
        <v>18924.919999999998</v>
      </c>
      <c r="N468">
        <v>0</v>
      </c>
      <c r="O468" t="str">
        <f t="shared" si="28"/>
        <v>Good</v>
      </c>
      <c r="P468" t="str">
        <f t="shared" si="29"/>
        <v>Adult</v>
      </c>
      <c r="Q468" t="str">
        <f t="shared" si="30"/>
        <v>Low Salary</v>
      </c>
      <c r="R468" t="str">
        <f t="shared" si="31"/>
        <v>Low Balance</v>
      </c>
    </row>
    <row r="469" spans="1:18" x14ac:dyDescent="0.25">
      <c r="A469">
        <v>468</v>
      </c>
      <c r="B469">
        <v>15593782</v>
      </c>
      <c r="C469" t="s">
        <v>414</v>
      </c>
      <c r="D469" t="s">
        <v>26</v>
      </c>
      <c r="E469" t="s">
        <v>16</v>
      </c>
      <c r="F469">
        <v>816</v>
      </c>
      <c r="G469">
        <v>38</v>
      </c>
      <c r="H469">
        <v>5</v>
      </c>
      <c r="I469">
        <v>130878.75</v>
      </c>
      <c r="J469">
        <v>3</v>
      </c>
      <c r="K469">
        <v>1</v>
      </c>
      <c r="L469">
        <v>0</v>
      </c>
      <c r="M469">
        <v>71905.77</v>
      </c>
      <c r="N469">
        <v>1</v>
      </c>
      <c r="O469" t="str">
        <f t="shared" si="28"/>
        <v>Good</v>
      </c>
      <c r="P469" t="str">
        <f t="shared" si="29"/>
        <v>Adult</v>
      </c>
      <c r="Q469" t="str">
        <f t="shared" si="30"/>
        <v>High Salary</v>
      </c>
      <c r="R469" t="str">
        <f t="shared" si="31"/>
        <v>High Balance</v>
      </c>
    </row>
    <row r="470" spans="1:18" x14ac:dyDescent="0.25">
      <c r="A470">
        <v>469</v>
      </c>
      <c r="B470">
        <v>15633283</v>
      </c>
      <c r="C470" t="s">
        <v>415</v>
      </c>
      <c r="D470" t="s">
        <v>15</v>
      </c>
      <c r="E470" t="s">
        <v>23</v>
      </c>
      <c r="F470">
        <v>536</v>
      </c>
      <c r="G470">
        <v>35</v>
      </c>
      <c r="H470">
        <v>8</v>
      </c>
      <c r="I470">
        <v>0</v>
      </c>
      <c r="J470">
        <v>2</v>
      </c>
      <c r="K470">
        <v>1</v>
      </c>
      <c r="L470">
        <v>0</v>
      </c>
      <c r="M470">
        <v>64833.279999999999</v>
      </c>
      <c r="N470">
        <v>0</v>
      </c>
      <c r="O470" t="str">
        <f t="shared" si="28"/>
        <v>Poor</v>
      </c>
      <c r="P470" t="str">
        <f t="shared" si="29"/>
        <v>Adult</v>
      </c>
      <c r="Q470" t="str">
        <f t="shared" si="30"/>
        <v>Medium Salary</v>
      </c>
      <c r="R470" t="str">
        <f t="shared" si="31"/>
        <v>Low Balance</v>
      </c>
    </row>
    <row r="471" spans="1:18" x14ac:dyDescent="0.25">
      <c r="A471">
        <v>470</v>
      </c>
      <c r="B471">
        <v>15749167</v>
      </c>
      <c r="C471" t="s">
        <v>372</v>
      </c>
      <c r="D471" t="s">
        <v>15</v>
      </c>
      <c r="E471" t="s">
        <v>23</v>
      </c>
      <c r="F471">
        <v>753</v>
      </c>
      <c r="G471">
        <v>35</v>
      </c>
      <c r="H471">
        <v>3</v>
      </c>
      <c r="I471">
        <v>0</v>
      </c>
      <c r="J471">
        <v>2</v>
      </c>
      <c r="K471">
        <v>1</v>
      </c>
      <c r="L471">
        <v>1</v>
      </c>
      <c r="M471">
        <v>184843.77</v>
      </c>
      <c r="N471">
        <v>0</v>
      </c>
      <c r="O471" t="str">
        <f t="shared" si="28"/>
        <v>Good</v>
      </c>
      <c r="P471" t="str">
        <f t="shared" si="29"/>
        <v>Adult</v>
      </c>
      <c r="Q471" t="str">
        <f t="shared" si="30"/>
        <v>High Salary</v>
      </c>
      <c r="R471" t="str">
        <f t="shared" si="31"/>
        <v>Low Balance</v>
      </c>
    </row>
    <row r="472" spans="1:18" x14ac:dyDescent="0.25">
      <c r="A472">
        <v>471</v>
      </c>
      <c r="B472">
        <v>15759298</v>
      </c>
      <c r="C472" t="s">
        <v>219</v>
      </c>
      <c r="D472" t="s">
        <v>18</v>
      </c>
      <c r="E472" t="s">
        <v>23</v>
      </c>
      <c r="F472">
        <v>631</v>
      </c>
      <c r="G472">
        <v>27</v>
      </c>
      <c r="H472">
        <v>10</v>
      </c>
      <c r="I472">
        <v>134169.62</v>
      </c>
      <c r="J472">
        <v>1</v>
      </c>
      <c r="K472">
        <v>1</v>
      </c>
      <c r="L472">
        <v>1</v>
      </c>
      <c r="M472">
        <v>176730.02</v>
      </c>
      <c r="N472">
        <v>0</v>
      </c>
      <c r="O472" t="str">
        <f t="shared" si="28"/>
        <v>Average</v>
      </c>
      <c r="P472" t="str">
        <f t="shared" si="29"/>
        <v>Young Adult</v>
      </c>
      <c r="Q472" t="str">
        <f t="shared" si="30"/>
        <v>High Salary</v>
      </c>
      <c r="R472" t="str">
        <f t="shared" si="31"/>
        <v>High Balance</v>
      </c>
    </row>
    <row r="473" spans="1:18" x14ac:dyDescent="0.25">
      <c r="A473">
        <v>472</v>
      </c>
      <c r="B473">
        <v>15683625</v>
      </c>
      <c r="C473" t="s">
        <v>416</v>
      </c>
      <c r="D473" t="s">
        <v>15</v>
      </c>
      <c r="E473" t="s">
        <v>23</v>
      </c>
      <c r="F473">
        <v>703</v>
      </c>
      <c r="G473">
        <v>37</v>
      </c>
      <c r="H473">
        <v>1</v>
      </c>
      <c r="I473">
        <v>149762.07999999999</v>
      </c>
      <c r="J473">
        <v>1</v>
      </c>
      <c r="K473">
        <v>1</v>
      </c>
      <c r="L473">
        <v>0</v>
      </c>
      <c r="M473">
        <v>20629.400000000001</v>
      </c>
      <c r="N473">
        <v>1</v>
      </c>
      <c r="O473" t="str">
        <f t="shared" si="28"/>
        <v>Good</v>
      </c>
      <c r="P473" t="str">
        <f t="shared" si="29"/>
        <v>Adult</v>
      </c>
      <c r="Q473" t="str">
        <f t="shared" si="30"/>
        <v>Low Salary</v>
      </c>
      <c r="R473" t="str">
        <f t="shared" si="31"/>
        <v>High Balance</v>
      </c>
    </row>
    <row r="474" spans="1:18" x14ac:dyDescent="0.25">
      <c r="A474">
        <v>473</v>
      </c>
      <c r="B474">
        <v>15635367</v>
      </c>
      <c r="C474" t="s">
        <v>417</v>
      </c>
      <c r="D474" t="s">
        <v>15</v>
      </c>
      <c r="E474" t="s">
        <v>23</v>
      </c>
      <c r="F474">
        <v>774</v>
      </c>
      <c r="G474">
        <v>26</v>
      </c>
      <c r="H474">
        <v>2</v>
      </c>
      <c r="I474">
        <v>93844.69</v>
      </c>
      <c r="J474">
        <v>1</v>
      </c>
      <c r="K474">
        <v>1</v>
      </c>
      <c r="L474">
        <v>0</v>
      </c>
      <c r="M474">
        <v>28415.360000000001</v>
      </c>
      <c r="N474">
        <v>0</v>
      </c>
      <c r="O474" t="str">
        <f t="shared" si="28"/>
        <v>Good</v>
      </c>
      <c r="P474" t="str">
        <f t="shared" si="29"/>
        <v>Young Adult</v>
      </c>
      <c r="Q474" t="str">
        <f t="shared" si="30"/>
        <v>Low Salary</v>
      </c>
      <c r="R474" t="str">
        <f t="shared" si="31"/>
        <v>Medium Balance</v>
      </c>
    </row>
    <row r="475" spans="1:18" x14ac:dyDescent="0.25">
      <c r="A475">
        <v>474</v>
      </c>
      <c r="B475">
        <v>15681705</v>
      </c>
      <c r="C475" t="s">
        <v>116</v>
      </c>
      <c r="D475" t="s">
        <v>15</v>
      </c>
      <c r="E475" t="s">
        <v>23</v>
      </c>
      <c r="F475">
        <v>785</v>
      </c>
      <c r="G475">
        <v>28</v>
      </c>
      <c r="H475">
        <v>8</v>
      </c>
      <c r="I475">
        <v>0</v>
      </c>
      <c r="J475">
        <v>2</v>
      </c>
      <c r="K475">
        <v>1</v>
      </c>
      <c r="L475">
        <v>0</v>
      </c>
      <c r="M475">
        <v>77231.27</v>
      </c>
      <c r="N475">
        <v>0</v>
      </c>
      <c r="O475" t="str">
        <f t="shared" si="28"/>
        <v>Good</v>
      </c>
      <c r="P475" t="str">
        <f t="shared" si="29"/>
        <v>Young Adult</v>
      </c>
      <c r="Q475" t="str">
        <f t="shared" si="30"/>
        <v>High Salary</v>
      </c>
      <c r="R475" t="str">
        <f t="shared" si="31"/>
        <v>Low Balance</v>
      </c>
    </row>
    <row r="476" spans="1:18" x14ac:dyDescent="0.25">
      <c r="A476">
        <v>475</v>
      </c>
      <c r="B476">
        <v>15603156</v>
      </c>
      <c r="C476" t="s">
        <v>418</v>
      </c>
      <c r="D476" t="s">
        <v>15</v>
      </c>
      <c r="E476" t="s">
        <v>16</v>
      </c>
      <c r="F476">
        <v>571</v>
      </c>
      <c r="G476">
        <v>33</v>
      </c>
      <c r="H476">
        <v>1</v>
      </c>
      <c r="I476">
        <v>0</v>
      </c>
      <c r="J476">
        <v>2</v>
      </c>
      <c r="K476">
        <v>1</v>
      </c>
      <c r="L476">
        <v>0</v>
      </c>
      <c r="M476">
        <v>102750.7</v>
      </c>
      <c r="N476">
        <v>0</v>
      </c>
      <c r="O476" t="str">
        <f t="shared" si="28"/>
        <v>Poor</v>
      </c>
      <c r="P476" t="str">
        <f t="shared" si="29"/>
        <v>Adult</v>
      </c>
      <c r="Q476" t="str">
        <f t="shared" si="30"/>
        <v>High Salary</v>
      </c>
      <c r="R476" t="str">
        <f t="shared" si="31"/>
        <v>Low Balance</v>
      </c>
    </row>
    <row r="477" spans="1:18" x14ac:dyDescent="0.25">
      <c r="A477">
        <v>476</v>
      </c>
      <c r="B477">
        <v>15591986</v>
      </c>
      <c r="C477" t="s">
        <v>238</v>
      </c>
      <c r="D477" t="s">
        <v>26</v>
      </c>
      <c r="E477" t="s">
        <v>23</v>
      </c>
      <c r="F477">
        <v>621</v>
      </c>
      <c r="G477">
        <v>46</v>
      </c>
      <c r="H477">
        <v>6</v>
      </c>
      <c r="I477">
        <v>141078.37</v>
      </c>
      <c r="J477">
        <v>1</v>
      </c>
      <c r="K477">
        <v>0</v>
      </c>
      <c r="L477">
        <v>0</v>
      </c>
      <c r="M477">
        <v>34580.800000000003</v>
      </c>
      <c r="N477">
        <v>1</v>
      </c>
      <c r="O477" t="str">
        <f t="shared" si="28"/>
        <v>Average</v>
      </c>
      <c r="P477" t="str">
        <f t="shared" si="29"/>
        <v>Adult</v>
      </c>
      <c r="Q477" t="str">
        <f t="shared" si="30"/>
        <v>Medium Salary</v>
      </c>
      <c r="R477" t="str">
        <f t="shared" si="31"/>
        <v>High Balance</v>
      </c>
    </row>
    <row r="478" spans="1:18" x14ac:dyDescent="0.25">
      <c r="A478">
        <v>477</v>
      </c>
      <c r="B478">
        <v>15798888</v>
      </c>
      <c r="C478" t="s">
        <v>88</v>
      </c>
      <c r="D478" t="s">
        <v>26</v>
      </c>
      <c r="E478" t="s">
        <v>16</v>
      </c>
      <c r="F478">
        <v>605</v>
      </c>
      <c r="G478">
        <v>31</v>
      </c>
      <c r="H478">
        <v>1</v>
      </c>
      <c r="I478">
        <v>117992.59</v>
      </c>
      <c r="J478">
        <v>1</v>
      </c>
      <c r="K478">
        <v>1</v>
      </c>
      <c r="L478">
        <v>1</v>
      </c>
      <c r="M478">
        <v>183598.77</v>
      </c>
      <c r="N478">
        <v>0</v>
      </c>
      <c r="O478" t="str">
        <f t="shared" si="28"/>
        <v>Average</v>
      </c>
      <c r="P478" t="str">
        <f t="shared" si="29"/>
        <v>Adult</v>
      </c>
      <c r="Q478" t="str">
        <f t="shared" si="30"/>
        <v>High Salary</v>
      </c>
      <c r="R478" t="str">
        <f t="shared" si="31"/>
        <v>High Balance</v>
      </c>
    </row>
    <row r="479" spans="1:18" x14ac:dyDescent="0.25">
      <c r="A479">
        <v>478</v>
      </c>
      <c r="B479">
        <v>15809722</v>
      </c>
      <c r="C479" t="s">
        <v>419</v>
      </c>
      <c r="D479" t="s">
        <v>15</v>
      </c>
      <c r="E479" t="s">
        <v>16</v>
      </c>
      <c r="F479">
        <v>611</v>
      </c>
      <c r="G479">
        <v>40</v>
      </c>
      <c r="H479">
        <v>8</v>
      </c>
      <c r="I479">
        <v>100812.33</v>
      </c>
      <c r="J479">
        <v>2</v>
      </c>
      <c r="K479">
        <v>1</v>
      </c>
      <c r="L479">
        <v>0</v>
      </c>
      <c r="M479">
        <v>147358.26999999999</v>
      </c>
      <c r="N479">
        <v>0</v>
      </c>
      <c r="O479" t="str">
        <f t="shared" si="28"/>
        <v>Average</v>
      </c>
      <c r="P479" t="str">
        <f t="shared" si="29"/>
        <v>Adult</v>
      </c>
      <c r="Q479" t="str">
        <f t="shared" si="30"/>
        <v>High Salary</v>
      </c>
      <c r="R479" t="str">
        <f t="shared" si="31"/>
        <v>High Balance</v>
      </c>
    </row>
    <row r="480" spans="1:18" x14ac:dyDescent="0.25">
      <c r="A480">
        <v>479</v>
      </c>
      <c r="B480">
        <v>15677538</v>
      </c>
      <c r="C480" t="s">
        <v>420</v>
      </c>
      <c r="D480" t="s">
        <v>15</v>
      </c>
      <c r="E480" t="s">
        <v>23</v>
      </c>
      <c r="F480">
        <v>569</v>
      </c>
      <c r="G480">
        <v>38</v>
      </c>
      <c r="H480">
        <v>7</v>
      </c>
      <c r="I480">
        <v>0</v>
      </c>
      <c r="J480">
        <v>1</v>
      </c>
      <c r="K480">
        <v>1</v>
      </c>
      <c r="L480">
        <v>1</v>
      </c>
      <c r="M480">
        <v>108469.2</v>
      </c>
      <c r="N480">
        <v>0</v>
      </c>
      <c r="O480" t="str">
        <f t="shared" si="28"/>
        <v>Poor</v>
      </c>
      <c r="P480" t="str">
        <f t="shared" si="29"/>
        <v>Adult</v>
      </c>
      <c r="Q480" t="str">
        <f t="shared" si="30"/>
        <v>High Salary</v>
      </c>
      <c r="R480" t="str">
        <f t="shared" si="31"/>
        <v>Low Balance</v>
      </c>
    </row>
    <row r="481" spans="1:18" x14ac:dyDescent="0.25">
      <c r="A481">
        <v>480</v>
      </c>
      <c r="B481">
        <v>15797736</v>
      </c>
      <c r="C481" t="s">
        <v>234</v>
      </c>
      <c r="D481" t="s">
        <v>15</v>
      </c>
      <c r="E481" t="s">
        <v>23</v>
      </c>
      <c r="F481">
        <v>658</v>
      </c>
      <c r="G481">
        <v>29</v>
      </c>
      <c r="H481">
        <v>4</v>
      </c>
      <c r="I481">
        <v>80262.600000000006</v>
      </c>
      <c r="J481">
        <v>1</v>
      </c>
      <c r="K481">
        <v>1</v>
      </c>
      <c r="L481">
        <v>1</v>
      </c>
      <c r="M481">
        <v>20612.82</v>
      </c>
      <c r="N481">
        <v>0</v>
      </c>
      <c r="O481" t="str">
        <f t="shared" si="28"/>
        <v>Average</v>
      </c>
      <c r="P481" t="str">
        <f t="shared" si="29"/>
        <v>Young Adult</v>
      </c>
      <c r="Q481" t="str">
        <f t="shared" si="30"/>
        <v>Low Salary</v>
      </c>
      <c r="R481" t="str">
        <f t="shared" si="31"/>
        <v>Medium Balance</v>
      </c>
    </row>
    <row r="482" spans="1:18" x14ac:dyDescent="0.25">
      <c r="A482">
        <v>481</v>
      </c>
      <c r="B482">
        <v>15695585</v>
      </c>
      <c r="C482" t="s">
        <v>421</v>
      </c>
      <c r="D482" t="s">
        <v>18</v>
      </c>
      <c r="E482" t="s">
        <v>23</v>
      </c>
      <c r="F482">
        <v>788</v>
      </c>
      <c r="G482">
        <v>34</v>
      </c>
      <c r="H482">
        <v>6</v>
      </c>
      <c r="I482">
        <v>156478.62</v>
      </c>
      <c r="J482">
        <v>1</v>
      </c>
      <c r="K482">
        <v>0</v>
      </c>
      <c r="L482">
        <v>1</v>
      </c>
      <c r="M482">
        <v>181196.76</v>
      </c>
      <c r="N482">
        <v>0</v>
      </c>
      <c r="O482" t="str">
        <f t="shared" si="28"/>
        <v>Good</v>
      </c>
      <c r="P482" t="str">
        <f t="shared" si="29"/>
        <v>Adult</v>
      </c>
      <c r="Q482" t="str">
        <f t="shared" si="30"/>
        <v>High Salary</v>
      </c>
      <c r="R482" t="str">
        <f t="shared" si="31"/>
        <v>High Balance</v>
      </c>
    </row>
    <row r="483" spans="1:18" x14ac:dyDescent="0.25">
      <c r="A483">
        <v>482</v>
      </c>
      <c r="B483">
        <v>15744398</v>
      </c>
      <c r="C483" t="s">
        <v>422</v>
      </c>
      <c r="D483" t="s">
        <v>15</v>
      </c>
      <c r="E483" t="s">
        <v>16</v>
      </c>
      <c r="F483">
        <v>525</v>
      </c>
      <c r="G483">
        <v>23</v>
      </c>
      <c r="H483">
        <v>5</v>
      </c>
      <c r="I483">
        <v>0</v>
      </c>
      <c r="J483">
        <v>2</v>
      </c>
      <c r="K483">
        <v>1</v>
      </c>
      <c r="L483">
        <v>0</v>
      </c>
      <c r="M483">
        <v>160249.1</v>
      </c>
      <c r="N483">
        <v>0</v>
      </c>
      <c r="O483" t="str">
        <f t="shared" si="28"/>
        <v>Poor</v>
      </c>
      <c r="P483" t="str">
        <f t="shared" si="29"/>
        <v>Young Adult</v>
      </c>
      <c r="Q483" t="str">
        <f t="shared" si="30"/>
        <v>High Salary</v>
      </c>
      <c r="R483" t="str">
        <f t="shared" si="31"/>
        <v>Low Balance</v>
      </c>
    </row>
    <row r="484" spans="1:18" x14ac:dyDescent="0.25">
      <c r="A484">
        <v>483</v>
      </c>
      <c r="B484">
        <v>15750658</v>
      </c>
      <c r="C484" t="s">
        <v>423</v>
      </c>
      <c r="D484" t="s">
        <v>15</v>
      </c>
      <c r="E484" t="s">
        <v>23</v>
      </c>
      <c r="F484">
        <v>798</v>
      </c>
      <c r="G484">
        <v>37</v>
      </c>
      <c r="H484">
        <v>8</v>
      </c>
      <c r="I484">
        <v>0</v>
      </c>
      <c r="J484">
        <v>3</v>
      </c>
      <c r="K484">
        <v>0</v>
      </c>
      <c r="L484">
        <v>0</v>
      </c>
      <c r="M484">
        <v>110783.28</v>
      </c>
      <c r="N484">
        <v>0</v>
      </c>
      <c r="O484" t="str">
        <f t="shared" si="28"/>
        <v>Good</v>
      </c>
      <c r="P484" t="str">
        <f t="shared" si="29"/>
        <v>Adult</v>
      </c>
      <c r="Q484" t="str">
        <f t="shared" si="30"/>
        <v>High Salary</v>
      </c>
      <c r="R484" t="str">
        <f t="shared" si="31"/>
        <v>Low Balance</v>
      </c>
    </row>
    <row r="485" spans="1:18" x14ac:dyDescent="0.25">
      <c r="A485">
        <v>484</v>
      </c>
      <c r="B485">
        <v>15578186</v>
      </c>
      <c r="C485" t="s">
        <v>82</v>
      </c>
      <c r="D485" t="s">
        <v>26</v>
      </c>
      <c r="E485" t="s">
        <v>23</v>
      </c>
      <c r="F485">
        <v>486</v>
      </c>
      <c r="G485">
        <v>37</v>
      </c>
      <c r="H485">
        <v>9</v>
      </c>
      <c r="I485">
        <v>115217.99</v>
      </c>
      <c r="J485">
        <v>2</v>
      </c>
      <c r="K485">
        <v>1</v>
      </c>
      <c r="L485">
        <v>0</v>
      </c>
      <c r="M485">
        <v>144995.32999999999</v>
      </c>
      <c r="N485">
        <v>0</v>
      </c>
      <c r="O485" t="str">
        <f t="shared" si="28"/>
        <v>Poor</v>
      </c>
      <c r="P485" t="str">
        <f t="shared" si="29"/>
        <v>Adult</v>
      </c>
      <c r="Q485" t="str">
        <f t="shared" si="30"/>
        <v>High Salary</v>
      </c>
      <c r="R485" t="str">
        <f t="shared" si="31"/>
        <v>High Balance</v>
      </c>
    </row>
    <row r="486" spans="1:18" x14ac:dyDescent="0.25">
      <c r="A486">
        <v>485</v>
      </c>
      <c r="B486">
        <v>15676519</v>
      </c>
      <c r="C486" t="s">
        <v>424</v>
      </c>
      <c r="D486" t="s">
        <v>18</v>
      </c>
      <c r="E486" t="s">
        <v>23</v>
      </c>
      <c r="F486">
        <v>615</v>
      </c>
      <c r="G486">
        <v>61</v>
      </c>
      <c r="H486">
        <v>9</v>
      </c>
      <c r="I486">
        <v>0</v>
      </c>
      <c r="J486">
        <v>2</v>
      </c>
      <c r="K486">
        <v>1</v>
      </c>
      <c r="L486">
        <v>0</v>
      </c>
      <c r="M486">
        <v>150227.85</v>
      </c>
      <c r="N486">
        <v>1</v>
      </c>
      <c r="O486" t="str">
        <f t="shared" si="28"/>
        <v>Average</v>
      </c>
      <c r="P486" t="str">
        <f t="shared" si="29"/>
        <v>Senior</v>
      </c>
      <c r="Q486" t="str">
        <f t="shared" si="30"/>
        <v>High Salary</v>
      </c>
      <c r="R486" t="str">
        <f t="shared" si="31"/>
        <v>Low Balance</v>
      </c>
    </row>
    <row r="487" spans="1:18" x14ac:dyDescent="0.25">
      <c r="A487">
        <v>486</v>
      </c>
      <c r="B487">
        <v>15637954</v>
      </c>
      <c r="C487" t="s">
        <v>425</v>
      </c>
      <c r="D487" t="s">
        <v>15</v>
      </c>
      <c r="E487" t="s">
        <v>16</v>
      </c>
      <c r="F487">
        <v>730</v>
      </c>
      <c r="G487">
        <v>35</v>
      </c>
      <c r="H487">
        <v>0</v>
      </c>
      <c r="I487">
        <v>155470.54999999999</v>
      </c>
      <c r="J487">
        <v>1</v>
      </c>
      <c r="K487">
        <v>1</v>
      </c>
      <c r="L487">
        <v>1</v>
      </c>
      <c r="M487">
        <v>53718.28</v>
      </c>
      <c r="N487">
        <v>0</v>
      </c>
      <c r="O487" t="str">
        <f t="shared" si="28"/>
        <v>Good</v>
      </c>
      <c r="P487" t="str">
        <f t="shared" si="29"/>
        <v>Adult</v>
      </c>
      <c r="Q487" t="str">
        <f t="shared" si="30"/>
        <v>Medium Salary</v>
      </c>
      <c r="R487" t="str">
        <f t="shared" si="31"/>
        <v>High Balance</v>
      </c>
    </row>
    <row r="488" spans="1:18" x14ac:dyDescent="0.25">
      <c r="A488">
        <v>487</v>
      </c>
      <c r="B488">
        <v>15758639</v>
      </c>
      <c r="C488" t="s">
        <v>201</v>
      </c>
      <c r="D488" t="s">
        <v>15</v>
      </c>
      <c r="E488" t="s">
        <v>23</v>
      </c>
      <c r="F488">
        <v>641</v>
      </c>
      <c r="G488">
        <v>37</v>
      </c>
      <c r="H488">
        <v>7</v>
      </c>
      <c r="I488">
        <v>0</v>
      </c>
      <c r="J488">
        <v>2</v>
      </c>
      <c r="K488">
        <v>1</v>
      </c>
      <c r="L488">
        <v>0</v>
      </c>
      <c r="M488">
        <v>75248.3</v>
      </c>
      <c r="N488">
        <v>0</v>
      </c>
      <c r="O488" t="str">
        <f t="shared" si="28"/>
        <v>Average</v>
      </c>
      <c r="P488" t="str">
        <f t="shared" si="29"/>
        <v>Adult</v>
      </c>
      <c r="Q488" t="str">
        <f t="shared" si="30"/>
        <v>High Salary</v>
      </c>
      <c r="R488" t="str">
        <f t="shared" si="31"/>
        <v>Low Balance</v>
      </c>
    </row>
    <row r="489" spans="1:18" x14ac:dyDescent="0.25">
      <c r="A489">
        <v>488</v>
      </c>
      <c r="B489">
        <v>15613772</v>
      </c>
      <c r="C489" t="s">
        <v>426</v>
      </c>
      <c r="D489" t="s">
        <v>15</v>
      </c>
      <c r="E489" t="s">
        <v>23</v>
      </c>
      <c r="F489">
        <v>542</v>
      </c>
      <c r="G489">
        <v>39</v>
      </c>
      <c r="H489">
        <v>3</v>
      </c>
      <c r="I489">
        <v>135096.76999999999</v>
      </c>
      <c r="J489">
        <v>1</v>
      </c>
      <c r="K489">
        <v>1</v>
      </c>
      <c r="L489">
        <v>1</v>
      </c>
      <c r="M489">
        <v>14353.43</v>
      </c>
      <c r="N489">
        <v>1</v>
      </c>
      <c r="O489" t="str">
        <f t="shared" si="28"/>
        <v>Poor</v>
      </c>
      <c r="P489" t="str">
        <f t="shared" si="29"/>
        <v>Adult</v>
      </c>
      <c r="Q489" t="str">
        <f t="shared" si="30"/>
        <v>Low Salary</v>
      </c>
      <c r="R489" t="str">
        <f t="shared" si="31"/>
        <v>High Balance</v>
      </c>
    </row>
    <row r="490" spans="1:18" x14ac:dyDescent="0.25">
      <c r="A490">
        <v>489</v>
      </c>
      <c r="B490">
        <v>15731744</v>
      </c>
      <c r="C490" t="s">
        <v>427</v>
      </c>
      <c r="D490" t="s">
        <v>15</v>
      </c>
      <c r="E490" t="s">
        <v>23</v>
      </c>
      <c r="F490">
        <v>692</v>
      </c>
      <c r="G490">
        <v>30</v>
      </c>
      <c r="H490">
        <v>2</v>
      </c>
      <c r="I490">
        <v>0</v>
      </c>
      <c r="J490">
        <v>2</v>
      </c>
      <c r="K490">
        <v>0</v>
      </c>
      <c r="L490">
        <v>1</v>
      </c>
      <c r="M490">
        <v>130486.57</v>
      </c>
      <c r="N490">
        <v>0</v>
      </c>
      <c r="O490" t="str">
        <f t="shared" si="28"/>
        <v>Good</v>
      </c>
      <c r="P490" t="str">
        <f t="shared" si="29"/>
        <v>Young Adult</v>
      </c>
      <c r="Q490" t="str">
        <f t="shared" si="30"/>
        <v>High Salary</v>
      </c>
      <c r="R490" t="str">
        <f t="shared" si="31"/>
        <v>Low Balance</v>
      </c>
    </row>
    <row r="491" spans="1:18" x14ac:dyDescent="0.25">
      <c r="A491">
        <v>490</v>
      </c>
      <c r="B491">
        <v>15807709</v>
      </c>
      <c r="C491" t="s">
        <v>428</v>
      </c>
      <c r="D491" t="s">
        <v>26</v>
      </c>
      <c r="E491" t="s">
        <v>16</v>
      </c>
      <c r="F491">
        <v>714</v>
      </c>
      <c r="G491">
        <v>55</v>
      </c>
      <c r="H491">
        <v>9</v>
      </c>
      <c r="I491">
        <v>180075.22</v>
      </c>
      <c r="J491">
        <v>1</v>
      </c>
      <c r="K491">
        <v>1</v>
      </c>
      <c r="L491">
        <v>1</v>
      </c>
      <c r="M491">
        <v>100127.71</v>
      </c>
      <c r="N491">
        <v>0</v>
      </c>
      <c r="O491" t="str">
        <f t="shared" si="28"/>
        <v>Good</v>
      </c>
      <c r="P491" t="str">
        <f t="shared" si="29"/>
        <v>Senior</v>
      </c>
      <c r="Q491" t="str">
        <f t="shared" si="30"/>
        <v>High Salary</v>
      </c>
      <c r="R491" t="str">
        <f t="shared" si="31"/>
        <v>High Balance</v>
      </c>
    </row>
    <row r="492" spans="1:18" x14ac:dyDescent="0.25">
      <c r="A492">
        <v>491</v>
      </c>
      <c r="B492">
        <v>15714689</v>
      </c>
      <c r="C492" t="s">
        <v>429</v>
      </c>
      <c r="D492" t="s">
        <v>18</v>
      </c>
      <c r="E492" t="s">
        <v>23</v>
      </c>
      <c r="F492">
        <v>591</v>
      </c>
      <c r="G492">
        <v>29</v>
      </c>
      <c r="H492">
        <v>1</v>
      </c>
      <c r="I492">
        <v>97541.24</v>
      </c>
      <c r="J492">
        <v>1</v>
      </c>
      <c r="K492">
        <v>1</v>
      </c>
      <c r="L492">
        <v>1</v>
      </c>
      <c r="M492">
        <v>196356.17</v>
      </c>
      <c r="N492">
        <v>0</v>
      </c>
      <c r="O492" t="str">
        <f t="shared" si="28"/>
        <v>Average</v>
      </c>
      <c r="P492" t="str">
        <f t="shared" si="29"/>
        <v>Young Adult</v>
      </c>
      <c r="Q492" t="str">
        <f t="shared" si="30"/>
        <v>High Salary</v>
      </c>
      <c r="R492" t="str">
        <f t="shared" si="31"/>
        <v>Medium Balance</v>
      </c>
    </row>
    <row r="493" spans="1:18" x14ac:dyDescent="0.25">
      <c r="A493">
        <v>492</v>
      </c>
      <c r="B493">
        <v>15699005</v>
      </c>
      <c r="C493" t="s">
        <v>65</v>
      </c>
      <c r="D493" t="s">
        <v>15</v>
      </c>
      <c r="E493" t="s">
        <v>16</v>
      </c>
      <c r="F493">
        <v>710</v>
      </c>
      <c r="G493">
        <v>41</v>
      </c>
      <c r="H493">
        <v>2</v>
      </c>
      <c r="I493">
        <v>156067.04999999999</v>
      </c>
      <c r="J493">
        <v>1</v>
      </c>
      <c r="K493">
        <v>1</v>
      </c>
      <c r="L493">
        <v>1</v>
      </c>
      <c r="M493">
        <v>9983.8799999999992</v>
      </c>
      <c r="N493">
        <v>0</v>
      </c>
      <c r="O493" t="str">
        <f t="shared" si="28"/>
        <v>Good</v>
      </c>
      <c r="P493" t="str">
        <f t="shared" si="29"/>
        <v>Adult</v>
      </c>
      <c r="Q493" t="str">
        <f t="shared" si="30"/>
        <v>Low Salary</v>
      </c>
      <c r="R493" t="str">
        <f t="shared" si="31"/>
        <v>High Balance</v>
      </c>
    </row>
    <row r="494" spans="1:18" x14ac:dyDescent="0.25">
      <c r="A494">
        <v>493</v>
      </c>
      <c r="B494">
        <v>15624170</v>
      </c>
      <c r="C494" t="s">
        <v>213</v>
      </c>
      <c r="D494" t="s">
        <v>15</v>
      </c>
      <c r="E494" t="s">
        <v>16</v>
      </c>
      <c r="F494">
        <v>639</v>
      </c>
      <c r="G494">
        <v>38</v>
      </c>
      <c r="H494">
        <v>4</v>
      </c>
      <c r="I494">
        <v>81550.94</v>
      </c>
      <c r="J494">
        <v>2</v>
      </c>
      <c r="K494">
        <v>0</v>
      </c>
      <c r="L494">
        <v>1</v>
      </c>
      <c r="M494">
        <v>118974.77</v>
      </c>
      <c r="N494">
        <v>0</v>
      </c>
      <c r="O494" t="str">
        <f t="shared" si="28"/>
        <v>Average</v>
      </c>
      <c r="P494" t="str">
        <f t="shared" si="29"/>
        <v>Adult</v>
      </c>
      <c r="Q494" t="str">
        <f t="shared" si="30"/>
        <v>High Salary</v>
      </c>
      <c r="R494" t="str">
        <f t="shared" si="31"/>
        <v>Medium Balance</v>
      </c>
    </row>
    <row r="495" spans="1:18" x14ac:dyDescent="0.25">
      <c r="A495">
        <v>494</v>
      </c>
      <c r="B495">
        <v>15725679</v>
      </c>
      <c r="C495" t="s">
        <v>189</v>
      </c>
      <c r="D495" t="s">
        <v>15</v>
      </c>
      <c r="E495" t="s">
        <v>16</v>
      </c>
      <c r="F495">
        <v>531</v>
      </c>
      <c r="G495">
        <v>47</v>
      </c>
      <c r="H495">
        <v>6</v>
      </c>
      <c r="I495">
        <v>0</v>
      </c>
      <c r="J495">
        <v>1</v>
      </c>
      <c r="K495">
        <v>0</v>
      </c>
      <c r="L495">
        <v>0</v>
      </c>
      <c r="M495">
        <v>194998.34</v>
      </c>
      <c r="N495">
        <v>1</v>
      </c>
      <c r="O495" t="str">
        <f t="shared" si="28"/>
        <v>Poor</v>
      </c>
      <c r="P495" t="str">
        <f t="shared" si="29"/>
        <v>Adult</v>
      </c>
      <c r="Q495" t="str">
        <f t="shared" si="30"/>
        <v>High Salary</v>
      </c>
      <c r="R495" t="str">
        <f t="shared" si="31"/>
        <v>Low Balance</v>
      </c>
    </row>
    <row r="496" spans="1:18" x14ac:dyDescent="0.25">
      <c r="A496">
        <v>495</v>
      </c>
      <c r="B496">
        <v>15585865</v>
      </c>
      <c r="C496" t="s">
        <v>430</v>
      </c>
      <c r="D496" t="s">
        <v>15</v>
      </c>
      <c r="E496" t="s">
        <v>16</v>
      </c>
      <c r="F496">
        <v>673</v>
      </c>
      <c r="G496">
        <v>38</v>
      </c>
      <c r="H496">
        <v>2</v>
      </c>
      <c r="I496">
        <v>170061.92</v>
      </c>
      <c r="J496">
        <v>2</v>
      </c>
      <c r="K496">
        <v>0</v>
      </c>
      <c r="L496">
        <v>0</v>
      </c>
      <c r="M496">
        <v>134901.34</v>
      </c>
      <c r="N496">
        <v>1</v>
      </c>
      <c r="O496" t="str">
        <f t="shared" si="28"/>
        <v>Good</v>
      </c>
      <c r="P496" t="str">
        <f t="shared" si="29"/>
        <v>Adult</v>
      </c>
      <c r="Q496" t="str">
        <f t="shared" si="30"/>
        <v>High Salary</v>
      </c>
      <c r="R496" t="str">
        <f t="shared" si="31"/>
        <v>High Balance</v>
      </c>
    </row>
    <row r="497" spans="1:18" x14ac:dyDescent="0.25">
      <c r="A497">
        <v>496</v>
      </c>
      <c r="B497">
        <v>15804256</v>
      </c>
      <c r="C497" t="s">
        <v>431</v>
      </c>
      <c r="D497" t="s">
        <v>26</v>
      </c>
      <c r="E497" t="s">
        <v>23</v>
      </c>
      <c r="F497">
        <v>765</v>
      </c>
      <c r="G497">
        <v>36</v>
      </c>
      <c r="H497">
        <v>8</v>
      </c>
      <c r="I497">
        <v>92310.54</v>
      </c>
      <c r="J497">
        <v>2</v>
      </c>
      <c r="K497">
        <v>1</v>
      </c>
      <c r="L497">
        <v>1</v>
      </c>
      <c r="M497">
        <v>72924.56</v>
      </c>
      <c r="N497">
        <v>0</v>
      </c>
      <c r="O497" t="str">
        <f t="shared" si="28"/>
        <v>Good</v>
      </c>
      <c r="P497" t="str">
        <f t="shared" si="29"/>
        <v>Adult</v>
      </c>
      <c r="Q497" t="str">
        <f t="shared" si="30"/>
        <v>High Salary</v>
      </c>
      <c r="R497" t="str">
        <f t="shared" si="31"/>
        <v>Medium Balance</v>
      </c>
    </row>
    <row r="498" spans="1:18" x14ac:dyDescent="0.25">
      <c r="A498">
        <v>497</v>
      </c>
      <c r="B498">
        <v>15662403</v>
      </c>
      <c r="C498" t="s">
        <v>432</v>
      </c>
      <c r="D498" t="s">
        <v>15</v>
      </c>
      <c r="E498" t="s">
        <v>16</v>
      </c>
      <c r="F498">
        <v>622</v>
      </c>
      <c r="G498">
        <v>32</v>
      </c>
      <c r="H498">
        <v>6</v>
      </c>
      <c r="I498">
        <v>169089.38</v>
      </c>
      <c r="J498">
        <v>2</v>
      </c>
      <c r="K498">
        <v>1</v>
      </c>
      <c r="L498">
        <v>0</v>
      </c>
      <c r="M498">
        <v>101057.95</v>
      </c>
      <c r="N498">
        <v>0</v>
      </c>
      <c r="O498" t="str">
        <f t="shared" si="28"/>
        <v>Average</v>
      </c>
      <c r="P498" t="str">
        <f t="shared" si="29"/>
        <v>Adult</v>
      </c>
      <c r="Q498" t="str">
        <f t="shared" si="30"/>
        <v>High Salary</v>
      </c>
      <c r="R498" t="str">
        <f t="shared" si="31"/>
        <v>High Balance</v>
      </c>
    </row>
    <row r="499" spans="1:18" x14ac:dyDescent="0.25">
      <c r="A499">
        <v>498</v>
      </c>
      <c r="B499">
        <v>15733616</v>
      </c>
      <c r="C499" t="s">
        <v>433</v>
      </c>
      <c r="D499" t="s">
        <v>15</v>
      </c>
      <c r="E499" t="s">
        <v>23</v>
      </c>
      <c r="F499">
        <v>806</v>
      </c>
      <c r="G499">
        <v>40</v>
      </c>
      <c r="H499">
        <v>5</v>
      </c>
      <c r="I499">
        <v>80613.929999999993</v>
      </c>
      <c r="J499">
        <v>1</v>
      </c>
      <c r="K499">
        <v>1</v>
      </c>
      <c r="L499">
        <v>1</v>
      </c>
      <c r="M499">
        <v>142838.64000000001</v>
      </c>
      <c r="N499">
        <v>0</v>
      </c>
      <c r="O499" t="str">
        <f t="shared" si="28"/>
        <v>Good</v>
      </c>
      <c r="P499" t="str">
        <f t="shared" si="29"/>
        <v>Adult</v>
      </c>
      <c r="Q499" t="str">
        <f t="shared" si="30"/>
        <v>High Salary</v>
      </c>
      <c r="R499" t="str">
        <f t="shared" si="31"/>
        <v>Medium Balance</v>
      </c>
    </row>
    <row r="500" spans="1:18" x14ac:dyDescent="0.25">
      <c r="A500">
        <v>499</v>
      </c>
      <c r="B500">
        <v>15591995</v>
      </c>
      <c r="C500" t="s">
        <v>434</v>
      </c>
      <c r="D500" t="s">
        <v>26</v>
      </c>
      <c r="E500" t="s">
        <v>23</v>
      </c>
      <c r="F500">
        <v>757</v>
      </c>
      <c r="G500">
        <v>26</v>
      </c>
      <c r="H500">
        <v>8</v>
      </c>
      <c r="I500">
        <v>121581.56</v>
      </c>
      <c r="J500">
        <v>2</v>
      </c>
      <c r="K500">
        <v>1</v>
      </c>
      <c r="L500">
        <v>1</v>
      </c>
      <c r="M500">
        <v>127059.04</v>
      </c>
      <c r="N500">
        <v>0</v>
      </c>
      <c r="O500" t="str">
        <f t="shared" si="28"/>
        <v>Good</v>
      </c>
      <c r="P500" t="str">
        <f t="shared" si="29"/>
        <v>Young Adult</v>
      </c>
      <c r="Q500" t="str">
        <f t="shared" si="30"/>
        <v>High Salary</v>
      </c>
      <c r="R500" t="str">
        <f t="shared" si="31"/>
        <v>High Balance</v>
      </c>
    </row>
    <row r="501" spans="1:18" x14ac:dyDescent="0.25">
      <c r="A501">
        <v>500</v>
      </c>
      <c r="B501">
        <v>15677020</v>
      </c>
      <c r="C501" t="s">
        <v>435</v>
      </c>
      <c r="D501" t="s">
        <v>15</v>
      </c>
      <c r="E501" t="s">
        <v>16</v>
      </c>
      <c r="F501">
        <v>570</v>
      </c>
      <c r="G501">
        <v>58</v>
      </c>
      <c r="H501">
        <v>8</v>
      </c>
      <c r="I501">
        <v>0</v>
      </c>
      <c r="J501">
        <v>1</v>
      </c>
      <c r="K501">
        <v>0</v>
      </c>
      <c r="L501">
        <v>1</v>
      </c>
      <c r="M501">
        <v>116503.92</v>
      </c>
      <c r="N501">
        <v>1</v>
      </c>
      <c r="O501" t="str">
        <f t="shared" si="28"/>
        <v>Poor</v>
      </c>
      <c r="P501" t="str">
        <f t="shared" si="29"/>
        <v>Senior</v>
      </c>
      <c r="Q501" t="str">
        <f t="shared" si="30"/>
        <v>High Salary</v>
      </c>
      <c r="R501" t="str">
        <f t="shared" si="31"/>
        <v>Low Balance</v>
      </c>
    </row>
    <row r="502" spans="1:18" x14ac:dyDescent="0.25">
      <c r="A502">
        <v>501</v>
      </c>
      <c r="B502">
        <v>15727688</v>
      </c>
      <c r="C502" t="s">
        <v>436</v>
      </c>
      <c r="D502" t="s">
        <v>18</v>
      </c>
      <c r="E502" t="s">
        <v>23</v>
      </c>
      <c r="F502">
        <v>555</v>
      </c>
      <c r="G502">
        <v>32</v>
      </c>
      <c r="H502">
        <v>4</v>
      </c>
      <c r="I502">
        <v>0</v>
      </c>
      <c r="J502">
        <v>2</v>
      </c>
      <c r="K502">
        <v>1</v>
      </c>
      <c r="L502">
        <v>1</v>
      </c>
      <c r="M502">
        <v>54405.79</v>
      </c>
      <c r="N502">
        <v>0</v>
      </c>
      <c r="O502" t="str">
        <f t="shared" si="28"/>
        <v>Poor</v>
      </c>
      <c r="P502" t="str">
        <f t="shared" si="29"/>
        <v>Adult</v>
      </c>
      <c r="Q502" t="str">
        <f t="shared" si="30"/>
        <v>Medium Salary</v>
      </c>
      <c r="R502" t="str">
        <f t="shared" si="31"/>
        <v>Low Balance</v>
      </c>
    </row>
    <row r="503" spans="1:18" x14ac:dyDescent="0.25">
      <c r="A503">
        <v>502</v>
      </c>
      <c r="B503">
        <v>15715941</v>
      </c>
      <c r="C503" t="s">
        <v>437</v>
      </c>
      <c r="D503" t="s">
        <v>15</v>
      </c>
      <c r="E503" t="s">
        <v>23</v>
      </c>
      <c r="F503">
        <v>692</v>
      </c>
      <c r="G503">
        <v>54</v>
      </c>
      <c r="H503">
        <v>5</v>
      </c>
      <c r="I503">
        <v>0</v>
      </c>
      <c r="J503">
        <v>2</v>
      </c>
      <c r="K503">
        <v>1</v>
      </c>
      <c r="L503">
        <v>1</v>
      </c>
      <c r="M503">
        <v>88721.84</v>
      </c>
      <c r="N503">
        <v>0</v>
      </c>
      <c r="O503" t="str">
        <f t="shared" si="28"/>
        <v>Good</v>
      </c>
      <c r="P503" t="str">
        <f t="shared" si="29"/>
        <v>Senior</v>
      </c>
      <c r="Q503" t="str">
        <f t="shared" si="30"/>
        <v>High Salary</v>
      </c>
      <c r="R503" t="str">
        <f t="shared" si="31"/>
        <v>Low Balance</v>
      </c>
    </row>
    <row r="504" spans="1:18" x14ac:dyDescent="0.25">
      <c r="A504">
        <v>503</v>
      </c>
      <c r="B504">
        <v>15714485</v>
      </c>
      <c r="C504" t="s">
        <v>438</v>
      </c>
      <c r="D504" t="s">
        <v>15</v>
      </c>
      <c r="E504" t="s">
        <v>23</v>
      </c>
      <c r="F504">
        <v>774</v>
      </c>
      <c r="G504">
        <v>60</v>
      </c>
      <c r="H504">
        <v>5</v>
      </c>
      <c r="I504">
        <v>85891.55</v>
      </c>
      <c r="J504">
        <v>1</v>
      </c>
      <c r="K504">
        <v>1</v>
      </c>
      <c r="L504">
        <v>0</v>
      </c>
      <c r="M504">
        <v>74135.48</v>
      </c>
      <c r="N504">
        <v>1</v>
      </c>
      <c r="O504" t="str">
        <f t="shared" si="28"/>
        <v>Good</v>
      </c>
      <c r="P504" t="str">
        <f t="shared" si="29"/>
        <v>Senior</v>
      </c>
      <c r="Q504" t="str">
        <f t="shared" si="30"/>
        <v>High Salary</v>
      </c>
      <c r="R504" t="str">
        <f t="shared" si="31"/>
        <v>Medium Balance</v>
      </c>
    </row>
    <row r="505" spans="1:18" x14ac:dyDescent="0.25">
      <c r="A505">
        <v>504</v>
      </c>
      <c r="B505">
        <v>15730059</v>
      </c>
      <c r="C505" t="s">
        <v>439</v>
      </c>
      <c r="D505" t="s">
        <v>18</v>
      </c>
      <c r="E505" t="s">
        <v>23</v>
      </c>
      <c r="F505">
        <v>638</v>
      </c>
      <c r="G505">
        <v>44</v>
      </c>
      <c r="H505">
        <v>9</v>
      </c>
      <c r="I505">
        <v>77637.350000000006</v>
      </c>
      <c r="J505">
        <v>2</v>
      </c>
      <c r="K505">
        <v>1</v>
      </c>
      <c r="L505">
        <v>1</v>
      </c>
      <c r="M505">
        <v>111346.22</v>
      </c>
      <c r="N505">
        <v>0</v>
      </c>
      <c r="O505" t="str">
        <f t="shared" si="28"/>
        <v>Average</v>
      </c>
      <c r="P505" t="str">
        <f t="shared" si="29"/>
        <v>Adult</v>
      </c>
      <c r="Q505" t="str">
        <f t="shared" si="30"/>
        <v>High Salary</v>
      </c>
      <c r="R505" t="str">
        <f t="shared" si="31"/>
        <v>Medium Balance</v>
      </c>
    </row>
    <row r="506" spans="1:18" x14ac:dyDescent="0.25">
      <c r="A506">
        <v>505</v>
      </c>
      <c r="B506">
        <v>15715527</v>
      </c>
      <c r="C506" t="s">
        <v>231</v>
      </c>
      <c r="D506" t="s">
        <v>18</v>
      </c>
      <c r="E506" t="s">
        <v>16</v>
      </c>
      <c r="F506">
        <v>543</v>
      </c>
      <c r="G506">
        <v>41</v>
      </c>
      <c r="H506">
        <v>4</v>
      </c>
      <c r="I506">
        <v>0</v>
      </c>
      <c r="J506">
        <v>1</v>
      </c>
      <c r="K506">
        <v>0</v>
      </c>
      <c r="L506">
        <v>0</v>
      </c>
      <c r="M506">
        <v>194902.16</v>
      </c>
      <c r="N506">
        <v>0</v>
      </c>
      <c r="O506" t="str">
        <f t="shared" si="28"/>
        <v>Poor</v>
      </c>
      <c r="P506" t="str">
        <f t="shared" si="29"/>
        <v>Adult</v>
      </c>
      <c r="Q506" t="str">
        <f t="shared" si="30"/>
        <v>High Salary</v>
      </c>
      <c r="R506" t="str">
        <f t="shared" si="31"/>
        <v>Low Balance</v>
      </c>
    </row>
    <row r="507" spans="1:18" x14ac:dyDescent="0.25">
      <c r="A507">
        <v>506</v>
      </c>
      <c r="B507">
        <v>15576623</v>
      </c>
      <c r="C507" t="s">
        <v>440</v>
      </c>
      <c r="D507" t="s">
        <v>15</v>
      </c>
      <c r="E507" t="s">
        <v>23</v>
      </c>
      <c r="F507">
        <v>584</v>
      </c>
      <c r="G507">
        <v>31</v>
      </c>
      <c r="H507">
        <v>5</v>
      </c>
      <c r="I507">
        <v>0</v>
      </c>
      <c r="J507">
        <v>2</v>
      </c>
      <c r="K507">
        <v>1</v>
      </c>
      <c r="L507">
        <v>0</v>
      </c>
      <c r="M507">
        <v>31474.27</v>
      </c>
      <c r="N507">
        <v>0</v>
      </c>
      <c r="O507" t="str">
        <f t="shared" si="28"/>
        <v>Average</v>
      </c>
      <c r="P507" t="str">
        <f t="shared" si="29"/>
        <v>Adult</v>
      </c>
      <c r="Q507" t="str">
        <f t="shared" si="30"/>
        <v>Medium Salary</v>
      </c>
      <c r="R507" t="str">
        <f t="shared" si="31"/>
        <v>Low Balance</v>
      </c>
    </row>
    <row r="508" spans="1:18" x14ac:dyDescent="0.25">
      <c r="A508">
        <v>507</v>
      </c>
      <c r="B508">
        <v>15805565</v>
      </c>
      <c r="C508" t="s">
        <v>423</v>
      </c>
      <c r="D508" t="s">
        <v>26</v>
      </c>
      <c r="E508" t="s">
        <v>23</v>
      </c>
      <c r="F508">
        <v>691</v>
      </c>
      <c r="G508">
        <v>30</v>
      </c>
      <c r="H508">
        <v>7</v>
      </c>
      <c r="I508">
        <v>116927.89</v>
      </c>
      <c r="J508">
        <v>1</v>
      </c>
      <c r="K508">
        <v>1</v>
      </c>
      <c r="L508">
        <v>0</v>
      </c>
      <c r="M508">
        <v>21198.39</v>
      </c>
      <c r="N508">
        <v>0</v>
      </c>
      <c r="O508" t="str">
        <f t="shared" si="28"/>
        <v>Good</v>
      </c>
      <c r="P508" t="str">
        <f t="shared" si="29"/>
        <v>Young Adult</v>
      </c>
      <c r="Q508" t="str">
        <f t="shared" si="30"/>
        <v>Low Salary</v>
      </c>
      <c r="R508" t="str">
        <f t="shared" si="31"/>
        <v>High Balance</v>
      </c>
    </row>
    <row r="509" spans="1:18" x14ac:dyDescent="0.25">
      <c r="A509">
        <v>508</v>
      </c>
      <c r="B509">
        <v>15677307</v>
      </c>
      <c r="C509" t="s">
        <v>441</v>
      </c>
      <c r="D509" t="s">
        <v>26</v>
      </c>
      <c r="E509" t="s">
        <v>16</v>
      </c>
      <c r="F509">
        <v>684</v>
      </c>
      <c r="G509">
        <v>40</v>
      </c>
      <c r="H509">
        <v>6</v>
      </c>
      <c r="I509">
        <v>137326.65</v>
      </c>
      <c r="J509">
        <v>1</v>
      </c>
      <c r="K509">
        <v>1</v>
      </c>
      <c r="L509">
        <v>0</v>
      </c>
      <c r="M509">
        <v>186976.6</v>
      </c>
      <c r="N509">
        <v>0</v>
      </c>
      <c r="O509" t="str">
        <f t="shared" si="28"/>
        <v>Good</v>
      </c>
      <c r="P509" t="str">
        <f t="shared" si="29"/>
        <v>Adult</v>
      </c>
      <c r="Q509" t="str">
        <f t="shared" si="30"/>
        <v>High Salary</v>
      </c>
      <c r="R509" t="str">
        <f t="shared" si="31"/>
        <v>High Balance</v>
      </c>
    </row>
    <row r="510" spans="1:18" x14ac:dyDescent="0.25">
      <c r="A510">
        <v>509</v>
      </c>
      <c r="B510">
        <v>15773890</v>
      </c>
      <c r="C510" t="s">
        <v>185</v>
      </c>
      <c r="D510" t="s">
        <v>15</v>
      </c>
      <c r="E510" t="s">
        <v>23</v>
      </c>
      <c r="F510">
        <v>733</v>
      </c>
      <c r="G510">
        <v>22</v>
      </c>
      <c r="H510">
        <v>5</v>
      </c>
      <c r="I510">
        <v>0</v>
      </c>
      <c r="J510">
        <v>2</v>
      </c>
      <c r="K510">
        <v>1</v>
      </c>
      <c r="L510">
        <v>1</v>
      </c>
      <c r="M510">
        <v>117202.19</v>
      </c>
      <c r="N510">
        <v>0</v>
      </c>
      <c r="O510" t="str">
        <f t="shared" si="28"/>
        <v>Good</v>
      </c>
      <c r="P510" t="str">
        <f t="shared" si="29"/>
        <v>Young Adult</v>
      </c>
      <c r="Q510" t="str">
        <f t="shared" si="30"/>
        <v>High Salary</v>
      </c>
      <c r="R510" t="str">
        <f t="shared" si="31"/>
        <v>Low Balance</v>
      </c>
    </row>
    <row r="511" spans="1:18" x14ac:dyDescent="0.25">
      <c r="A511">
        <v>510</v>
      </c>
      <c r="B511">
        <v>15598883</v>
      </c>
      <c r="C511" t="s">
        <v>442</v>
      </c>
      <c r="D511" t="s">
        <v>18</v>
      </c>
      <c r="E511" t="s">
        <v>16</v>
      </c>
      <c r="F511">
        <v>599</v>
      </c>
      <c r="G511">
        <v>37</v>
      </c>
      <c r="H511">
        <v>2</v>
      </c>
      <c r="I511">
        <v>0</v>
      </c>
      <c r="J511">
        <v>2</v>
      </c>
      <c r="K511">
        <v>1</v>
      </c>
      <c r="L511">
        <v>1</v>
      </c>
      <c r="M511">
        <v>143739.29</v>
      </c>
      <c r="N511">
        <v>0</v>
      </c>
      <c r="O511" t="str">
        <f t="shared" si="28"/>
        <v>Average</v>
      </c>
      <c r="P511" t="str">
        <f t="shared" si="29"/>
        <v>Adult</v>
      </c>
      <c r="Q511" t="str">
        <f t="shared" si="30"/>
        <v>High Salary</v>
      </c>
      <c r="R511" t="str">
        <f t="shared" si="31"/>
        <v>Low Balance</v>
      </c>
    </row>
    <row r="512" spans="1:18" x14ac:dyDescent="0.25">
      <c r="A512">
        <v>511</v>
      </c>
      <c r="B512">
        <v>15568506</v>
      </c>
      <c r="C512" t="s">
        <v>443</v>
      </c>
      <c r="D512" t="s">
        <v>26</v>
      </c>
      <c r="E512" t="s">
        <v>16</v>
      </c>
      <c r="F512">
        <v>524</v>
      </c>
      <c r="G512">
        <v>31</v>
      </c>
      <c r="H512">
        <v>10</v>
      </c>
      <c r="I512">
        <v>67238.98</v>
      </c>
      <c r="J512">
        <v>2</v>
      </c>
      <c r="K512">
        <v>1</v>
      </c>
      <c r="L512">
        <v>1</v>
      </c>
      <c r="M512">
        <v>161811.23000000001</v>
      </c>
      <c r="N512">
        <v>0</v>
      </c>
      <c r="O512" t="str">
        <f t="shared" si="28"/>
        <v>Poor</v>
      </c>
      <c r="P512" t="str">
        <f t="shared" si="29"/>
        <v>Adult</v>
      </c>
      <c r="Q512" t="str">
        <f t="shared" si="30"/>
        <v>High Salary</v>
      </c>
      <c r="R512" t="str">
        <f t="shared" si="31"/>
        <v>Medium Balance</v>
      </c>
    </row>
    <row r="513" spans="1:18" x14ac:dyDescent="0.25">
      <c r="A513">
        <v>512</v>
      </c>
      <c r="B513">
        <v>15761043</v>
      </c>
      <c r="C513" t="s">
        <v>444</v>
      </c>
      <c r="D513" t="s">
        <v>26</v>
      </c>
      <c r="E513" t="s">
        <v>16</v>
      </c>
      <c r="F513">
        <v>632</v>
      </c>
      <c r="G513">
        <v>38</v>
      </c>
      <c r="H513">
        <v>6</v>
      </c>
      <c r="I513">
        <v>86569.76</v>
      </c>
      <c r="J513">
        <v>2</v>
      </c>
      <c r="K513">
        <v>1</v>
      </c>
      <c r="L513">
        <v>0</v>
      </c>
      <c r="M513">
        <v>98090.91</v>
      </c>
      <c r="N513">
        <v>0</v>
      </c>
      <c r="O513" t="str">
        <f t="shared" si="28"/>
        <v>Average</v>
      </c>
      <c r="P513" t="str">
        <f t="shared" si="29"/>
        <v>Adult</v>
      </c>
      <c r="Q513" t="str">
        <f t="shared" si="30"/>
        <v>High Salary</v>
      </c>
      <c r="R513" t="str">
        <f t="shared" si="31"/>
        <v>Medium Balance</v>
      </c>
    </row>
    <row r="514" spans="1:18" x14ac:dyDescent="0.25">
      <c r="A514">
        <v>513</v>
      </c>
      <c r="B514">
        <v>15782236</v>
      </c>
      <c r="C514" t="s">
        <v>445</v>
      </c>
      <c r="D514" t="s">
        <v>18</v>
      </c>
      <c r="E514" t="s">
        <v>23</v>
      </c>
      <c r="F514">
        <v>735</v>
      </c>
      <c r="G514">
        <v>34</v>
      </c>
      <c r="H514">
        <v>5</v>
      </c>
      <c r="I514">
        <v>0</v>
      </c>
      <c r="J514">
        <v>2</v>
      </c>
      <c r="K514">
        <v>0</v>
      </c>
      <c r="L514">
        <v>0</v>
      </c>
      <c r="M514">
        <v>71095.41</v>
      </c>
      <c r="N514">
        <v>0</v>
      </c>
      <c r="O514" t="str">
        <f t="shared" si="28"/>
        <v>Good</v>
      </c>
      <c r="P514" t="str">
        <f t="shared" si="29"/>
        <v>Adult</v>
      </c>
      <c r="Q514" t="str">
        <f t="shared" si="30"/>
        <v>High Salary</v>
      </c>
      <c r="R514" t="str">
        <f t="shared" si="31"/>
        <v>Low Balance</v>
      </c>
    </row>
    <row r="515" spans="1:18" x14ac:dyDescent="0.25">
      <c r="A515">
        <v>514</v>
      </c>
      <c r="B515">
        <v>15593601</v>
      </c>
      <c r="C515" t="s">
        <v>446</v>
      </c>
      <c r="D515" t="s">
        <v>15</v>
      </c>
      <c r="E515" t="s">
        <v>23</v>
      </c>
      <c r="F515">
        <v>734</v>
      </c>
      <c r="G515">
        <v>34</v>
      </c>
      <c r="H515">
        <v>6</v>
      </c>
      <c r="I515">
        <v>133598.39999999999</v>
      </c>
      <c r="J515">
        <v>1</v>
      </c>
      <c r="K515">
        <v>1</v>
      </c>
      <c r="L515">
        <v>1</v>
      </c>
      <c r="M515">
        <v>13107.24</v>
      </c>
      <c r="N515">
        <v>0</v>
      </c>
      <c r="O515" t="str">
        <f t="shared" ref="O515:O578" si="32">IF(F515&lt;580, "Poor", IF(AND(F515&gt;=580, F515&lt;=669), "Average", "Good"))</f>
        <v>Good</v>
      </c>
      <c r="P515" t="str">
        <f t="shared" ref="P515:P578" si="33">IF(G515&lt;=30, "Young Adult", IF(AND(G515&gt;=31, G515&lt;=50), "Adult", "Senior"))</f>
        <v>Adult</v>
      </c>
      <c r="Q515" t="str">
        <f t="shared" ref="Q515:Q578" si="34">IF(M515&lt;30000, "Low Salary", IF(AND(M515&gt;=30000, M515&lt;=70000), "Medium Salary", "High Salary"))</f>
        <v>Low Salary</v>
      </c>
      <c r="R515" t="str">
        <f t="shared" ref="R515:R578" si="35">IF(I515&lt;50000, "Low Balance", IF(AND(I515&gt;=50000, I515&lt;=100000), "Medium Balance", "High Balance"))</f>
        <v>High Balance</v>
      </c>
    </row>
    <row r="516" spans="1:18" x14ac:dyDescent="0.25">
      <c r="A516">
        <v>515</v>
      </c>
      <c r="B516">
        <v>15682048</v>
      </c>
      <c r="C516" t="s">
        <v>88</v>
      </c>
      <c r="D516" t="s">
        <v>15</v>
      </c>
      <c r="E516" t="s">
        <v>16</v>
      </c>
      <c r="F516">
        <v>605</v>
      </c>
      <c r="G516">
        <v>51</v>
      </c>
      <c r="H516">
        <v>3</v>
      </c>
      <c r="I516">
        <v>136188.78</v>
      </c>
      <c r="J516">
        <v>1</v>
      </c>
      <c r="K516">
        <v>1</v>
      </c>
      <c r="L516">
        <v>1</v>
      </c>
      <c r="M516">
        <v>67110.59</v>
      </c>
      <c r="N516">
        <v>1</v>
      </c>
      <c r="O516" t="str">
        <f t="shared" si="32"/>
        <v>Average</v>
      </c>
      <c r="P516" t="str">
        <f t="shared" si="33"/>
        <v>Senior</v>
      </c>
      <c r="Q516" t="str">
        <f t="shared" si="34"/>
        <v>Medium Salary</v>
      </c>
      <c r="R516" t="str">
        <f t="shared" si="35"/>
        <v>High Balance</v>
      </c>
    </row>
    <row r="517" spans="1:18" x14ac:dyDescent="0.25">
      <c r="A517">
        <v>516</v>
      </c>
      <c r="B517">
        <v>15746902</v>
      </c>
      <c r="C517" t="s">
        <v>447</v>
      </c>
      <c r="D517" t="s">
        <v>18</v>
      </c>
      <c r="E517" t="s">
        <v>23</v>
      </c>
      <c r="F517">
        <v>793</v>
      </c>
      <c r="G517">
        <v>38</v>
      </c>
      <c r="H517">
        <v>9</v>
      </c>
      <c r="I517">
        <v>0</v>
      </c>
      <c r="J517">
        <v>2</v>
      </c>
      <c r="K517">
        <v>1</v>
      </c>
      <c r="L517">
        <v>0</v>
      </c>
      <c r="M517">
        <v>88225.02</v>
      </c>
      <c r="N517">
        <v>0</v>
      </c>
      <c r="O517" t="str">
        <f t="shared" si="32"/>
        <v>Good</v>
      </c>
      <c r="P517" t="str">
        <f t="shared" si="33"/>
        <v>Adult</v>
      </c>
      <c r="Q517" t="str">
        <f t="shared" si="34"/>
        <v>High Salary</v>
      </c>
      <c r="R517" t="str">
        <f t="shared" si="35"/>
        <v>Low Balance</v>
      </c>
    </row>
    <row r="518" spans="1:18" x14ac:dyDescent="0.25">
      <c r="A518">
        <v>517</v>
      </c>
      <c r="B518">
        <v>15752081</v>
      </c>
      <c r="C518" t="s">
        <v>448</v>
      </c>
      <c r="D518" t="s">
        <v>15</v>
      </c>
      <c r="E518" t="s">
        <v>16</v>
      </c>
      <c r="F518">
        <v>468</v>
      </c>
      <c r="G518">
        <v>56</v>
      </c>
      <c r="H518">
        <v>10</v>
      </c>
      <c r="I518">
        <v>0</v>
      </c>
      <c r="J518">
        <v>3</v>
      </c>
      <c r="K518">
        <v>0</v>
      </c>
      <c r="L518">
        <v>1</v>
      </c>
      <c r="M518">
        <v>62256.87</v>
      </c>
      <c r="N518">
        <v>1</v>
      </c>
      <c r="O518" t="str">
        <f t="shared" si="32"/>
        <v>Poor</v>
      </c>
      <c r="P518" t="str">
        <f t="shared" si="33"/>
        <v>Senior</v>
      </c>
      <c r="Q518" t="str">
        <f t="shared" si="34"/>
        <v>Medium Salary</v>
      </c>
      <c r="R518" t="str">
        <f t="shared" si="35"/>
        <v>Low Balance</v>
      </c>
    </row>
    <row r="519" spans="1:18" x14ac:dyDescent="0.25">
      <c r="A519">
        <v>518</v>
      </c>
      <c r="B519">
        <v>15781307</v>
      </c>
      <c r="C519" t="s">
        <v>449</v>
      </c>
      <c r="D519" t="s">
        <v>26</v>
      </c>
      <c r="E519" t="s">
        <v>23</v>
      </c>
      <c r="F519">
        <v>779</v>
      </c>
      <c r="G519">
        <v>37</v>
      </c>
      <c r="H519">
        <v>7</v>
      </c>
      <c r="I519">
        <v>120092.52</v>
      </c>
      <c r="J519">
        <v>2</v>
      </c>
      <c r="K519">
        <v>1</v>
      </c>
      <c r="L519">
        <v>0</v>
      </c>
      <c r="M519">
        <v>135925.72</v>
      </c>
      <c r="N519">
        <v>0</v>
      </c>
      <c r="O519" t="str">
        <f t="shared" si="32"/>
        <v>Good</v>
      </c>
      <c r="P519" t="str">
        <f t="shared" si="33"/>
        <v>Adult</v>
      </c>
      <c r="Q519" t="str">
        <f t="shared" si="34"/>
        <v>High Salary</v>
      </c>
      <c r="R519" t="str">
        <f t="shared" si="35"/>
        <v>High Balance</v>
      </c>
    </row>
    <row r="520" spans="1:18" x14ac:dyDescent="0.25">
      <c r="A520">
        <v>519</v>
      </c>
      <c r="B520">
        <v>15775912</v>
      </c>
      <c r="C520" t="s">
        <v>310</v>
      </c>
      <c r="D520" t="s">
        <v>15</v>
      </c>
      <c r="E520" t="s">
        <v>23</v>
      </c>
      <c r="F520">
        <v>698</v>
      </c>
      <c r="G520">
        <v>48</v>
      </c>
      <c r="H520">
        <v>4</v>
      </c>
      <c r="I520">
        <v>101238.24</v>
      </c>
      <c r="J520">
        <v>2</v>
      </c>
      <c r="K520">
        <v>0</v>
      </c>
      <c r="L520">
        <v>1</v>
      </c>
      <c r="M520">
        <v>177815.87</v>
      </c>
      <c r="N520">
        <v>1</v>
      </c>
      <c r="O520" t="str">
        <f t="shared" si="32"/>
        <v>Good</v>
      </c>
      <c r="P520" t="str">
        <f t="shared" si="33"/>
        <v>Adult</v>
      </c>
      <c r="Q520" t="str">
        <f t="shared" si="34"/>
        <v>High Salary</v>
      </c>
      <c r="R520" t="str">
        <f t="shared" si="35"/>
        <v>High Balance</v>
      </c>
    </row>
    <row r="521" spans="1:18" x14ac:dyDescent="0.25">
      <c r="A521">
        <v>520</v>
      </c>
      <c r="B521">
        <v>15745417</v>
      </c>
      <c r="C521" t="s">
        <v>450</v>
      </c>
      <c r="D521" t="s">
        <v>15</v>
      </c>
      <c r="E521" t="s">
        <v>23</v>
      </c>
      <c r="F521">
        <v>707</v>
      </c>
      <c r="G521">
        <v>58</v>
      </c>
      <c r="H521">
        <v>6</v>
      </c>
      <c r="I521">
        <v>89685.92</v>
      </c>
      <c r="J521">
        <v>1</v>
      </c>
      <c r="K521">
        <v>0</v>
      </c>
      <c r="L521">
        <v>1</v>
      </c>
      <c r="M521">
        <v>126471.13</v>
      </c>
      <c r="N521">
        <v>0</v>
      </c>
      <c r="O521" t="str">
        <f t="shared" si="32"/>
        <v>Good</v>
      </c>
      <c r="P521" t="str">
        <f t="shared" si="33"/>
        <v>Senior</v>
      </c>
      <c r="Q521" t="str">
        <f t="shared" si="34"/>
        <v>High Salary</v>
      </c>
      <c r="R521" t="str">
        <f t="shared" si="35"/>
        <v>Medium Balance</v>
      </c>
    </row>
    <row r="522" spans="1:18" x14ac:dyDescent="0.25">
      <c r="A522">
        <v>521</v>
      </c>
      <c r="B522">
        <v>15671256</v>
      </c>
      <c r="C522" t="s">
        <v>451</v>
      </c>
      <c r="D522" t="s">
        <v>15</v>
      </c>
      <c r="E522" t="s">
        <v>16</v>
      </c>
      <c r="F522">
        <v>850</v>
      </c>
      <c r="G522">
        <v>35</v>
      </c>
      <c r="H522">
        <v>1</v>
      </c>
      <c r="I522">
        <v>211774.31</v>
      </c>
      <c r="J522">
        <v>1</v>
      </c>
      <c r="K522">
        <v>1</v>
      </c>
      <c r="L522">
        <v>0</v>
      </c>
      <c r="M522">
        <v>188574.12</v>
      </c>
      <c r="N522">
        <v>1</v>
      </c>
      <c r="O522" t="str">
        <f t="shared" si="32"/>
        <v>Good</v>
      </c>
      <c r="P522" t="str">
        <f t="shared" si="33"/>
        <v>Adult</v>
      </c>
      <c r="Q522" t="str">
        <f t="shared" si="34"/>
        <v>High Salary</v>
      </c>
      <c r="R522" t="str">
        <f t="shared" si="35"/>
        <v>High Balance</v>
      </c>
    </row>
    <row r="523" spans="1:18" x14ac:dyDescent="0.25">
      <c r="A523">
        <v>522</v>
      </c>
      <c r="B523">
        <v>15653547</v>
      </c>
      <c r="C523" t="s">
        <v>157</v>
      </c>
      <c r="D523" t="s">
        <v>15</v>
      </c>
      <c r="E523" t="s">
        <v>23</v>
      </c>
      <c r="F523">
        <v>850</v>
      </c>
      <c r="G523">
        <v>56</v>
      </c>
      <c r="H523">
        <v>7</v>
      </c>
      <c r="I523">
        <v>131317.48000000001</v>
      </c>
      <c r="J523">
        <v>1</v>
      </c>
      <c r="K523">
        <v>1</v>
      </c>
      <c r="L523">
        <v>1</v>
      </c>
      <c r="M523">
        <v>119175.45</v>
      </c>
      <c r="N523">
        <v>0</v>
      </c>
      <c r="O523" t="str">
        <f t="shared" si="32"/>
        <v>Good</v>
      </c>
      <c r="P523" t="str">
        <f t="shared" si="33"/>
        <v>Senior</v>
      </c>
      <c r="Q523" t="str">
        <f t="shared" si="34"/>
        <v>High Salary</v>
      </c>
      <c r="R523" t="str">
        <f t="shared" si="35"/>
        <v>High Balance</v>
      </c>
    </row>
    <row r="524" spans="1:18" x14ac:dyDescent="0.25">
      <c r="A524">
        <v>523</v>
      </c>
      <c r="B524">
        <v>15595766</v>
      </c>
      <c r="C524" t="s">
        <v>452</v>
      </c>
      <c r="D524" t="s">
        <v>18</v>
      </c>
      <c r="E524" t="s">
        <v>23</v>
      </c>
      <c r="F524">
        <v>527</v>
      </c>
      <c r="G524">
        <v>37</v>
      </c>
      <c r="H524">
        <v>5</v>
      </c>
      <c r="I524">
        <v>93722.73</v>
      </c>
      <c r="J524">
        <v>2</v>
      </c>
      <c r="K524">
        <v>1</v>
      </c>
      <c r="L524">
        <v>1</v>
      </c>
      <c r="M524">
        <v>139093.73000000001</v>
      </c>
      <c r="N524">
        <v>0</v>
      </c>
      <c r="O524" t="str">
        <f t="shared" si="32"/>
        <v>Poor</v>
      </c>
      <c r="P524" t="str">
        <f t="shared" si="33"/>
        <v>Adult</v>
      </c>
      <c r="Q524" t="str">
        <f t="shared" si="34"/>
        <v>High Salary</v>
      </c>
      <c r="R524" t="str">
        <f t="shared" si="35"/>
        <v>Medium Balance</v>
      </c>
    </row>
    <row r="525" spans="1:18" x14ac:dyDescent="0.25">
      <c r="A525">
        <v>524</v>
      </c>
      <c r="B525">
        <v>15742358</v>
      </c>
      <c r="C525" t="s">
        <v>453</v>
      </c>
      <c r="D525" t="s">
        <v>26</v>
      </c>
      <c r="E525" t="s">
        <v>23</v>
      </c>
      <c r="F525">
        <v>696</v>
      </c>
      <c r="G525">
        <v>32</v>
      </c>
      <c r="H525">
        <v>8</v>
      </c>
      <c r="I525">
        <v>101160.99</v>
      </c>
      <c r="J525">
        <v>1</v>
      </c>
      <c r="K525">
        <v>1</v>
      </c>
      <c r="L525">
        <v>1</v>
      </c>
      <c r="M525">
        <v>115916.55</v>
      </c>
      <c r="N525">
        <v>0</v>
      </c>
      <c r="O525" t="str">
        <f t="shared" si="32"/>
        <v>Good</v>
      </c>
      <c r="P525" t="str">
        <f t="shared" si="33"/>
        <v>Adult</v>
      </c>
      <c r="Q525" t="str">
        <f t="shared" si="34"/>
        <v>High Salary</v>
      </c>
      <c r="R525" t="str">
        <f t="shared" si="35"/>
        <v>High Balance</v>
      </c>
    </row>
    <row r="526" spans="1:18" x14ac:dyDescent="0.25">
      <c r="A526">
        <v>525</v>
      </c>
      <c r="B526">
        <v>15763274</v>
      </c>
      <c r="C526" t="s">
        <v>134</v>
      </c>
      <c r="D526" t="s">
        <v>15</v>
      </c>
      <c r="E526" t="s">
        <v>23</v>
      </c>
      <c r="F526">
        <v>661</v>
      </c>
      <c r="G526">
        <v>48</v>
      </c>
      <c r="H526">
        <v>3</v>
      </c>
      <c r="I526">
        <v>120320.54</v>
      </c>
      <c r="J526">
        <v>1</v>
      </c>
      <c r="K526">
        <v>0</v>
      </c>
      <c r="L526">
        <v>0</v>
      </c>
      <c r="M526">
        <v>96463.25</v>
      </c>
      <c r="N526">
        <v>0</v>
      </c>
      <c r="O526" t="str">
        <f t="shared" si="32"/>
        <v>Average</v>
      </c>
      <c r="P526" t="str">
        <f t="shared" si="33"/>
        <v>Adult</v>
      </c>
      <c r="Q526" t="str">
        <f t="shared" si="34"/>
        <v>High Salary</v>
      </c>
      <c r="R526" t="str">
        <f t="shared" si="35"/>
        <v>High Balance</v>
      </c>
    </row>
    <row r="527" spans="1:18" x14ac:dyDescent="0.25">
      <c r="A527">
        <v>526</v>
      </c>
      <c r="B527">
        <v>15786063</v>
      </c>
      <c r="C527" t="s">
        <v>32</v>
      </c>
      <c r="D527" t="s">
        <v>15</v>
      </c>
      <c r="E527" t="s">
        <v>16</v>
      </c>
      <c r="F527">
        <v>776</v>
      </c>
      <c r="G527">
        <v>31</v>
      </c>
      <c r="H527">
        <v>2</v>
      </c>
      <c r="I527">
        <v>0</v>
      </c>
      <c r="J527">
        <v>2</v>
      </c>
      <c r="K527">
        <v>1</v>
      </c>
      <c r="L527">
        <v>1</v>
      </c>
      <c r="M527">
        <v>112349.51</v>
      </c>
      <c r="N527">
        <v>0</v>
      </c>
      <c r="O527" t="str">
        <f t="shared" si="32"/>
        <v>Good</v>
      </c>
      <c r="P527" t="str">
        <f t="shared" si="33"/>
        <v>Adult</v>
      </c>
      <c r="Q527" t="str">
        <f t="shared" si="34"/>
        <v>High Salary</v>
      </c>
      <c r="R527" t="str">
        <f t="shared" si="35"/>
        <v>Low Balance</v>
      </c>
    </row>
    <row r="528" spans="1:18" x14ac:dyDescent="0.25">
      <c r="A528">
        <v>527</v>
      </c>
      <c r="B528">
        <v>15600258</v>
      </c>
      <c r="C528" t="s">
        <v>454</v>
      </c>
      <c r="D528" t="s">
        <v>15</v>
      </c>
      <c r="E528" t="s">
        <v>23</v>
      </c>
      <c r="F528">
        <v>701</v>
      </c>
      <c r="G528">
        <v>43</v>
      </c>
      <c r="H528">
        <v>2</v>
      </c>
      <c r="I528">
        <v>0</v>
      </c>
      <c r="J528">
        <v>2</v>
      </c>
      <c r="K528">
        <v>1</v>
      </c>
      <c r="L528">
        <v>1</v>
      </c>
      <c r="M528">
        <v>165303.79</v>
      </c>
      <c r="N528">
        <v>0</v>
      </c>
      <c r="O528" t="str">
        <f t="shared" si="32"/>
        <v>Good</v>
      </c>
      <c r="P528" t="str">
        <f t="shared" si="33"/>
        <v>Adult</v>
      </c>
      <c r="Q528" t="str">
        <f t="shared" si="34"/>
        <v>High Salary</v>
      </c>
      <c r="R528" t="str">
        <f t="shared" si="35"/>
        <v>Low Balance</v>
      </c>
    </row>
    <row r="529" spans="1:18" x14ac:dyDescent="0.25">
      <c r="A529">
        <v>528</v>
      </c>
      <c r="B529">
        <v>15573318</v>
      </c>
      <c r="C529" t="s">
        <v>455</v>
      </c>
      <c r="D529" t="s">
        <v>15</v>
      </c>
      <c r="E529" t="s">
        <v>23</v>
      </c>
      <c r="F529">
        <v>610</v>
      </c>
      <c r="G529">
        <v>26</v>
      </c>
      <c r="H529">
        <v>8</v>
      </c>
      <c r="I529">
        <v>0</v>
      </c>
      <c r="J529">
        <v>2</v>
      </c>
      <c r="K529">
        <v>1</v>
      </c>
      <c r="L529">
        <v>0</v>
      </c>
      <c r="M529">
        <v>166031.07999999999</v>
      </c>
      <c r="N529">
        <v>0</v>
      </c>
      <c r="O529" t="str">
        <f t="shared" si="32"/>
        <v>Average</v>
      </c>
      <c r="P529" t="str">
        <f t="shared" si="33"/>
        <v>Young Adult</v>
      </c>
      <c r="Q529" t="str">
        <f t="shared" si="34"/>
        <v>High Salary</v>
      </c>
      <c r="R529" t="str">
        <f t="shared" si="35"/>
        <v>Low Balance</v>
      </c>
    </row>
    <row r="530" spans="1:18" x14ac:dyDescent="0.25">
      <c r="A530">
        <v>529</v>
      </c>
      <c r="B530">
        <v>15653849</v>
      </c>
      <c r="C530" t="s">
        <v>456</v>
      </c>
      <c r="D530" t="s">
        <v>26</v>
      </c>
      <c r="E530" t="s">
        <v>16</v>
      </c>
      <c r="F530">
        <v>572</v>
      </c>
      <c r="G530">
        <v>48</v>
      </c>
      <c r="H530">
        <v>3</v>
      </c>
      <c r="I530">
        <v>152827.99</v>
      </c>
      <c r="J530">
        <v>1</v>
      </c>
      <c r="K530">
        <v>1</v>
      </c>
      <c r="L530">
        <v>0</v>
      </c>
      <c r="M530">
        <v>38411.79</v>
      </c>
      <c r="N530">
        <v>1</v>
      </c>
      <c r="O530" t="str">
        <f t="shared" si="32"/>
        <v>Poor</v>
      </c>
      <c r="P530" t="str">
        <f t="shared" si="33"/>
        <v>Adult</v>
      </c>
      <c r="Q530" t="str">
        <f t="shared" si="34"/>
        <v>Medium Salary</v>
      </c>
      <c r="R530" t="str">
        <f t="shared" si="35"/>
        <v>High Balance</v>
      </c>
    </row>
    <row r="531" spans="1:18" x14ac:dyDescent="0.25">
      <c r="A531">
        <v>530</v>
      </c>
      <c r="B531">
        <v>15694272</v>
      </c>
      <c r="C531" t="s">
        <v>457</v>
      </c>
      <c r="D531" t="s">
        <v>15</v>
      </c>
      <c r="E531" t="s">
        <v>23</v>
      </c>
      <c r="F531">
        <v>673</v>
      </c>
      <c r="G531">
        <v>30</v>
      </c>
      <c r="H531">
        <v>1</v>
      </c>
      <c r="I531">
        <v>64097.75</v>
      </c>
      <c r="J531">
        <v>1</v>
      </c>
      <c r="K531">
        <v>1</v>
      </c>
      <c r="L531">
        <v>1</v>
      </c>
      <c r="M531">
        <v>77783.350000000006</v>
      </c>
      <c r="N531">
        <v>0</v>
      </c>
      <c r="O531" t="str">
        <f t="shared" si="32"/>
        <v>Good</v>
      </c>
      <c r="P531" t="str">
        <f t="shared" si="33"/>
        <v>Young Adult</v>
      </c>
      <c r="Q531" t="str">
        <f t="shared" si="34"/>
        <v>High Salary</v>
      </c>
      <c r="R531" t="str">
        <f t="shared" si="35"/>
        <v>Medium Balance</v>
      </c>
    </row>
    <row r="532" spans="1:18" x14ac:dyDescent="0.25">
      <c r="A532">
        <v>531</v>
      </c>
      <c r="B532">
        <v>15736112</v>
      </c>
      <c r="C532" t="s">
        <v>458</v>
      </c>
      <c r="D532" t="s">
        <v>18</v>
      </c>
      <c r="E532" t="s">
        <v>16</v>
      </c>
      <c r="F532">
        <v>519</v>
      </c>
      <c r="G532">
        <v>57</v>
      </c>
      <c r="H532">
        <v>2</v>
      </c>
      <c r="I532">
        <v>119035.35</v>
      </c>
      <c r="J532">
        <v>2</v>
      </c>
      <c r="K532">
        <v>1</v>
      </c>
      <c r="L532">
        <v>1</v>
      </c>
      <c r="M532">
        <v>29871.79</v>
      </c>
      <c r="N532">
        <v>0</v>
      </c>
      <c r="O532" t="str">
        <f t="shared" si="32"/>
        <v>Poor</v>
      </c>
      <c r="P532" t="str">
        <f t="shared" si="33"/>
        <v>Senior</v>
      </c>
      <c r="Q532" t="str">
        <f t="shared" si="34"/>
        <v>Low Salary</v>
      </c>
      <c r="R532" t="str">
        <f t="shared" si="35"/>
        <v>High Balance</v>
      </c>
    </row>
    <row r="533" spans="1:18" x14ac:dyDescent="0.25">
      <c r="A533">
        <v>532</v>
      </c>
      <c r="B533">
        <v>15749851</v>
      </c>
      <c r="C533" t="s">
        <v>414</v>
      </c>
      <c r="D533" t="s">
        <v>18</v>
      </c>
      <c r="E533" t="s">
        <v>16</v>
      </c>
      <c r="F533">
        <v>702</v>
      </c>
      <c r="G533">
        <v>26</v>
      </c>
      <c r="H533">
        <v>4</v>
      </c>
      <c r="I533">
        <v>135219.57</v>
      </c>
      <c r="J533">
        <v>1</v>
      </c>
      <c r="K533">
        <v>0</v>
      </c>
      <c r="L533">
        <v>1</v>
      </c>
      <c r="M533">
        <v>59747.63</v>
      </c>
      <c r="N533">
        <v>0</v>
      </c>
      <c r="O533" t="str">
        <f t="shared" si="32"/>
        <v>Good</v>
      </c>
      <c r="P533" t="str">
        <f t="shared" si="33"/>
        <v>Young Adult</v>
      </c>
      <c r="Q533" t="str">
        <f t="shared" si="34"/>
        <v>Medium Salary</v>
      </c>
      <c r="R533" t="str">
        <f t="shared" si="35"/>
        <v>High Balance</v>
      </c>
    </row>
    <row r="534" spans="1:18" x14ac:dyDescent="0.25">
      <c r="A534">
        <v>533</v>
      </c>
      <c r="B534">
        <v>15663478</v>
      </c>
      <c r="C534" t="s">
        <v>459</v>
      </c>
      <c r="D534" t="s">
        <v>15</v>
      </c>
      <c r="E534" t="s">
        <v>23</v>
      </c>
      <c r="F534">
        <v>729</v>
      </c>
      <c r="G534">
        <v>32</v>
      </c>
      <c r="H534">
        <v>6</v>
      </c>
      <c r="I534">
        <v>93694.42</v>
      </c>
      <c r="J534">
        <v>1</v>
      </c>
      <c r="K534">
        <v>1</v>
      </c>
      <c r="L534">
        <v>1</v>
      </c>
      <c r="M534">
        <v>79919.13</v>
      </c>
      <c r="N534">
        <v>0</v>
      </c>
      <c r="O534" t="str">
        <f t="shared" si="32"/>
        <v>Good</v>
      </c>
      <c r="P534" t="str">
        <f t="shared" si="33"/>
        <v>Adult</v>
      </c>
      <c r="Q534" t="str">
        <f t="shared" si="34"/>
        <v>High Salary</v>
      </c>
      <c r="R534" t="str">
        <f t="shared" si="35"/>
        <v>Medium Balance</v>
      </c>
    </row>
    <row r="535" spans="1:18" x14ac:dyDescent="0.25">
      <c r="A535">
        <v>534</v>
      </c>
      <c r="B535">
        <v>15592300</v>
      </c>
      <c r="C535" t="s">
        <v>460</v>
      </c>
      <c r="D535" t="s">
        <v>18</v>
      </c>
      <c r="E535" t="s">
        <v>23</v>
      </c>
      <c r="F535">
        <v>543</v>
      </c>
      <c r="G535">
        <v>35</v>
      </c>
      <c r="H535">
        <v>10</v>
      </c>
      <c r="I535">
        <v>59408.63</v>
      </c>
      <c r="J535">
        <v>1</v>
      </c>
      <c r="K535">
        <v>1</v>
      </c>
      <c r="L535">
        <v>0</v>
      </c>
      <c r="M535">
        <v>76773.53</v>
      </c>
      <c r="N535">
        <v>0</v>
      </c>
      <c r="O535" t="str">
        <f t="shared" si="32"/>
        <v>Poor</v>
      </c>
      <c r="P535" t="str">
        <f t="shared" si="33"/>
        <v>Adult</v>
      </c>
      <c r="Q535" t="str">
        <f t="shared" si="34"/>
        <v>High Salary</v>
      </c>
      <c r="R535" t="str">
        <f t="shared" si="35"/>
        <v>Medium Balance</v>
      </c>
    </row>
    <row r="536" spans="1:18" x14ac:dyDescent="0.25">
      <c r="A536">
        <v>535</v>
      </c>
      <c r="B536">
        <v>15567832</v>
      </c>
      <c r="C536" t="s">
        <v>219</v>
      </c>
      <c r="D536" t="s">
        <v>15</v>
      </c>
      <c r="E536" t="s">
        <v>16</v>
      </c>
      <c r="F536">
        <v>550</v>
      </c>
      <c r="G536">
        <v>40</v>
      </c>
      <c r="H536">
        <v>7</v>
      </c>
      <c r="I536">
        <v>114354.95</v>
      </c>
      <c r="J536">
        <v>1</v>
      </c>
      <c r="K536">
        <v>1</v>
      </c>
      <c r="L536">
        <v>0</v>
      </c>
      <c r="M536">
        <v>54018.93</v>
      </c>
      <c r="N536">
        <v>0</v>
      </c>
      <c r="O536" t="str">
        <f t="shared" si="32"/>
        <v>Poor</v>
      </c>
      <c r="P536" t="str">
        <f t="shared" si="33"/>
        <v>Adult</v>
      </c>
      <c r="Q536" t="str">
        <f t="shared" si="34"/>
        <v>Medium Salary</v>
      </c>
      <c r="R536" t="str">
        <f t="shared" si="35"/>
        <v>High Balance</v>
      </c>
    </row>
    <row r="537" spans="1:18" x14ac:dyDescent="0.25">
      <c r="A537">
        <v>536</v>
      </c>
      <c r="B537">
        <v>15776780</v>
      </c>
      <c r="C537" t="s">
        <v>27</v>
      </c>
      <c r="D537" t="s">
        <v>15</v>
      </c>
      <c r="E537" t="s">
        <v>23</v>
      </c>
      <c r="F537">
        <v>608</v>
      </c>
      <c r="G537">
        <v>59</v>
      </c>
      <c r="H537">
        <v>1</v>
      </c>
      <c r="I537">
        <v>0</v>
      </c>
      <c r="J537">
        <v>1</v>
      </c>
      <c r="K537">
        <v>1</v>
      </c>
      <c r="L537">
        <v>0</v>
      </c>
      <c r="M537">
        <v>70649.64</v>
      </c>
      <c r="N537">
        <v>1</v>
      </c>
      <c r="O537" t="str">
        <f t="shared" si="32"/>
        <v>Average</v>
      </c>
      <c r="P537" t="str">
        <f t="shared" si="33"/>
        <v>Senior</v>
      </c>
      <c r="Q537" t="str">
        <f t="shared" si="34"/>
        <v>High Salary</v>
      </c>
      <c r="R537" t="str">
        <f t="shared" si="35"/>
        <v>Low Balance</v>
      </c>
    </row>
    <row r="538" spans="1:18" x14ac:dyDescent="0.25">
      <c r="A538">
        <v>537</v>
      </c>
      <c r="B538">
        <v>15592846</v>
      </c>
      <c r="C538" t="s">
        <v>112</v>
      </c>
      <c r="D538" t="s">
        <v>26</v>
      </c>
      <c r="E538" t="s">
        <v>23</v>
      </c>
      <c r="F538">
        <v>639</v>
      </c>
      <c r="G538">
        <v>35</v>
      </c>
      <c r="H538">
        <v>10</v>
      </c>
      <c r="I538">
        <v>128173.9</v>
      </c>
      <c r="J538">
        <v>2</v>
      </c>
      <c r="K538">
        <v>1</v>
      </c>
      <c r="L538">
        <v>0</v>
      </c>
      <c r="M538">
        <v>59093.39</v>
      </c>
      <c r="N538">
        <v>0</v>
      </c>
      <c r="O538" t="str">
        <f t="shared" si="32"/>
        <v>Average</v>
      </c>
      <c r="P538" t="str">
        <f t="shared" si="33"/>
        <v>Adult</v>
      </c>
      <c r="Q538" t="str">
        <f t="shared" si="34"/>
        <v>Medium Salary</v>
      </c>
      <c r="R538" t="str">
        <f t="shared" si="35"/>
        <v>High Balance</v>
      </c>
    </row>
    <row r="539" spans="1:18" x14ac:dyDescent="0.25">
      <c r="A539">
        <v>538</v>
      </c>
      <c r="B539">
        <v>15739803</v>
      </c>
      <c r="C539" t="s">
        <v>48</v>
      </c>
      <c r="D539" t="s">
        <v>18</v>
      </c>
      <c r="E539" t="s">
        <v>23</v>
      </c>
      <c r="F539">
        <v>686</v>
      </c>
      <c r="G539">
        <v>34</v>
      </c>
      <c r="H539">
        <v>9</v>
      </c>
      <c r="I539">
        <v>0</v>
      </c>
      <c r="J539">
        <v>2</v>
      </c>
      <c r="K539">
        <v>1</v>
      </c>
      <c r="L539">
        <v>0</v>
      </c>
      <c r="M539">
        <v>127569.8</v>
      </c>
      <c r="N539">
        <v>0</v>
      </c>
      <c r="O539" t="str">
        <f t="shared" si="32"/>
        <v>Good</v>
      </c>
      <c r="P539" t="str">
        <f t="shared" si="33"/>
        <v>Adult</v>
      </c>
      <c r="Q539" t="str">
        <f t="shared" si="34"/>
        <v>High Salary</v>
      </c>
      <c r="R539" t="str">
        <f t="shared" si="35"/>
        <v>Low Balance</v>
      </c>
    </row>
    <row r="540" spans="1:18" x14ac:dyDescent="0.25">
      <c r="A540">
        <v>539</v>
      </c>
      <c r="B540">
        <v>15794142</v>
      </c>
      <c r="C540" t="s">
        <v>461</v>
      </c>
      <c r="D540" t="s">
        <v>26</v>
      </c>
      <c r="E540" t="s">
        <v>16</v>
      </c>
      <c r="F540">
        <v>564</v>
      </c>
      <c r="G540">
        <v>62</v>
      </c>
      <c r="H540">
        <v>5</v>
      </c>
      <c r="I540">
        <v>114931.35</v>
      </c>
      <c r="J540">
        <v>3</v>
      </c>
      <c r="K540">
        <v>0</v>
      </c>
      <c r="L540">
        <v>1</v>
      </c>
      <c r="M540">
        <v>18260.98</v>
      </c>
      <c r="N540">
        <v>1</v>
      </c>
      <c r="O540" t="str">
        <f t="shared" si="32"/>
        <v>Poor</v>
      </c>
      <c r="P540" t="str">
        <f t="shared" si="33"/>
        <v>Senior</v>
      </c>
      <c r="Q540" t="str">
        <f t="shared" si="34"/>
        <v>Low Salary</v>
      </c>
      <c r="R540" t="str">
        <f t="shared" si="35"/>
        <v>High Balance</v>
      </c>
    </row>
    <row r="541" spans="1:18" x14ac:dyDescent="0.25">
      <c r="A541">
        <v>540</v>
      </c>
      <c r="B541">
        <v>15762729</v>
      </c>
      <c r="C541" t="s">
        <v>462</v>
      </c>
      <c r="D541" t="s">
        <v>26</v>
      </c>
      <c r="E541" t="s">
        <v>16</v>
      </c>
      <c r="F541">
        <v>745</v>
      </c>
      <c r="G541">
        <v>28</v>
      </c>
      <c r="H541">
        <v>1</v>
      </c>
      <c r="I541">
        <v>111071.36</v>
      </c>
      <c r="J541">
        <v>1</v>
      </c>
      <c r="K541">
        <v>1</v>
      </c>
      <c r="L541">
        <v>0</v>
      </c>
      <c r="M541">
        <v>73275.960000000006</v>
      </c>
      <c r="N541">
        <v>1</v>
      </c>
      <c r="O541" t="str">
        <f t="shared" si="32"/>
        <v>Good</v>
      </c>
      <c r="P541" t="str">
        <f t="shared" si="33"/>
        <v>Young Adult</v>
      </c>
      <c r="Q541" t="str">
        <f t="shared" si="34"/>
        <v>High Salary</v>
      </c>
      <c r="R541" t="str">
        <f t="shared" si="35"/>
        <v>High Balance</v>
      </c>
    </row>
    <row r="542" spans="1:18" x14ac:dyDescent="0.25">
      <c r="A542">
        <v>541</v>
      </c>
      <c r="B542">
        <v>15667896</v>
      </c>
      <c r="C542" t="s">
        <v>463</v>
      </c>
      <c r="D542" t="s">
        <v>15</v>
      </c>
      <c r="E542" t="s">
        <v>23</v>
      </c>
      <c r="F542">
        <v>833</v>
      </c>
      <c r="G542">
        <v>37</v>
      </c>
      <c r="H542">
        <v>8</v>
      </c>
      <c r="I542">
        <v>151226.18</v>
      </c>
      <c r="J542">
        <v>2</v>
      </c>
      <c r="K542">
        <v>1</v>
      </c>
      <c r="L542">
        <v>1</v>
      </c>
      <c r="M542">
        <v>136129.49</v>
      </c>
      <c r="N542">
        <v>0</v>
      </c>
      <c r="O542" t="str">
        <f t="shared" si="32"/>
        <v>Good</v>
      </c>
      <c r="P542" t="str">
        <f t="shared" si="33"/>
        <v>Adult</v>
      </c>
      <c r="Q542" t="str">
        <f t="shared" si="34"/>
        <v>High Salary</v>
      </c>
      <c r="R542" t="str">
        <f t="shared" si="35"/>
        <v>High Balance</v>
      </c>
    </row>
    <row r="543" spans="1:18" x14ac:dyDescent="0.25">
      <c r="A543">
        <v>542</v>
      </c>
      <c r="B543">
        <v>15626578</v>
      </c>
      <c r="C543" t="s">
        <v>166</v>
      </c>
      <c r="D543" t="s">
        <v>15</v>
      </c>
      <c r="E543" t="s">
        <v>23</v>
      </c>
      <c r="F543">
        <v>622</v>
      </c>
      <c r="G543">
        <v>26</v>
      </c>
      <c r="H543">
        <v>9</v>
      </c>
      <c r="I543">
        <v>0</v>
      </c>
      <c r="J543">
        <v>2</v>
      </c>
      <c r="K543">
        <v>1</v>
      </c>
      <c r="L543">
        <v>1</v>
      </c>
      <c r="M543">
        <v>153237.59</v>
      </c>
      <c r="N543">
        <v>0</v>
      </c>
      <c r="O543" t="str">
        <f t="shared" si="32"/>
        <v>Average</v>
      </c>
      <c r="P543" t="str">
        <f t="shared" si="33"/>
        <v>Young Adult</v>
      </c>
      <c r="Q543" t="str">
        <f t="shared" si="34"/>
        <v>High Salary</v>
      </c>
      <c r="R543" t="str">
        <f t="shared" si="35"/>
        <v>Low Balance</v>
      </c>
    </row>
    <row r="544" spans="1:18" x14ac:dyDescent="0.25">
      <c r="A544">
        <v>543</v>
      </c>
      <c r="B544">
        <v>15776223</v>
      </c>
      <c r="C544" t="s">
        <v>464</v>
      </c>
      <c r="D544" t="s">
        <v>15</v>
      </c>
      <c r="E544" t="s">
        <v>16</v>
      </c>
      <c r="F544">
        <v>597</v>
      </c>
      <c r="G544">
        <v>42</v>
      </c>
      <c r="H544">
        <v>4</v>
      </c>
      <c r="I544">
        <v>64740.12</v>
      </c>
      <c r="J544">
        <v>1</v>
      </c>
      <c r="K544">
        <v>1</v>
      </c>
      <c r="L544">
        <v>1</v>
      </c>
      <c r="M544">
        <v>106841.12</v>
      </c>
      <c r="N544">
        <v>0</v>
      </c>
      <c r="O544" t="str">
        <f t="shared" si="32"/>
        <v>Average</v>
      </c>
      <c r="P544" t="str">
        <f t="shared" si="33"/>
        <v>Adult</v>
      </c>
      <c r="Q544" t="str">
        <f t="shared" si="34"/>
        <v>High Salary</v>
      </c>
      <c r="R544" t="str">
        <f t="shared" si="35"/>
        <v>Medium Balance</v>
      </c>
    </row>
    <row r="545" spans="1:18" x14ac:dyDescent="0.25">
      <c r="A545">
        <v>544</v>
      </c>
      <c r="B545">
        <v>15705953</v>
      </c>
      <c r="C545" t="s">
        <v>465</v>
      </c>
      <c r="D545" t="s">
        <v>18</v>
      </c>
      <c r="E545" t="s">
        <v>23</v>
      </c>
      <c r="F545">
        <v>721</v>
      </c>
      <c r="G545">
        <v>51</v>
      </c>
      <c r="H545">
        <v>0</v>
      </c>
      <c r="I545">
        <v>169312.13</v>
      </c>
      <c r="J545">
        <v>1</v>
      </c>
      <c r="K545">
        <v>1</v>
      </c>
      <c r="L545">
        <v>0</v>
      </c>
      <c r="M545">
        <v>109078.35</v>
      </c>
      <c r="N545">
        <v>1</v>
      </c>
      <c r="O545" t="str">
        <f t="shared" si="32"/>
        <v>Good</v>
      </c>
      <c r="P545" t="str">
        <f t="shared" si="33"/>
        <v>Senior</v>
      </c>
      <c r="Q545" t="str">
        <f t="shared" si="34"/>
        <v>High Salary</v>
      </c>
      <c r="R545" t="str">
        <f t="shared" si="35"/>
        <v>High Balance</v>
      </c>
    </row>
    <row r="546" spans="1:18" x14ac:dyDescent="0.25">
      <c r="A546">
        <v>545</v>
      </c>
      <c r="B546">
        <v>15802593</v>
      </c>
      <c r="C546" t="s">
        <v>466</v>
      </c>
      <c r="D546" t="s">
        <v>15</v>
      </c>
      <c r="E546" t="s">
        <v>16</v>
      </c>
      <c r="F546">
        <v>504</v>
      </c>
      <c r="G546">
        <v>49</v>
      </c>
      <c r="H546">
        <v>7</v>
      </c>
      <c r="I546">
        <v>0</v>
      </c>
      <c r="J546">
        <v>3</v>
      </c>
      <c r="K546">
        <v>0</v>
      </c>
      <c r="L546">
        <v>1</v>
      </c>
      <c r="M546">
        <v>87822.14</v>
      </c>
      <c r="N546">
        <v>1</v>
      </c>
      <c r="O546" t="str">
        <f t="shared" si="32"/>
        <v>Poor</v>
      </c>
      <c r="P546" t="str">
        <f t="shared" si="33"/>
        <v>Adult</v>
      </c>
      <c r="Q546" t="str">
        <f t="shared" si="34"/>
        <v>High Salary</v>
      </c>
      <c r="R546" t="str">
        <f t="shared" si="35"/>
        <v>Low Balance</v>
      </c>
    </row>
    <row r="547" spans="1:18" x14ac:dyDescent="0.25">
      <c r="A547">
        <v>546</v>
      </c>
      <c r="B547">
        <v>15615457</v>
      </c>
      <c r="C547" t="s">
        <v>422</v>
      </c>
      <c r="D547" t="s">
        <v>18</v>
      </c>
      <c r="E547" t="s">
        <v>16</v>
      </c>
      <c r="F547">
        <v>842</v>
      </c>
      <c r="G547">
        <v>44</v>
      </c>
      <c r="H547">
        <v>2</v>
      </c>
      <c r="I547">
        <v>112652.08</v>
      </c>
      <c r="J547">
        <v>2</v>
      </c>
      <c r="K547">
        <v>1</v>
      </c>
      <c r="L547">
        <v>0</v>
      </c>
      <c r="M547">
        <v>126644.98</v>
      </c>
      <c r="N547">
        <v>0</v>
      </c>
      <c r="O547" t="str">
        <f t="shared" si="32"/>
        <v>Good</v>
      </c>
      <c r="P547" t="str">
        <f t="shared" si="33"/>
        <v>Adult</v>
      </c>
      <c r="Q547" t="str">
        <f t="shared" si="34"/>
        <v>High Salary</v>
      </c>
      <c r="R547" t="str">
        <f t="shared" si="35"/>
        <v>High Balance</v>
      </c>
    </row>
    <row r="548" spans="1:18" x14ac:dyDescent="0.25">
      <c r="A548">
        <v>547</v>
      </c>
      <c r="B548">
        <v>15708916</v>
      </c>
      <c r="C548" t="s">
        <v>467</v>
      </c>
      <c r="D548" t="s">
        <v>15</v>
      </c>
      <c r="E548" t="s">
        <v>23</v>
      </c>
      <c r="F548">
        <v>587</v>
      </c>
      <c r="G548">
        <v>38</v>
      </c>
      <c r="H548">
        <v>0</v>
      </c>
      <c r="I548">
        <v>0</v>
      </c>
      <c r="J548">
        <v>2</v>
      </c>
      <c r="K548">
        <v>1</v>
      </c>
      <c r="L548">
        <v>0</v>
      </c>
      <c r="M548">
        <v>47414.15</v>
      </c>
      <c r="N548">
        <v>0</v>
      </c>
      <c r="O548" t="str">
        <f t="shared" si="32"/>
        <v>Average</v>
      </c>
      <c r="P548" t="str">
        <f t="shared" si="33"/>
        <v>Adult</v>
      </c>
      <c r="Q548" t="str">
        <f t="shared" si="34"/>
        <v>Medium Salary</v>
      </c>
      <c r="R548" t="str">
        <f t="shared" si="35"/>
        <v>Low Balance</v>
      </c>
    </row>
    <row r="549" spans="1:18" x14ac:dyDescent="0.25">
      <c r="A549">
        <v>548</v>
      </c>
      <c r="B549">
        <v>15720187</v>
      </c>
      <c r="C549" t="s">
        <v>468</v>
      </c>
      <c r="D549" t="s">
        <v>26</v>
      </c>
      <c r="E549" t="s">
        <v>16</v>
      </c>
      <c r="F549">
        <v>479</v>
      </c>
      <c r="G549">
        <v>30</v>
      </c>
      <c r="H549">
        <v>7</v>
      </c>
      <c r="I549">
        <v>143964.35999999999</v>
      </c>
      <c r="J549">
        <v>2</v>
      </c>
      <c r="K549">
        <v>1</v>
      </c>
      <c r="L549">
        <v>0</v>
      </c>
      <c r="M549">
        <v>41879.99</v>
      </c>
      <c r="N549">
        <v>0</v>
      </c>
      <c r="O549" t="str">
        <f t="shared" si="32"/>
        <v>Poor</v>
      </c>
      <c r="P549" t="str">
        <f t="shared" si="33"/>
        <v>Young Adult</v>
      </c>
      <c r="Q549" t="str">
        <f t="shared" si="34"/>
        <v>Medium Salary</v>
      </c>
      <c r="R549" t="str">
        <f t="shared" si="35"/>
        <v>High Balance</v>
      </c>
    </row>
    <row r="550" spans="1:18" x14ac:dyDescent="0.25">
      <c r="A550">
        <v>549</v>
      </c>
      <c r="B550">
        <v>15595440</v>
      </c>
      <c r="C550" t="s">
        <v>432</v>
      </c>
      <c r="D550" t="s">
        <v>15</v>
      </c>
      <c r="E550" t="s">
        <v>23</v>
      </c>
      <c r="F550">
        <v>508</v>
      </c>
      <c r="G550">
        <v>49</v>
      </c>
      <c r="H550">
        <v>7</v>
      </c>
      <c r="I550">
        <v>122451.46</v>
      </c>
      <c r="J550">
        <v>2</v>
      </c>
      <c r="K550">
        <v>1</v>
      </c>
      <c r="L550">
        <v>1</v>
      </c>
      <c r="M550">
        <v>75808.100000000006</v>
      </c>
      <c r="N550">
        <v>0</v>
      </c>
      <c r="O550" t="str">
        <f t="shared" si="32"/>
        <v>Poor</v>
      </c>
      <c r="P550" t="str">
        <f t="shared" si="33"/>
        <v>Adult</v>
      </c>
      <c r="Q550" t="str">
        <f t="shared" si="34"/>
        <v>High Salary</v>
      </c>
      <c r="R550" t="str">
        <f t="shared" si="35"/>
        <v>High Balance</v>
      </c>
    </row>
    <row r="551" spans="1:18" x14ac:dyDescent="0.25">
      <c r="A551">
        <v>550</v>
      </c>
      <c r="B551">
        <v>15600651</v>
      </c>
      <c r="C551" t="s">
        <v>469</v>
      </c>
      <c r="D551" t="s">
        <v>15</v>
      </c>
      <c r="E551" t="s">
        <v>23</v>
      </c>
      <c r="F551">
        <v>749</v>
      </c>
      <c r="G551">
        <v>24</v>
      </c>
      <c r="H551">
        <v>1</v>
      </c>
      <c r="I551">
        <v>0</v>
      </c>
      <c r="J551">
        <v>3</v>
      </c>
      <c r="K551">
        <v>1</v>
      </c>
      <c r="L551">
        <v>1</v>
      </c>
      <c r="M551">
        <v>47911.03</v>
      </c>
      <c r="N551">
        <v>0</v>
      </c>
      <c r="O551" t="str">
        <f t="shared" si="32"/>
        <v>Good</v>
      </c>
      <c r="P551" t="str">
        <f t="shared" si="33"/>
        <v>Young Adult</v>
      </c>
      <c r="Q551" t="str">
        <f t="shared" si="34"/>
        <v>Medium Salary</v>
      </c>
      <c r="R551" t="str">
        <f t="shared" si="35"/>
        <v>Low Balance</v>
      </c>
    </row>
    <row r="552" spans="1:18" x14ac:dyDescent="0.25">
      <c r="A552">
        <v>551</v>
      </c>
      <c r="B552">
        <v>15750141</v>
      </c>
      <c r="C552" t="s">
        <v>470</v>
      </c>
      <c r="D552" t="s">
        <v>26</v>
      </c>
      <c r="E552" t="s">
        <v>16</v>
      </c>
      <c r="F552">
        <v>721</v>
      </c>
      <c r="G552">
        <v>36</v>
      </c>
      <c r="H552">
        <v>3</v>
      </c>
      <c r="I552">
        <v>65253.07</v>
      </c>
      <c r="J552">
        <v>2</v>
      </c>
      <c r="K552">
        <v>1</v>
      </c>
      <c r="L552">
        <v>0</v>
      </c>
      <c r="M552">
        <v>28737.78</v>
      </c>
      <c r="N552">
        <v>0</v>
      </c>
      <c r="O552" t="str">
        <f t="shared" si="32"/>
        <v>Good</v>
      </c>
      <c r="P552" t="str">
        <f t="shared" si="33"/>
        <v>Adult</v>
      </c>
      <c r="Q552" t="str">
        <f t="shared" si="34"/>
        <v>Low Salary</v>
      </c>
      <c r="R552" t="str">
        <f t="shared" si="35"/>
        <v>Medium Balance</v>
      </c>
    </row>
    <row r="553" spans="1:18" x14ac:dyDescent="0.25">
      <c r="A553">
        <v>552</v>
      </c>
      <c r="B553">
        <v>15657284</v>
      </c>
      <c r="C553" t="s">
        <v>316</v>
      </c>
      <c r="D553" t="s">
        <v>26</v>
      </c>
      <c r="E553" t="s">
        <v>23</v>
      </c>
      <c r="F553">
        <v>674</v>
      </c>
      <c r="G553">
        <v>47</v>
      </c>
      <c r="H553">
        <v>6</v>
      </c>
      <c r="I553">
        <v>106901.94</v>
      </c>
      <c r="J553">
        <v>1</v>
      </c>
      <c r="K553">
        <v>1</v>
      </c>
      <c r="L553">
        <v>1</v>
      </c>
      <c r="M553">
        <v>2079.1999999999998</v>
      </c>
      <c r="N553">
        <v>1</v>
      </c>
      <c r="O553" t="str">
        <f t="shared" si="32"/>
        <v>Good</v>
      </c>
      <c r="P553" t="str">
        <f t="shared" si="33"/>
        <v>Adult</v>
      </c>
      <c r="Q553" t="str">
        <f t="shared" si="34"/>
        <v>Low Salary</v>
      </c>
      <c r="R553" t="str">
        <f t="shared" si="35"/>
        <v>High Balance</v>
      </c>
    </row>
    <row r="554" spans="1:18" x14ac:dyDescent="0.25">
      <c r="A554">
        <v>553</v>
      </c>
      <c r="B554">
        <v>15763063</v>
      </c>
      <c r="C554" t="s">
        <v>471</v>
      </c>
      <c r="D554" t="s">
        <v>18</v>
      </c>
      <c r="E554" t="s">
        <v>16</v>
      </c>
      <c r="F554">
        <v>685</v>
      </c>
      <c r="G554">
        <v>25</v>
      </c>
      <c r="H554">
        <v>10</v>
      </c>
      <c r="I554">
        <v>128509.63</v>
      </c>
      <c r="J554">
        <v>1</v>
      </c>
      <c r="K554">
        <v>1</v>
      </c>
      <c r="L554">
        <v>0</v>
      </c>
      <c r="M554">
        <v>121562.33</v>
      </c>
      <c r="N554">
        <v>0</v>
      </c>
      <c r="O554" t="str">
        <f t="shared" si="32"/>
        <v>Good</v>
      </c>
      <c r="P554" t="str">
        <f t="shared" si="33"/>
        <v>Young Adult</v>
      </c>
      <c r="Q554" t="str">
        <f t="shared" si="34"/>
        <v>High Salary</v>
      </c>
      <c r="R554" t="str">
        <f t="shared" si="35"/>
        <v>High Balance</v>
      </c>
    </row>
    <row r="555" spans="1:18" x14ac:dyDescent="0.25">
      <c r="A555">
        <v>554</v>
      </c>
      <c r="B555">
        <v>15709324</v>
      </c>
      <c r="C555" t="s">
        <v>472</v>
      </c>
      <c r="D555" t="s">
        <v>15</v>
      </c>
      <c r="E555" t="s">
        <v>23</v>
      </c>
      <c r="F555">
        <v>417</v>
      </c>
      <c r="G555">
        <v>34</v>
      </c>
      <c r="H555">
        <v>7</v>
      </c>
      <c r="I555">
        <v>0</v>
      </c>
      <c r="J555">
        <v>2</v>
      </c>
      <c r="K555">
        <v>1</v>
      </c>
      <c r="L555">
        <v>0</v>
      </c>
      <c r="M555">
        <v>55003.79</v>
      </c>
      <c r="N555">
        <v>0</v>
      </c>
      <c r="O555" t="str">
        <f t="shared" si="32"/>
        <v>Poor</v>
      </c>
      <c r="P555" t="str">
        <f t="shared" si="33"/>
        <v>Adult</v>
      </c>
      <c r="Q555" t="str">
        <f t="shared" si="34"/>
        <v>Medium Salary</v>
      </c>
      <c r="R555" t="str">
        <f t="shared" si="35"/>
        <v>Low Balance</v>
      </c>
    </row>
    <row r="556" spans="1:18" x14ac:dyDescent="0.25">
      <c r="A556">
        <v>555</v>
      </c>
      <c r="B556">
        <v>15711309</v>
      </c>
      <c r="C556" t="s">
        <v>473</v>
      </c>
      <c r="D556" t="s">
        <v>26</v>
      </c>
      <c r="E556" t="s">
        <v>23</v>
      </c>
      <c r="F556">
        <v>574</v>
      </c>
      <c r="G556">
        <v>33</v>
      </c>
      <c r="H556">
        <v>3</v>
      </c>
      <c r="I556">
        <v>129834.67</v>
      </c>
      <c r="J556">
        <v>1</v>
      </c>
      <c r="K556">
        <v>1</v>
      </c>
      <c r="L556">
        <v>0</v>
      </c>
      <c r="M556">
        <v>193131.42</v>
      </c>
      <c r="N556">
        <v>0</v>
      </c>
      <c r="O556" t="str">
        <f t="shared" si="32"/>
        <v>Poor</v>
      </c>
      <c r="P556" t="str">
        <f t="shared" si="33"/>
        <v>Adult</v>
      </c>
      <c r="Q556" t="str">
        <f t="shared" si="34"/>
        <v>High Salary</v>
      </c>
      <c r="R556" t="str">
        <f t="shared" si="35"/>
        <v>High Balance</v>
      </c>
    </row>
    <row r="557" spans="1:18" x14ac:dyDescent="0.25">
      <c r="A557">
        <v>556</v>
      </c>
      <c r="B557">
        <v>15775318</v>
      </c>
      <c r="C557" t="s">
        <v>456</v>
      </c>
      <c r="D557" t="s">
        <v>18</v>
      </c>
      <c r="E557" t="s">
        <v>16</v>
      </c>
      <c r="F557">
        <v>590</v>
      </c>
      <c r="G557">
        <v>51</v>
      </c>
      <c r="H557">
        <v>3</v>
      </c>
      <c r="I557">
        <v>154962.99</v>
      </c>
      <c r="J557">
        <v>3</v>
      </c>
      <c r="K557">
        <v>0</v>
      </c>
      <c r="L557">
        <v>1</v>
      </c>
      <c r="M557">
        <v>191932.27</v>
      </c>
      <c r="N557">
        <v>1</v>
      </c>
      <c r="O557" t="str">
        <f t="shared" si="32"/>
        <v>Average</v>
      </c>
      <c r="P557" t="str">
        <f t="shared" si="33"/>
        <v>Senior</v>
      </c>
      <c r="Q557" t="str">
        <f t="shared" si="34"/>
        <v>High Salary</v>
      </c>
      <c r="R557" t="str">
        <f t="shared" si="35"/>
        <v>High Balance</v>
      </c>
    </row>
    <row r="558" spans="1:18" x14ac:dyDescent="0.25">
      <c r="A558">
        <v>557</v>
      </c>
      <c r="B558">
        <v>15705515</v>
      </c>
      <c r="C558" t="s">
        <v>474</v>
      </c>
      <c r="D558" t="s">
        <v>26</v>
      </c>
      <c r="E558" t="s">
        <v>23</v>
      </c>
      <c r="F558">
        <v>587</v>
      </c>
      <c r="G558">
        <v>40</v>
      </c>
      <c r="H558">
        <v>5</v>
      </c>
      <c r="I558">
        <v>138241.9</v>
      </c>
      <c r="J558">
        <v>2</v>
      </c>
      <c r="K558">
        <v>1</v>
      </c>
      <c r="L558">
        <v>0</v>
      </c>
      <c r="M558">
        <v>159418.1</v>
      </c>
      <c r="N558">
        <v>0</v>
      </c>
      <c r="O558" t="str">
        <f t="shared" si="32"/>
        <v>Average</v>
      </c>
      <c r="P558" t="str">
        <f t="shared" si="33"/>
        <v>Adult</v>
      </c>
      <c r="Q558" t="str">
        <f t="shared" si="34"/>
        <v>High Salary</v>
      </c>
      <c r="R558" t="str">
        <f t="shared" si="35"/>
        <v>High Balance</v>
      </c>
    </row>
    <row r="559" spans="1:18" x14ac:dyDescent="0.25">
      <c r="A559">
        <v>558</v>
      </c>
      <c r="B559">
        <v>15634844</v>
      </c>
      <c r="C559" t="s">
        <v>215</v>
      </c>
      <c r="D559" t="s">
        <v>26</v>
      </c>
      <c r="E559" t="s">
        <v>23</v>
      </c>
      <c r="F559">
        <v>598</v>
      </c>
      <c r="G559">
        <v>41</v>
      </c>
      <c r="H559">
        <v>3</v>
      </c>
      <c r="I559">
        <v>91536.93</v>
      </c>
      <c r="J559">
        <v>1</v>
      </c>
      <c r="K559">
        <v>1</v>
      </c>
      <c r="L559">
        <v>0</v>
      </c>
      <c r="M559">
        <v>191468.78</v>
      </c>
      <c r="N559">
        <v>1</v>
      </c>
      <c r="O559" t="str">
        <f t="shared" si="32"/>
        <v>Average</v>
      </c>
      <c r="P559" t="str">
        <f t="shared" si="33"/>
        <v>Adult</v>
      </c>
      <c r="Q559" t="str">
        <f t="shared" si="34"/>
        <v>High Salary</v>
      </c>
      <c r="R559" t="str">
        <f t="shared" si="35"/>
        <v>Medium Balance</v>
      </c>
    </row>
    <row r="560" spans="1:18" x14ac:dyDescent="0.25">
      <c r="A560">
        <v>559</v>
      </c>
      <c r="B560">
        <v>15717046</v>
      </c>
      <c r="C560" t="s">
        <v>475</v>
      </c>
      <c r="D560" t="s">
        <v>18</v>
      </c>
      <c r="E560" t="s">
        <v>23</v>
      </c>
      <c r="F560">
        <v>741</v>
      </c>
      <c r="G560">
        <v>53</v>
      </c>
      <c r="H560">
        <v>3</v>
      </c>
      <c r="I560">
        <v>0</v>
      </c>
      <c r="J560">
        <v>2</v>
      </c>
      <c r="K560">
        <v>1</v>
      </c>
      <c r="L560">
        <v>1</v>
      </c>
      <c r="M560">
        <v>38913.68</v>
      </c>
      <c r="N560">
        <v>0</v>
      </c>
      <c r="O560" t="str">
        <f t="shared" si="32"/>
        <v>Good</v>
      </c>
      <c r="P560" t="str">
        <f t="shared" si="33"/>
        <v>Senior</v>
      </c>
      <c r="Q560" t="str">
        <f t="shared" si="34"/>
        <v>Medium Salary</v>
      </c>
      <c r="R560" t="str">
        <f t="shared" si="35"/>
        <v>Low Balance</v>
      </c>
    </row>
    <row r="561" spans="1:18" x14ac:dyDescent="0.25">
      <c r="A561">
        <v>560</v>
      </c>
      <c r="B561">
        <v>15571816</v>
      </c>
      <c r="C561" t="s">
        <v>109</v>
      </c>
      <c r="D561" t="s">
        <v>18</v>
      </c>
      <c r="E561" t="s">
        <v>16</v>
      </c>
      <c r="F561">
        <v>850</v>
      </c>
      <c r="G561">
        <v>70</v>
      </c>
      <c r="H561">
        <v>5</v>
      </c>
      <c r="I561">
        <v>0</v>
      </c>
      <c r="J561">
        <v>1</v>
      </c>
      <c r="K561">
        <v>1</v>
      </c>
      <c r="L561">
        <v>1</v>
      </c>
      <c r="M561">
        <v>705.18</v>
      </c>
      <c r="N561">
        <v>0</v>
      </c>
      <c r="O561" t="str">
        <f t="shared" si="32"/>
        <v>Good</v>
      </c>
      <c r="P561" t="str">
        <f t="shared" si="33"/>
        <v>Senior</v>
      </c>
      <c r="Q561" t="str">
        <f t="shared" si="34"/>
        <v>Low Salary</v>
      </c>
      <c r="R561" t="str">
        <f t="shared" si="35"/>
        <v>Low Balance</v>
      </c>
    </row>
    <row r="562" spans="1:18" x14ac:dyDescent="0.25">
      <c r="A562">
        <v>561</v>
      </c>
      <c r="B562">
        <v>15670080</v>
      </c>
      <c r="C562" t="s">
        <v>476</v>
      </c>
      <c r="D562" t="s">
        <v>26</v>
      </c>
      <c r="E562" t="s">
        <v>16</v>
      </c>
      <c r="F562">
        <v>584</v>
      </c>
      <c r="G562">
        <v>29</v>
      </c>
      <c r="H562">
        <v>7</v>
      </c>
      <c r="I562">
        <v>105204.01</v>
      </c>
      <c r="J562">
        <v>1</v>
      </c>
      <c r="K562">
        <v>0</v>
      </c>
      <c r="L562">
        <v>1</v>
      </c>
      <c r="M562">
        <v>138490.03</v>
      </c>
      <c r="N562">
        <v>0</v>
      </c>
      <c r="O562" t="str">
        <f t="shared" si="32"/>
        <v>Average</v>
      </c>
      <c r="P562" t="str">
        <f t="shared" si="33"/>
        <v>Young Adult</v>
      </c>
      <c r="Q562" t="str">
        <f t="shared" si="34"/>
        <v>High Salary</v>
      </c>
      <c r="R562" t="str">
        <f t="shared" si="35"/>
        <v>High Balance</v>
      </c>
    </row>
    <row r="563" spans="1:18" x14ac:dyDescent="0.25">
      <c r="A563">
        <v>562</v>
      </c>
      <c r="B563">
        <v>15800440</v>
      </c>
      <c r="C563" t="s">
        <v>328</v>
      </c>
      <c r="D563" t="s">
        <v>18</v>
      </c>
      <c r="E563" t="s">
        <v>23</v>
      </c>
      <c r="F563">
        <v>650</v>
      </c>
      <c r="G563">
        <v>61</v>
      </c>
      <c r="H563">
        <v>1</v>
      </c>
      <c r="I563">
        <v>152968.73000000001</v>
      </c>
      <c r="J563">
        <v>1</v>
      </c>
      <c r="K563">
        <v>0</v>
      </c>
      <c r="L563">
        <v>1</v>
      </c>
      <c r="M563">
        <v>82970.69</v>
      </c>
      <c r="N563">
        <v>0</v>
      </c>
      <c r="O563" t="str">
        <f t="shared" si="32"/>
        <v>Average</v>
      </c>
      <c r="P563" t="str">
        <f t="shared" si="33"/>
        <v>Senior</v>
      </c>
      <c r="Q563" t="str">
        <f t="shared" si="34"/>
        <v>High Salary</v>
      </c>
      <c r="R563" t="str">
        <f t="shared" si="35"/>
        <v>High Balance</v>
      </c>
    </row>
    <row r="564" spans="1:18" x14ac:dyDescent="0.25">
      <c r="A564">
        <v>563</v>
      </c>
      <c r="B564">
        <v>15665678</v>
      </c>
      <c r="C564" t="s">
        <v>213</v>
      </c>
      <c r="D564" t="s">
        <v>18</v>
      </c>
      <c r="E564" t="s">
        <v>23</v>
      </c>
      <c r="F564">
        <v>607</v>
      </c>
      <c r="G564">
        <v>36</v>
      </c>
      <c r="H564">
        <v>8</v>
      </c>
      <c r="I564">
        <v>158261.68</v>
      </c>
      <c r="J564">
        <v>1</v>
      </c>
      <c r="K564">
        <v>1</v>
      </c>
      <c r="L564">
        <v>1</v>
      </c>
      <c r="M564">
        <v>76744.72</v>
      </c>
      <c r="N564">
        <v>0</v>
      </c>
      <c r="O564" t="str">
        <f t="shared" si="32"/>
        <v>Average</v>
      </c>
      <c r="P564" t="str">
        <f t="shared" si="33"/>
        <v>Adult</v>
      </c>
      <c r="Q564" t="str">
        <f t="shared" si="34"/>
        <v>High Salary</v>
      </c>
      <c r="R564" t="str">
        <f t="shared" si="35"/>
        <v>High Balance</v>
      </c>
    </row>
    <row r="565" spans="1:18" x14ac:dyDescent="0.25">
      <c r="A565">
        <v>564</v>
      </c>
      <c r="B565">
        <v>15665956</v>
      </c>
      <c r="C565" t="s">
        <v>477</v>
      </c>
      <c r="D565" t="s">
        <v>15</v>
      </c>
      <c r="E565" t="s">
        <v>16</v>
      </c>
      <c r="F565">
        <v>509</v>
      </c>
      <c r="G565">
        <v>46</v>
      </c>
      <c r="H565">
        <v>1</v>
      </c>
      <c r="I565">
        <v>0</v>
      </c>
      <c r="J565">
        <v>1</v>
      </c>
      <c r="K565">
        <v>1</v>
      </c>
      <c r="L565">
        <v>0</v>
      </c>
      <c r="M565">
        <v>71244.59</v>
      </c>
      <c r="N565">
        <v>1</v>
      </c>
      <c r="O565" t="str">
        <f t="shared" si="32"/>
        <v>Poor</v>
      </c>
      <c r="P565" t="str">
        <f t="shared" si="33"/>
        <v>Adult</v>
      </c>
      <c r="Q565" t="str">
        <f t="shared" si="34"/>
        <v>High Salary</v>
      </c>
      <c r="R565" t="str">
        <f t="shared" si="35"/>
        <v>Low Balance</v>
      </c>
    </row>
    <row r="566" spans="1:18" x14ac:dyDescent="0.25">
      <c r="A566">
        <v>565</v>
      </c>
      <c r="B566">
        <v>15788126</v>
      </c>
      <c r="C566" t="s">
        <v>412</v>
      </c>
      <c r="D566" t="s">
        <v>18</v>
      </c>
      <c r="E566" t="s">
        <v>16</v>
      </c>
      <c r="F566">
        <v>689</v>
      </c>
      <c r="G566">
        <v>38</v>
      </c>
      <c r="H566">
        <v>6</v>
      </c>
      <c r="I566">
        <v>121021.05</v>
      </c>
      <c r="J566">
        <v>1</v>
      </c>
      <c r="K566">
        <v>1</v>
      </c>
      <c r="L566">
        <v>1</v>
      </c>
      <c r="M566">
        <v>12182.15</v>
      </c>
      <c r="N566">
        <v>0</v>
      </c>
      <c r="O566" t="str">
        <f t="shared" si="32"/>
        <v>Good</v>
      </c>
      <c r="P566" t="str">
        <f t="shared" si="33"/>
        <v>Adult</v>
      </c>
      <c r="Q566" t="str">
        <f t="shared" si="34"/>
        <v>Low Salary</v>
      </c>
      <c r="R566" t="str">
        <f t="shared" si="35"/>
        <v>High Balance</v>
      </c>
    </row>
    <row r="567" spans="1:18" x14ac:dyDescent="0.25">
      <c r="A567">
        <v>566</v>
      </c>
      <c r="B567">
        <v>15811773</v>
      </c>
      <c r="C567" t="s">
        <v>189</v>
      </c>
      <c r="D567" t="s">
        <v>15</v>
      </c>
      <c r="E567" t="s">
        <v>23</v>
      </c>
      <c r="F567">
        <v>543</v>
      </c>
      <c r="G567">
        <v>36</v>
      </c>
      <c r="H567">
        <v>4</v>
      </c>
      <c r="I567">
        <v>0</v>
      </c>
      <c r="J567">
        <v>2</v>
      </c>
      <c r="K567">
        <v>1</v>
      </c>
      <c r="L567">
        <v>1</v>
      </c>
      <c r="M567">
        <v>141210.5</v>
      </c>
      <c r="N567">
        <v>0</v>
      </c>
      <c r="O567" t="str">
        <f t="shared" si="32"/>
        <v>Poor</v>
      </c>
      <c r="P567" t="str">
        <f t="shared" si="33"/>
        <v>Adult</v>
      </c>
      <c r="Q567" t="str">
        <f t="shared" si="34"/>
        <v>High Salary</v>
      </c>
      <c r="R567" t="str">
        <f t="shared" si="35"/>
        <v>Low Balance</v>
      </c>
    </row>
    <row r="568" spans="1:18" x14ac:dyDescent="0.25">
      <c r="A568">
        <v>567</v>
      </c>
      <c r="B568">
        <v>15651674</v>
      </c>
      <c r="C568" t="s">
        <v>478</v>
      </c>
      <c r="D568" t="s">
        <v>18</v>
      </c>
      <c r="E568" t="s">
        <v>16</v>
      </c>
      <c r="F568">
        <v>438</v>
      </c>
      <c r="G568">
        <v>54</v>
      </c>
      <c r="H568">
        <v>2</v>
      </c>
      <c r="I568">
        <v>0</v>
      </c>
      <c r="J568">
        <v>1</v>
      </c>
      <c r="K568">
        <v>0</v>
      </c>
      <c r="L568">
        <v>0</v>
      </c>
      <c r="M568">
        <v>191763.07</v>
      </c>
      <c r="N568">
        <v>1</v>
      </c>
      <c r="O568" t="str">
        <f t="shared" si="32"/>
        <v>Poor</v>
      </c>
      <c r="P568" t="str">
        <f t="shared" si="33"/>
        <v>Senior</v>
      </c>
      <c r="Q568" t="str">
        <f t="shared" si="34"/>
        <v>High Salary</v>
      </c>
      <c r="R568" t="str">
        <f t="shared" si="35"/>
        <v>Low Balance</v>
      </c>
    </row>
    <row r="569" spans="1:18" x14ac:dyDescent="0.25">
      <c r="A569">
        <v>568</v>
      </c>
      <c r="B569">
        <v>15689614</v>
      </c>
      <c r="C569" t="s">
        <v>479</v>
      </c>
      <c r="D569" t="s">
        <v>18</v>
      </c>
      <c r="E569" t="s">
        <v>16</v>
      </c>
      <c r="F569">
        <v>687</v>
      </c>
      <c r="G569">
        <v>63</v>
      </c>
      <c r="H569">
        <v>1</v>
      </c>
      <c r="I569">
        <v>137715.66</v>
      </c>
      <c r="J569">
        <v>1</v>
      </c>
      <c r="K569">
        <v>1</v>
      </c>
      <c r="L569">
        <v>1</v>
      </c>
      <c r="M569">
        <v>37938.74</v>
      </c>
      <c r="N569">
        <v>0</v>
      </c>
      <c r="O569" t="str">
        <f t="shared" si="32"/>
        <v>Good</v>
      </c>
      <c r="P569" t="str">
        <f t="shared" si="33"/>
        <v>Senior</v>
      </c>
      <c r="Q569" t="str">
        <f t="shared" si="34"/>
        <v>Medium Salary</v>
      </c>
      <c r="R569" t="str">
        <f t="shared" si="35"/>
        <v>High Balance</v>
      </c>
    </row>
    <row r="570" spans="1:18" x14ac:dyDescent="0.25">
      <c r="A570">
        <v>569</v>
      </c>
      <c r="B570">
        <v>15795564</v>
      </c>
      <c r="C570" t="s">
        <v>480</v>
      </c>
      <c r="D570" t="s">
        <v>26</v>
      </c>
      <c r="E570" t="s">
        <v>23</v>
      </c>
      <c r="F570">
        <v>737</v>
      </c>
      <c r="G570">
        <v>31</v>
      </c>
      <c r="H570">
        <v>5</v>
      </c>
      <c r="I570">
        <v>121192.22</v>
      </c>
      <c r="J570">
        <v>2</v>
      </c>
      <c r="K570">
        <v>1</v>
      </c>
      <c r="L570">
        <v>1</v>
      </c>
      <c r="M570">
        <v>74890.58</v>
      </c>
      <c r="N570">
        <v>0</v>
      </c>
      <c r="O570" t="str">
        <f t="shared" si="32"/>
        <v>Good</v>
      </c>
      <c r="P570" t="str">
        <f t="shared" si="33"/>
        <v>Adult</v>
      </c>
      <c r="Q570" t="str">
        <f t="shared" si="34"/>
        <v>High Salary</v>
      </c>
      <c r="R570" t="str">
        <f t="shared" si="35"/>
        <v>High Balance</v>
      </c>
    </row>
    <row r="571" spans="1:18" x14ac:dyDescent="0.25">
      <c r="A571">
        <v>570</v>
      </c>
      <c r="B571">
        <v>15706647</v>
      </c>
      <c r="C571" t="s">
        <v>481</v>
      </c>
      <c r="D571" t="s">
        <v>15</v>
      </c>
      <c r="E571" t="s">
        <v>23</v>
      </c>
      <c r="F571">
        <v>761</v>
      </c>
      <c r="G571">
        <v>31</v>
      </c>
      <c r="H571">
        <v>7</v>
      </c>
      <c r="I571">
        <v>0</v>
      </c>
      <c r="J571">
        <v>3</v>
      </c>
      <c r="K571">
        <v>1</v>
      </c>
      <c r="L571">
        <v>1</v>
      </c>
      <c r="M571">
        <v>166698.18</v>
      </c>
      <c r="N571">
        <v>0</v>
      </c>
      <c r="O571" t="str">
        <f t="shared" si="32"/>
        <v>Good</v>
      </c>
      <c r="P571" t="str">
        <f t="shared" si="33"/>
        <v>Adult</v>
      </c>
      <c r="Q571" t="str">
        <f t="shared" si="34"/>
        <v>High Salary</v>
      </c>
      <c r="R571" t="str">
        <f t="shared" si="35"/>
        <v>Low Balance</v>
      </c>
    </row>
    <row r="572" spans="1:18" x14ac:dyDescent="0.25">
      <c r="A572">
        <v>571</v>
      </c>
      <c r="B572">
        <v>15728505</v>
      </c>
      <c r="C572" t="s">
        <v>482</v>
      </c>
      <c r="D572" t="s">
        <v>15</v>
      </c>
      <c r="E572" t="s">
        <v>23</v>
      </c>
      <c r="F572">
        <v>601</v>
      </c>
      <c r="G572">
        <v>44</v>
      </c>
      <c r="H572">
        <v>1</v>
      </c>
      <c r="I572">
        <v>100486.18</v>
      </c>
      <c r="J572">
        <v>2</v>
      </c>
      <c r="K572">
        <v>1</v>
      </c>
      <c r="L572">
        <v>1</v>
      </c>
      <c r="M572">
        <v>62678.53</v>
      </c>
      <c r="N572">
        <v>0</v>
      </c>
      <c r="O572" t="str">
        <f t="shared" si="32"/>
        <v>Average</v>
      </c>
      <c r="P572" t="str">
        <f t="shared" si="33"/>
        <v>Adult</v>
      </c>
      <c r="Q572" t="str">
        <f t="shared" si="34"/>
        <v>Medium Salary</v>
      </c>
      <c r="R572" t="str">
        <f t="shared" si="35"/>
        <v>High Balance</v>
      </c>
    </row>
    <row r="573" spans="1:18" x14ac:dyDescent="0.25">
      <c r="A573">
        <v>572</v>
      </c>
      <c r="B573">
        <v>15730076</v>
      </c>
      <c r="C573" t="s">
        <v>61</v>
      </c>
      <c r="D573" t="s">
        <v>15</v>
      </c>
      <c r="E573" t="s">
        <v>23</v>
      </c>
      <c r="F573">
        <v>651</v>
      </c>
      <c r="G573">
        <v>45</v>
      </c>
      <c r="H573">
        <v>1</v>
      </c>
      <c r="I573">
        <v>0</v>
      </c>
      <c r="J573">
        <v>1</v>
      </c>
      <c r="K573">
        <v>1</v>
      </c>
      <c r="L573">
        <v>0</v>
      </c>
      <c r="M573">
        <v>67740.08</v>
      </c>
      <c r="N573">
        <v>1</v>
      </c>
      <c r="O573" t="str">
        <f t="shared" si="32"/>
        <v>Average</v>
      </c>
      <c r="P573" t="str">
        <f t="shared" si="33"/>
        <v>Adult</v>
      </c>
      <c r="Q573" t="str">
        <f t="shared" si="34"/>
        <v>Medium Salary</v>
      </c>
      <c r="R573" t="str">
        <f t="shared" si="35"/>
        <v>Low Balance</v>
      </c>
    </row>
    <row r="574" spans="1:18" x14ac:dyDescent="0.25">
      <c r="A574">
        <v>573</v>
      </c>
      <c r="B574">
        <v>15622003</v>
      </c>
      <c r="C574" t="s">
        <v>427</v>
      </c>
      <c r="D574" t="s">
        <v>15</v>
      </c>
      <c r="E574" t="s">
        <v>23</v>
      </c>
      <c r="F574">
        <v>745</v>
      </c>
      <c r="G574">
        <v>35</v>
      </c>
      <c r="H574">
        <v>9</v>
      </c>
      <c r="I574">
        <v>92566.53</v>
      </c>
      <c r="J574">
        <v>2</v>
      </c>
      <c r="K574">
        <v>1</v>
      </c>
      <c r="L574">
        <v>0</v>
      </c>
      <c r="M574">
        <v>161519.76999999999</v>
      </c>
      <c r="N574">
        <v>0</v>
      </c>
      <c r="O574" t="str">
        <f t="shared" si="32"/>
        <v>Good</v>
      </c>
      <c r="P574" t="str">
        <f t="shared" si="33"/>
        <v>Adult</v>
      </c>
      <c r="Q574" t="str">
        <f t="shared" si="34"/>
        <v>High Salary</v>
      </c>
      <c r="R574" t="str">
        <f t="shared" si="35"/>
        <v>Medium Balance</v>
      </c>
    </row>
    <row r="575" spans="1:18" x14ac:dyDescent="0.25">
      <c r="A575">
        <v>574</v>
      </c>
      <c r="B575">
        <v>15607312</v>
      </c>
      <c r="C575" t="s">
        <v>483</v>
      </c>
      <c r="D575" t="s">
        <v>18</v>
      </c>
      <c r="E575" t="s">
        <v>16</v>
      </c>
      <c r="F575">
        <v>648</v>
      </c>
      <c r="G575">
        <v>49</v>
      </c>
      <c r="H575">
        <v>10</v>
      </c>
      <c r="I575">
        <v>0</v>
      </c>
      <c r="J575">
        <v>2</v>
      </c>
      <c r="K575">
        <v>1</v>
      </c>
      <c r="L575">
        <v>1</v>
      </c>
      <c r="M575">
        <v>159835.78</v>
      </c>
      <c r="N575">
        <v>1</v>
      </c>
      <c r="O575" t="str">
        <f t="shared" si="32"/>
        <v>Average</v>
      </c>
      <c r="P575" t="str">
        <f t="shared" si="33"/>
        <v>Adult</v>
      </c>
      <c r="Q575" t="str">
        <f t="shared" si="34"/>
        <v>High Salary</v>
      </c>
      <c r="R575" t="str">
        <f t="shared" si="35"/>
        <v>Low Balance</v>
      </c>
    </row>
    <row r="576" spans="1:18" x14ac:dyDescent="0.25">
      <c r="A576">
        <v>575</v>
      </c>
      <c r="B576">
        <v>15644753</v>
      </c>
      <c r="C576" t="s">
        <v>118</v>
      </c>
      <c r="D576" t="s">
        <v>18</v>
      </c>
      <c r="E576" t="s">
        <v>23</v>
      </c>
      <c r="F576">
        <v>848</v>
      </c>
      <c r="G576">
        <v>40</v>
      </c>
      <c r="H576">
        <v>3</v>
      </c>
      <c r="I576">
        <v>110929.96</v>
      </c>
      <c r="J576">
        <v>1</v>
      </c>
      <c r="K576">
        <v>1</v>
      </c>
      <c r="L576">
        <v>1</v>
      </c>
      <c r="M576">
        <v>30876.84</v>
      </c>
      <c r="N576">
        <v>0</v>
      </c>
      <c r="O576" t="str">
        <f t="shared" si="32"/>
        <v>Good</v>
      </c>
      <c r="P576" t="str">
        <f t="shared" si="33"/>
        <v>Adult</v>
      </c>
      <c r="Q576" t="str">
        <f t="shared" si="34"/>
        <v>Medium Salary</v>
      </c>
      <c r="R576" t="str">
        <f t="shared" si="35"/>
        <v>High Balance</v>
      </c>
    </row>
    <row r="577" spans="1:18" x14ac:dyDescent="0.25">
      <c r="A577">
        <v>576</v>
      </c>
      <c r="B577">
        <v>15653620</v>
      </c>
      <c r="C577" t="s">
        <v>304</v>
      </c>
      <c r="D577" t="s">
        <v>15</v>
      </c>
      <c r="E577" t="s">
        <v>16</v>
      </c>
      <c r="F577">
        <v>546</v>
      </c>
      <c r="G577">
        <v>27</v>
      </c>
      <c r="H577">
        <v>8</v>
      </c>
      <c r="I577">
        <v>0</v>
      </c>
      <c r="J577">
        <v>2</v>
      </c>
      <c r="K577">
        <v>1</v>
      </c>
      <c r="L577">
        <v>1</v>
      </c>
      <c r="M577">
        <v>14858.1</v>
      </c>
      <c r="N577">
        <v>0</v>
      </c>
      <c r="O577" t="str">
        <f t="shared" si="32"/>
        <v>Poor</v>
      </c>
      <c r="P577" t="str">
        <f t="shared" si="33"/>
        <v>Young Adult</v>
      </c>
      <c r="Q577" t="str">
        <f t="shared" si="34"/>
        <v>Low Salary</v>
      </c>
      <c r="R577" t="str">
        <f t="shared" si="35"/>
        <v>Low Balance</v>
      </c>
    </row>
    <row r="578" spans="1:18" x14ac:dyDescent="0.25">
      <c r="A578">
        <v>577</v>
      </c>
      <c r="B578">
        <v>15761986</v>
      </c>
      <c r="C578" t="s">
        <v>484</v>
      </c>
      <c r="D578" t="s">
        <v>18</v>
      </c>
      <c r="E578" t="s">
        <v>16</v>
      </c>
      <c r="F578">
        <v>439</v>
      </c>
      <c r="G578">
        <v>32</v>
      </c>
      <c r="H578">
        <v>3</v>
      </c>
      <c r="I578">
        <v>138901.60999999999</v>
      </c>
      <c r="J578">
        <v>1</v>
      </c>
      <c r="K578">
        <v>1</v>
      </c>
      <c r="L578">
        <v>0</v>
      </c>
      <c r="M578">
        <v>75685.97</v>
      </c>
      <c r="N578">
        <v>0</v>
      </c>
      <c r="O578" t="str">
        <f t="shared" si="32"/>
        <v>Poor</v>
      </c>
      <c r="P578" t="str">
        <f t="shared" si="33"/>
        <v>Adult</v>
      </c>
      <c r="Q578" t="str">
        <f t="shared" si="34"/>
        <v>High Salary</v>
      </c>
      <c r="R578" t="str">
        <f t="shared" si="35"/>
        <v>High Balance</v>
      </c>
    </row>
    <row r="579" spans="1:18" x14ac:dyDescent="0.25">
      <c r="A579">
        <v>578</v>
      </c>
      <c r="B579">
        <v>15633922</v>
      </c>
      <c r="C579" t="s">
        <v>485</v>
      </c>
      <c r="D579" t="s">
        <v>15</v>
      </c>
      <c r="E579" t="s">
        <v>23</v>
      </c>
      <c r="F579">
        <v>755</v>
      </c>
      <c r="G579">
        <v>30</v>
      </c>
      <c r="H579">
        <v>4</v>
      </c>
      <c r="I579">
        <v>123217.66</v>
      </c>
      <c r="J579">
        <v>2</v>
      </c>
      <c r="K579">
        <v>0</v>
      </c>
      <c r="L579">
        <v>1</v>
      </c>
      <c r="M579">
        <v>144183.1</v>
      </c>
      <c r="N579">
        <v>0</v>
      </c>
      <c r="O579" t="str">
        <f t="shared" ref="O579:O642" si="36">IF(F579&lt;580, "Poor", IF(AND(F579&gt;=580, F579&lt;=669), "Average", "Good"))</f>
        <v>Good</v>
      </c>
      <c r="P579" t="str">
        <f t="shared" ref="P579:P642" si="37">IF(G579&lt;=30, "Young Adult", IF(AND(G579&gt;=31, G579&lt;=50), "Adult", "Senior"))</f>
        <v>Young Adult</v>
      </c>
      <c r="Q579" t="str">
        <f t="shared" ref="Q579:Q642" si="38">IF(M579&lt;30000, "Low Salary", IF(AND(M579&gt;=30000, M579&lt;=70000), "Medium Salary", "High Salary"))</f>
        <v>High Salary</v>
      </c>
      <c r="R579" t="str">
        <f t="shared" ref="R579:R642" si="39">IF(I579&lt;50000, "Low Balance", IF(AND(I579&gt;=50000, I579&lt;=100000), "Medium Balance", "High Balance"))</f>
        <v>High Balance</v>
      </c>
    </row>
    <row r="580" spans="1:18" x14ac:dyDescent="0.25">
      <c r="A580">
        <v>579</v>
      </c>
      <c r="B580">
        <v>15734674</v>
      </c>
      <c r="C580" t="s">
        <v>486</v>
      </c>
      <c r="D580" t="s">
        <v>15</v>
      </c>
      <c r="E580" t="s">
        <v>16</v>
      </c>
      <c r="F580">
        <v>593</v>
      </c>
      <c r="G580">
        <v>41</v>
      </c>
      <c r="H580">
        <v>6</v>
      </c>
      <c r="I580">
        <v>0</v>
      </c>
      <c r="J580">
        <v>1</v>
      </c>
      <c r="K580">
        <v>1</v>
      </c>
      <c r="L580">
        <v>0</v>
      </c>
      <c r="M580">
        <v>65170.66</v>
      </c>
      <c r="N580">
        <v>0</v>
      </c>
      <c r="O580" t="str">
        <f t="shared" si="36"/>
        <v>Average</v>
      </c>
      <c r="P580" t="str">
        <f t="shared" si="37"/>
        <v>Adult</v>
      </c>
      <c r="Q580" t="str">
        <f t="shared" si="38"/>
        <v>Medium Salary</v>
      </c>
      <c r="R580" t="str">
        <f t="shared" si="39"/>
        <v>Low Balance</v>
      </c>
    </row>
    <row r="581" spans="1:18" x14ac:dyDescent="0.25">
      <c r="A581">
        <v>580</v>
      </c>
      <c r="B581">
        <v>15658032</v>
      </c>
      <c r="C581" t="s">
        <v>487</v>
      </c>
      <c r="D581" t="s">
        <v>15</v>
      </c>
      <c r="E581" t="s">
        <v>23</v>
      </c>
      <c r="F581">
        <v>701</v>
      </c>
      <c r="G581">
        <v>39</v>
      </c>
      <c r="H581">
        <v>2</v>
      </c>
      <c r="I581">
        <v>0</v>
      </c>
      <c r="J581">
        <v>2</v>
      </c>
      <c r="K581">
        <v>1</v>
      </c>
      <c r="L581">
        <v>1</v>
      </c>
      <c r="M581">
        <v>82526.92</v>
      </c>
      <c r="N581">
        <v>0</v>
      </c>
      <c r="O581" t="str">
        <f t="shared" si="36"/>
        <v>Good</v>
      </c>
      <c r="P581" t="str">
        <f t="shared" si="37"/>
        <v>Adult</v>
      </c>
      <c r="Q581" t="str">
        <f t="shared" si="38"/>
        <v>High Salary</v>
      </c>
      <c r="R581" t="str">
        <f t="shared" si="39"/>
        <v>Low Balance</v>
      </c>
    </row>
    <row r="582" spans="1:18" x14ac:dyDescent="0.25">
      <c r="A582">
        <v>581</v>
      </c>
      <c r="B582">
        <v>15692671</v>
      </c>
      <c r="C582" t="s">
        <v>488</v>
      </c>
      <c r="D582" t="s">
        <v>18</v>
      </c>
      <c r="E582" t="s">
        <v>23</v>
      </c>
      <c r="F582">
        <v>701</v>
      </c>
      <c r="G582">
        <v>36</v>
      </c>
      <c r="H582">
        <v>8</v>
      </c>
      <c r="I582">
        <v>0</v>
      </c>
      <c r="J582">
        <v>2</v>
      </c>
      <c r="K582">
        <v>1</v>
      </c>
      <c r="L582">
        <v>0</v>
      </c>
      <c r="M582">
        <v>169161.46</v>
      </c>
      <c r="N582">
        <v>0</v>
      </c>
      <c r="O582" t="str">
        <f t="shared" si="36"/>
        <v>Good</v>
      </c>
      <c r="P582" t="str">
        <f t="shared" si="37"/>
        <v>Adult</v>
      </c>
      <c r="Q582" t="str">
        <f t="shared" si="38"/>
        <v>High Salary</v>
      </c>
      <c r="R582" t="str">
        <f t="shared" si="39"/>
        <v>Low Balance</v>
      </c>
    </row>
    <row r="583" spans="1:18" x14ac:dyDescent="0.25">
      <c r="A583">
        <v>582</v>
      </c>
      <c r="B583">
        <v>15737741</v>
      </c>
      <c r="C583" t="s">
        <v>489</v>
      </c>
      <c r="D583" t="s">
        <v>18</v>
      </c>
      <c r="E583" t="s">
        <v>16</v>
      </c>
      <c r="F583">
        <v>607</v>
      </c>
      <c r="G583">
        <v>33</v>
      </c>
      <c r="H583">
        <v>2</v>
      </c>
      <c r="I583">
        <v>108431.87</v>
      </c>
      <c r="J583">
        <v>2</v>
      </c>
      <c r="K583">
        <v>0</v>
      </c>
      <c r="L583">
        <v>1</v>
      </c>
      <c r="M583">
        <v>109291.39</v>
      </c>
      <c r="N583">
        <v>1</v>
      </c>
      <c r="O583" t="str">
        <f t="shared" si="36"/>
        <v>Average</v>
      </c>
      <c r="P583" t="str">
        <f t="shared" si="37"/>
        <v>Adult</v>
      </c>
      <c r="Q583" t="str">
        <f t="shared" si="38"/>
        <v>High Salary</v>
      </c>
      <c r="R583" t="str">
        <f t="shared" si="39"/>
        <v>High Balance</v>
      </c>
    </row>
    <row r="584" spans="1:18" x14ac:dyDescent="0.25">
      <c r="A584">
        <v>583</v>
      </c>
      <c r="B584">
        <v>15576352</v>
      </c>
      <c r="C584" t="s">
        <v>490</v>
      </c>
      <c r="D584" t="s">
        <v>18</v>
      </c>
      <c r="E584" t="s">
        <v>16</v>
      </c>
      <c r="F584">
        <v>586</v>
      </c>
      <c r="G584">
        <v>57</v>
      </c>
      <c r="H584">
        <v>3</v>
      </c>
      <c r="I584">
        <v>0</v>
      </c>
      <c r="J584">
        <v>2</v>
      </c>
      <c r="K584">
        <v>0</v>
      </c>
      <c r="L584">
        <v>1</v>
      </c>
      <c r="M584">
        <v>6057.81</v>
      </c>
      <c r="N584">
        <v>0</v>
      </c>
      <c r="O584" t="str">
        <f t="shared" si="36"/>
        <v>Average</v>
      </c>
      <c r="P584" t="str">
        <f t="shared" si="37"/>
        <v>Senior</v>
      </c>
      <c r="Q584" t="str">
        <f t="shared" si="38"/>
        <v>Low Salary</v>
      </c>
      <c r="R584" t="str">
        <f t="shared" si="39"/>
        <v>Low Balance</v>
      </c>
    </row>
    <row r="585" spans="1:18" x14ac:dyDescent="0.25">
      <c r="A585">
        <v>584</v>
      </c>
      <c r="B585">
        <v>15753719</v>
      </c>
      <c r="C585" t="s">
        <v>491</v>
      </c>
      <c r="D585" t="s">
        <v>26</v>
      </c>
      <c r="E585" t="s">
        <v>16</v>
      </c>
      <c r="F585">
        <v>547</v>
      </c>
      <c r="G585">
        <v>30</v>
      </c>
      <c r="H585">
        <v>9</v>
      </c>
      <c r="I585">
        <v>72392.41</v>
      </c>
      <c r="J585">
        <v>1</v>
      </c>
      <c r="K585">
        <v>1</v>
      </c>
      <c r="L585">
        <v>0</v>
      </c>
      <c r="M585">
        <v>77077.14</v>
      </c>
      <c r="N585">
        <v>0</v>
      </c>
      <c r="O585" t="str">
        <f t="shared" si="36"/>
        <v>Poor</v>
      </c>
      <c r="P585" t="str">
        <f t="shared" si="37"/>
        <v>Young Adult</v>
      </c>
      <c r="Q585" t="str">
        <f t="shared" si="38"/>
        <v>High Salary</v>
      </c>
      <c r="R585" t="str">
        <f t="shared" si="39"/>
        <v>Medium Balance</v>
      </c>
    </row>
    <row r="586" spans="1:18" x14ac:dyDescent="0.25">
      <c r="A586">
        <v>585</v>
      </c>
      <c r="B586">
        <v>15803689</v>
      </c>
      <c r="C586" t="s">
        <v>492</v>
      </c>
      <c r="D586" t="s">
        <v>26</v>
      </c>
      <c r="E586" t="s">
        <v>16</v>
      </c>
      <c r="F586">
        <v>647</v>
      </c>
      <c r="G586">
        <v>51</v>
      </c>
      <c r="H586">
        <v>1</v>
      </c>
      <c r="I586">
        <v>119741.77</v>
      </c>
      <c r="J586">
        <v>2</v>
      </c>
      <c r="K586">
        <v>0</v>
      </c>
      <c r="L586">
        <v>0</v>
      </c>
      <c r="M586">
        <v>54954.51</v>
      </c>
      <c r="N586">
        <v>1</v>
      </c>
      <c r="O586" t="str">
        <f t="shared" si="36"/>
        <v>Average</v>
      </c>
      <c r="P586" t="str">
        <f t="shared" si="37"/>
        <v>Senior</v>
      </c>
      <c r="Q586" t="str">
        <f t="shared" si="38"/>
        <v>Medium Salary</v>
      </c>
      <c r="R586" t="str">
        <f t="shared" si="39"/>
        <v>High Balance</v>
      </c>
    </row>
    <row r="587" spans="1:18" x14ac:dyDescent="0.25">
      <c r="A587">
        <v>586</v>
      </c>
      <c r="B587">
        <v>15718057</v>
      </c>
      <c r="C587" t="s">
        <v>493</v>
      </c>
      <c r="D587" t="s">
        <v>15</v>
      </c>
      <c r="E587" t="s">
        <v>16</v>
      </c>
      <c r="F587">
        <v>760</v>
      </c>
      <c r="G587">
        <v>51</v>
      </c>
      <c r="H587">
        <v>2</v>
      </c>
      <c r="I587">
        <v>100946.71</v>
      </c>
      <c r="J587">
        <v>1</v>
      </c>
      <c r="K587">
        <v>0</v>
      </c>
      <c r="L587">
        <v>0</v>
      </c>
      <c r="M587">
        <v>179614.8</v>
      </c>
      <c r="N587">
        <v>1</v>
      </c>
      <c r="O587" t="str">
        <f t="shared" si="36"/>
        <v>Good</v>
      </c>
      <c r="P587" t="str">
        <f t="shared" si="37"/>
        <v>Senior</v>
      </c>
      <c r="Q587" t="str">
        <f t="shared" si="38"/>
        <v>High Salary</v>
      </c>
      <c r="R587" t="str">
        <f t="shared" si="39"/>
        <v>High Balance</v>
      </c>
    </row>
    <row r="588" spans="1:18" x14ac:dyDescent="0.25">
      <c r="A588">
        <v>587</v>
      </c>
      <c r="B588">
        <v>15722010</v>
      </c>
      <c r="C588" t="s">
        <v>494</v>
      </c>
      <c r="D588" t="s">
        <v>18</v>
      </c>
      <c r="E588" t="s">
        <v>23</v>
      </c>
      <c r="F588">
        <v>621</v>
      </c>
      <c r="G588">
        <v>53</v>
      </c>
      <c r="H588">
        <v>9</v>
      </c>
      <c r="I588">
        <v>170491.84</v>
      </c>
      <c r="J588">
        <v>1</v>
      </c>
      <c r="K588">
        <v>1</v>
      </c>
      <c r="L588">
        <v>0</v>
      </c>
      <c r="M588">
        <v>35588.07</v>
      </c>
      <c r="N588">
        <v>1</v>
      </c>
      <c r="O588" t="str">
        <f t="shared" si="36"/>
        <v>Average</v>
      </c>
      <c r="P588" t="str">
        <f t="shared" si="37"/>
        <v>Senior</v>
      </c>
      <c r="Q588" t="str">
        <f t="shared" si="38"/>
        <v>Medium Salary</v>
      </c>
      <c r="R588" t="str">
        <f t="shared" si="39"/>
        <v>High Balance</v>
      </c>
    </row>
    <row r="589" spans="1:18" x14ac:dyDescent="0.25">
      <c r="A589">
        <v>588</v>
      </c>
      <c r="B589">
        <v>15680998</v>
      </c>
      <c r="C589" t="s">
        <v>495</v>
      </c>
      <c r="D589" t="s">
        <v>15</v>
      </c>
      <c r="E589" t="s">
        <v>23</v>
      </c>
      <c r="F589">
        <v>725</v>
      </c>
      <c r="G589">
        <v>44</v>
      </c>
      <c r="H589">
        <v>5</v>
      </c>
      <c r="I589">
        <v>0</v>
      </c>
      <c r="J589">
        <v>1</v>
      </c>
      <c r="K589">
        <v>1</v>
      </c>
      <c r="L589">
        <v>1</v>
      </c>
      <c r="M589">
        <v>117356.14</v>
      </c>
      <c r="N589">
        <v>0</v>
      </c>
      <c r="O589" t="str">
        <f t="shared" si="36"/>
        <v>Good</v>
      </c>
      <c r="P589" t="str">
        <f t="shared" si="37"/>
        <v>Adult</v>
      </c>
      <c r="Q589" t="str">
        <f t="shared" si="38"/>
        <v>High Salary</v>
      </c>
      <c r="R589" t="str">
        <f t="shared" si="39"/>
        <v>Low Balance</v>
      </c>
    </row>
    <row r="590" spans="1:18" x14ac:dyDescent="0.25">
      <c r="A590">
        <v>589</v>
      </c>
      <c r="B590">
        <v>15614782</v>
      </c>
      <c r="C590" t="s">
        <v>38</v>
      </c>
      <c r="D590" t="s">
        <v>15</v>
      </c>
      <c r="E590" t="s">
        <v>23</v>
      </c>
      <c r="F590">
        <v>526</v>
      </c>
      <c r="G590">
        <v>36</v>
      </c>
      <c r="H590">
        <v>1</v>
      </c>
      <c r="I590">
        <v>0</v>
      </c>
      <c r="J590">
        <v>1</v>
      </c>
      <c r="K590">
        <v>1</v>
      </c>
      <c r="L590">
        <v>0</v>
      </c>
      <c r="M590">
        <v>160696.72</v>
      </c>
      <c r="N590">
        <v>0</v>
      </c>
      <c r="O590" t="str">
        <f t="shared" si="36"/>
        <v>Poor</v>
      </c>
      <c r="P590" t="str">
        <f t="shared" si="37"/>
        <v>Adult</v>
      </c>
      <c r="Q590" t="str">
        <f t="shared" si="38"/>
        <v>High Salary</v>
      </c>
      <c r="R590" t="str">
        <f t="shared" si="39"/>
        <v>Low Balance</v>
      </c>
    </row>
    <row r="591" spans="1:18" x14ac:dyDescent="0.25">
      <c r="A591">
        <v>590</v>
      </c>
      <c r="B591">
        <v>15591047</v>
      </c>
      <c r="C591" t="s">
        <v>149</v>
      </c>
      <c r="D591" t="s">
        <v>18</v>
      </c>
      <c r="E591" t="s">
        <v>16</v>
      </c>
      <c r="F591">
        <v>519</v>
      </c>
      <c r="G591">
        <v>47</v>
      </c>
      <c r="H591">
        <v>6</v>
      </c>
      <c r="I591">
        <v>157296.01999999999</v>
      </c>
      <c r="J591">
        <v>2</v>
      </c>
      <c r="K591">
        <v>0</v>
      </c>
      <c r="L591">
        <v>0</v>
      </c>
      <c r="M591">
        <v>147278.43</v>
      </c>
      <c r="N591">
        <v>1</v>
      </c>
      <c r="O591" t="str">
        <f t="shared" si="36"/>
        <v>Poor</v>
      </c>
      <c r="P591" t="str">
        <f t="shared" si="37"/>
        <v>Adult</v>
      </c>
      <c r="Q591" t="str">
        <f t="shared" si="38"/>
        <v>High Salary</v>
      </c>
      <c r="R591" t="str">
        <f t="shared" si="39"/>
        <v>High Balance</v>
      </c>
    </row>
    <row r="592" spans="1:18" x14ac:dyDescent="0.25">
      <c r="A592">
        <v>591</v>
      </c>
      <c r="B592">
        <v>15788291</v>
      </c>
      <c r="C592" t="s">
        <v>496</v>
      </c>
      <c r="D592" t="s">
        <v>26</v>
      </c>
      <c r="E592" t="s">
        <v>16</v>
      </c>
      <c r="F592">
        <v>713</v>
      </c>
      <c r="G592">
        <v>38</v>
      </c>
      <c r="H592">
        <v>7</v>
      </c>
      <c r="I592">
        <v>144606.22</v>
      </c>
      <c r="J592">
        <v>1</v>
      </c>
      <c r="K592">
        <v>1</v>
      </c>
      <c r="L592">
        <v>1</v>
      </c>
      <c r="M592">
        <v>56594.36</v>
      </c>
      <c r="N592">
        <v>1</v>
      </c>
      <c r="O592" t="str">
        <f t="shared" si="36"/>
        <v>Good</v>
      </c>
      <c r="P592" t="str">
        <f t="shared" si="37"/>
        <v>Adult</v>
      </c>
      <c r="Q592" t="str">
        <f t="shared" si="38"/>
        <v>Medium Salary</v>
      </c>
      <c r="R592" t="str">
        <f t="shared" si="39"/>
        <v>High Balance</v>
      </c>
    </row>
    <row r="593" spans="1:18" x14ac:dyDescent="0.25">
      <c r="A593">
        <v>592</v>
      </c>
      <c r="B593">
        <v>15604044</v>
      </c>
      <c r="C593" t="s">
        <v>21</v>
      </c>
      <c r="D593" t="s">
        <v>15</v>
      </c>
      <c r="E593" t="s">
        <v>23</v>
      </c>
      <c r="F593">
        <v>700</v>
      </c>
      <c r="G593">
        <v>38</v>
      </c>
      <c r="H593">
        <v>8</v>
      </c>
      <c r="I593">
        <v>134811.29999999999</v>
      </c>
      <c r="J593">
        <v>1</v>
      </c>
      <c r="K593">
        <v>1</v>
      </c>
      <c r="L593">
        <v>0</v>
      </c>
      <c r="M593">
        <v>1299.75</v>
      </c>
      <c r="N593">
        <v>0</v>
      </c>
      <c r="O593" t="str">
        <f t="shared" si="36"/>
        <v>Good</v>
      </c>
      <c r="P593" t="str">
        <f t="shared" si="37"/>
        <v>Adult</v>
      </c>
      <c r="Q593" t="str">
        <f t="shared" si="38"/>
        <v>Low Salary</v>
      </c>
      <c r="R593" t="str">
        <f t="shared" si="39"/>
        <v>High Balance</v>
      </c>
    </row>
    <row r="594" spans="1:18" x14ac:dyDescent="0.25">
      <c r="A594">
        <v>593</v>
      </c>
      <c r="B594">
        <v>15679587</v>
      </c>
      <c r="C594" t="s">
        <v>497</v>
      </c>
      <c r="D594" t="s">
        <v>15</v>
      </c>
      <c r="E594" t="s">
        <v>16</v>
      </c>
      <c r="F594">
        <v>666</v>
      </c>
      <c r="G594">
        <v>34</v>
      </c>
      <c r="H594">
        <v>9</v>
      </c>
      <c r="I594">
        <v>115897.12</v>
      </c>
      <c r="J594">
        <v>1</v>
      </c>
      <c r="K594">
        <v>1</v>
      </c>
      <c r="L594">
        <v>1</v>
      </c>
      <c r="M594">
        <v>25095.03</v>
      </c>
      <c r="N594">
        <v>0</v>
      </c>
      <c r="O594" t="str">
        <f t="shared" si="36"/>
        <v>Average</v>
      </c>
      <c r="P594" t="str">
        <f t="shared" si="37"/>
        <v>Adult</v>
      </c>
      <c r="Q594" t="str">
        <f t="shared" si="38"/>
        <v>Low Salary</v>
      </c>
      <c r="R594" t="str">
        <f t="shared" si="39"/>
        <v>High Balance</v>
      </c>
    </row>
    <row r="595" spans="1:18" x14ac:dyDescent="0.25">
      <c r="A595">
        <v>594</v>
      </c>
      <c r="B595">
        <v>15775153</v>
      </c>
      <c r="C595" t="s">
        <v>498</v>
      </c>
      <c r="D595" t="s">
        <v>18</v>
      </c>
      <c r="E595" t="s">
        <v>23</v>
      </c>
      <c r="F595">
        <v>630</v>
      </c>
      <c r="G595">
        <v>32</v>
      </c>
      <c r="H595">
        <v>4</v>
      </c>
      <c r="I595">
        <v>82034</v>
      </c>
      <c r="J595">
        <v>1</v>
      </c>
      <c r="K595">
        <v>0</v>
      </c>
      <c r="L595">
        <v>0</v>
      </c>
      <c r="M595">
        <v>146326.45000000001</v>
      </c>
      <c r="N595">
        <v>0</v>
      </c>
      <c r="O595" t="str">
        <f t="shared" si="36"/>
        <v>Average</v>
      </c>
      <c r="P595" t="str">
        <f t="shared" si="37"/>
        <v>Adult</v>
      </c>
      <c r="Q595" t="str">
        <f t="shared" si="38"/>
        <v>High Salary</v>
      </c>
      <c r="R595" t="str">
        <f t="shared" si="39"/>
        <v>Medium Balance</v>
      </c>
    </row>
    <row r="596" spans="1:18" x14ac:dyDescent="0.25">
      <c r="A596">
        <v>595</v>
      </c>
      <c r="B596">
        <v>15603925</v>
      </c>
      <c r="C596" t="s">
        <v>352</v>
      </c>
      <c r="D596" t="s">
        <v>18</v>
      </c>
      <c r="E596" t="s">
        <v>16</v>
      </c>
      <c r="F596">
        <v>779</v>
      </c>
      <c r="G596">
        <v>26</v>
      </c>
      <c r="H596">
        <v>4</v>
      </c>
      <c r="I596">
        <v>174318.13</v>
      </c>
      <c r="J596">
        <v>2</v>
      </c>
      <c r="K596">
        <v>0</v>
      </c>
      <c r="L596">
        <v>1</v>
      </c>
      <c r="M596">
        <v>38296.21</v>
      </c>
      <c r="N596">
        <v>0</v>
      </c>
      <c r="O596" t="str">
        <f t="shared" si="36"/>
        <v>Good</v>
      </c>
      <c r="P596" t="str">
        <f t="shared" si="37"/>
        <v>Young Adult</v>
      </c>
      <c r="Q596" t="str">
        <f t="shared" si="38"/>
        <v>Medium Salary</v>
      </c>
      <c r="R596" t="str">
        <f t="shared" si="39"/>
        <v>High Balance</v>
      </c>
    </row>
    <row r="597" spans="1:18" x14ac:dyDescent="0.25">
      <c r="A597">
        <v>596</v>
      </c>
      <c r="B597">
        <v>15680970</v>
      </c>
      <c r="C597" t="s">
        <v>499</v>
      </c>
      <c r="D597" t="s">
        <v>26</v>
      </c>
      <c r="E597" t="s">
        <v>16</v>
      </c>
      <c r="F597">
        <v>611</v>
      </c>
      <c r="G597">
        <v>41</v>
      </c>
      <c r="H597">
        <v>2</v>
      </c>
      <c r="I597">
        <v>114206.84</v>
      </c>
      <c r="J597">
        <v>1</v>
      </c>
      <c r="K597">
        <v>1</v>
      </c>
      <c r="L597">
        <v>0</v>
      </c>
      <c r="M597">
        <v>164061.6</v>
      </c>
      <c r="N597">
        <v>0</v>
      </c>
      <c r="O597" t="str">
        <f t="shared" si="36"/>
        <v>Average</v>
      </c>
      <c r="P597" t="str">
        <f t="shared" si="37"/>
        <v>Adult</v>
      </c>
      <c r="Q597" t="str">
        <f t="shared" si="38"/>
        <v>High Salary</v>
      </c>
      <c r="R597" t="str">
        <f t="shared" si="39"/>
        <v>High Balance</v>
      </c>
    </row>
    <row r="598" spans="1:18" x14ac:dyDescent="0.25">
      <c r="A598">
        <v>597</v>
      </c>
      <c r="B598">
        <v>15697183</v>
      </c>
      <c r="C598" t="s">
        <v>500</v>
      </c>
      <c r="D598" t="s">
        <v>18</v>
      </c>
      <c r="E598" t="s">
        <v>23</v>
      </c>
      <c r="F598">
        <v>685</v>
      </c>
      <c r="G598">
        <v>43</v>
      </c>
      <c r="H598">
        <v>9</v>
      </c>
      <c r="I598">
        <v>0</v>
      </c>
      <c r="J598">
        <v>2</v>
      </c>
      <c r="K598">
        <v>1</v>
      </c>
      <c r="L598">
        <v>0</v>
      </c>
      <c r="M598">
        <v>107811.28</v>
      </c>
      <c r="N598">
        <v>0</v>
      </c>
      <c r="O598" t="str">
        <f t="shared" si="36"/>
        <v>Good</v>
      </c>
      <c r="P598" t="str">
        <f t="shared" si="37"/>
        <v>Adult</v>
      </c>
      <c r="Q598" t="str">
        <f t="shared" si="38"/>
        <v>High Salary</v>
      </c>
      <c r="R598" t="str">
        <f t="shared" si="39"/>
        <v>Low Balance</v>
      </c>
    </row>
    <row r="599" spans="1:18" x14ac:dyDescent="0.25">
      <c r="A599">
        <v>598</v>
      </c>
      <c r="B599">
        <v>15567446</v>
      </c>
      <c r="C599" t="s">
        <v>501</v>
      </c>
      <c r="D599" t="s">
        <v>26</v>
      </c>
      <c r="E599" t="s">
        <v>23</v>
      </c>
      <c r="F599">
        <v>646</v>
      </c>
      <c r="G599">
        <v>39</v>
      </c>
      <c r="H599">
        <v>9</v>
      </c>
      <c r="I599">
        <v>111574.41</v>
      </c>
      <c r="J599">
        <v>1</v>
      </c>
      <c r="K599">
        <v>1</v>
      </c>
      <c r="L599">
        <v>1</v>
      </c>
      <c r="M599">
        <v>30838.51</v>
      </c>
      <c r="N599">
        <v>0</v>
      </c>
      <c r="O599" t="str">
        <f t="shared" si="36"/>
        <v>Average</v>
      </c>
      <c r="P599" t="str">
        <f t="shared" si="37"/>
        <v>Adult</v>
      </c>
      <c r="Q599" t="str">
        <f t="shared" si="38"/>
        <v>Medium Salary</v>
      </c>
      <c r="R599" t="str">
        <f t="shared" si="39"/>
        <v>High Balance</v>
      </c>
    </row>
    <row r="600" spans="1:18" x14ac:dyDescent="0.25">
      <c r="A600">
        <v>599</v>
      </c>
      <c r="B600">
        <v>15637476</v>
      </c>
      <c r="C600" t="s">
        <v>502</v>
      </c>
      <c r="D600" t="s">
        <v>26</v>
      </c>
      <c r="E600" t="s">
        <v>16</v>
      </c>
      <c r="F600">
        <v>683</v>
      </c>
      <c r="G600">
        <v>57</v>
      </c>
      <c r="H600">
        <v>5</v>
      </c>
      <c r="I600">
        <v>162448.69</v>
      </c>
      <c r="J600">
        <v>1</v>
      </c>
      <c r="K600">
        <v>0</v>
      </c>
      <c r="L600">
        <v>0</v>
      </c>
      <c r="M600">
        <v>9221.7800000000007</v>
      </c>
      <c r="N600">
        <v>1</v>
      </c>
      <c r="O600" t="str">
        <f t="shared" si="36"/>
        <v>Good</v>
      </c>
      <c r="P600" t="str">
        <f t="shared" si="37"/>
        <v>Senior</v>
      </c>
      <c r="Q600" t="str">
        <f t="shared" si="38"/>
        <v>Low Salary</v>
      </c>
      <c r="R600" t="str">
        <f t="shared" si="39"/>
        <v>High Balance</v>
      </c>
    </row>
    <row r="601" spans="1:18" x14ac:dyDescent="0.25">
      <c r="A601">
        <v>600</v>
      </c>
      <c r="B601">
        <v>15714939</v>
      </c>
      <c r="C601" t="s">
        <v>503</v>
      </c>
      <c r="D601" t="s">
        <v>26</v>
      </c>
      <c r="E601" t="s">
        <v>16</v>
      </c>
      <c r="F601">
        <v>484</v>
      </c>
      <c r="G601">
        <v>34</v>
      </c>
      <c r="H601">
        <v>4</v>
      </c>
      <c r="I601">
        <v>148249.54</v>
      </c>
      <c r="J601">
        <v>1</v>
      </c>
      <c r="K601">
        <v>0</v>
      </c>
      <c r="L601">
        <v>1</v>
      </c>
      <c r="M601">
        <v>33738.269999999997</v>
      </c>
      <c r="N601">
        <v>0</v>
      </c>
      <c r="O601" t="str">
        <f t="shared" si="36"/>
        <v>Poor</v>
      </c>
      <c r="P601" t="str">
        <f t="shared" si="37"/>
        <v>Adult</v>
      </c>
      <c r="Q601" t="str">
        <f t="shared" si="38"/>
        <v>Medium Salary</v>
      </c>
      <c r="R601" t="str">
        <f t="shared" si="39"/>
        <v>High Balance</v>
      </c>
    </row>
    <row r="602" spans="1:18" x14ac:dyDescent="0.25">
      <c r="A602">
        <v>601</v>
      </c>
      <c r="B602">
        <v>15683503</v>
      </c>
      <c r="C602" t="s">
        <v>504</v>
      </c>
      <c r="D602" t="s">
        <v>15</v>
      </c>
      <c r="E602" t="s">
        <v>16</v>
      </c>
      <c r="F602">
        <v>601</v>
      </c>
      <c r="G602">
        <v>43</v>
      </c>
      <c r="H602">
        <v>8</v>
      </c>
      <c r="I602">
        <v>0</v>
      </c>
      <c r="J602">
        <v>3</v>
      </c>
      <c r="K602">
        <v>0</v>
      </c>
      <c r="L602">
        <v>1</v>
      </c>
      <c r="M602">
        <v>110916.15</v>
      </c>
      <c r="N602">
        <v>1</v>
      </c>
      <c r="O602" t="str">
        <f t="shared" si="36"/>
        <v>Average</v>
      </c>
      <c r="P602" t="str">
        <f t="shared" si="37"/>
        <v>Adult</v>
      </c>
      <c r="Q602" t="str">
        <f t="shared" si="38"/>
        <v>High Salary</v>
      </c>
      <c r="R602" t="str">
        <f t="shared" si="39"/>
        <v>Low Balance</v>
      </c>
    </row>
    <row r="603" spans="1:18" x14ac:dyDescent="0.25">
      <c r="A603">
        <v>602</v>
      </c>
      <c r="B603">
        <v>15645569</v>
      </c>
      <c r="C603" t="s">
        <v>460</v>
      </c>
      <c r="D603" t="s">
        <v>18</v>
      </c>
      <c r="E603" t="s">
        <v>16</v>
      </c>
      <c r="F603">
        <v>762</v>
      </c>
      <c r="G603">
        <v>26</v>
      </c>
      <c r="H603">
        <v>7</v>
      </c>
      <c r="I603">
        <v>123709.46</v>
      </c>
      <c r="J603">
        <v>2</v>
      </c>
      <c r="K603">
        <v>1</v>
      </c>
      <c r="L603">
        <v>1</v>
      </c>
      <c r="M603">
        <v>169654.57</v>
      </c>
      <c r="N603">
        <v>0</v>
      </c>
      <c r="O603" t="str">
        <f t="shared" si="36"/>
        <v>Good</v>
      </c>
      <c r="P603" t="str">
        <f t="shared" si="37"/>
        <v>Young Adult</v>
      </c>
      <c r="Q603" t="str">
        <f t="shared" si="38"/>
        <v>High Salary</v>
      </c>
      <c r="R603" t="str">
        <f t="shared" si="39"/>
        <v>High Balance</v>
      </c>
    </row>
    <row r="604" spans="1:18" x14ac:dyDescent="0.25">
      <c r="A604">
        <v>603</v>
      </c>
      <c r="B604">
        <v>15782569</v>
      </c>
      <c r="C604" t="s">
        <v>505</v>
      </c>
      <c r="D604" t="s">
        <v>15</v>
      </c>
      <c r="E604" t="s">
        <v>16</v>
      </c>
      <c r="F604">
        <v>687</v>
      </c>
      <c r="G604">
        <v>72</v>
      </c>
      <c r="H604">
        <v>9</v>
      </c>
      <c r="I604">
        <v>0</v>
      </c>
      <c r="J604">
        <v>1</v>
      </c>
      <c r="K604">
        <v>0</v>
      </c>
      <c r="L604">
        <v>1</v>
      </c>
      <c r="M604">
        <v>69829.399999999994</v>
      </c>
      <c r="N604">
        <v>0</v>
      </c>
      <c r="O604" t="str">
        <f t="shared" si="36"/>
        <v>Good</v>
      </c>
      <c r="P604" t="str">
        <f t="shared" si="37"/>
        <v>Senior</v>
      </c>
      <c r="Q604" t="str">
        <f t="shared" si="38"/>
        <v>Medium Salary</v>
      </c>
      <c r="R604" t="str">
        <f t="shared" si="39"/>
        <v>Low Balance</v>
      </c>
    </row>
    <row r="605" spans="1:18" x14ac:dyDescent="0.25">
      <c r="A605">
        <v>604</v>
      </c>
      <c r="B605">
        <v>15592387</v>
      </c>
      <c r="C605" t="s">
        <v>506</v>
      </c>
      <c r="D605" t="s">
        <v>15</v>
      </c>
      <c r="E605" t="s">
        <v>23</v>
      </c>
      <c r="F605">
        <v>566</v>
      </c>
      <c r="G605">
        <v>30</v>
      </c>
      <c r="H605">
        <v>5</v>
      </c>
      <c r="I605">
        <v>0</v>
      </c>
      <c r="J605">
        <v>1</v>
      </c>
      <c r="K605">
        <v>1</v>
      </c>
      <c r="L605">
        <v>0</v>
      </c>
      <c r="M605">
        <v>54926.51</v>
      </c>
      <c r="N605">
        <v>1</v>
      </c>
      <c r="O605" t="str">
        <f t="shared" si="36"/>
        <v>Poor</v>
      </c>
      <c r="P605" t="str">
        <f t="shared" si="37"/>
        <v>Young Adult</v>
      </c>
      <c r="Q605" t="str">
        <f t="shared" si="38"/>
        <v>Medium Salary</v>
      </c>
      <c r="R605" t="str">
        <f t="shared" si="39"/>
        <v>Low Balance</v>
      </c>
    </row>
    <row r="606" spans="1:18" x14ac:dyDescent="0.25">
      <c r="A606">
        <v>605</v>
      </c>
      <c r="B606">
        <v>15609286</v>
      </c>
      <c r="C606" t="s">
        <v>507</v>
      </c>
      <c r="D606" t="s">
        <v>15</v>
      </c>
      <c r="E606" t="s">
        <v>23</v>
      </c>
      <c r="F606">
        <v>702</v>
      </c>
      <c r="G606">
        <v>37</v>
      </c>
      <c r="H606">
        <v>10</v>
      </c>
      <c r="I606">
        <v>150525.79999999999</v>
      </c>
      <c r="J606">
        <v>1</v>
      </c>
      <c r="K606">
        <v>1</v>
      </c>
      <c r="L606">
        <v>1</v>
      </c>
      <c r="M606">
        <v>94728.49</v>
      </c>
      <c r="N606">
        <v>0</v>
      </c>
      <c r="O606" t="str">
        <f t="shared" si="36"/>
        <v>Good</v>
      </c>
      <c r="P606" t="str">
        <f t="shared" si="37"/>
        <v>Adult</v>
      </c>
      <c r="Q606" t="str">
        <f t="shared" si="38"/>
        <v>High Salary</v>
      </c>
      <c r="R606" t="str">
        <f t="shared" si="39"/>
        <v>High Balance</v>
      </c>
    </row>
    <row r="607" spans="1:18" x14ac:dyDescent="0.25">
      <c r="A607">
        <v>606</v>
      </c>
      <c r="B607">
        <v>15814035</v>
      </c>
      <c r="C607" t="s">
        <v>508</v>
      </c>
      <c r="D607" t="s">
        <v>15</v>
      </c>
      <c r="E607" t="s">
        <v>23</v>
      </c>
      <c r="F607">
        <v>601</v>
      </c>
      <c r="G607">
        <v>29</v>
      </c>
      <c r="H607">
        <v>9</v>
      </c>
      <c r="I607">
        <v>0</v>
      </c>
      <c r="J607">
        <v>1</v>
      </c>
      <c r="K607">
        <v>1</v>
      </c>
      <c r="L607">
        <v>1</v>
      </c>
      <c r="M607">
        <v>80393.27</v>
      </c>
      <c r="N607">
        <v>0</v>
      </c>
      <c r="O607" t="str">
        <f t="shared" si="36"/>
        <v>Average</v>
      </c>
      <c r="P607" t="str">
        <f t="shared" si="37"/>
        <v>Young Adult</v>
      </c>
      <c r="Q607" t="str">
        <f t="shared" si="38"/>
        <v>High Salary</v>
      </c>
      <c r="R607" t="str">
        <f t="shared" si="39"/>
        <v>Low Balance</v>
      </c>
    </row>
    <row r="608" spans="1:18" x14ac:dyDescent="0.25">
      <c r="A608">
        <v>607</v>
      </c>
      <c r="B608">
        <v>15661249</v>
      </c>
      <c r="C608" t="s">
        <v>509</v>
      </c>
      <c r="D608" t="s">
        <v>15</v>
      </c>
      <c r="E608" t="s">
        <v>23</v>
      </c>
      <c r="F608">
        <v>699</v>
      </c>
      <c r="G608">
        <v>53</v>
      </c>
      <c r="H608">
        <v>4</v>
      </c>
      <c r="I608">
        <v>0</v>
      </c>
      <c r="J608">
        <v>2</v>
      </c>
      <c r="K608">
        <v>0</v>
      </c>
      <c r="L608">
        <v>1</v>
      </c>
      <c r="M608">
        <v>111307.98</v>
      </c>
      <c r="N608">
        <v>0</v>
      </c>
      <c r="O608" t="str">
        <f t="shared" si="36"/>
        <v>Good</v>
      </c>
      <c r="P608" t="str">
        <f t="shared" si="37"/>
        <v>Senior</v>
      </c>
      <c r="Q608" t="str">
        <f t="shared" si="38"/>
        <v>High Salary</v>
      </c>
      <c r="R608" t="str">
        <f t="shared" si="39"/>
        <v>Low Balance</v>
      </c>
    </row>
    <row r="609" spans="1:18" x14ac:dyDescent="0.25">
      <c r="A609">
        <v>608</v>
      </c>
      <c r="B609">
        <v>15629117</v>
      </c>
      <c r="C609" t="s">
        <v>510</v>
      </c>
      <c r="D609" t="s">
        <v>15</v>
      </c>
      <c r="E609" t="s">
        <v>23</v>
      </c>
      <c r="F609">
        <v>584</v>
      </c>
      <c r="G609">
        <v>28</v>
      </c>
      <c r="H609">
        <v>10</v>
      </c>
      <c r="I609">
        <v>0</v>
      </c>
      <c r="J609">
        <v>2</v>
      </c>
      <c r="K609">
        <v>1</v>
      </c>
      <c r="L609">
        <v>0</v>
      </c>
      <c r="M609">
        <v>19834.32</v>
      </c>
      <c r="N609">
        <v>0</v>
      </c>
      <c r="O609" t="str">
        <f t="shared" si="36"/>
        <v>Average</v>
      </c>
      <c r="P609" t="str">
        <f t="shared" si="37"/>
        <v>Young Adult</v>
      </c>
      <c r="Q609" t="str">
        <f t="shared" si="38"/>
        <v>Low Salary</v>
      </c>
      <c r="R609" t="str">
        <f t="shared" si="39"/>
        <v>Low Balance</v>
      </c>
    </row>
    <row r="610" spans="1:18" x14ac:dyDescent="0.25">
      <c r="A610">
        <v>609</v>
      </c>
      <c r="B610">
        <v>15607170</v>
      </c>
      <c r="C610" t="s">
        <v>267</v>
      </c>
      <c r="D610" t="s">
        <v>15</v>
      </c>
      <c r="E610" t="s">
        <v>23</v>
      </c>
      <c r="F610">
        <v>699</v>
      </c>
      <c r="G610">
        <v>35</v>
      </c>
      <c r="H610">
        <v>5</v>
      </c>
      <c r="I610">
        <v>0</v>
      </c>
      <c r="J610">
        <v>2</v>
      </c>
      <c r="K610">
        <v>1</v>
      </c>
      <c r="L610">
        <v>1</v>
      </c>
      <c r="M610">
        <v>78397.240000000005</v>
      </c>
      <c r="N610">
        <v>0</v>
      </c>
      <c r="O610" t="str">
        <f t="shared" si="36"/>
        <v>Good</v>
      </c>
      <c r="P610" t="str">
        <f t="shared" si="37"/>
        <v>Adult</v>
      </c>
      <c r="Q610" t="str">
        <f t="shared" si="38"/>
        <v>High Salary</v>
      </c>
      <c r="R610" t="str">
        <f t="shared" si="39"/>
        <v>Low Balance</v>
      </c>
    </row>
    <row r="611" spans="1:18" x14ac:dyDescent="0.25">
      <c r="A611">
        <v>610</v>
      </c>
      <c r="B611">
        <v>15586585</v>
      </c>
      <c r="C611" t="s">
        <v>132</v>
      </c>
      <c r="D611" t="s">
        <v>26</v>
      </c>
      <c r="E611" t="s">
        <v>16</v>
      </c>
      <c r="F611">
        <v>698</v>
      </c>
      <c r="G611">
        <v>51</v>
      </c>
      <c r="H611">
        <v>2</v>
      </c>
      <c r="I611">
        <v>111018.98</v>
      </c>
      <c r="J611">
        <v>1</v>
      </c>
      <c r="K611">
        <v>1</v>
      </c>
      <c r="L611">
        <v>0</v>
      </c>
      <c r="M611">
        <v>86410.28</v>
      </c>
      <c r="N611">
        <v>0</v>
      </c>
      <c r="O611" t="str">
        <f t="shared" si="36"/>
        <v>Good</v>
      </c>
      <c r="P611" t="str">
        <f t="shared" si="37"/>
        <v>Senior</v>
      </c>
      <c r="Q611" t="str">
        <f t="shared" si="38"/>
        <v>High Salary</v>
      </c>
      <c r="R611" t="str">
        <f t="shared" si="39"/>
        <v>High Balance</v>
      </c>
    </row>
    <row r="612" spans="1:18" x14ac:dyDescent="0.25">
      <c r="A612">
        <v>611</v>
      </c>
      <c r="B612">
        <v>15686611</v>
      </c>
      <c r="C612" t="s">
        <v>511</v>
      </c>
      <c r="D612" t="s">
        <v>15</v>
      </c>
      <c r="E612" t="s">
        <v>23</v>
      </c>
      <c r="F612">
        <v>495</v>
      </c>
      <c r="G612">
        <v>30</v>
      </c>
      <c r="H612">
        <v>10</v>
      </c>
      <c r="I612">
        <v>129755.99</v>
      </c>
      <c r="J612">
        <v>1</v>
      </c>
      <c r="K612">
        <v>0</v>
      </c>
      <c r="L612">
        <v>0</v>
      </c>
      <c r="M612">
        <v>172749.65</v>
      </c>
      <c r="N612">
        <v>0</v>
      </c>
      <c r="O612" t="str">
        <f t="shared" si="36"/>
        <v>Poor</v>
      </c>
      <c r="P612" t="str">
        <f t="shared" si="37"/>
        <v>Young Adult</v>
      </c>
      <c r="Q612" t="str">
        <f t="shared" si="38"/>
        <v>High Salary</v>
      </c>
      <c r="R612" t="str">
        <f t="shared" si="39"/>
        <v>High Balance</v>
      </c>
    </row>
    <row r="613" spans="1:18" x14ac:dyDescent="0.25">
      <c r="A613">
        <v>612</v>
      </c>
      <c r="B613">
        <v>15603203</v>
      </c>
      <c r="C613" t="s">
        <v>512</v>
      </c>
      <c r="D613" t="s">
        <v>15</v>
      </c>
      <c r="E613" t="s">
        <v>16</v>
      </c>
      <c r="F613">
        <v>650</v>
      </c>
      <c r="G613">
        <v>27</v>
      </c>
      <c r="H613">
        <v>6</v>
      </c>
      <c r="I613">
        <v>0</v>
      </c>
      <c r="J613">
        <v>2</v>
      </c>
      <c r="K613">
        <v>1</v>
      </c>
      <c r="L613">
        <v>0</v>
      </c>
      <c r="M613">
        <v>1002.39</v>
      </c>
      <c r="N613">
        <v>0</v>
      </c>
      <c r="O613" t="str">
        <f t="shared" si="36"/>
        <v>Average</v>
      </c>
      <c r="P613" t="str">
        <f t="shared" si="37"/>
        <v>Young Adult</v>
      </c>
      <c r="Q613" t="str">
        <f t="shared" si="38"/>
        <v>Low Salary</v>
      </c>
      <c r="R613" t="str">
        <f t="shared" si="39"/>
        <v>Low Balance</v>
      </c>
    </row>
    <row r="614" spans="1:18" x14ac:dyDescent="0.25">
      <c r="A614">
        <v>613</v>
      </c>
      <c r="B614">
        <v>15619857</v>
      </c>
      <c r="C614" t="s">
        <v>199</v>
      </c>
      <c r="D614" t="s">
        <v>15</v>
      </c>
      <c r="E614" t="s">
        <v>16</v>
      </c>
      <c r="F614">
        <v>605</v>
      </c>
      <c r="G614">
        <v>64</v>
      </c>
      <c r="H614">
        <v>2</v>
      </c>
      <c r="I614">
        <v>129555.7</v>
      </c>
      <c r="J614">
        <v>1</v>
      </c>
      <c r="K614">
        <v>1</v>
      </c>
      <c r="L614">
        <v>1</v>
      </c>
      <c r="M614">
        <v>13601.79</v>
      </c>
      <c r="N614">
        <v>0</v>
      </c>
      <c r="O614" t="str">
        <f t="shared" si="36"/>
        <v>Average</v>
      </c>
      <c r="P614" t="str">
        <f t="shared" si="37"/>
        <v>Senior</v>
      </c>
      <c r="Q614" t="str">
        <f t="shared" si="38"/>
        <v>Low Salary</v>
      </c>
      <c r="R614" t="str">
        <f t="shared" si="39"/>
        <v>High Balance</v>
      </c>
    </row>
    <row r="615" spans="1:18" x14ac:dyDescent="0.25">
      <c r="A615">
        <v>614</v>
      </c>
      <c r="B615">
        <v>15805062</v>
      </c>
      <c r="C615" t="s">
        <v>513</v>
      </c>
      <c r="D615" t="s">
        <v>18</v>
      </c>
      <c r="E615" t="s">
        <v>23</v>
      </c>
      <c r="F615">
        <v>667</v>
      </c>
      <c r="G615">
        <v>38</v>
      </c>
      <c r="H615">
        <v>1</v>
      </c>
      <c r="I615">
        <v>87202.38</v>
      </c>
      <c r="J615">
        <v>1</v>
      </c>
      <c r="K615">
        <v>1</v>
      </c>
      <c r="L615">
        <v>1</v>
      </c>
      <c r="M615">
        <v>77866.91</v>
      </c>
      <c r="N615">
        <v>0</v>
      </c>
      <c r="O615" t="str">
        <f t="shared" si="36"/>
        <v>Average</v>
      </c>
      <c r="P615" t="str">
        <f t="shared" si="37"/>
        <v>Adult</v>
      </c>
      <c r="Q615" t="str">
        <f t="shared" si="38"/>
        <v>High Salary</v>
      </c>
      <c r="R615" t="str">
        <f t="shared" si="39"/>
        <v>Medium Balance</v>
      </c>
    </row>
    <row r="616" spans="1:18" x14ac:dyDescent="0.25">
      <c r="A616">
        <v>615</v>
      </c>
      <c r="B616">
        <v>15660271</v>
      </c>
      <c r="C616" t="s">
        <v>132</v>
      </c>
      <c r="D616" t="s">
        <v>26</v>
      </c>
      <c r="E616" t="s">
        <v>23</v>
      </c>
      <c r="F616">
        <v>688</v>
      </c>
      <c r="G616">
        <v>26</v>
      </c>
      <c r="H616">
        <v>8</v>
      </c>
      <c r="I616">
        <v>146133.39000000001</v>
      </c>
      <c r="J616">
        <v>1</v>
      </c>
      <c r="K616">
        <v>1</v>
      </c>
      <c r="L616">
        <v>1</v>
      </c>
      <c r="M616">
        <v>175296.76</v>
      </c>
      <c r="N616">
        <v>0</v>
      </c>
      <c r="O616" t="str">
        <f t="shared" si="36"/>
        <v>Good</v>
      </c>
      <c r="P616" t="str">
        <f t="shared" si="37"/>
        <v>Young Adult</v>
      </c>
      <c r="Q616" t="str">
        <f t="shared" si="38"/>
        <v>High Salary</v>
      </c>
      <c r="R616" t="str">
        <f t="shared" si="39"/>
        <v>High Balance</v>
      </c>
    </row>
    <row r="617" spans="1:18" x14ac:dyDescent="0.25">
      <c r="A617">
        <v>616</v>
      </c>
      <c r="B617">
        <v>15745295</v>
      </c>
      <c r="C617" t="s">
        <v>514</v>
      </c>
      <c r="D617" t="s">
        <v>18</v>
      </c>
      <c r="E617" t="s">
        <v>16</v>
      </c>
      <c r="F617">
        <v>727</v>
      </c>
      <c r="G617">
        <v>31</v>
      </c>
      <c r="H617">
        <v>0</v>
      </c>
      <c r="I617">
        <v>0</v>
      </c>
      <c r="J617">
        <v>1</v>
      </c>
      <c r="K617">
        <v>1</v>
      </c>
      <c r="L617">
        <v>0</v>
      </c>
      <c r="M617">
        <v>121751.03999999999</v>
      </c>
      <c r="N617">
        <v>1</v>
      </c>
      <c r="O617" t="str">
        <f t="shared" si="36"/>
        <v>Good</v>
      </c>
      <c r="P617" t="str">
        <f t="shared" si="37"/>
        <v>Adult</v>
      </c>
      <c r="Q617" t="str">
        <f t="shared" si="38"/>
        <v>High Salary</v>
      </c>
      <c r="R617" t="str">
        <f t="shared" si="39"/>
        <v>Low Balance</v>
      </c>
    </row>
    <row r="618" spans="1:18" x14ac:dyDescent="0.25">
      <c r="A618">
        <v>617</v>
      </c>
      <c r="B618">
        <v>15719352</v>
      </c>
      <c r="C618" t="s">
        <v>279</v>
      </c>
      <c r="D618" t="s">
        <v>18</v>
      </c>
      <c r="E618" t="s">
        <v>23</v>
      </c>
      <c r="F618">
        <v>754</v>
      </c>
      <c r="G618">
        <v>39</v>
      </c>
      <c r="H618">
        <v>6</v>
      </c>
      <c r="I618">
        <v>170184.99</v>
      </c>
      <c r="J618">
        <v>2</v>
      </c>
      <c r="K618">
        <v>1</v>
      </c>
      <c r="L618">
        <v>0</v>
      </c>
      <c r="M618">
        <v>89593.26</v>
      </c>
      <c r="N618">
        <v>0</v>
      </c>
      <c r="O618" t="str">
        <f t="shared" si="36"/>
        <v>Good</v>
      </c>
      <c r="P618" t="str">
        <f t="shared" si="37"/>
        <v>Adult</v>
      </c>
      <c r="Q618" t="str">
        <f t="shared" si="38"/>
        <v>High Salary</v>
      </c>
      <c r="R618" t="str">
        <f t="shared" si="39"/>
        <v>High Balance</v>
      </c>
    </row>
    <row r="619" spans="1:18" x14ac:dyDescent="0.25">
      <c r="A619">
        <v>618</v>
      </c>
      <c r="B619">
        <v>15766575</v>
      </c>
      <c r="C619" t="s">
        <v>515</v>
      </c>
      <c r="D619" t="s">
        <v>26</v>
      </c>
      <c r="E619" t="s">
        <v>16</v>
      </c>
      <c r="F619">
        <v>612</v>
      </c>
      <c r="G619">
        <v>62</v>
      </c>
      <c r="H619">
        <v>8</v>
      </c>
      <c r="I619">
        <v>140745.32999999999</v>
      </c>
      <c r="J619">
        <v>1</v>
      </c>
      <c r="K619">
        <v>1</v>
      </c>
      <c r="L619">
        <v>0</v>
      </c>
      <c r="M619">
        <v>193437.89</v>
      </c>
      <c r="N619">
        <v>1</v>
      </c>
      <c r="O619" t="str">
        <f t="shared" si="36"/>
        <v>Average</v>
      </c>
      <c r="P619" t="str">
        <f t="shared" si="37"/>
        <v>Senior</v>
      </c>
      <c r="Q619" t="str">
        <f t="shared" si="38"/>
        <v>High Salary</v>
      </c>
      <c r="R619" t="str">
        <f t="shared" si="39"/>
        <v>High Balance</v>
      </c>
    </row>
    <row r="620" spans="1:18" x14ac:dyDescent="0.25">
      <c r="A620">
        <v>619</v>
      </c>
      <c r="B620">
        <v>15594594</v>
      </c>
      <c r="C620" t="s">
        <v>516</v>
      </c>
      <c r="D620" t="s">
        <v>18</v>
      </c>
      <c r="E620" t="s">
        <v>23</v>
      </c>
      <c r="F620">
        <v>546</v>
      </c>
      <c r="G620">
        <v>42</v>
      </c>
      <c r="H620">
        <v>7</v>
      </c>
      <c r="I620">
        <v>139070.51</v>
      </c>
      <c r="J620">
        <v>1</v>
      </c>
      <c r="K620">
        <v>1</v>
      </c>
      <c r="L620">
        <v>1</v>
      </c>
      <c r="M620">
        <v>86945</v>
      </c>
      <c r="N620">
        <v>0</v>
      </c>
      <c r="O620" t="str">
        <f t="shared" si="36"/>
        <v>Poor</v>
      </c>
      <c r="P620" t="str">
        <f t="shared" si="37"/>
        <v>Adult</v>
      </c>
      <c r="Q620" t="str">
        <f t="shared" si="38"/>
        <v>High Salary</v>
      </c>
      <c r="R620" t="str">
        <f t="shared" si="39"/>
        <v>High Balance</v>
      </c>
    </row>
    <row r="621" spans="1:18" x14ac:dyDescent="0.25">
      <c r="A621">
        <v>620</v>
      </c>
      <c r="B621">
        <v>15646161</v>
      </c>
      <c r="C621" t="s">
        <v>517</v>
      </c>
      <c r="D621" t="s">
        <v>18</v>
      </c>
      <c r="E621" t="s">
        <v>16</v>
      </c>
      <c r="F621">
        <v>673</v>
      </c>
      <c r="G621">
        <v>37</v>
      </c>
      <c r="H621">
        <v>8</v>
      </c>
      <c r="I621">
        <v>0</v>
      </c>
      <c r="J621">
        <v>2</v>
      </c>
      <c r="K621">
        <v>1</v>
      </c>
      <c r="L621">
        <v>1</v>
      </c>
      <c r="M621">
        <v>183318.79</v>
      </c>
      <c r="N621">
        <v>0</v>
      </c>
      <c r="O621" t="str">
        <f t="shared" si="36"/>
        <v>Good</v>
      </c>
      <c r="P621" t="str">
        <f t="shared" si="37"/>
        <v>Adult</v>
      </c>
      <c r="Q621" t="str">
        <f t="shared" si="38"/>
        <v>High Salary</v>
      </c>
      <c r="R621" t="str">
        <f t="shared" si="39"/>
        <v>Low Balance</v>
      </c>
    </row>
    <row r="622" spans="1:18" x14ac:dyDescent="0.25">
      <c r="A622">
        <v>621</v>
      </c>
      <c r="B622">
        <v>15682585</v>
      </c>
      <c r="C622" t="s">
        <v>518</v>
      </c>
      <c r="D622" t="s">
        <v>15</v>
      </c>
      <c r="E622" t="s">
        <v>23</v>
      </c>
      <c r="F622">
        <v>593</v>
      </c>
      <c r="G622">
        <v>35</v>
      </c>
      <c r="H622">
        <v>9</v>
      </c>
      <c r="I622">
        <v>114193.24</v>
      </c>
      <c r="J622">
        <v>1</v>
      </c>
      <c r="K622">
        <v>1</v>
      </c>
      <c r="L622">
        <v>0</v>
      </c>
      <c r="M622">
        <v>71154.100000000006</v>
      </c>
      <c r="N622">
        <v>0</v>
      </c>
      <c r="O622" t="str">
        <f t="shared" si="36"/>
        <v>Average</v>
      </c>
      <c r="P622" t="str">
        <f t="shared" si="37"/>
        <v>Adult</v>
      </c>
      <c r="Q622" t="str">
        <f t="shared" si="38"/>
        <v>High Salary</v>
      </c>
      <c r="R622" t="str">
        <f t="shared" si="39"/>
        <v>High Balance</v>
      </c>
    </row>
    <row r="623" spans="1:18" x14ac:dyDescent="0.25">
      <c r="A623">
        <v>622</v>
      </c>
      <c r="B623">
        <v>15603134</v>
      </c>
      <c r="C623" t="s">
        <v>364</v>
      </c>
      <c r="D623" t="s">
        <v>18</v>
      </c>
      <c r="E623" t="s">
        <v>16</v>
      </c>
      <c r="F623">
        <v>656</v>
      </c>
      <c r="G623">
        <v>40</v>
      </c>
      <c r="H623">
        <v>10</v>
      </c>
      <c r="I623">
        <v>167878.5</v>
      </c>
      <c r="J623">
        <v>1</v>
      </c>
      <c r="K623">
        <v>0</v>
      </c>
      <c r="L623">
        <v>1</v>
      </c>
      <c r="M623">
        <v>151887.16</v>
      </c>
      <c r="N623">
        <v>0</v>
      </c>
      <c r="O623" t="str">
        <f t="shared" si="36"/>
        <v>Average</v>
      </c>
      <c r="P623" t="str">
        <f t="shared" si="37"/>
        <v>Adult</v>
      </c>
      <c r="Q623" t="str">
        <f t="shared" si="38"/>
        <v>High Salary</v>
      </c>
      <c r="R623" t="str">
        <f t="shared" si="39"/>
        <v>High Balance</v>
      </c>
    </row>
    <row r="624" spans="1:18" x14ac:dyDescent="0.25">
      <c r="A624">
        <v>623</v>
      </c>
      <c r="B624">
        <v>15636444</v>
      </c>
      <c r="C624" t="s">
        <v>519</v>
      </c>
      <c r="D624" t="s">
        <v>26</v>
      </c>
      <c r="E624" t="s">
        <v>16</v>
      </c>
      <c r="F624">
        <v>535</v>
      </c>
      <c r="G624">
        <v>53</v>
      </c>
      <c r="H624">
        <v>5</v>
      </c>
      <c r="I624">
        <v>141616.54999999999</v>
      </c>
      <c r="J624">
        <v>2</v>
      </c>
      <c r="K624">
        <v>1</v>
      </c>
      <c r="L624">
        <v>1</v>
      </c>
      <c r="M624">
        <v>75888.649999999994</v>
      </c>
      <c r="N624">
        <v>0</v>
      </c>
      <c r="O624" t="str">
        <f t="shared" si="36"/>
        <v>Poor</v>
      </c>
      <c r="P624" t="str">
        <f t="shared" si="37"/>
        <v>Senior</v>
      </c>
      <c r="Q624" t="str">
        <f t="shared" si="38"/>
        <v>High Salary</v>
      </c>
      <c r="R624" t="str">
        <f t="shared" si="39"/>
        <v>High Balance</v>
      </c>
    </row>
    <row r="625" spans="1:18" x14ac:dyDescent="0.25">
      <c r="A625">
        <v>624</v>
      </c>
      <c r="B625">
        <v>15773456</v>
      </c>
      <c r="C625" t="s">
        <v>520</v>
      </c>
      <c r="D625" t="s">
        <v>26</v>
      </c>
      <c r="E625" t="s">
        <v>23</v>
      </c>
      <c r="F625">
        <v>678</v>
      </c>
      <c r="G625">
        <v>36</v>
      </c>
      <c r="H625">
        <v>3</v>
      </c>
      <c r="I625">
        <v>145747.67000000001</v>
      </c>
      <c r="J625">
        <v>2</v>
      </c>
      <c r="K625">
        <v>0</v>
      </c>
      <c r="L625">
        <v>1</v>
      </c>
      <c r="M625">
        <v>89566.74</v>
      </c>
      <c r="N625">
        <v>0</v>
      </c>
      <c r="O625" t="str">
        <f t="shared" si="36"/>
        <v>Good</v>
      </c>
      <c r="P625" t="str">
        <f t="shared" si="37"/>
        <v>Adult</v>
      </c>
      <c r="Q625" t="str">
        <f t="shared" si="38"/>
        <v>High Salary</v>
      </c>
      <c r="R625" t="str">
        <f t="shared" si="39"/>
        <v>High Balance</v>
      </c>
    </row>
    <row r="626" spans="1:18" x14ac:dyDescent="0.25">
      <c r="A626">
        <v>625</v>
      </c>
      <c r="B626">
        <v>15745307</v>
      </c>
      <c r="C626" t="s">
        <v>262</v>
      </c>
      <c r="D626" t="s">
        <v>18</v>
      </c>
      <c r="E626" t="s">
        <v>16</v>
      </c>
      <c r="F626">
        <v>477</v>
      </c>
      <c r="G626">
        <v>37</v>
      </c>
      <c r="H626">
        <v>2</v>
      </c>
      <c r="I626">
        <v>129120.64</v>
      </c>
      <c r="J626">
        <v>1</v>
      </c>
      <c r="K626">
        <v>0</v>
      </c>
      <c r="L626">
        <v>1</v>
      </c>
      <c r="M626">
        <v>26475.79</v>
      </c>
      <c r="N626">
        <v>0</v>
      </c>
      <c r="O626" t="str">
        <f t="shared" si="36"/>
        <v>Poor</v>
      </c>
      <c r="P626" t="str">
        <f t="shared" si="37"/>
        <v>Adult</v>
      </c>
      <c r="Q626" t="str">
        <f t="shared" si="38"/>
        <v>Low Salary</v>
      </c>
      <c r="R626" t="str">
        <f t="shared" si="39"/>
        <v>High Balance</v>
      </c>
    </row>
    <row r="627" spans="1:18" x14ac:dyDescent="0.25">
      <c r="A627">
        <v>626</v>
      </c>
      <c r="B627">
        <v>15604119</v>
      </c>
      <c r="C627" t="s">
        <v>521</v>
      </c>
      <c r="D627" t="s">
        <v>18</v>
      </c>
      <c r="E627" t="s">
        <v>23</v>
      </c>
      <c r="F627">
        <v>850</v>
      </c>
      <c r="G627">
        <v>35</v>
      </c>
      <c r="H627">
        <v>7</v>
      </c>
      <c r="I627">
        <v>110349.82</v>
      </c>
      <c r="J627">
        <v>1</v>
      </c>
      <c r="K627">
        <v>0</v>
      </c>
      <c r="L627">
        <v>0</v>
      </c>
      <c r="M627">
        <v>126355.8</v>
      </c>
      <c r="N627">
        <v>0</v>
      </c>
      <c r="O627" t="str">
        <f t="shared" si="36"/>
        <v>Good</v>
      </c>
      <c r="P627" t="str">
        <f t="shared" si="37"/>
        <v>Adult</v>
      </c>
      <c r="Q627" t="str">
        <f t="shared" si="38"/>
        <v>High Salary</v>
      </c>
      <c r="R627" t="str">
        <f t="shared" si="39"/>
        <v>High Balance</v>
      </c>
    </row>
    <row r="628" spans="1:18" x14ac:dyDescent="0.25">
      <c r="A628">
        <v>627</v>
      </c>
      <c r="B628">
        <v>15626900</v>
      </c>
      <c r="C628" t="s">
        <v>455</v>
      </c>
      <c r="D628" t="s">
        <v>15</v>
      </c>
      <c r="E628" t="s">
        <v>23</v>
      </c>
      <c r="F628">
        <v>427</v>
      </c>
      <c r="G628">
        <v>29</v>
      </c>
      <c r="H628">
        <v>1</v>
      </c>
      <c r="I628">
        <v>141325.56</v>
      </c>
      <c r="J628">
        <v>1</v>
      </c>
      <c r="K628">
        <v>1</v>
      </c>
      <c r="L628">
        <v>1</v>
      </c>
      <c r="M628">
        <v>93839.3</v>
      </c>
      <c r="N628">
        <v>0</v>
      </c>
      <c r="O628" t="str">
        <f t="shared" si="36"/>
        <v>Poor</v>
      </c>
      <c r="P628" t="str">
        <f t="shared" si="37"/>
        <v>Young Adult</v>
      </c>
      <c r="Q628" t="str">
        <f t="shared" si="38"/>
        <v>High Salary</v>
      </c>
      <c r="R628" t="str">
        <f t="shared" si="39"/>
        <v>High Balance</v>
      </c>
    </row>
    <row r="629" spans="1:18" x14ac:dyDescent="0.25">
      <c r="A629">
        <v>628</v>
      </c>
      <c r="B629">
        <v>15605447</v>
      </c>
      <c r="C629" t="s">
        <v>91</v>
      </c>
      <c r="D629" t="s">
        <v>15</v>
      </c>
      <c r="E629" t="s">
        <v>23</v>
      </c>
      <c r="F629">
        <v>752</v>
      </c>
      <c r="G629">
        <v>49</v>
      </c>
      <c r="H629">
        <v>2</v>
      </c>
      <c r="I629">
        <v>78653.84</v>
      </c>
      <c r="J629">
        <v>1</v>
      </c>
      <c r="K629">
        <v>1</v>
      </c>
      <c r="L629">
        <v>0</v>
      </c>
      <c r="M629">
        <v>7698.6</v>
      </c>
      <c r="N629">
        <v>0</v>
      </c>
      <c r="O629" t="str">
        <f t="shared" si="36"/>
        <v>Good</v>
      </c>
      <c r="P629" t="str">
        <f t="shared" si="37"/>
        <v>Adult</v>
      </c>
      <c r="Q629" t="str">
        <f t="shared" si="38"/>
        <v>Low Salary</v>
      </c>
      <c r="R629" t="str">
        <f t="shared" si="39"/>
        <v>Medium Balance</v>
      </c>
    </row>
    <row r="630" spans="1:18" x14ac:dyDescent="0.25">
      <c r="A630">
        <v>629</v>
      </c>
      <c r="B630">
        <v>15589030</v>
      </c>
      <c r="C630" t="s">
        <v>305</v>
      </c>
      <c r="D630" t="s">
        <v>15</v>
      </c>
      <c r="E630" t="s">
        <v>23</v>
      </c>
      <c r="F630">
        <v>649</v>
      </c>
      <c r="G630">
        <v>47</v>
      </c>
      <c r="H630">
        <v>1</v>
      </c>
      <c r="I630">
        <v>0</v>
      </c>
      <c r="J630">
        <v>2</v>
      </c>
      <c r="K630">
        <v>1</v>
      </c>
      <c r="L630">
        <v>1</v>
      </c>
      <c r="M630">
        <v>145593.85</v>
      </c>
      <c r="N630">
        <v>0</v>
      </c>
      <c r="O630" t="str">
        <f t="shared" si="36"/>
        <v>Average</v>
      </c>
      <c r="P630" t="str">
        <f t="shared" si="37"/>
        <v>Adult</v>
      </c>
      <c r="Q630" t="str">
        <f t="shared" si="38"/>
        <v>High Salary</v>
      </c>
      <c r="R630" t="str">
        <f t="shared" si="39"/>
        <v>Low Balance</v>
      </c>
    </row>
    <row r="631" spans="1:18" x14ac:dyDescent="0.25">
      <c r="A631">
        <v>630</v>
      </c>
      <c r="B631">
        <v>15692463</v>
      </c>
      <c r="C631" t="s">
        <v>522</v>
      </c>
      <c r="D631" t="s">
        <v>18</v>
      </c>
      <c r="E631" t="s">
        <v>16</v>
      </c>
      <c r="F631">
        <v>799</v>
      </c>
      <c r="G631">
        <v>37</v>
      </c>
      <c r="H631">
        <v>3</v>
      </c>
      <c r="I631">
        <v>142253.65</v>
      </c>
      <c r="J631">
        <v>1</v>
      </c>
      <c r="K631">
        <v>1</v>
      </c>
      <c r="L631">
        <v>0</v>
      </c>
      <c r="M631">
        <v>45042.559999999998</v>
      </c>
      <c r="N631">
        <v>0</v>
      </c>
      <c r="O631" t="str">
        <f t="shared" si="36"/>
        <v>Good</v>
      </c>
      <c r="P631" t="str">
        <f t="shared" si="37"/>
        <v>Adult</v>
      </c>
      <c r="Q631" t="str">
        <f t="shared" si="38"/>
        <v>Medium Salary</v>
      </c>
      <c r="R631" t="str">
        <f t="shared" si="39"/>
        <v>High Balance</v>
      </c>
    </row>
    <row r="632" spans="1:18" x14ac:dyDescent="0.25">
      <c r="A632">
        <v>631</v>
      </c>
      <c r="B632">
        <v>15712403</v>
      </c>
      <c r="C632" t="s">
        <v>523</v>
      </c>
      <c r="D632" t="s">
        <v>15</v>
      </c>
      <c r="E632" t="s">
        <v>16</v>
      </c>
      <c r="F632">
        <v>589</v>
      </c>
      <c r="G632">
        <v>61</v>
      </c>
      <c r="H632">
        <v>1</v>
      </c>
      <c r="I632">
        <v>0</v>
      </c>
      <c r="J632">
        <v>1</v>
      </c>
      <c r="K632">
        <v>1</v>
      </c>
      <c r="L632">
        <v>0</v>
      </c>
      <c r="M632">
        <v>61108.56</v>
      </c>
      <c r="N632">
        <v>1</v>
      </c>
      <c r="O632" t="str">
        <f t="shared" si="36"/>
        <v>Average</v>
      </c>
      <c r="P632" t="str">
        <f t="shared" si="37"/>
        <v>Senior</v>
      </c>
      <c r="Q632" t="str">
        <f t="shared" si="38"/>
        <v>Medium Salary</v>
      </c>
      <c r="R632" t="str">
        <f t="shared" si="39"/>
        <v>Low Balance</v>
      </c>
    </row>
    <row r="633" spans="1:18" x14ac:dyDescent="0.25">
      <c r="A633">
        <v>632</v>
      </c>
      <c r="B633">
        <v>15811762</v>
      </c>
      <c r="C633" t="s">
        <v>524</v>
      </c>
      <c r="D633" t="s">
        <v>26</v>
      </c>
      <c r="E633" t="s">
        <v>16</v>
      </c>
      <c r="F633">
        <v>583</v>
      </c>
      <c r="G633">
        <v>54</v>
      </c>
      <c r="H633">
        <v>6</v>
      </c>
      <c r="I633">
        <v>115988.86</v>
      </c>
      <c r="J633">
        <v>1</v>
      </c>
      <c r="K633">
        <v>1</v>
      </c>
      <c r="L633">
        <v>0</v>
      </c>
      <c r="M633">
        <v>57553.98</v>
      </c>
      <c r="N633">
        <v>1</v>
      </c>
      <c r="O633" t="str">
        <f t="shared" si="36"/>
        <v>Average</v>
      </c>
      <c r="P633" t="str">
        <f t="shared" si="37"/>
        <v>Senior</v>
      </c>
      <c r="Q633" t="str">
        <f t="shared" si="38"/>
        <v>Medium Salary</v>
      </c>
      <c r="R633" t="str">
        <f t="shared" si="39"/>
        <v>High Balance</v>
      </c>
    </row>
    <row r="634" spans="1:18" x14ac:dyDescent="0.25">
      <c r="A634">
        <v>633</v>
      </c>
      <c r="B634">
        <v>15718673</v>
      </c>
      <c r="C634" t="s">
        <v>525</v>
      </c>
      <c r="D634" t="s">
        <v>18</v>
      </c>
      <c r="E634" t="s">
        <v>16</v>
      </c>
      <c r="F634">
        <v>839</v>
      </c>
      <c r="G634">
        <v>37</v>
      </c>
      <c r="H634">
        <v>10</v>
      </c>
      <c r="I634">
        <v>75592.429999999993</v>
      </c>
      <c r="J634">
        <v>1</v>
      </c>
      <c r="K634">
        <v>1</v>
      </c>
      <c r="L634">
        <v>0</v>
      </c>
      <c r="M634">
        <v>62674.42</v>
      </c>
      <c r="N634">
        <v>0</v>
      </c>
      <c r="O634" t="str">
        <f t="shared" si="36"/>
        <v>Good</v>
      </c>
      <c r="P634" t="str">
        <f t="shared" si="37"/>
        <v>Adult</v>
      </c>
      <c r="Q634" t="str">
        <f t="shared" si="38"/>
        <v>Medium Salary</v>
      </c>
      <c r="R634" t="str">
        <f t="shared" si="39"/>
        <v>Medium Balance</v>
      </c>
    </row>
    <row r="635" spans="1:18" x14ac:dyDescent="0.25">
      <c r="A635">
        <v>634</v>
      </c>
      <c r="B635">
        <v>15724282</v>
      </c>
      <c r="C635" t="s">
        <v>75</v>
      </c>
      <c r="D635" t="s">
        <v>26</v>
      </c>
      <c r="E635" t="s">
        <v>23</v>
      </c>
      <c r="F635">
        <v>540</v>
      </c>
      <c r="G635">
        <v>44</v>
      </c>
      <c r="H635">
        <v>3</v>
      </c>
      <c r="I635">
        <v>164113.04</v>
      </c>
      <c r="J635">
        <v>2</v>
      </c>
      <c r="K635">
        <v>1</v>
      </c>
      <c r="L635">
        <v>1</v>
      </c>
      <c r="M635">
        <v>12120.79</v>
      </c>
      <c r="N635">
        <v>0</v>
      </c>
      <c r="O635" t="str">
        <f t="shared" si="36"/>
        <v>Poor</v>
      </c>
      <c r="P635" t="str">
        <f t="shared" si="37"/>
        <v>Adult</v>
      </c>
      <c r="Q635" t="str">
        <f t="shared" si="38"/>
        <v>Low Salary</v>
      </c>
      <c r="R635" t="str">
        <f t="shared" si="39"/>
        <v>High Balance</v>
      </c>
    </row>
    <row r="636" spans="1:18" x14ac:dyDescent="0.25">
      <c r="A636">
        <v>635</v>
      </c>
      <c r="B636">
        <v>15738181</v>
      </c>
      <c r="C636" t="s">
        <v>526</v>
      </c>
      <c r="D636" t="s">
        <v>15</v>
      </c>
      <c r="E636" t="s">
        <v>23</v>
      </c>
      <c r="F636">
        <v>850</v>
      </c>
      <c r="G636">
        <v>31</v>
      </c>
      <c r="H636">
        <v>6</v>
      </c>
      <c r="I636">
        <v>67996.23</v>
      </c>
      <c r="J636">
        <v>2</v>
      </c>
      <c r="K636">
        <v>0</v>
      </c>
      <c r="L636">
        <v>0</v>
      </c>
      <c r="M636">
        <v>50129.87</v>
      </c>
      <c r="N636">
        <v>1</v>
      </c>
      <c r="O636" t="str">
        <f t="shared" si="36"/>
        <v>Good</v>
      </c>
      <c r="P636" t="str">
        <f t="shared" si="37"/>
        <v>Adult</v>
      </c>
      <c r="Q636" t="str">
        <f t="shared" si="38"/>
        <v>Medium Salary</v>
      </c>
      <c r="R636" t="str">
        <f t="shared" si="39"/>
        <v>Medium Balance</v>
      </c>
    </row>
    <row r="637" spans="1:18" x14ac:dyDescent="0.25">
      <c r="A637">
        <v>636</v>
      </c>
      <c r="B637">
        <v>15633648</v>
      </c>
      <c r="C637" t="s">
        <v>527</v>
      </c>
      <c r="D637" t="s">
        <v>18</v>
      </c>
      <c r="E637" t="s">
        <v>16</v>
      </c>
      <c r="F637">
        <v>696</v>
      </c>
      <c r="G637">
        <v>37</v>
      </c>
      <c r="H637">
        <v>5</v>
      </c>
      <c r="I637">
        <v>0</v>
      </c>
      <c r="J637">
        <v>2</v>
      </c>
      <c r="K637">
        <v>1</v>
      </c>
      <c r="L637">
        <v>0</v>
      </c>
      <c r="M637">
        <v>55022.43</v>
      </c>
      <c r="N637">
        <v>0</v>
      </c>
      <c r="O637" t="str">
        <f t="shared" si="36"/>
        <v>Good</v>
      </c>
      <c r="P637" t="str">
        <f t="shared" si="37"/>
        <v>Adult</v>
      </c>
      <c r="Q637" t="str">
        <f t="shared" si="38"/>
        <v>Medium Salary</v>
      </c>
      <c r="R637" t="str">
        <f t="shared" si="39"/>
        <v>Low Balance</v>
      </c>
    </row>
    <row r="638" spans="1:18" x14ac:dyDescent="0.25">
      <c r="A638">
        <v>637</v>
      </c>
      <c r="B638">
        <v>15603323</v>
      </c>
      <c r="C638" t="s">
        <v>528</v>
      </c>
      <c r="D638" t="s">
        <v>18</v>
      </c>
      <c r="E638" t="s">
        <v>16</v>
      </c>
      <c r="F638">
        <v>660</v>
      </c>
      <c r="G638">
        <v>37</v>
      </c>
      <c r="H638">
        <v>1</v>
      </c>
      <c r="I638">
        <v>0</v>
      </c>
      <c r="J638">
        <v>2</v>
      </c>
      <c r="K638">
        <v>0</v>
      </c>
      <c r="L638">
        <v>0</v>
      </c>
      <c r="M638">
        <v>117834.91</v>
      </c>
      <c r="N638">
        <v>0</v>
      </c>
      <c r="O638" t="str">
        <f t="shared" si="36"/>
        <v>Average</v>
      </c>
      <c r="P638" t="str">
        <f t="shared" si="37"/>
        <v>Adult</v>
      </c>
      <c r="Q638" t="str">
        <f t="shared" si="38"/>
        <v>High Salary</v>
      </c>
      <c r="R638" t="str">
        <f t="shared" si="39"/>
        <v>Low Balance</v>
      </c>
    </row>
    <row r="639" spans="1:18" x14ac:dyDescent="0.25">
      <c r="A639">
        <v>638</v>
      </c>
      <c r="B639">
        <v>15583725</v>
      </c>
      <c r="C639" t="s">
        <v>529</v>
      </c>
      <c r="D639" t="s">
        <v>15</v>
      </c>
      <c r="E639" t="s">
        <v>23</v>
      </c>
      <c r="F639">
        <v>682</v>
      </c>
      <c r="G639">
        <v>48</v>
      </c>
      <c r="H639">
        <v>1</v>
      </c>
      <c r="I639">
        <v>138778.15</v>
      </c>
      <c r="J639">
        <v>1</v>
      </c>
      <c r="K639">
        <v>0</v>
      </c>
      <c r="L639">
        <v>1</v>
      </c>
      <c r="M639">
        <v>168840.23</v>
      </c>
      <c r="N639">
        <v>0</v>
      </c>
      <c r="O639" t="str">
        <f t="shared" si="36"/>
        <v>Good</v>
      </c>
      <c r="P639" t="str">
        <f t="shared" si="37"/>
        <v>Adult</v>
      </c>
      <c r="Q639" t="str">
        <f t="shared" si="38"/>
        <v>High Salary</v>
      </c>
      <c r="R639" t="str">
        <f t="shared" si="39"/>
        <v>High Balance</v>
      </c>
    </row>
    <row r="640" spans="1:18" x14ac:dyDescent="0.25">
      <c r="A640">
        <v>639</v>
      </c>
      <c r="B640">
        <v>15588350</v>
      </c>
      <c r="C640" t="s">
        <v>222</v>
      </c>
      <c r="D640" t="s">
        <v>15</v>
      </c>
      <c r="E640" t="s">
        <v>16</v>
      </c>
      <c r="F640">
        <v>744</v>
      </c>
      <c r="G640">
        <v>43</v>
      </c>
      <c r="H640">
        <v>10</v>
      </c>
      <c r="I640">
        <v>147832.15</v>
      </c>
      <c r="J640">
        <v>1</v>
      </c>
      <c r="K640">
        <v>0</v>
      </c>
      <c r="L640">
        <v>1</v>
      </c>
      <c r="M640">
        <v>24234.11</v>
      </c>
      <c r="N640">
        <v>0</v>
      </c>
      <c r="O640" t="str">
        <f t="shared" si="36"/>
        <v>Good</v>
      </c>
      <c r="P640" t="str">
        <f t="shared" si="37"/>
        <v>Adult</v>
      </c>
      <c r="Q640" t="str">
        <f t="shared" si="38"/>
        <v>Low Salary</v>
      </c>
      <c r="R640" t="str">
        <f t="shared" si="39"/>
        <v>High Balance</v>
      </c>
    </row>
    <row r="641" spans="1:18" x14ac:dyDescent="0.25">
      <c r="A641">
        <v>640</v>
      </c>
      <c r="B641">
        <v>15798398</v>
      </c>
      <c r="C641" t="s">
        <v>530</v>
      </c>
      <c r="D641" t="s">
        <v>15</v>
      </c>
      <c r="E641" t="s">
        <v>16</v>
      </c>
      <c r="F641">
        <v>785</v>
      </c>
      <c r="G641">
        <v>36</v>
      </c>
      <c r="H641">
        <v>4</v>
      </c>
      <c r="I641">
        <v>135438.39999999999</v>
      </c>
      <c r="J641">
        <v>1</v>
      </c>
      <c r="K641">
        <v>0</v>
      </c>
      <c r="L641">
        <v>0</v>
      </c>
      <c r="M641">
        <v>190627.01</v>
      </c>
      <c r="N641">
        <v>0</v>
      </c>
      <c r="O641" t="str">
        <f t="shared" si="36"/>
        <v>Good</v>
      </c>
      <c r="P641" t="str">
        <f t="shared" si="37"/>
        <v>Adult</v>
      </c>
      <c r="Q641" t="str">
        <f t="shared" si="38"/>
        <v>High Salary</v>
      </c>
      <c r="R641" t="str">
        <f t="shared" si="39"/>
        <v>High Balance</v>
      </c>
    </row>
    <row r="642" spans="1:18" x14ac:dyDescent="0.25">
      <c r="A642">
        <v>641</v>
      </c>
      <c r="B642">
        <v>15784844</v>
      </c>
      <c r="C642" t="s">
        <v>274</v>
      </c>
      <c r="D642" t="s">
        <v>18</v>
      </c>
      <c r="E642" t="s">
        <v>23</v>
      </c>
      <c r="F642">
        <v>752</v>
      </c>
      <c r="G642">
        <v>48</v>
      </c>
      <c r="H642">
        <v>5</v>
      </c>
      <c r="I642">
        <v>116060.08</v>
      </c>
      <c r="J642">
        <v>1</v>
      </c>
      <c r="K642">
        <v>1</v>
      </c>
      <c r="L642">
        <v>0</v>
      </c>
      <c r="M642">
        <v>156618.38</v>
      </c>
      <c r="N642">
        <v>1</v>
      </c>
      <c r="O642" t="str">
        <f t="shared" si="36"/>
        <v>Good</v>
      </c>
      <c r="P642" t="str">
        <f t="shared" si="37"/>
        <v>Adult</v>
      </c>
      <c r="Q642" t="str">
        <f t="shared" si="38"/>
        <v>High Salary</v>
      </c>
      <c r="R642" t="str">
        <f t="shared" si="39"/>
        <v>High Balance</v>
      </c>
    </row>
    <row r="643" spans="1:18" x14ac:dyDescent="0.25">
      <c r="A643">
        <v>642</v>
      </c>
      <c r="B643">
        <v>15580684</v>
      </c>
      <c r="C643" t="s">
        <v>531</v>
      </c>
      <c r="D643" t="s">
        <v>15</v>
      </c>
      <c r="E643" t="s">
        <v>16</v>
      </c>
      <c r="F643">
        <v>706</v>
      </c>
      <c r="G643">
        <v>29</v>
      </c>
      <c r="H643">
        <v>5</v>
      </c>
      <c r="I643">
        <v>112564.62</v>
      </c>
      <c r="J643">
        <v>1</v>
      </c>
      <c r="K643">
        <v>1</v>
      </c>
      <c r="L643">
        <v>0</v>
      </c>
      <c r="M643">
        <v>42334.38</v>
      </c>
      <c r="N643">
        <v>0</v>
      </c>
      <c r="O643" t="str">
        <f t="shared" ref="O643:O706" si="40">IF(F643&lt;580, "Poor", IF(AND(F643&gt;=580, F643&lt;=669), "Average", "Good"))</f>
        <v>Good</v>
      </c>
      <c r="P643" t="str">
        <f t="shared" ref="P643:P706" si="41">IF(G643&lt;=30, "Young Adult", IF(AND(G643&gt;=31, G643&lt;=50), "Adult", "Senior"))</f>
        <v>Young Adult</v>
      </c>
      <c r="Q643" t="str">
        <f t="shared" ref="Q643:Q706" si="42">IF(M643&lt;30000, "Low Salary", IF(AND(M643&gt;=30000, M643&lt;=70000), "Medium Salary", "High Salary"))</f>
        <v>Medium Salary</v>
      </c>
      <c r="R643" t="str">
        <f t="shared" ref="R643:R706" si="43">IF(I643&lt;50000, "Low Balance", IF(AND(I643&gt;=50000, I643&lt;=100000), "Medium Balance", "High Balance"))</f>
        <v>High Balance</v>
      </c>
    </row>
    <row r="644" spans="1:18" x14ac:dyDescent="0.25">
      <c r="A644">
        <v>643</v>
      </c>
      <c r="B644">
        <v>15809663</v>
      </c>
      <c r="C644" t="s">
        <v>532</v>
      </c>
      <c r="D644" t="s">
        <v>15</v>
      </c>
      <c r="E644" t="s">
        <v>16</v>
      </c>
      <c r="F644">
        <v>583</v>
      </c>
      <c r="G644">
        <v>27</v>
      </c>
      <c r="H644">
        <v>1</v>
      </c>
      <c r="I644">
        <v>125406.58</v>
      </c>
      <c r="J644">
        <v>1</v>
      </c>
      <c r="K644">
        <v>1</v>
      </c>
      <c r="L644">
        <v>1</v>
      </c>
      <c r="M644">
        <v>110784.42</v>
      </c>
      <c r="N644">
        <v>0</v>
      </c>
      <c r="O644" t="str">
        <f t="shared" si="40"/>
        <v>Average</v>
      </c>
      <c r="P644" t="str">
        <f t="shared" si="41"/>
        <v>Young Adult</v>
      </c>
      <c r="Q644" t="str">
        <f t="shared" si="42"/>
        <v>High Salary</v>
      </c>
      <c r="R644" t="str">
        <f t="shared" si="43"/>
        <v>High Balance</v>
      </c>
    </row>
    <row r="645" spans="1:18" x14ac:dyDescent="0.25">
      <c r="A645">
        <v>644</v>
      </c>
      <c r="B645">
        <v>15640078</v>
      </c>
      <c r="C645" t="s">
        <v>533</v>
      </c>
      <c r="D645" t="s">
        <v>26</v>
      </c>
      <c r="E645" t="s">
        <v>16</v>
      </c>
      <c r="F645">
        <v>660</v>
      </c>
      <c r="G645">
        <v>39</v>
      </c>
      <c r="H645">
        <v>5</v>
      </c>
      <c r="I645">
        <v>135134.99</v>
      </c>
      <c r="J645">
        <v>1</v>
      </c>
      <c r="K645">
        <v>1</v>
      </c>
      <c r="L645">
        <v>0</v>
      </c>
      <c r="M645">
        <v>173683</v>
      </c>
      <c r="N645">
        <v>1</v>
      </c>
      <c r="O645" t="str">
        <f t="shared" si="40"/>
        <v>Average</v>
      </c>
      <c r="P645" t="str">
        <f t="shared" si="41"/>
        <v>Adult</v>
      </c>
      <c r="Q645" t="str">
        <f t="shared" si="42"/>
        <v>High Salary</v>
      </c>
      <c r="R645" t="str">
        <f t="shared" si="43"/>
        <v>High Balance</v>
      </c>
    </row>
    <row r="646" spans="1:18" x14ac:dyDescent="0.25">
      <c r="A646">
        <v>645</v>
      </c>
      <c r="B646">
        <v>15698786</v>
      </c>
      <c r="C646" t="s">
        <v>534</v>
      </c>
      <c r="D646" t="s">
        <v>15</v>
      </c>
      <c r="E646" t="s">
        <v>16</v>
      </c>
      <c r="F646">
        <v>819</v>
      </c>
      <c r="G646">
        <v>39</v>
      </c>
      <c r="H646">
        <v>9</v>
      </c>
      <c r="I646">
        <v>133102.92000000001</v>
      </c>
      <c r="J646">
        <v>1</v>
      </c>
      <c r="K646">
        <v>1</v>
      </c>
      <c r="L646">
        <v>0</v>
      </c>
      <c r="M646">
        <v>27046.46</v>
      </c>
      <c r="N646">
        <v>1</v>
      </c>
      <c r="O646" t="str">
        <f t="shared" si="40"/>
        <v>Good</v>
      </c>
      <c r="P646" t="str">
        <f t="shared" si="41"/>
        <v>Adult</v>
      </c>
      <c r="Q646" t="str">
        <f t="shared" si="42"/>
        <v>Low Salary</v>
      </c>
      <c r="R646" t="str">
        <f t="shared" si="43"/>
        <v>High Balance</v>
      </c>
    </row>
    <row r="647" spans="1:18" x14ac:dyDescent="0.25">
      <c r="A647">
        <v>646</v>
      </c>
      <c r="B647">
        <v>15569807</v>
      </c>
      <c r="C647" t="s">
        <v>535</v>
      </c>
      <c r="D647" t="s">
        <v>15</v>
      </c>
      <c r="E647" t="s">
        <v>16</v>
      </c>
      <c r="F647">
        <v>673</v>
      </c>
      <c r="G647">
        <v>34</v>
      </c>
      <c r="H647">
        <v>8</v>
      </c>
      <c r="I647">
        <v>42157.08</v>
      </c>
      <c r="J647">
        <v>1</v>
      </c>
      <c r="K647">
        <v>1</v>
      </c>
      <c r="L647">
        <v>0</v>
      </c>
      <c r="M647">
        <v>20598.59</v>
      </c>
      <c r="N647">
        <v>1</v>
      </c>
      <c r="O647" t="str">
        <f t="shared" si="40"/>
        <v>Good</v>
      </c>
      <c r="P647" t="str">
        <f t="shared" si="41"/>
        <v>Adult</v>
      </c>
      <c r="Q647" t="str">
        <f t="shared" si="42"/>
        <v>Low Salary</v>
      </c>
      <c r="R647" t="str">
        <f t="shared" si="43"/>
        <v>Low Balance</v>
      </c>
    </row>
    <row r="648" spans="1:18" x14ac:dyDescent="0.25">
      <c r="A648">
        <v>647</v>
      </c>
      <c r="B648">
        <v>15730830</v>
      </c>
      <c r="C648" t="s">
        <v>536</v>
      </c>
      <c r="D648" t="s">
        <v>15</v>
      </c>
      <c r="E648" t="s">
        <v>16</v>
      </c>
      <c r="F648">
        <v>752</v>
      </c>
      <c r="G648">
        <v>30</v>
      </c>
      <c r="H648">
        <v>3</v>
      </c>
      <c r="I648">
        <v>0</v>
      </c>
      <c r="J648">
        <v>2</v>
      </c>
      <c r="K648">
        <v>1</v>
      </c>
      <c r="L648">
        <v>1</v>
      </c>
      <c r="M648">
        <v>104991.28</v>
      </c>
      <c r="N648">
        <v>0</v>
      </c>
      <c r="O648" t="str">
        <f t="shared" si="40"/>
        <v>Good</v>
      </c>
      <c r="P648" t="str">
        <f t="shared" si="41"/>
        <v>Young Adult</v>
      </c>
      <c r="Q648" t="str">
        <f t="shared" si="42"/>
        <v>High Salary</v>
      </c>
      <c r="R648" t="str">
        <f t="shared" si="43"/>
        <v>Low Balance</v>
      </c>
    </row>
    <row r="649" spans="1:18" x14ac:dyDescent="0.25">
      <c r="A649">
        <v>648</v>
      </c>
      <c r="B649">
        <v>15805112</v>
      </c>
      <c r="C649" t="s">
        <v>537</v>
      </c>
      <c r="D649" t="s">
        <v>15</v>
      </c>
      <c r="E649" t="s">
        <v>23</v>
      </c>
      <c r="F649">
        <v>578</v>
      </c>
      <c r="G649">
        <v>38</v>
      </c>
      <c r="H649">
        <v>7</v>
      </c>
      <c r="I649">
        <v>82259.289999999994</v>
      </c>
      <c r="J649">
        <v>1</v>
      </c>
      <c r="K649">
        <v>1</v>
      </c>
      <c r="L649">
        <v>0</v>
      </c>
      <c r="M649">
        <v>8996.9699999999993</v>
      </c>
      <c r="N649">
        <v>0</v>
      </c>
      <c r="O649" t="str">
        <f t="shared" si="40"/>
        <v>Poor</v>
      </c>
      <c r="P649" t="str">
        <f t="shared" si="41"/>
        <v>Adult</v>
      </c>
      <c r="Q649" t="str">
        <f t="shared" si="42"/>
        <v>Low Salary</v>
      </c>
      <c r="R649" t="str">
        <f t="shared" si="43"/>
        <v>Medium Balance</v>
      </c>
    </row>
    <row r="650" spans="1:18" x14ac:dyDescent="0.25">
      <c r="A650">
        <v>649</v>
      </c>
      <c r="B650">
        <v>15633064</v>
      </c>
      <c r="C650" t="s">
        <v>538</v>
      </c>
      <c r="D650" t="s">
        <v>15</v>
      </c>
      <c r="E650" t="s">
        <v>16</v>
      </c>
      <c r="F650">
        <v>438</v>
      </c>
      <c r="G650">
        <v>36</v>
      </c>
      <c r="H650">
        <v>4</v>
      </c>
      <c r="I650">
        <v>0</v>
      </c>
      <c r="J650">
        <v>2</v>
      </c>
      <c r="K650">
        <v>1</v>
      </c>
      <c r="L650">
        <v>0</v>
      </c>
      <c r="M650">
        <v>64420.5</v>
      </c>
      <c r="N650">
        <v>0</v>
      </c>
      <c r="O650" t="str">
        <f t="shared" si="40"/>
        <v>Poor</v>
      </c>
      <c r="P650" t="str">
        <f t="shared" si="41"/>
        <v>Adult</v>
      </c>
      <c r="Q650" t="str">
        <f t="shared" si="42"/>
        <v>Medium Salary</v>
      </c>
      <c r="R650" t="str">
        <f t="shared" si="43"/>
        <v>Low Balance</v>
      </c>
    </row>
    <row r="651" spans="1:18" x14ac:dyDescent="0.25">
      <c r="A651">
        <v>650</v>
      </c>
      <c r="B651">
        <v>15703119</v>
      </c>
      <c r="C651" t="s">
        <v>539</v>
      </c>
      <c r="D651" t="s">
        <v>15</v>
      </c>
      <c r="E651" t="s">
        <v>23</v>
      </c>
      <c r="F651">
        <v>652</v>
      </c>
      <c r="G651">
        <v>38</v>
      </c>
      <c r="H651">
        <v>6</v>
      </c>
      <c r="I651">
        <v>0</v>
      </c>
      <c r="J651">
        <v>2</v>
      </c>
      <c r="K651">
        <v>1</v>
      </c>
      <c r="L651">
        <v>1</v>
      </c>
      <c r="M651">
        <v>145700.22</v>
      </c>
      <c r="N651">
        <v>0</v>
      </c>
      <c r="O651" t="str">
        <f t="shared" si="40"/>
        <v>Average</v>
      </c>
      <c r="P651" t="str">
        <f t="shared" si="41"/>
        <v>Adult</v>
      </c>
      <c r="Q651" t="str">
        <f t="shared" si="42"/>
        <v>High Salary</v>
      </c>
      <c r="R651" t="str">
        <f t="shared" si="43"/>
        <v>Low Balance</v>
      </c>
    </row>
    <row r="652" spans="1:18" x14ac:dyDescent="0.25">
      <c r="A652">
        <v>651</v>
      </c>
      <c r="B652">
        <v>15730447</v>
      </c>
      <c r="C652" t="s">
        <v>540</v>
      </c>
      <c r="D652" t="s">
        <v>15</v>
      </c>
      <c r="E652" t="s">
        <v>16</v>
      </c>
      <c r="F652">
        <v>629</v>
      </c>
      <c r="G652">
        <v>49</v>
      </c>
      <c r="H652">
        <v>4</v>
      </c>
      <c r="I652">
        <v>0</v>
      </c>
      <c r="J652">
        <v>2</v>
      </c>
      <c r="K652">
        <v>1</v>
      </c>
      <c r="L652">
        <v>1</v>
      </c>
      <c r="M652">
        <v>196335.48</v>
      </c>
      <c r="N652">
        <v>0</v>
      </c>
      <c r="O652" t="str">
        <f t="shared" si="40"/>
        <v>Average</v>
      </c>
      <c r="P652" t="str">
        <f t="shared" si="41"/>
        <v>Adult</v>
      </c>
      <c r="Q652" t="str">
        <f t="shared" si="42"/>
        <v>High Salary</v>
      </c>
      <c r="R652" t="str">
        <f t="shared" si="43"/>
        <v>Low Balance</v>
      </c>
    </row>
    <row r="653" spans="1:18" x14ac:dyDescent="0.25">
      <c r="A653">
        <v>652</v>
      </c>
      <c r="B653">
        <v>15813850</v>
      </c>
      <c r="C653" t="s">
        <v>541</v>
      </c>
      <c r="D653" t="s">
        <v>15</v>
      </c>
      <c r="E653" t="s">
        <v>23</v>
      </c>
      <c r="F653">
        <v>720</v>
      </c>
      <c r="G653">
        <v>52</v>
      </c>
      <c r="H653">
        <v>7</v>
      </c>
      <c r="I653">
        <v>0</v>
      </c>
      <c r="J653">
        <v>1</v>
      </c>
      <c r="K653">
        <v>1</v>
      </c>
      <c r="L653">
        <v>1</v>
      </c>
      <c r="M653">
        <v>14781.12</v>
      </c>
      <c r="N653">
        <v>0</v>
      </c>
      <c r="O653" t="str">
        <f t="shared" si="40"/>
        <v>Good</v>
      </c>
      <c r="P653" t="str">
        <f t="shared" si="41"/>
        <v>Senior</v>
      </c>
      <c r="Q653" t="str">
        <f t="shared" si="42"/>
        <v>Low Salary</v>
      </c>
      <c r="R653" t="str">
        <f t="shared" si="43"/>
        <v>Low Balance</v>
      </c>
    </row>
    <row r="654" spans="1:18" x14ac:dyDescent="0.25">
      <c r="A654">
        <v>653</v>
      </c>
      <c r="B654">
        <v>15711889</v>
      </c>
      <c r="C654" t="s">
        <v>542</v>
      </c>
      <c r="D654" t="s">
        <v>15</v>
      </c>
      <c r="E654" t="s">
        <v>23</v>
      </c>
      <c r="F654">
        <v>668</v>
      </c>
      <c r="G654">
        <v>42</v>
      </c>
      <c r="H654">
        <v>3</v>
      </c>
      <c r="I654">
        <v>150461.07</v>
      </c>
      <c r="J654">
        <v>1</v>
      </c>
      <c r="K654">
        <v>1</v>
      </c>
      <c r="L654">
        <v>0</v>
      </c>
      <c r="M654">
        <v>108139.23</v>
      </c>
      <c r="N654">
        <v>0</v>
      </c>
      <c r="O654" t="str">
        <f t="shared" si="40"/>
        <v>Average</v>
      </c>
      <c r="P654" t="str">
        <f t="shared" si="41"/>
        <v>Adult</v>
      </c>
      <c r="Q654" t="str">
        <f t="shared" si="42"/>
        <v>High Salary</v>
      </c>
      <c r="R654" t="str">
        <f t="shared" si="43"/>
        <v>High Balance</v>
      </c>
    </row>
    <row r="655" spans="1:18" x14ac:dyDescent="0.25">
      <c r="A655">
        <v>654</v>
      </c>
      <c r="B655">
        <v>15664610</v>
      </c>
      <c r="C655" t="s">
        <v>186</v>
      </c>
      <c r="D655" t="s">
        <v>26</v>
      </c>
      <c r="E655" t="s">
        <v>23</v>
      </c>
      <c r="F655">
        <v>459</v>
      </c>
      <c r="G655">
        <v>48</v>
      </c>
      <c r="H655">
        <v>4</v>
      </c>
      <c r="I655">
        <v>133994.51999999999</v>
      </c>
      <c r="J655">
        <v>1</v>
      </c>
      <c r="K655">
        <v>1</v>
      </c>
      <c r="L655">
        <v>1</v>
      </c>
      <c r="M655">
        <v>19287.060000000001</v>
      </c>
      <c r="N655">
        <v>1</v>
      </c>
      <c r="O655" t="str">
        <f t="shared" si="40"/>
        <v>Poor</v>
      </c>
      <c r="P655" t="str">
        <f t="shared" si="41"/>
        <v>Adult</v>
      </c>
      <c r="Q655" t="str">
        <f t="shared" si="42"/>
        <v>Low Salary</v>
      </c>
      <c r="R655" t="str">
        <f t="shared" si="43"/>
        <v>High Balance</v>
      </c>
    </row>
    <row r="656" spans="1:18" x14ac:dyDescent="0.25">
      <c r="A656">
        <v>655</v>
      </c>
      <c r="B656">
        <v>15751710</v>
      </c>
      <c r="C656" t="s">
        <v>208</v>
      </c>
      <c r="D656" t="s">
        <v>18</v>
      </c>
      <c r="E656" t="s">
        <v>23</v>
      </c>
      <c r="F656">
        <v>729</v>
      </c>
      <c r="G656">
        <v>31</v>
      </c>
      <c r="H656">
        <v>8</v>
      </c>
      <c r="I656">
        <v>164870.81</v>
      </c>
      <c r="J656">
        <v>2</v>
      </c>
      <c r="K656">
        <v>1</v>
      </c>
      <c r="L656">
        <v>1</v>
      </c>
      <c r="M656">
        <v>9567.39</v>
      </c>
      <c r="N656">
        <v>0</v>
      </c>
      <c r="O656" t="str">
        <f t="shared" si="40"/>
        <v>Good</v>
      </c>
      <c r="P656" t="str">
        <f t="shared" si="41"/>
        <v>Adult</v>
      </c>
      <c r="Q656" t="str">
        <f t="shared" si="42"/>
        <v>Low Salary</v>
      </c>
      <c r="R656" t="str">
        <f t="shared" si="43"/>
        <v>High Balance</v>
      </c>
    </row>
    <row r="657" spans="1:18" x14ac:dyDescent="0.25">
      <c r="A657">
        <v>656</v>
      </c>
      <c r="B657">
        <v>15692926</v>
      </c>
      <c r="C657" t="s">
        <v>271</v>
      </c>
      <c r="D657" t="s">
        <v>26</v>
      </c>
      <c r="E657" t="s">
        <v>23</v>
      </c>
      <c r="F657">
        <v>498</v>
      </c>
      <c r="G657">
        <v>25</v>
      </c>
      <c r="H657">
        <v>8</v>
      </c>
      <c r="I657">
        <v>121702.73</v>
      </c>
      <c r="J657">
        <v>1</v>
      </c>
      <c r="K657">
        <v>1</v>
      </c>
      <c r="L657">
        <v>1</v>
      </c>
      <c r="M657">
        <v>132210.49</v>
      </c>
      <c r="N657">
        <v>0</v>
      </c>
      <c r="O657" t="str">
        <f t="shared" si="40"/>
        <v>Poor</v>
      </c>
      <c r="P657" t="str">
        <f t="shared" si="41"/>
        <v>Young Adult</v>
      </c>
      <c r="Q657" t="str">
        <f t="shared" si="42"/>
        <v>High Salary</v>
      </c>
      <c r="R657" t="str">
        <f t="shared" si="43"/>
        <v>High Balance</v>
      </c>
    </row>
    <row r="658" spans="1:18" x14ac:dyDescent="0.25">
      <c r="A658">
        <v>657</v>
      </c>
      <c r="B658">
        <v>15813741</v>
      </c>
      <c r="C658" t="s">
        <v>281</v>
      </c>
      <c r="D658" t="s">
        <v>18</v>
      </c>
      <c r="E658" t="s">
        <v>23</v>
      </c>
      <c r="F658">
        <v>549</v>
      </c>
      <c r="G658">
        <v>25</v>
      </c>
      <c r="H658">
        <v>6</v>
      </c>
      <c r="I658">
        <v>193858.2</v>
      </c>
      <c r="J658">
        <v>1</v>
      </c>
      <c r="K658">
        <v>0</v>
      </c>
      <c r="L658">
        <v>1</v>
      </c>
      <c r="M658">
        <v>21600.11</v>
      </c>
      <c r="N658">
        <v>0</v>
      </c>
      <c r="O658" t="str">
        <f t="shared" si="40"/>
        <v>Poor</v>
      </c>
      <c r="P658" t="str">
        <f t="shared" si="41"/>
        <v>Young Adult</v>
      </c>
      <c r="Q658" t="str">
        <f t="shared" si="42"/>
        <v>Low Salary</v>
      </c>
      <c r="R658" t="str">
        <f t="shared" si="43"/>
        <v>High Balance</v>
      </c>
    </row>
    <row r="659" spans="1:18" x14ac:dyDescent="0.25">
      <c r="A659">
        <v>658</v>
      </c>
      <c r="B659">
        <v>15698474</v>
      </c>
      <c r="C659" t="s">
        <v>543</v>
      </c>
      <c r="D659" t="s">
        <v>26</v>
      </c>
      <c r="E659" t="s">
        <v>16</v>
      </c>
      <c r="F659">
        <v>601</v>
      </c>
      <c r="G659">
        <v>54</v>
      </c>
      <c r="H659">
        <v>1</v>
      </c>
      <c r="I659">
        <v>131039.97</v>
      </c>
      <c r="J659">
        <v>2</v>
      </c>
      <c r="K659">
        <v>1</v>
      </c>
      <c r="L659">
        <v>1</v>
      </c>
      <c r="M659">
        <v>199661.5</v>
      </c>
      <c r="N659">
        <v>0</v>
      </c>
      <c r="O659" t="str">
        <f t="shared" si="40"/>
        <v>Average</v>
      </c>
      <c r="P659" t="str">
        <f t="shared" si="41"/>
        <v>Senior</v>
      </c>
      <c r="Q659" t="str">
        <f t="shared" si="42"/>
        <v>High Salary</v>
      </c>
      <c r="R659" t="str">
        <f t="shared" si="43"/>
        <v>High Balance</v>
      </c>
    </row>
    <row r="660" spans="1:18" x14ac:dyDescent="0.25">
      <c r="A660">
        <v>659</v>
      </c>
      <c r="B660">
        <v>15568595</v>
      </c>
      <c r="C660" t="s">
        <v>544</v>
      </c>
      <c r="D660" t="s">
        <v>15</v>
      </c>
      <c r="E660" t="s">
        <v>23</v>
      </c>
      <c r="F660">
        <v>544</v>
      </c>
      <c r="G660">
        <v>64</v>
      </c>
      <c r="H660">
        <v>9</v>
      </c>
      <c r="I660">
        <v>113829.45</v>
      </c>
      <c r="J660">
        <v>1</v>
      </c>
      <c r="K660">
        <v>1</v>
      </c>
      <c r="L660">
        <v>1</v>
      </c>
      <c r="M660">
        <v>124341.49</v>
      </c>
      <c r="N660">
        <v>0</v>
      </c>
      <c r="O660" t="str">
        <f t="shared" si="40"/>
        <v>Poor</v>
      </c>
      <c r="P660" t="str">
        <f t="shared" si="41"/>
        <v>Senior</v>
      </c>
      <c r="Q660" t="str">
        <f t="shared" si="42"/>
        <v>High Salary</v>
      </c>
      <c r="R660" t="str">
        <f t="shared" si="43"/>
        <v>High Balance</v>
      </c>
    </row>
    <row r="661" spans="1:18" x14ac:dyDescent="0.25">
      <c r="A661">
        <v>660</v>
      </c>
      <c r="B661">
        <v>15603065</v>
      </c>
      <c r="C661" t="s">
        <v>545</v>
      </c>
      <c r="D661" t="s">
        <v>15</v>
      </c>
      <c r="E661" t="s">
        <v>16</v>
      </c>
      <c r="F661">
        <v>751</v>
      </c>
      <c r="G661">
        <v>30</v>
      </c>
      <c r="H661">
        <v>6</v>
      </c>
      <c r="I661">
        <v>0</v>
      </c>
      <c r="J661">
        <v>2</v>
      </c>
      <c r="K661">
        <v>1</v>
      </c>
      <c r="L661">
        <v>0</v>
      </c>
      <c r="M661">
        <v>15766.1</v>
      </c>
      <c r="N661">
        <v>0</v>
      </c>
      <c r="O661" t="str">
        <f t="shared" si="40"/>
        <v>Good</v>
      </c>
      <c r="P661" t="str">
        <f t="shared" si="41"/>
        <v>Young Adult</v>
      </c>
      <c r="Q661" t="str">
        <f t="shared" si="42"/>
        <v>Low Salary</v>
      </c>
      <c r="R661" t="str">
        <f t="shared" si="43"/>
        <v>Low Balance</v>
      </c>
    </row>
    <row r="662" spans="1:18" x14ac:dyDescent="0.25">
      <c r="A662">
        <v>661</v>
      </c>
      <c r="B662">
        <v>15592937</v>
      </c>
      <c r="C662" t="s">
        <v>546</v>
      </c>
      <c r="D662" t="s">
        <v>26</v>
      </c>
      <c r="E662" t="s">
        <v>16</v>
      </c>
      <c r="F662">
        <v>632</v>
      </c>
      <c r="G662">
        <v>41</v>
      </c>
      <c r="H662">
        <v>3</v>
      </c>
      <c r="I662">
        <v>81877.38</v>
      </c>
      <c r="J662">
        <v>1</v>
      </c>
      <c r="K662">
        <v>1</v>
      </c>
      <c r="L662">
        <v>1</v>
      </c>
      <c r="M662">
        <v>33642.21</v>
      </c>
      <c r="N662">
        <v>0</v>
      </c>
      <c r="O662" t="str">
        <f t="shared" si="40"/>
        <v>Average</v>
      </c>
      <c r="P662" t="str">
        <f t="shared" si="41"/>
        <v>Adult</v>
      </c>
      <c r="Q662" t="str">
        <f t="shared" si="42"/>
        <v>Medium Salary</v>
      </c>
      <c r="R662" t="str">
        <f t="shared" si="43"/>
        <v>Medium Balance</v>
      </c>
    </row>
    <row r="663" spans="1:18" x14ac:dyDescent="0.25">
      <c r="A663">
        <v>662</v>
      </c>
      <c r="B663">
        <v>15699637</v>
      </c>
      <c r="C663" t="s">
        <v>547</v>
      </c>
      <c r="D663" t="s">
        <v>18</v>
      </c>
      <c r="E663" t="s">
        <v>23</v>
      </c>
      <c r="F663">
        <v>694</v>
      </c>
      <c r="G663">
        <v>57</v>
      </c>
      <c r="H663">
        <v>8</v>
      </c>
      <c r="I663">
        <v>116326.07</v>
      </c>
      <c r="J663">
        <v>1</v>
      </c>
      <c r="K663">
        <v>1</v>
      </c>
      <c r="L663">
        <v>1</v>
      </c>
      <c r="M663">
        <v>117704.65</v>
      </c>
      <c r="N663">
        <v>0</v>
      </c>
      <c r="O663" t="str">
        <f t="shared" si="40"/>
        <v>Good</v>
      </c>
      <c r="P663" t="str">
        <f t="shared" si="41"/>
        <v>Senior</v>
      </c>
      <c r="Q663" t="str">
        <f t="shared" si="42"/>
        <v>High Salary</v>
      </c>
      <c r="R663" t="str">
        <f t="shared" si="43"/>
        <v>High Balance</v>
      </c>
    </row>
    <row r="664" spans="1:18" x14ac:dyDescent="0.25">
      <c r="A664">
        <v>663</v>
      </c>
      <c r="B664">
        <v>15667215</v>
      </c>
      <c r="C664" t="s">
        <v>548</v>
      </c>
      <c r="D664" t="s">
        <v>15</v>
      </c>
      <c r="E664" t="s">
        <v>23</v>
      </c>
      <c r="F664">
        <v>678</v>
      </c>
      <c r="G664">
        <v>31</v>
      </c>
      <c r="H664">
        <v>2</v>
      </c>
      <c r="I664">
        <v>0</v>
      </c>
      <c r="J664">
        <v>2</v>
      </c>
      <c r="K664">
        <v>1</v>
      </c>
      <c r="L664">
        <v>1</v>
      </c>
      <c r="M664">
        <v>58803.28</v>
      </c>
      <c r="N664">
        <v>0</v>
      </c>
      <c r="O664" t="str">
        <f t="shared" si="40"/>
        <v>Good</v>
      </c>
      <c r="P664" t="str">
        <f t="shared" si="41"/>
        <v>Adult</v>
      </c>
      <c r="Q664" t="str">
        <f t="shared" si="42"/>
        <v>Medium Salary</v>
      </c>
      <c r="R664" t="str">
        <f t="shared" si="43"/>
        <v>Low Balance</v>
      </c>
    </row>
    <row r="665" spans="1:18" x14ac:dyDescent="0.25">
      <c r="A665">
        <v>664</v>
      </c>
      <c r="B665">
        <v>15788659</v>
      </c>
      <c r="C665" t="s">
        <v>549</v>
      </c>
      <c r="D665" t="s">
        <v>15</v>
      </c>
      <c r="E665" t="s">
        <v>23</v>
      </c>
      <c r="F665">
        <v>695</v>
      </c>
      <c r="G665">
        <v>46</v>
      </c>
      <c r="H665">
        <v>4</v>
      </c>
      <c r="I665">
        <v>0</v>
      </c>
      <c r="J665">
        <v>2</v>
      </c>
      <c r="K665">
        <v>1</v>
      </c>
      <c r="L665">
        <v>1</v>
      </c>
      <c r="M665">
        <v>137537.22</v>
      </c>
      <c r="N665">
        <v>0</v>
      </c>
      <c r="O665" t="str">
        <f t="shared" si="40"/>
        <v>Good</v>
      </c>
      <c r="P665" t="str">
        <f t="shared" si="41"/>
        <v>Adult</v>
      </c>
      <c r="Q665" t="str">
        <f t="shared" si="42"/>
        <v>High Salary</v>
      </c>
      <c r="R665" t="str">
        <f t="shared" si="43"/>
        <v>Low Balance</v>
      </c>
    </row>
    <row r="666" spans="1:18" x14ac:dyDescent="0.25">
      <c r="A666">
        <v>665</v>
      </c>
      <c r="B666">
        <v>15763218</v>
      </c>
      <c r="C666" t="s">
        <v>550</v>
      </c>
      <c r="D666" t="s">
        <v>15</v>
      </c>
      <c r="E666" t="s">
        <v>16</v>
      </c>
      <c r="F666">
        <v>661</v>
      </c>
      <c r="G666">
        <v>41</v>
      </c>
      <c r="H666">
        <v>1</v>
      </c>
      <c r="I666">
        <v>0</v>
      </c>
      <c r="J666">
        <v>2</v>
      </c>
      <c r="K666">
        <v>0</v>
      </c>
      <c r="L666">
        <v>1</v>
      </c>
      <c r="M666">
        <v>131300.68</v>
      </c>
      <c r="N666">
        <v>0</v>
      </c>
      <c r="O666" t="str">
        <f t="shared" si="40"/>
        <v>Average</v>
      </c>
      <c r="P666" t="str">
        <f t="shared" si="41"/>
        <v>Adult</v>
      </c>
      <c r="Q666" t="str">
        <f t="shared" si="42"/>
        <v>High Salary</v>
      </c>
      <c r="R666" t="str">
        <f t="shared" si="43"/>
        <v>Low Balance</v>
      </c>
    </row>
    <row r="667" spans="1:18" x14ac:dyDescent="0.25">
      <c r="A667">
        <v>666</v>
      </c>
      <c r="B667">
        <v>15645772</v>
      </c>
      <c r="C667" t="s">
        <v>196</v>
      </c>
      <c r="D667" t="s">
        <v>15</v>
      </c>
      <c r="E667" t="s">
        <v>23</v>
      </c>
      <c r="F667">
        <v>661</v>
      </c>
      <c r="G667">
        <v>33</v>
      </c>
      <c r="H667">
        <v>9</v>
      </c>
      <c r="I667">
        <v>0</v>
      </c>
      <c r="J667">
        <v>2</v>
      </c>
      <c r="K667">
        <v>1</v>
      </c>
      <c r="L667">
        <v>1</v>
      </c>
      <c r="M667">
        <v>84174.81</v>
      </c>
      <c r="N667">
        <v>0</v>
      </c>
      <c r="O667" t="str">
        <f t="shared" si="40"/>
        <v>Average</v>
      </c>
      <c r="P667" t="str">
        <f t="shared" si="41"/>
        <v>Adult</v>
      </c>
      <c r="Q667" t="str">
        <f t="shared" si="42"/>
        <v>High Salary</v>
      </c>
      <c r="R667" t="str">
        <f t="shared" si="43"/>
        <v>Low Balance</v>
      </c>
    </row>
    <row r="668" spans="1:18" x14ac:dyDescent="0.25">
      <c r="A668">
        <v>667</v>
      </c>
      <c r="B668">
        <v>15725511</v>
      </c>
      <c r="C668" t="s">
        <v>93</v>
      </c>
      <c r="D668" t="s">
        <v>15</v>
      </c>
      <c r="E668" t="s">
        <v>16</v>
      </c>
      <c r="F668">
        <v>559</v>
      </c>
      <c r="G668">
        <v>31</v>
      </c>
      <c r="H668">
        <v>3</v>
      </c>
      <c r="I668">
        <v>127070.73</v>
      </c>
      <c r="J668">
        <v>1</v>
      </c>
      <c r="K668">
        <v>0</v>
      </c>
      <c r="L668">
        <v>1</v>
      </c>
      <c r="M668">
        <v>160941.78</v>
      </c>
      <c r="N668">
        <v>0</v>
      </c>
      <c r="O668" t="str">
        <f t="shared" si="40"/>
        <v>Poor</v>
      </c>
      <c r="P668" t="str">
        <f t="shared" si="41"/>
        <v>Adult</v>
      </c>
      <c r="Q668" t="str">
        <f t="shared" si="42"/>
        <v>High Salary</v>
      </c>
      <c r="R668" t="str">
        <f t="shared" si="43"/>
        <v>High Balance</v>
      </c>
    </row>
    <row r="669" spans="1:18" x14ac:dyDescent="0.25">
      <c r="A669">
        <v>668</v>
      </c>
      <c r="B669">
        <v>15575024</v>
      </c>
      <c r="C669" t="s">
        <v>551</v>
      </c>
      <c r="D669" t="s">
        <v>15</v>
      </c>
      <c r="E669" t="s">
        <v>23</v>
      </c>
      <c r="F669">
        <v>503</v>
      </c>
      <c r="G669">
        <v>29</v>
      </c>
      <c r="H669">
        <v>3</v>
      </c>
      <c r="I669">
        <v>0</v>
      </c>
      <c r="J669">
        <v>2</v>
      </c>
      <c r="K669">
        <v>1</v>
      </c>
      <c r="L669">
        <v>1</v>
      </c>
      <c r="M669">
        <v>143954.99</v>
      </c>
      <c r="N669">
        <v>0</v>
      </c>
      <c r="O669" t="str">
        <f t="shared" si="40"/>
        <v>Poor</v>
      </c>
      <c r="P669" t="str">
        <f t="shared" si="41"/>
        <v>Young Adult</v>
      </c>
      <c r="Q669" t="str">
        <f t="shared" si="42"/>
        <v>High Salary</v>
      </c>
      <c r="R669" t="str">
        <f t="shared" si="43"/>
        <v>Low Balance</v>
      </c>
    </row>
    <row r="670" spans="1:18" x14ac:dyDescent="0.25">
      <c r="A670">
        <v>669</v>
      </c>
      <c r="B670">
        <v>15640825</v>
      </c>
      <c r="C670" t="s">
        <v>552</v>
      </c>
      <c r="D670" t="s">
        <v>18</v>
      </c>
      <c r="E670" t="s">
        <v>23</v>
      </c>
      <c r="F670">
        <v>695</v>
      </c>
      <c r="G670">
        <v>46</v>
      </c>
      <c r="H670">
        <v>3</v>
      </c>
      <c r="I670">
        <v>122549.64</v>
      </c>
      <c r="J670">
        <v>1</v>
      </c>
      <c r="K670">
        <v>1</v>
      </c>
      <c r="L670">
        <v>1</v>
      </c>
      <c r="M670">
        <v>56297.85</v>
      </c>
      <c r="N670">
        <v>0</v>
      </c>
      <c r="O670" t="str">
        <f t="shared" si="40"/>
        <v>Good</v>
      </c>
      <c r="P670" t="str">
        <f t="shared" si="41"/>
        <v>Adult</v>
      </c>
      <c r="Q670" t="str">
        <f t="shared" si="42"/>
        <v>Medium Salary</v>
      </c>
      <c r="R670" t="str">
        <f t="shared" si="43"/>
        <v>High Balance</v>
      </c>
    </row>
    <row r="671" spans="1:18" x14ac:dyDescent="0.25">
      <c r="A671">
        <v>670</v>
      </c>
      <c r="B671">
        <v>15662397</v>
      </c>
      <c r="C671" t="s">
        <v>553</v>
      </c>
      <c r="D671" t="s">
        <v>15</v>
      </c>
      <c r="E671" t="s">
        <v>16</v>
      </c>
      <c r="F671">
        <v>640</v>
      </c>
      <c r="G671">
        <v>42</v>
      </c>
      <c r="H671">
        <v>5</v>
      </c>
      <c r="I671">
        <v>176099.13</v>
      </c>
      <c r="J671">
        <v>1</v>
      </c>
      <c r="K671">
        <v>1</v>
      </c>
      <c r="L671">
        <v>1</v>
      </c>
      <c r="M671">
        <v>8404.73</v>
      </c>
      <c r="N671">
        <v>0</v>
      </c>
      <c r="O671" t="str">
        <f t="shared" si="40"/>
        <v>Average</v>
      </c>
      <c r="P671" t="str">
        <f t="shared" si="41"/>
        <v>Adult</v>
      </c>
      <c r="Q671" t="str">
        <f t="shared" si="42"/>
        <v>Low Salary</v>
      </c>
      <c r="R671" t="str">
        <f t="shared" si="43"/>
        <v>High Balance</v>
      </c>
    </row>
    <row r="672" spans="1:18" x14ac:dyDescent="0.25">
      <c r="A672">
        <v>671</v>
      </c>
      <c r="B672">
        <v>15576368</v>
      </c>
      <c r="C672" t="s">
        <v>554</v>
      </c>
      <c r="D672" t="s">
        <v>26</v>
      </c>
      <c r="E672" t="s">
        <v>16</v>
      </c>
      <c r="F672">
        <v>624</v>
      </c>
      <c r="G672">
        <v>48</v>
      </c>
      <c r="H672">
        <v>3</v>
      </c>
      <c r="I672">
        <v>122388.38</v>
      </c>
      <c r="J672">
        <v>2</v>
      </c>
      <c r="K672">
        <v>0</v>
      </c>
      <c r="L672">
        <v>0</v>
      </c>
      <c r="M672">
        <v>30020.09</v>
      </c>
      <c r="N672">
        <v>0</v>
      </c>
      <c r="O672" t="str">
        <f t="shared" si="40"/>
        <v>Average</v>
      </c>
      <c r="P672" t="str">
        <f t="shared" si="41"/>
        <v>Adult</v>
      </c>
      <c r="Q672" t="str">
        <f t="shared" si="42"/>
        <v>Medium Salary</v>
      </c>
      <c r="R672" t="str">
        <f t="shared" si="43"/>
        <v>High Balance</v>
      </c>
    </row>
    <row r="673" spans="1:18" x14ac:dyDescent="0.25">
      <c r="A673">
        <v>672</v>
      </c>
      <c r="B673">
        <v>15674991</v>
      </c>
      <c r="C673" t="s">
        <v>555</v>
      </c>
      <c r="D673" t="s">
        <v>15</v>
      </c>
      <c r="E673" t="s">
        <v>23</v>
      </c>
      <c r="F673">
        <v>667</v>
      </c>
      <c r="G673">
        <v>42</v>
      </c>
      <c r="H673">
        <v>9</v>
      </c>
      <c r="I673">
        <v>0</v>
      </c>
      <c r="J673">
        <v>2</v>
      </c>
      <c r="K673">
        <v>0</v>
      </c>
      <c r="L673">
        <v>1</v>
      </c>
      <c r="M673">
        <v>58137.42</v>
      </c>
      <c r="N673">
        <v>0</v>
      </c>
      <c r="O673" t="str">
        <f t="shared" si="40"/>
        <v>Average</v>
      </c>
      <c r="P673" t="str">
        <f t="shared" si="41"/>
        <v>Adult</v>
      </c>
      <c r="Q673" t="str">
        <f t="shared" si="42"/>
        <v>Medium Salary</v>
      </c>
      <c r="R673" t="str">
        <f t="shared" si="43"/>
        <v>Low Balance</v>
      </c>
    </row>
    <row r="674" spans="1:18" x14ac:dyDescent="0.25">
      <c r="A674">
        <v>673</v>
      </c>
      <c r="B674">
        <v>15721024</v>
      </c>
      <c r="C674" t="s">
        <v>556</v>
      </c>
      <c r="D674" t="s">
        <v>15</v>
      </c>
      <c r="E674" t="s">
        <v>23</v>
      </c>
      <c r="F674">
        <v>642</v>
      </c>
      <c r="G674">
        <v>26</v>
      </c>
      <c r="H674">
        <v>0</v>
      </c>
      <c r="I674">
        <v>0</v>
      </c>
      <c r="J674">
        <v>1</v>
      </c>
      <c r="K674">
        <v>0</v>
      </c>
      <c r="L674">
        <v>0</v>
      </c>
      <c r="M674">
        <v>47472.68</v>
      </c>
      <c r="N674">
        <v>0</v>
      </c>
      <c r="O674" t="str">
        <f t="shared" si="40"/>
        <v>Average</v>
      </c>
      <c r="P674" t="str">
        <f t="shared" si="41"/>
        <v>Young Adult</v>
      </c>
      <c r="Q674" t="str">
        <f t="shared" si="42"/>
        <v>Medium Salary</v>
      </c>
      <c r="R674" t="str">
        <f t="shared" si="43"/>
        <v>Low Balance</v>
      </c>
    </row>
    <row r="675" spans="1:18" x14ac:dyDescent="0.25">
      <c r="A675">
        <v>674</v>
      </c>
      <c r="B675">
        <v>15745621</v>
      </c>
      <c r="C675" t="s">
        <v>557</v>
      </c>
      <c r="D675" t="s">
        <v>18</v>
      </c>
      <c r="E675" t="s">
        <v>16</v>
      </c>
      <c r="F675">
        <v>640</v>
      </c>
      <c r="G675">
        <v>37</v>
      </c>
      <c r="H675">
        <v>6</v>
      </c>
      <c r="I675">
        <v>118879.35</v>
      </c>
      <c r="J675">
        <v>2</v>
      </c>
      <c r="K675">
        <v>1</v>
      </c>
      <c r="L675">
        <v>1</v>
      </c>
      <c r="M675">
        <v>19131.71</v>
      </c>
      <c r="N675">
        <v>0</v>
      </c>
      <c r="O675" t="str">
        <f t="shared" si="40"/>
        <v>Average</v>
      </c>
      <c r="P675" t="str">
        <f t="shared" si="41"/>
        <v>Adult</v>
      </c>
      <c r="Q675" t="str">
        <f t="shared" si="42"/>
        <v>Low Salary</v>
      </c>
      <c r="R675" t="str">
        <f t="shared" si="43"/>
        <v>High Balance</v>
      </c>
    </row>
    <row r="676" spans="1:18" x14ac:dyDescent="0.25">
      <c r="A676">
        <v>675</v>
      </c>
      <c r="B676">
        <v>15642394</v>
      </c>
      <c r="C676" t="s">
        <v>27</v>
      </c>
      <c r="D676" t="s">
        <v>18</v>
      </c>
      <c r="E676" t="s">
        <v>23</v>
      </c>
      <c r="F676">
        <v>529</v>
      </c>
      <c r="G676">
        <v>35</v>
      </c>
      <c r="H676">
        <v>5</v>
      </c>
      <c r="I676">
        <v>0</v>
      </c>
      <c r="J676">
        <v>2</v>
      </c>
      <c r="K676">
        <v>1</v>
      </c>
      <c r="L676">
        <v>1</v>
      </c>
      <c r="M676">
        <v>187288.5</v>
      </c>
      <c r="N676">
        <v>0</v>
      </c>
      <c r="O676" t="str">
        <f t="shared" si="40"/>
        <v>Poor</v>
      </c>
      <c r="P676" t="str">
        <f t="shared" si="41"/>
        <v>Adult</v>
      </c>
      <c r="Q676" t="str">
        <f t="shared" si="42"/>
        <v>High Salary</v>
      </c>
      <c r="R676" t="str">
        <f t="shared" si="43"/>
        <v>Low Balance</v>
      </c>
    </row>
    <row r="677" spans="1:18" x14ac:dyDescent="0.25">
      <c r="A677">
        <v>676</v>
      </c>
      <c r="B677">
        <v>15754605</v>
      </c>
      <c r="C677" t="s">
        <v>558</v>
      </c>
      <c r="D677" t="s">
        <v>15</v>
      </c>
      <c r="E677" t="s">
        <v>16</v>
      </c>
      <c r="F677">
        <v>563</v>
      </c>
      <c r="G677">
        <v>39</v>
      </c>
      <c r="H677">
        <v>5</v>
      </c>
      <c r="I677">
        <v>0</v>
      </c>
      <c r="J677">
        <v>2</v>
      </c>
      <c r="K677">
        <v>1</v>
      </c>
      <c r="L677">
        <v>1</v>
      </c>
      <c r="M677">
        <v>17603.810000000001</v>
      </c>
      <c r="N677">
        <v>0</v>
      </c>
      <c r="O677" t="str">
        <f t="shared" si="40"/>
        <v>Poor</v>
      </c>
      <c r="P677" t="str">
        <f t="shared" si="41"/>
        <v>Adult</v>
      </c>
      <c r="Q677" t="str">
        <f t="shared" si="42"/>
        <v>Low Salary</v>
      </c>
      <c r="R677" t="str">
        <f t="shared" si="43"/>
        <v>Low Balance</v>
      </c>
    </row>
    <row r="678" spans="1:18" x14ac:dyDescent="0.25">
      <c r="A678">
        <v>677</v>
      </c>
      <c r="B678">
        <v>15607040</v>
      </c>
      <c r="C678" t="s">
        <v>559</v>
      </c>
      <c r="D678" t="s">
        <v>18</v>
      </c>
      <c r="E678" t="s">
        <v>16</v>
      </c>
      <c r="F678">
        <v>593</v>
      </c>
      <c r="G678">
        <v>37</v>
      </c>
      <c r="H678">
        <v>4</v>
      </c>
      <c r="I678">
        <v>88736.44</v>
      </c>
      <c r="J678">
        <v>2</v>
      </c>
      <c r="K678">
        <v>1</v>
      </c>
      <c r="L678">
        <v>0</v>
      </c>
      <c r="M678">
        <v>67020.03</v>
      </c>
      <c r="N678">
        <v>0</v>
      </c>
      <c r="O678" t="str">
        <f t="shared" si="40"/>
        <v>Average</v>
      </c>
      <c r="P678" t="str">
        <f t="shared" si="41"/>
        <v>Adult</v>
      </c>
      <c r="Q678" t="str">
        <f t="shared" si="42"/>
        <v>Medium Salary</v>
      </c>
      <c r="R678" t="str">
        <f t="shared" si="43"/>
        <v>Medium Balance</v>
      </c>
    </row>
    <row r="679" spans="1:18" x14ac:dyDescent="0.25">
      <c r="A679">
        <v>678</v>
      </c>
      <c r="B679">
        <v>15715142</v>
      </c>
      <c r="C679" t="s">
        <v>560</v>
      </c>
      <c r="D679" t="s">
        <v>26</v>
      </c>
      <c r="E679" t="s">
        <v>23</v>
      </c>
      <c r="F679">
        <v>739</v>
      </c>
      <c r="G679">
        <v>45</v>
      </c>
      <c r="H679">
        <v>7</v>
      </c>
      <c r="I679">
        <v>102703.62</v>
      </c>
      <c r="J679">
        <v>1</v>
      </c>
      <c r="K679">
        <v>0</v>
      </c>
      <c r="L679">
        <v>1</v>
      </c>
      <c r="M679">
        <v>147802.94</v>
      </c>
      <c r="N679">
        <v>1</v>
      </c>
      <c r="O679" t="str">
        <f t="shared" si="40"/>
        <v>Good</v>
      </c>
      <c r="P679" t="str">
        <f t="shared" si="41"/>
        <v>Adult</v>
      </c>
      <c r="Q679" t="str">
        <f t="shared" si="42"/>
        <v>High Salary</v>
      </c>
      <c r="R679" t="str">
        <f t="shared" si="43"/>
        <v>High Balance</v>
      </c>
    </row>
    <row r="680" spans="1:18" x14ac:dyDescent="0.25">
      <c r="A680">
        <v>679</v>
      </c>
      <c r="B680">
        <v>15810978</v>
      </c>
      <c r="C680" t="s">
        <v>561</v>
      </c>
      <c r="D680" t="s">
        <v>18</v>
      </c>
      <c r="E680" t="s">
        <v>16</v>
      </c>
      <c r="F680">
        <v>788</v>
      </c>
      <c r="G680">
        <v>37</v>
      </c>
      <c r="H680">
        <v>1</v>
      </c>
      <c r="I680">
        <v>0</v>
      </c>
      <c r="J680">
        <v>2</v>
      </c>
      <c r="K680">
        <v>1</v>
      </c>
      <c r="L680">
        <v>1</v>
      </c>
      <c r="M680">
        <v>41610.620000000003</v>
      </c>
      <c r="N680">
        <v>0</v>
      </c>
      <c r="O680" t="str">
        <f t="shared" si="40"/>
        <v>Good</v>
      </c>
      <c r="P680" t="str">
        <f t="shared" si="41"/>
        <v>Adult</v>
      </c>
      <c r="Q680" t="str">
        <f t="shared" si="42"/>
        <v>Medium Salary</v>
      </c>
      <c r="R680" t="str">
        <f t="shared" si="43"/>
        <v>Low Balance</v>
      </c>
    </row>
    <row r="681" spans="1:18" x14ac:dyDescent="0.25">
      <c r="A681">
        <v>680</v>
      </c>
      <c r="B681">
        <v>15668886</v>
      </c>
      <c r="C681" t="s">
        <v>562</v>
      </c>
      <c r="D681" t="s">
        <v>18</v>
      </c>
      <c r="E681" t="s">
        <v>16</v>
      </c>
      <c r="F681">
        <v>684</v>
      </c>
      <c r="G681">
        <v>37</v>
      </c>
      <c r="H681">
        <v>3</v>
      </c>
      <c r="I681">
        <v>0</v>
      </c>
      <c r="J681">
        <v>2</v>
      </c>
      <c r="K681">
        <v>1</v>
      </c>
      <c r="L681">
        <v>0</v>
      </c>
      <c r="M681">
        <v>44255.65</v>
      </c>
      <c r="N681">
        <v>0</v>
      </c>
      <c r="O681" t="str">
        <f t="shared" si="40"/>
        <v>Good</v>
      </c>
      <c r="P681" t="str">
        <f t="shared" si="41"/>
        <v>Adult</v>
      </c>
      <c r="Q681" t="str">
        <f t="shared" si="42"/>
        <v>Medium Salary</v>
      </c>
      <c r="R681" t="str">
        <f t="shared" si="43"/>
        <v>Low Balance</v>
      </c>
    </row>
    <row r="682" spans="1:18" x14ac:dyDescent="0.25">
      <c r="A682">
        <v>681</v>
      </c>
      <c r="B682">
        <v>15780804</v>
      </c>
      <c r="C682" t="s">
        <v>563</v>
      </c>
      <c r="D682" t="s">
        <v>15</v>
      </c>
      <c r="E682" t="s">
        <v>23</v>
      </c>
      <c r="F682">
        <v>482</v>
      </c>
      <c r="G682">
        <v>55</v>
      </c>
      <c r="H682">
        <v>5</v>
      </c>
      <c r="I682">
        <v>97318.25</v>
      </c>
      <c r="J682">
        <v>1</v>
      </c>
      <c r="K682">
        <v>0</v>
      </c>
      <c r="L682">
        <v>1</v>
      </c>
      <c r="M682">
        <v>78416.14</v>
      </c>
      <c r="N682">
        <v>0</v>
      </c>
      <c r="O682" t="str">
        <f t="shared" si="40"/>
        <v>Poor</v>
      </c>
      <c r="P682" t="str">
        <f t="shared" si="41"/>
        <v>Senior</v>
      </c>
      <c r="Q682" t="str">
        <f t="shared" si="42"/>
        <v>High Salary</v>
      </c>
      <c r="R682" t="str">
        <f t="shared" si="43"/>
        <v>Medium Balance</v>
      </c>
    </row>
    <row r="683" spans="1:18" x14ac:dyDescent="0.25">
      <c r="A683">
        <v>682</v>
      </c>
      <c r="B683">
        <v>15613880</v>
      </c>
      <c r="C683" t="s">
        <v>564</v>
      </c>
      <c r="D683" t="s">
        <v>18</v>
      </c>
      <c r="E683" t="s">
        <v>23</v>
      </c>
      <c r="F683">
        <v>591</v>
      </c>
      <c r="G683">
        <v>58</v>
      </c>
      <c r="H683">
        <v>5</v>
      </c>
      <c r="I683">
        <v>128468.69</v>
      </c>
      <c r="J683">
        <v>1</v>
      </c>
      <c r="K683">
        <v>0</v>
      </c>
      <c r="L683">
        <v>1</v>
      </c>
      <c r="M683">
        <v>137254.54999999999</v>
      </c>
      <c r="N683">
        <v>0</v>
      </c>
      <c r="O683" t="str">
        <f t="shared" si="40"/>
        <v>Average</v>
      </c>
      <c r="P683" t="str">
        <f t="shared" si="41"/>
        <v>Senior</v>
      </c>
      <c r="Q683" t="str">
        <f t="shared" si="42"/>
        <v>High Salary</v>
      </c>
      <c r="R683" t="str">
        <f t="shared" si="43"/>
        <v>High Balance</v>
      </c>
    </row>
    <row r="684" spans="1:18" x14ac:dyDescent="0.25">
      <c r="A684">
        <v>683</v>
      </c>
      <c r="B684">
        <v>15775238</v>
      </c>
      <c r="C684" t="s">
        <v>565</v>
      </c>
      <c r="D684" t="s">
        <v>26</v>
      </c>
      <c r="E684" t="s">
        <v>16</v>
      </c>
      <c r="F684">
        <v>651</v>
      </c>
      <c r="G684">
        <v>41</v>
      </c>
      <c r="H684">
        <v>4</v>
      </c>
      <c r="I684">
        <v>133432.59</v>
      </c>
      <c r="J684">
        <v>1</v>
      </c>
      <c r="K684">
        <v>0</v>
      </c>
      <c r="L684">
        <v>1</v>
      </c>
      <c r="M684">
        <v>151303.48000000001</v>
      </c>
      <c r="N684">
        <v>0</v>
      </c>
      <c r="O684" t="str">
        <f t="shared" si="40"/>
        <v>Average</v>
      </c>
      <c r="P684" t="str">
        <f t="shared" si="41"/>
        <v>Adult</v>
      </c>
      <c r="Q684" t="str">
        <f t="shared" si="42"/>
        <v>High Salary</v>
      </c>
      <c r="R684" t="str">
        <f t="shared" si="43"/>
        <v>High Balance</v>
      </c>
    </row>
    <row r="685" spans="1:18" x14ac:dyDescent="0.25">
      <c r="A685">
        <v>684</v>
      </c>
      <c r="B685">
        <v>15786905</v>
      </c>
      <c r="C685" t="s">
        <v>298</v>
      </c>
      <c r="D685" t="s">
        <v>26</v>
      </c>
      <c r="E685" t="s">
        <v>16</v>
      </c>
      <c r="F685">
        <v>749</v>
      </c>
      <c r="G685">
        <v>40</v>
      </c>
      <c r="H685">
        <v>8</v>
      </c>
      <c r="I685">
        <v>141782.57</v>
      </c>
      <c r="J685">
        <v>2</v>
      </c>
      <c r="K685">
        <v>0</v>
      </c>
      <c r="L685">
        <v>0</v>
      </c>
      <c r="M685">
        <v>86333.63</v>
      </c>
      <c r="N685">
        <v>0</v>
      </c>
      <c r="O685" t="str">
        <f t="shared" si="40"/>
        <v>Good</v>
      </c>
      <c r="P685" t="str">
        <f t="shared" si="41"/>
        <v>Adult</v>
      </c>
      <c r="Q685" t="str">
        <f t="shared" si="42"/>
        <v>High Salary</v>
      </c>
      <c r="R685" t="str">
        <f t="shared" si="43"/>
        <v>High Balance</v>
      </c>
    </row>
    <row r="686" spans="1:18" x14ac:dyDescent="0.25">
      <c r="A686">
        <v>685</v>
      </c>
      <c r="B686">
        <v>15747867</v>
      </c>
      <c r="C686" t="s">
        <v>70</v>
      </c>
      <c r="D686" t="s">
        <v>15</v>
      </c>
      <c r="E686" t="s">
        <v>23</v>
      </c>
      <c r="F686">
        <v>583</v>
      </c>
      <c r="G686">
        <v>24</v>
      </c>
      <c r="H686">
        <v>9</v>
      </c>
      <c r="I686">
        <v>135125.28</v>
      </c>
      <c r="J686">
        <v>1</v>
      </c>
      <c r="K686">
        <v>0</v>
      </c>
      <c r="L686">
        <v>0</v>
      </c>
      <c r="M686">
        <v>89801.9</v>
      </c>
      <c r="N686">
        <v>0</v>
      </c>
      <c r="O686" t="str">
        <f t="shared" si="40"/>
        <v>Average</v>
      </c>
      <c r="P686" t="str">
        <f t="shared" si="41"/>
        <v>Young Adult</v>
      </c>
      <c r="Q686" t="str">
        <f t="shared" si="42"/>
        <v>High Salary</v>
      </c>
      <c r="R686" t="str">
        <f t="shared" si="43"/>
        <v>High Balance</v>
      </c>
    </row>
    <row r="687" spans="1:18" x14ac:dyDescent="0.25">
      <c r="A687">
        <v>686</v>
      </c>
      <c r="B687">
        <v>15600337</v>
      </c>
      <c r="C687" t="s">
        <v>566</v>
      </c>
      <c r="D687" t="s">
        <v>18</v>
      </c>
      <c r="E687" t="s">
        <v>23</v>
      </c>
      <c r="F687">
        <v>661</v>
      </c>
      <c r="G687">
        <v>42</v>
      </c>
      <c r="H687">
        <v>2</v>
      </c>
      <c r="I687">
        <v>178820.91</v>
      </c>
      <c r="J687">
        <v>1</v>
      </c>
      <c r="K687">
        <v>0</v>
      </c>
      <c r="L687">
        <v>0</v>
      </c>
      <c r="M687">
        <v>29358.57</v>
      </c>
      <c r="N687">
        <v>1</v>
      </c>
      <c r="O687" t="str">
        <f t="shared" si="40"/>
        <v>Average</v>
      </c>
      <c r="P687" t="str">
        <f t="shared" si="41"/>
        <v>Adult</v>
      </c>
      <c r="Q687" t="str">
        <f t="shared" si="42"/>
        <v>Low Salary</v>
      </c>
      <c r="R687" t="str">
        <f t="shared" si="43"/>
        <v>High Balance</v>
      </c>
    </row>
    <row r="688" spans="1:18" x14ac:dyDescent="0.25">
      <c r="A688">
        <v>687</v>
      </c>
      <c r="B688">
        <v>15801277</v>
      </c>
      <c r="C688" t="s">
        <v>567</v>
      </c>
      <c r="D688" t="s">
        <v>15</v>
      </c>
      <c r="E688" t="s">
        <v>16</v>
      </c>
      <c r="F688">
        <v>715</v>
      </c>
      <c r="G688">
        <v>31</v>
      </c>
      <c r="H688">
        <v>2</v>
      </c>
      <c r="I688">
        <v>112212.14</v>
      </c>
      <c r="J688">
        <v>2</v>
      </c>
      <c r="K688">
        <v>1</v>
      </c>
      <c r="L688">
        <v>1</v>
      </c>
      <c r="M688">
        <v>181600.72</v>
      </c>
      <c r="N688">
        <v>0</v>
      </c>
      <c r="O688" t="str">
        <f t="shared" si="40"/>
        <v>Good</v>
      </c>
      <c r="P688" t="str">
        <f t="shared" si="41"/>
        <v>Adult</v>
      </c>
      <c r="Q688" t="str">
        <f t="shared" si="42"/>
        <v>High Salary</v>
      </c>
      <c r="R688" t="str">
        <f t="shared" si="43"/>
        <v>High Balance</v>
      </c>
    </row>
    <row r="689" spans="1:18" x14ac:dyDescent="0.25">
      <c r="A689">
        <v>688</v>
      </c>
      <c r="B689">
        <v>15579334</v>
      </c>
      <c r="C689" t="s">
        <v>568</v>
      </c>
      <c r="D689" t="s">
        <v>26</v>
      </c>
      <c r="E689" t="s">
        <v>16</v>
      </c>
      <c r="F689">
        <v>769</v>
      </c>
      <c r="G689">
        <v>45</v>
      </c>
      <c r="H689">
        <v>5</v>
      </c>
      <c r="I689">
        <v>126674.81</v>
      </c>
      <c r="J689">
        <v>1</v>
      </c>
      <c r="K689">
        <v>1</v>
      </c>
      <c r="L689">
        <v>0</v>
      </c>
      <c r="M689">
        <v>124118.71</v>
      </c>
      <c r="N689">
        <v>1</v>
      </c>
      <c r="O689" t="str">
        <f t="shared" si="40"/>
        <v>Good</v>
      </c>
      <c r="P689" t="str">
        <f t="shared" si="41"/>
        <v>Adult</v>
      </c>
      <c r="Q689" t="str">
        <f t="shared" si="42"/>
        <v>High Salary</v>
      </c>
      <c r="R689" t="str">
        <f t="shared" si="43"/>
        <v>High Balance</v>
      </c>
    </row>
    <row r="690" spans="1:18" x14ac:dyDescent="0.25">
      <c r="A690">
        <v>689</v>
      </c>
      <c r="B690">
        <v>15802741</v>
      </c>
      <c r="C690" t="s">
        <v>569</v>
      </c>
      <c r="D690" t="s">
        <v>15</v>
      </c>
      <c r="E690" t="s">
        <v>16</v>
      </c>
      <c r="F690">
        <v>625</v>
      </c>
      <c r="G690">
        <v>51</v>
      </c>
      <c r="H690">
        <v>7</v>
      </c>
      <c r="I690">
        <v>136294.97</v>
      </c>
      <c r="J690">
        <v>1</v>
      </c>
      <c r="K690">
        <v>1</v>
      </c>
      <c r="L690">
        <v>0</v>
      </c>
      <c r="M690">
        <v>38867.46</v>
      </c>
      <c r="N690">
        <v>1</v>
      </c>
      <c r="O690" t="str">
        <f t="shared" si="40"/>
        <v>Average</v>
      </c>
      <c r="P690" t="str">
        <f t="shared" si="41"/>
        <v>Senior</v>
      </c>
      <c r="Q690" t="str">
        <f t="shared" si="42"/>
        <v>Medium Salary</v>
      </c>
      <c r="R690" t="str">
        <f t="shared" si="43"/>
        <v>High Balance</v>
      </c>
    </row>
    <row r="691" spans="1:18" x14ac:dyDescent="0.25">
      <c r="A691">
        <v>690</v>
      </c>
      <c r="B691">
        <v>15720649</v>
      </c>
      <c r="C691" t="s">
        <v>570</v>
      </c>
      <c r="D691" t="s">
        <v>15</v>
      </c>
      <c r="E691" t="s">
        <v>16</v>
      </c>
      <c r="F691">
        <v>641</v>
      </c>
      <c r="G691">
        <v>36</v>
      </c>
      <c r="H691">
        <v>5</v>
      </c>
      <c r="I691">
        <v>66392.639999999999</v>
      </c>
      <c r="J691">
        <v>1</v>
      </c>
      <c r="K691">
        <v>1</v>
      </c>
      <c r="L691">
        <v>0</v>
      </c>
      <c r="M691">
        <v>31106.67</v>
      </c>
      <c r="N691">
        <v>0</v>
      </c>
      <c r="O691" t="str">
        <f t="shared" si="40"/>
        <v>Average</v>
      </c>
      <c r="P691" t="str">
        <f t="shared" si="41"/>
        <v>Adult</v>
      </c>
      <c r="Q691" t="str">
        <f t="shared" si="42"/>
        <v>Medium Salary</v>
      </c>
      <c r="R691" t="str">
        <f t="shared" si="43"/>
        <v>Medium Balance</v>
      </c>
    </row>
    <row r="692" spans="1:18" x14ac:dyDescent="0.25">
      <c r="A692">
        <v>691</v>
      </c>
      <c r="B692">
        <v>15589493</v>
      </c>
      <c r="C692" t="s">
        <v>571</v>
      </c>
      <c r="D692" t="s">
        <v>26</v>
      </c>
      <c r="E692" t="s">
        <v>23</v>
      </c>
      <c r="F692">
        <v>716</v>
      </c>
      <c r="G692">
        <v>27</v>
      </c>
      <c r="H692">
        <v>1</v>
      </c>
      <c r="I692">
        <v>122552.34</v>
      </c>
      <c r="J692">
        <v>2</v>
      </c>
      <c r="K692">
        <v>1</v>
      </c>
      <c r="L692">
        <v>0</v>
      </c>
      <c r="M692">
        <v>67611.360000000001</v>
      </c>
      <c r="N692">
        <v>0</v>
      </c>
      <c r="O692" t="str">
        <f t="shared" si="40"/>
        <v>Good</v>
      </c>
      <c r="P692" t="str">
        <f t="shared" si="41"/>
        <v>Young Adult</v>
      </c>
      <c r="Q692" t="str">
        <f t="shared" si="42"/>
        <v>Medium Salary</v>
      </c>
      <c r="R692" t="str">
        <f t="shared" si="43"/>
        <v>High Balance</v>
      </c>
    </row>
    <row r="693" spans="1:18" x14ac:dyDescent="0.25">
      <c r="A693">
        <v>692</v>
      </c>
      <c r="B693">
        <v>15688251</v>
      </c>
      <c r="C693" t="s">
        <v>572</v>
      </c>
      <c r="D693" t="s">
        <v>15</v>
      </c>
      <c r="E693" t="s">
        <v>23</v>
      </c>
      <c r="F693">
        <v>767</v>
      </c>
      <c r="G693">
        <v>43</v>
      </c>
      <c r="H693">
        <v>1</v>
      </c>
      <c r="I693">
        <v>76408.850000000006</v>
      </c>
      <c r="J693">
        <v>2</v>
      </c>
      <c r="K693">
        <v>1</v>
      </c>
      <c r="L693">
        <v>0</v>
      </c>
      <c r="M693">
        <v>77837.63</v>
      </c>
      <c r="N693">
        <v>0</v>
      </c>
      <c r="O693" t="str">
        <f t="shared" si="40"/>
        <v>Good</v>
      </c>
      <c r="P693" t="str">
        <f t="shared" si="41"/>
        <v>Adult</v>
      </c>
      <c r="Q693" t="str">
        <f t="shared" si="42"/>
        <v>High Salary</v>
      </c>
      <c r="R693" t="str">
        <f t="shared" si="43"/>
        <v>Medium Balance</v>
      </c>
    </row>
    <row r="694" spans="1:18" x14ac:dyDescent="0.25">
      <c r="A694">
        <v>693</v>
      </c>
      <c r="B694">
        <v>15665238</v>
      </c>
      <c r="C694" t="s">
        <v>573</v>
      </c>
      <c r="D694" t="s">
        <v>26</v>
      </c>
      <c r="E694" t="s">
        <v>23</v>
      </c>
      <c r="F694">
        <v>745</v>
      </c>
      <c r="G694">
        <v>36</v>
      </c>
      <c r="H694">
        <v>8</v>
      </c>
      <c r="I694">
        <v>145071.24</v>
      </c>
      <c r="J694">
        <v>1</v>
      </c>
      <c r="K694">
        <v>0</v>
      </c>
      <c r="L694">
        <v>0</v>
      </c>
      <c r="M694">
        <v>6078.46</v>
      </c>
      <c r="N694">
        <v>0</v>
      </c>
      <c r="O694" t="str">
        <f t="shared" si="40"/>
        <v>Good</v>
      </c>
      <c r="P694" t="str">
        <f t="shared" si="41"/>
        <v>Adult</v>
      </c>
      <c r="Q694" t="str">
        <f t="shared" si="42"/>
        <v>Low Salary</v>
      </c>
      <c r="R694" t="str">
        <f t="shared" si="43"/>
        <v>High Balance</v>
      </c>
    </row>
    <row r="695" spans="1:18" x14ac:dyDescent="0.25">
      <c r="A695">
        <v>694</v>
      </c>
      <c r="B695">
        <v>15740900</v>
      </c>
      <c r="C695" t="s">
        <v>574</v>
      </c>
      <c r="D695" t="s">
        <v>15</v>
      </c>
      <c r="E695" t="s">
        <v>23</v>
      </c>
      <c r="F695">
        <v>589</v>
      </c>
      <c r="G695">
        <v>34</v>
      </c>
      <c r="H695">
        <v>6</v>
      </c>
      <c r="I695">
        <v>0</v>
      </c>
      <c r="J695">
        <v>2</v>
      </c>
      <c r="K695">
        <v>1</v>
      </c>
      <c r="L695">
        <v>1</v>
      </c>
      <c r="M695">
        <v>177896.92</v>
      </c>
      <c r="N695">
        <v>0</v>
      </c>
      <c r="O695" t="str">
        <f t="shared" si="40"/>
        <v>Average</v>
      </c>
      <c r="P695" t="str">
        <f t="shared" si="41"/>
        <v>Adult</v>
      </c>
      <c r="Q695" t="str">
        <f t="shared" si="42"/>
        <v>High Salary</v>
      </c>
      <c r="R695" t="str">
        <f t="shared" si="43"/>
        <v>Low Balance</v>
      </c>
    </row>
    <row r="696" spans="1:18" x14ac:dyDescent="0.25">
      <c r="A696">
        <v>695</v>
      </c>
      <c r="B696">
        <v>15681068</v>
      </c>
      <c r="C696" t="s">
        <v>575</v>
      </c>
      <c r="D696" t="s">
        <v>15</v>
      </c>
      <c r="E696" t="s">
        <v>16</v>
      </c>
      <c r="F696">
        <v>796</v>
      </c>
      <c r="G696">
        <v>45</v>
      </c>
      <c r="H696">
        <v>2</v>
      </c>
      <c r="I696">
        <v>109730.22</v>
      </c>
      <c r="J696">
        <v>1</v>
      </c>
      <c r="K696">
        <v>1</v>
      </c>
      <c r="L696">
        <v>1</v>
      </c>
      <c r="M696">
        <v>123882.73</v>
      </c>
      <c r="N696">
        <v>0</v>
      </c>
      <c r="O696" t="str">
        <f t="shared" si="40"/>
        <v>Good</v>
      </c>
      <c r="P696" t="str">
        <f t="shared" si="41"/>
        <v>Adult</v>
      </c>
      <c r="Q696" t="str">
        <f t="shared" si="42"/>
        <v>High Salary</v>
      </c>
      <c r="R696" t="str">
        <f t="shared" si="43"/>
        <v>High Balance</v>
      </c>
    </row>
    <row r="697" spans="1:18" x14ac:dyDescent="0.25">
      <c r="A697">
        <v>696</v>
      </c>
      <c r="B697">
        <v>15748625</v>
      </c>
      <c r="C697" t="s">
        <v>576</v>
      </c>
      <c r="D697" t="s">
        <v>15</v>
      </c>
      <c r="E697" t="s">
        <v>23</v>
      </c>
      <c r="F697">
        <v>664</v>
      </c>
      <c r="G697">
        <v>57</v>
      </c>
      <c r="H697">
        <v>6</v>
      </c>
      <c r="I697">
        <v>0</v>
      </c>
      <c r="J697">
        <v>2</v>
      </c>
      <c r="K697">
        <v>1</v>
      </c>
      <c r="L697">
        <v>1</v>
      </c>
      <c r="M697">
        <v>15304.08</v>
      </c>
      <c r="N697">
        <v>0</v>
      </c>
      <c r="O697" t="str">
        <f t="shared" si="40"/>
        <v>Average</v>
      </c>
      <c r="P697" t="str">
        <f t="shared" si="41"/>
        <v>Senior</v>
      </c>
      <c r="Q697" t="str">
        <f t="shared" si="42"/>
        <v>Low Salary</v>
      </c>
      <c r="R697" t="str">
        <f t="shared" si="43"/>
        <v>Low Balance</v>
      </c>
    </row>
    <row r="698" spans="1:18" x14ac:dyDescent="0.25">
      <c r="A698">
        <v>697</v>
      </c>
      <c r="B698">
        <v>15727299</v>
      </c>
      <c r="C698" t="s">
        <v>577</v>
      </c>
      <c r="D698" t="s">
        <v>18</v>
      </c>
      <c r="E698" t="s">
        <v>23</v>
      </c>
      <c r="F698">
        <v>445</v>
      </c>
      <c r="G698">
        <v>62</v>
      </c>
      <c r="H698">
        <v>1</v>
      </c>
      <c r="I698">
        <v>64119.38</v>
      </c>
      <c r="J698">
        <v>1</v>
      </c>
      <c r="K698">
        <v>1</v>
      </c>
      <c r="L698">
        <v>1</v>
      </c>
      <c r="M698">
        <v>76569.64</v>
      </c>
      <c r="N698">
        <v>1</v>
      </c>
      <c r="O698" t="str">
        <f t="shared" si="40"/>
        <v>Poor</v>
      </c>
      <c r="P698" t="str">
        <f t="shared" si="41"/>
        <v>Senior</v>
      </c>
      <c r="Q698" t="str">
        <f t="shared" si="42"/>
        <v>High Salary</v>
      </c>
      <c r="R698" t="str">
        <f t="shared" si="43"/>
        <v>Medium Balance</v>
      </c>
    </row>
    <row r="699" spans="1:18" x14ac:dyDescent="0.25">
      <c r="A699">
        <v>698</v>
      </c>
      <c r="B699">
        <v>15620204</v>
      </c>
      <c r="C699" t="s">
        <v>578</v>
      </c>
      <c r="D699" t="s">
        <v>26</v>
      </c>
      <c r="E699" t="s">
        <v>16</v>
      </c>
      <c r="F699">
        <v>543</v>
      </c>
      <c r="G699">
        <v>57</v>
      </c>
      <c r="H699">
        <v>1</v>
      </c>
      <c r="I699">
        <v>106138.33</v>
      </c>
      <c r="J699">
        <v>2</v>
      </c>
      <c r="K699">
        <v>1</v>
      </c>
      <c r="L699">
        <v>1</v>
      </c>
      <c r="M699">
        <v>120657.32</v>
      </c>
      <c r="N699">
        <v>1</v>
      </c>
      <c r="O699" t="str">
        <f t="shared" si="40"/>
        <v>Poor</v>
      </c>
      <c r="P699" t="str">
        <f t="shared" si="41"/>
        <v>Senior</v>
      </c>
      <c r="Q699" t="str">
        <f t="shared" si="42"/>
        <v>High Salary</v>
      </c>
      <c r="R699" t="str">
        <f t="shared" si="43"/>
        <v>High Balance</v>
      </c>
    </row>
    <row r="700" spans="1:18" x14ac:dyDescent="0.25">
      <c r="A700">
        <v>699</v>
      </c>
      <c r="B700">
        <v>15669516</v>
      </c>
      <c r="C700" t="s">
        <v>579</v>
      </c>
      <c r="D700" t="s">
        <v>18</v>
      </c>
      <c r="E700" t="s">
        <v>23</v>
      </c>
      <c r="F700">
        <v>746</v>
      </c>
      <c r="G700">
        <v>36</v>
      </c>
      <c r="H700">
        <v>2</v>
      </c>
      <c r="I700">
        <v>0</v>
      </c>
      <c r="J700">
        <v>2</v>
      </c>
      <c r="K700">
        <v>1</v>
      </c>
      <c r="L700">
        <v>1</v>
      </c>
      <c r="M700">
        <v>16436.560000000001</v>
      </c>
      <c r="N700">
        <v>0</v>
      </c>
      <c r="O700" t="str">
        <f t="shared" si="40"/>
        <v>Good</v>
      </c>
      <c r="P700" t="str">
        <f t="shared" si="41"/>
        <v>Adult</v>
      </c>
      <c r="Q700" t="str">
        <f t="shared" si="42"/>
        <v>Low Salary</v>
      </c>
      <c r="R700" t="str">
        <f t="shared" si="43"/>
        <v>Low Balance</v>
      </c>
    </row>
    <row r="701" spans="1:18" x14ac:dyDescent="0.25">
      <c r="A701">
        <v>700</v>
      </c>
      <c r="B701">
        <v>15736534</v>
      </c>
      <c r="C701" t="s">
        <v>580</v>
      </c>
      <c r="D701" t="s">
        <v>26</v>
      </c>
      <c r="E701" t="s">
        <v>23</v>
      </c>
      <c r="F701">
        <v>742</v>
      </c>
      <c r="G701">
        <v>33</v>
      </c>
      <c r="H701">
        <v>0</v>
      </c>
      <c r="I701">
        <v>181656.51</v>
      </c>
      <c r="J701">
        <v>1</v>
      </c>
      <c r="K701">
        <v>1</v>
      </c>
      <c r="L701">
        <v>1</v>
      </c>
      <c r="M701">
        <v>107667.91</v>
      </c>
      <c r="N701">
        <v>0</v>
      </c>
      <c r="O701" t="str">
        <f t="shared" si="40"/>
        <v>Good</v>
      </c>
      <c r="P701" t="str">
        <f t="shared" si="41"/>
        <v>Adult</v>
      </c>
      <c r="Q701" t="str">
        <f t="shared" si="42"/>
        <v>High Salary</v>
      </c>
      <c r="R701" t="str">
        <f t="shared" si="43"/>
        <v>High Balance</v>
      </c>
    </row>
    <row r="702" spans="1:18" x14ac:dyDescent="0.25">
      <c r="A702">
        <v>701</v>
      </c>
      <c r="B702">
        <v>15803457</v>
      </c>
      <c r="C702" t="s">
        <v>38</v>
      </c>
      <c r="D702" t="s">
        <v>15</v>
      </c>
      <c r="E702" t="s">
        <v>16</v>
      </c>
      <c r="F702">
        <v>750</v>
      </c>
      <c r="G702">
        <v>32</v>
      </c>
      <c r="H702">
        <v>5</v>
      </c>
      <c r="I702">
        <v>0</v>
      </c>
      <c r="J702">
        <v>2</v>
      </c>
      <c r="K702">
        <v>1</v>
      </c>
      <c r="L702">
        <v>0</v>
      </c>
      <c r="M702">
        <v>95611.47</v>
      </c>
      <c r="N702">
        <v>0</v>
      </c>
      <c r="O702" t="str">
        <f t="shared" si="40"/>
        <v>Good</v>
      </c>
      <c r="P702" t="str">
        <f t="shared" si="41"/>
        <v>Adult</v>
      </c>
      <c r="Q702" t="str">
        <f t="shared" si="42"/>
        <v>High Salary</v>
      </c>
      <c r="R702" t="str">
        <f t="shared" si="43"/>
        <v>Low Balance</v>
      </c>
    </row>
    <row r="703" spans="1:18" x14ac:dyDescent="0.25">
      <c r="A703">
        <v>702</v>
      </c>
      <c r="B703">
        <v>15659098</v>
      </c>
      <c r="C703" t="s">
        <v>581</v>
      </c>
      <c r="D703" t="s">
        <v>15</v>
      </c>
      <c r="E703" t="s">
        <v>23</v>
      </c>
      <c r="F703">
        <v>669</v>
      </c>
      <c r="G703">
        <v>30</v>
      </c>
      <c r="H703">
        <v>7</v>
      </c>
      <c r="I703">
        <v>95128.86</v>
      </c>
      <c r="J703">
        <v>1</v>
      </c>
      <c r="K703">
        <v>0</v>
      </c>
      <c r="L703">
        <v>0</v>
      </c>
      <c r="M703">
        <v>19799.259999999998</v>
      </c>
      <c r="N703">
        <v>0</v>
      </c>
      <c r="O703" t="str">
        <f t="shared" si="40"/>
        <v>Average</v>
      </c>
      <c r="P703" t="str">
        <f t="shared" si="41"/>
        <v>Young Adult</v>
      </c>
      <c r="Q703" t="str">
        <f t="shared" si="42"/>
        <v>Low Salary</v>
      </c>
      <c r="R703" t="str">
        <f t="shared" si="43"/>
        <v>Medium Balance</v>
      </c>
    </row>
    <row r="704" spans="1:18" x14ac:dyDescent="0.25">
      <c r="A704">
        <v>703</v>
      </c>
      <c r="B704">
        <v>15603436</v>
      </c>
      <c r="C704" t="s">
        <v>582</v>
      </c>
      <c r="D704" t="s">
        <v>18</v>
      </c>
      <c r="E704" t="s">
        <v>16</v>
      </c>
      <c r="F704">
        <v>594</v>
      </c>
      <c r="G704">
        <v>37</v>
      </c>
      <c r="H704">
        <v>2</v>
      </c>
      <c r="I704">
        <v>126615.94</v>
      </c>
      <c r="J704">
        <v>2</v>
      </c>
      <c r="K704">
        <v>0</v>
      </c>
      <c r="L704">
        <v>1</v>
      </c>
      <c r="M704">
        <v>123214.74</v>
      </c>
      <c r="N704">
        <v>0</v>
      </c>
      <c r="O704" t="str">
        <f t="shared" si="40"/>
        <v>Average</v>
      </c>
      <c r="P704" t="str">
        <f t="shared" si="41"/>
        <v>Adult</v>
      </c>
      <c r="Q704" t="str">
        <f t="shared" si="42"/>
        <v>High Salary</v>
      </c>
      <c r="R704" t="str">
        <f t="shared" si="43"/>
        <v>High Balance</v>
      </c>
    </row>
    <row r="705" spans="1:18" x14ac:dyDescent="0.25">
      <c r="A705">
        <v>704</v>
      </c>
      <c r="B705">
        <v>15566292</v>
      </c>
      <c r="C705" t="s">
        <v>496</v>
      </c>
      <c r="D705" t="s">
        <v>18</v>
      </c>
      <c r="E705" t="s">
        <v>23</v>
      </c>
      <c r="F705">
        <v>574</v>
      </c>
      <c r="G705">
        <v>36</v>
      </c>
      <c r="H705">
        <v>1</v>
      </c>
      <c r="I705">
        <v>0</v>
      </c>
      <c r="J705">
        <v>2</v>
      </c>
      <c r="K705">
        <v>0</v>
      </c>
      <c r="L705">
        <v>1</v>
      </c>
      <c r="M705">
        <v>71709.119999999995</v>
      </c>
      <c r="N705">
        <v>0</v>
      </c>
      <c r="O705" t="str">
        <f t="shared" si="40"/>
        <v>Poor</v>
      </c>
      <c r="P705" t="str">
        <f t="shared" si="41"/>
        <v>Adult</v>
      </c>
      <c r="Q705" t="str">
        <f t="shared" si="42"/>
        <v>High Salary</v>
      </c>
      <c r="R705" t="str">
        <f t="shared" si="43"/>
        <v>Low Balance</v>
      </c>
    </row>
    <row r="706" spans="1:18" x14ac:dyDescent="0.25">
      <c r="A706">
        <v>705</v>
      </c>
      <c r="B706">
        <v>15808621</v>
      </c>
      <c r="C706" t="s">
        <v>583</v>
      </c>
      <c r="D706" t="s">
        <v>26</v>
      </c>
      <c r="E706" t="s">
        <v>23</v>
      </c>
      <c r="F706">
        <v>659</v>
      </c>
      <c r="G706">
        <v>36</v>
      </c>
      <c r="H706">
        <v>2</v>
      </c>
      <c r="I706">
        <v>76190.48</v>
      </c>
      <c r="J706">
        <v>2</v>
      </c>
      <c r="K706">
        <v>1</v>
      </c>
      <c r="L706">
        <v>1</v>
      </c>
      <c r="M706">
        <v>149066.14000000001</v>
      </c>
      <c r="N706">
        <v>0</v>
      </c>
      <c r="O706" t="str">
        <f t="shared" si="40"/>
        <v>Average</v>
      </c>
      <c r="P706" t="str">
        <f t="shared" si="41"/>
        <v>Adult</v>
      </c>
      <c r="Q706" t="str">
        <f t="shared" si="42"/>
        <v>High Salary</v>
      </c>
      <c r="R706" t="str">
        <f t="shared" si="43"/>
        <v>Medium Balance</v>
      </c>
    </row>
    <row r="707" spans="1:18" x14ac:dyDescent="0.25">
      <c r="A707">
        <v>706</v>
      </c>
      <c r="B707">
        <v>15580148</v>
      </c>
      <c r="C707" t="s">
        <v>131</v>
      </c>
      <c r="D707" t="s">
        <v>26</v>
      </c>
      <c r="E707" t="s">
        <v>23</v>
      </c>
      <c r="F707">
        <v>750</v>
      </c>
      <c r="G707">
        <v>40</v>
      </c>
      <c r="H707">
        <v>5</v>
      </c>
      <c r="I707">
        <v>168286.81</v>
      </c>
      <c r="J707">
        <v>3</v>
      </c>
      <c r="K707">
        <v>1</v>
      </c>
      <c r="L707">
        <v>0</v>
      </c>
      <c r="M707">
        <v>20451.990000000002</v>
      </c>
      <c r="N707">
        <v>1</v>
      </c>
      <c r="O707" t="str">
        <f t="shared" ref="O707:O770" si="44">IF(F707&lt;580, "Poor", IF(AND(F707&gt;=580, F707&lt;=669), "Average", "Good"))</f>
        <v>Good</v>
      </c>
      <c r="P707" t="str">
        <f t="shared" ref="P707:P770" si="45">IF(G707&lt;=30, "Young Adult", IF(AND(G707&gt;=31, G707&lt;=50), "Adult", "Senior"))</f>
        <v>Adult</v>
      </c>
      <c r="Q707" t="str">
        <f t="shared" ref="Q707:Q770" si="46">IF(M707&lt;30000, "Low Salary", IF(AND(M707&gt;=30000, M707&lt;=70000), "Medium Salary", "High Salary"))</f>
        <v>Low Salary</v>
      </c>
      <c r="R707" t="str">
        <f t="shared" ref="R707:R770" si="47">IF(I707&lt;50000, "Low Balance", IF(AND(I707&gt;=50000, I707&lt;=100000), "Medium Balance", "High Balance"))</f>
        <v>High Balance</v>
      </c>
    </row>
    <row r="708" spans="1:18" x14ac:dyDescent="0.25">
      <c r="A708">
        <v>707</v>
      </c>
      <c r="B708">
        <v>15776231</v>
      </c>
      <c r="C708" t="s">
        <v>584</v>
      </c>
      <c r="D708" t="s">
        <v>26</v>
      </c>
      <c r="E708" t="s">
        <v>23</v>
      </c>
      <c r="F708">
        <v>626</v>
      </c>
      <c r="G708">
        <v>35</v>
      </c>
      <c r="H708">
        <v>4</v>
      </c>
      <c r="I708">
        <v>88109.81</v>
      </c>
      <c r="J708">
        <v>1</v>
      </c>
      <c r="K708">
        <v>1</v>
      </c>
      <c r="L708">
        <v>1</v>
      </c>
      <c r="M708">
        <v>32825.5</v>
      </c>
      <c r="N708">
        <v>0</v>
      </c>
      <c r="O708" t="str">
        <f t="shared" si="44"/>
        <v>Average</v>
      </c>
      <c r="P708" t="str">
        <f t="shared" si="45"/>
        <v>Adult</v>
      </c>
      <c r="Q708" t="str">
        <f t="shared" si="46"/>
        <v>Medium Salary</v>
      </c>
      <c r="R708" t="str">
        <f t="shared" si="47"/>
        <v>Medium Balance</v>
      </c>
    </row>
    <row r="709" spans="1:18" x14ac:dyDescent="0.25">
      <c r="A709">
        <v>708</v>
      </c>
      <c r="B709">
        <v>15773809</v>
      </c>
      <c r="C709" t="s">
        <v>186</v>
      </c>
      <c r="D709" t="s">
        <v>15</v>
      </c>
      <c r="E709" t="s">
        <v>23</v>
      </c>
      <c r="F709">
        <v>620</v>
      </c>
      <c r="G709">
        <v>42</v>
      </c>
      <c r="H709">
        <v>4</v>
      </c>
      <c r="I709">
        <v>0</v>
      </c>
      <c r="J709">
        <v>2</v>
      </c>
      <c r="K709">
        <v>1</v>
      </c>
      <c r="L709">
        <v>0</v>
      </c>
      <c r="M709">
        <v>6232.31</v>
      </c>
      <c r="N709">
        <v>0</v>
      </c>
      <c r="O709" t="str">
        <f t="shared" si="44"/>
        <v>Average</v>
      </c>
      <c r="P709" t="str">
        <f t="shared" si="45"/>
        <v>Adult</v>
      </c>
      <c r="Q709" t="str">
        <f t="shared" si="46"/>
        <v>Low Salary</v>
      </c>
      <c r="R709" t="str">
        <f t="shared" si="47"/>
        <v>Low Balance</v>
      </c>
    </row>
    <row r="710" spans="1:18" x14ac:dyDescent="0.25">
      <c r="A710">
        <v>709</v>
      </c>
      <c r="B710">
        <v>15649423</v>
      </c>
      <c r="C710" t="s">
        <v>585</v>
      </c>
      <c r="D710" t="s">
        <v>15</v>
      </c>
      <c r="E710" t="s">
        <v>16</v>
      </c>
      <c r="F710">
        <v>580</v>
      </c>
      <c r="G710">
        <v>35</v>
      </c>
      <c r="H710">
        <v>8</v>
      </c>
      <c r="I710">
        <v>0</v>
      </c>
      <c r="J710">
        <v>2</v>
      </c>
      <c r="K710">
        <v>0</v>
      </c>
      <c r="L710">
        <v>1</v>
      </c>
      <c r="M710">
        <v>10357.030000000001</v>
      </c>
      <c r="N710">
        <v>0</v>
      </c>
      <c r="O710" t="str">
        <f t="shared" si="44"/>
        <v>Average</v>
      </c>
      <c r="P710" t="str">
        <f t="shared" si="45"/>
        <v>Adult</v>
      </c>
      <c r="Q710" t="str">
        <f t="shared" si="46"/>
        <v>Low Salary</v>
      </c>
      <c r="R710" t="str">
        <f t="shared" si="47"/>
        <v>Low Balance</v>
      </c>
    </row>
    <row r="711" spans="1:18" x14ac:dyDescent="0.25">
      <c r="A711">
        <v>710</v>
      </c>
      <c r="B711">
        <v>15734886</v>
      </c>
      <c r="C711" t="s">
        <v>586</v>
      </c>
      <c r="D711" t="s">
        <v>15</v>
      </c>
      <c r="E711" t="s">
        <v>16</v>
      </c>
      <c r="F711">
        <v>686</v>
      </c>
      <c r="G711">
        <v>34</v>
      </c>
      <c r="H711">
        <v>3</v>
      </c>
      <c r="I711">
        <v>123971.51</v>
      </c>
      <c r="J711">
        <v>2</v>
      </c>
      <c r="K711">
        <v>1</v>
      </c>
      <c r="L711">
        <v>0</v>
      </c>
      <c r="M711">
        <v>147794.63</v>
      </c>
      <c r="N711">
        <v>0</v>
      </c>
      <c r="O711" t="str">
        <f t="shared" si="44"/>
        <v>Good</v>
      </c>
      <c r="P711" t="str">
        <f t="shared" si="45"/>
        <v>Adult</v>
      </c>
      <c r="Q711" t="str">
        <f t="shared" si="46"/>
        <v>High Salary</v>
      </c>
      <c r="R711" t="str">
        <f t="shared" si="47"/>
        <v>High Balance</v>
      </c>
    </row>
    <row r="712" spans="1:18" x14ac:dyDescent="0.25">
      <c r="A712">
        <v>711</v>
      </c>
      <c r="B712">
        <v>15722548</v>
      </c>
      <c r="C712" t="s">
        <v>587</v>
      </c>
      <c r="D712" t="s">
        <v>15</v>
      </c>
      <c r="E712" t="s">
        <v>23</v>
      </c>
      <c r="F712">
        <v>540</v>
      </c>
      <c r="G712">
        <v>48</v>
      </c>
      <c r="H712">
        <v>0</v>
      </c>
      <c r="I712">
        <v>148116.48000000001</v>
      </c>
      <c r="J712">
        <v>1</v>
      </c>
      <c r="K712">
        <v>0</v>
      </c>
      <c r="L712">
        <v>0</v>
      </c>
      <c r="M712">
        <v>116973.48</v>
      </c>
      <c r="N712">
        <v>0</v>
      </c>
      <c r="O712" t="str">
        <f t="shared" si="44"/>
        <v>Poor</v>
      </c>
      <c r="P712" t="str">
        <f t="shared" si="45"/>
        <v>Adult</v>
      </c>
      <c r="Q712" t="str">
        <f t="shared" si="46"/>
        <v>High Salary</v>
      </c>
      <c r="R712" t="str">
        <f t="shared" si="47"/>
        <v>High Balance</v>
      </c>
    </row>
    <row r="713" spans="1:18" x14ac:dyDescent="0.25">
      <c r="A713">
        <v>712</v>
      </c>
      <c r="B713">
        <v>15650288</v>
      </c>
      <c r="C713" t="s">
        <v>588</v>
      </c>
      <c r="D713" t="s">
        <v>26</v>
      </c>
      <c r="E713" t="s">
        <v>23</v>
      </c>
      <c r="F713">
        <v>634</v>
      </c>
      <c r="G713">
        <v>35</v>
      </c>
      <c r="H713">
        <v>6</v>
      </c>
      <c r="I713">
        <v>116269.01</v>
      </c>
      <c r="J713">
        <v>1</v>
      </c>
      <c r="K713">
        <v>1</v>
      </c>
      <c r="L713">
        <v>0</v>
      </c>
      <c r="M713">
        <v>129964.94</v>
      </c>
      <c r="N713">
        <v>0</v>
      </c>
      <c r="O713" t="str">
        <f t="shared" si="44"/>
        <v>Average</v>
      </c>
      <c r="P713" t="str">
        <f t="shared" si="45"/>
        <v>Adult</v>
      </c>
      <c r="Q713" t="str">
        <f t="shared" si="46"/>
        <v>High Salary</v>
      </c>
      <c r="R713" t="str">
        <f t="shared" si="47"/>
        <v>High Balance</v>
      </c>
    </row>
    <row r="714" spans="1:18" x14ac:dyDescent="0.25">
      <c r="A714">
        <v>713</v>
      </c>
      <c r="B714">
        <v>15629448</v>
      </c>
      <c r="C714" t="s">
        <v>589</v>
      </c>
      <c r="D714" t="s">
        <v>18</v>
      </c>
      <c r="E714" t="s">
        <v>23</v>
      </c>
      <c r="F714">
        <v>632</v>
      </c>
      <c r="G714">
        <v>38</v>
      </c>
      <c r="H714">
        <v>1</v>
      </c>
      <c r="I714">
        <v>120599.21</v>
      </c>
      <c r="J714">
        <v>1</v>
      </c>
      <c r="K714">
        <v>1</v>
      </c>
      <c r="L714">
        <v>0</v>
      </c>
      <c r="M714">
        <v>92816.86</v>
      </c>
      <c r="N714">
        <v>0</v>
      </c>
      <c r="O714" t="str">
        <f t="shared" si="44"/>
        <v>Average</v>
      </c>
      <c r="P714" t="str">
        <f t="shared" si="45"/>
        <v>Adult</v>
      </c>
      <c r="Q714" t="str">
        <f t="shared" si="46"/>
        <v>High Salary</v>
      </c>
      <c r="R714" t="str">
        <f t="shared" si="47"/>
        <v>High Balance</v>
      </c>
    </row>
    <row r="715" spans="1:18" x14ac:dyDescent="0.25">
      <c r="A715">
        <v>714</v>
      </c>
      <c r="B715">
        <v>15716164</v>
      </c>
      <c r="C715" t="s">
        <v>590</v>
      </c>
      <c r="D715" t="s">
        <v>15</v>
      </c>
      <c r="E715" t="s">
        <v>16</v>
      </c>
      <c r="F715">
        <v>501</v>
      </c>
      <c r="G715">
        <v>41</v>
      </c>
      <c r="H715">
        <v>3</v>
      </c>
      <c r="I715">
        <v>144260.5</v>
      </c>
      <c r="J715">
        <v>1</v>
      </c>
      <c r="K715">
        <v>1</v>
      </c>
      <c r="L715">
        <v>0</v>
      </c>
      <c r="M715">
        <v>172114.67</v>
      </c>
      <c r="N715">
        <v>0</v>
      </c>
      <c r="O715" t="str">
        <f t="shared" si="44"/>
        <v>Poor</v>
      </c>
      <c r="P715" t="str">
        <f t="shared" si="45"/>
        <v>Adult</v>
      </c>
      <c r="Q715" t="str">
        <f t="shared" si="46"/>
        <v>High Salary</v>
      </c>
      <c r="R715" t="str">
        <f t="shared" si="47"/>
        <v>High Balance</v>
      </c>
    </row>
    <row r="716" spans="1:18" x14ac:dyDescent="0.25">
      <c r="A716">
        <v>715</v>
      </c>
      <c r="B716">
        <v>15807609</v>
      </c>
      <c r="C716" t="s">
        <v>307</v>
      </c>
      <c r="D716" t="s">
        <v>18</v>
      </c>
      <c r="E716" t="s">
        <v>16</v>
      </c>
      <c r="F716">
        <v>650</v>
      </c>
      <c r="G716">
        <v>37</v>
      </c>
      <c r="H716">
        <v>3</v>
      </c>
      <c r="I716">
        <v>86605.5</v>
      </c>
      <c r="J716">
        <v>3</v>
      </c>
      <c r="K716">
        <v>1</v>
      </c>
      <c r="L716">
        <v>0</v>
      </c>
      <c r="M716">
        <v>16649.310000000001</v>
      </c>
      <c r="N716">
        <v>1</v>
      </c>
      <c r="O716" t="str">
        <f t="shared" si="44"/>
        <v>Average</v>
      </c>
      <c r="P716" t="str">
        <f t="shared" si="45"/>
        <v>Adult</v>
      </c>
      <c r="Q716" t="str">
        <f t="shared" si="46"/>
        <v>Low Salary</v>
      </c>
      <c r="R716" t="str">
        <f t="shared" si="47"/>
        <v>Medium Balance</v>
      </c>
    </row>
    <row r="717" spans="1:18" x14ac:dyDescent="0.25">
      <c r="A717">
        <v>716</v>
      </c>
      <c r="B717">
        <v>15578977</v>
      </c>
      <c r="C717" t="s">
        <v>176</v>
      </c>
      <c r="D717" t="s">
        <v>15</v>
      </c>
      <c r="E717" t="s">
        <v>23</v>
      </c>
      <c r="F717">
        <v>786</v>
      </c>
      <c r="G717">
        <v>34</v>
      </c>
      <c r="H717">
        <v>9</v>
      </c>
      <c r="I717">
        <v>0</v>
      </c>
      <c r="J717">
        <v>2</v>
      </c>
      <c r="K717">
        <v>1</v>
      </c>
      <c r="L717">
        <v>0</v>
      </c>
      <c r="M717">
        <v>144517.19</v>
      </c>
      <c r="N717">
        <v>0</v>
      </c>
      <c r="O717" t="str">
        <f t="shared" si="44"/>
        <v>Good</v>
      </c>
      <c r="P717" t="str">
        <f t="shared" si="45"/>
        <v>Adult</v>
      </c>
      <c r="Q717" t="str">
        <f t="shared" si="46"/>
        <v>High Salary</v>
      </c>
      <c r="R717" t="str">
        <f t="shared" si="47"/>
        <v>Low Balance</v>
      </c>
    </row>
    <row r="718" spans="1:18" x14ac:dyDescent="0.25">
      <c r="A718">
        <v>717</v>
      </c>
      <c r="B718">
        <v>15677369</v>
      </c>
      <c r="C718" t="s">
        <v>591</v>
      </c>
      <c r="D718" t="s">
        <v>26</v>
      </c>
      <c r="E718" t="s">
        <v>16</v>
      </c>
      <c r="F718">
        <v>554</v>
      </c>
      <c r="G718">
        <v>37</v>
      </c>
      <c r="H718">
        <v>4</v>
      </c>
      <c r="I718">
        <v>58629.97</v>
      </c>
      <c r="J718">
        <v>1</v>
      </c>
      <c r="K718">
        <v>0</v>
      </c>
      <c r="L718">
        <v>0</v>
      </c>
      <c r="M718">
        <v>182038.6</v>
      </c>
      <c r="N718">
        <v>0</v>
      </c>
      <c r="O718" t="str">
        <f t="shared" si="44"/>
        <v>Poor</v>
      </c>
      <c r="P718" t="str">
        <f t="shared" si="45"/>
        <v>Adult</v>
      </c>
      <c r="Q718" t="str">
        <f t="shared" si="46"/>
        <v>High Salary</v>
      </c>
      <c r="R718" t="str">
        <f t="shared" si="47"/>
        <v>Medium Balance</v>
      </c>
    </row>
    <row r="719" spans="1:18" x14ac:dyDescent="0.25">
      <c r="A719">
        <v>718</v>
      </c>
      <c r="B719">
        <v>15804072</v>
      </c>
      <c r="C719" t="s">
        <v>334</v>
      </c>
      <c r="D719" t="s">
        <v>18</v>
      </c>
      <c r="E719" t="s">
        <v>16</v>
      </c>
      <c r="F719">
        <v>701</v>
      </c>
      <c r="G719">
        <v>42</v>
      </c>
      <c r="H719">
        <v>5</v>
      </c>
      <c r="I719">
        <v>0</v>
      </c>
      <c r="J719">
        <v>2</v>
      </c>
      <c r="K719">
        <v>0</v>
      </c>
      <c r="L719">
        <v>0</v>
      </c>
      <c r="M719">
        <v>24210.560000000001</v>
      </c>
      <c r="N719">
        <v>0</v>
      </c>
      <c r="O719" t="str">
        <f t="shared" si="44"/>
        <v>Good</v>
      </c>
      <c r="P719" t="str">
        <f t="shared" si="45"/>
        <v>Adult</v>
      </c>
      <c r="Q719" t="str">
        <f t="shared" si="46"/>
        <v>Low Salary</v>
      </c>
      <c r="R719" t="str">
        <f t="shared" si="47"/>
        <v>Low Balance</v>
      </c>
    </row>
    <row r="720" spans="1:18" x14ac:dyDescent="0.25">
      <c r="A720">
        <v>719</v>
      </c>
      <c r="B720">
        <v>15696859</v>
      </c>
      <c r="C720" t="s">
        <v>592</v>
      </c>
      <c r="D720" t="s">
        <v>15</v>
      </c>
      <c r="E720" t="s">
        <v>23</v>
      </c>
      <c r="F720">
        <v>474</v>
      </c>
      <c r="G720">
        <v>45</v>
      </c>
      <c r="H720">
        <v>10</v>
      </c>
      <c r="I720">
        <v>0</v>
      </c>
      <c r="J720">
        <v>2</v>
      </c>
      <c r="K720">
        <v>0</v>
      </c>
      <c r="L720">
        <v>0</v>
      </c>
      <c r="M720">
        <v>172175.9</v>
      </c>
      <c r="N720">
        <v>0</v>
      </c>
      <c r="O720" t="str">
        <f t="shared" si="44"/>
        <v>Poor</v>
      </c>
      <c r="P720" t="str">
        <f t="shared" si="45"/>
        <v>Adult</v>
      </c>
      <c r="Q720" t="str">
        <f t="shared" si="46"/>
        <v>High Salary</v>
      </c>
      <c r="R720" t="str">
        <f t="shared" si="47"/>
        <v>Low Balance</v>
      </c>
    </row>
    <row r="721" spans="1:18" x14ac:dyDescent="0.25">
      <c r="A721">
        <v>720</v>
      </c>
      <c r="B721">
        <v>15653780</v>
      </c>
      <c r="C721" t="s">
        <v>593</v>
      </c>
      <c r="D721" t="s">
        <v>15</v>
      </c>
      <c r="E721" t="s">
        <v>16</v>
      </c>
      <c r="F721">
        <v>621</v>
      </c>
      <c r="G721">
        <v>43</v>
      </c>
      <c r="H721">
        <v>5</v>
      </c>
      <c r="I721">
        <v>0</v>
      </c>
      <c r="J721">
        <v>1</v>
      </c>
      <c r="K721">
        <v>1</v>
      </c>
      <c r="L721">
        <v>1</v>
      </c>
      <c r="M721">
        <v>47578.45</v>
      </c>
      <c r="N721">
        <v>0</v>
      </c>
      <c r="O721" t="str">
        <f t="shared" si="44"/>
        <v>Average</v>
      </c>
      <c r="P721" t="str">
        <f t="shared" si="45"/>
        <v>Adult</v>
      </c>
      <c r="Q721" t="str">
        <f t="shared" si="46"/>
        <v>Medium Salary</v>
      </c>
      <c r="R721" t="str">
        <f t="shared" si="47"/>
        <v>Low Balance</v>
      </c>
    </row>
    <row r="722" spans="1:18" x14ac:dyDescent="0.25">
      <c r="A722">
        <v>721</v>
      </c>
      <c r="B722">
        <v>15721658</v>
      </c>
      <c r="C722" t="s">
        <v>544</v>
      </c>
      <c r="D722" t="s">
        <v>18</v>
      </c>
      <c r="E722" t="s">
        <v>16</v>
      </c>
      <c r="F722">
        <v>672</v>
      </c>
      <c r="G722">
        <v>56</v>
      </c>
      <c r="H722">
        <v>2</v>
      </c>
      <c r="I722">
        <v>209767.31</v>
      </c>
      <c r="J722">
        <v>2</v>
      </c>
      <c r="K722">
        <v>1</v>
      </c>
      <c r="L722">
        <v>1</v>
      </c>
      <c r="M722">
        <v>150694.42000000001</v>
      </c>
      <c r="N722">
        <v>1</v>
      </c>
      <c r="O722" t="str">
        <f t="shared" si="44"/>
        <v>Good</v>
      </c>
      <c r="P722" t="str">
        <f t="shared" si="45"/>
        <v>Senior</v>
      </c>
      <c r="Q722" t="str">
        <f t="shared" si="46"/>
        <v>High Salary</v>
      </c>
      <c r="R722" t="str">
        <f t="shared" si="47"/>
        <v>High Balance</v>
      </c>
    </row>
    <row r="723" spans="1:18" x14ac:dyDescent="0.25">
      <c r="A723">
        <v>722</v>
      </c>
      <c r="B723">
        <v>15578761</v>
      </c>
      <c r="C723" t="s">
        <v>356</v>
      </c>
      <c r="D723" t="s">
        <v>18</v>
      </c>
      <c r="E723" t="s">
        <v>16</v>
      </c>
      <c r="F723">
        <v>459</v>
      </c>
      <c r="G723">
        <v>42</v>
      </c>
      <c r="H723">
        <v>6</v>
      </c>
      <c r="I723">
        <v>129634.25</v>
      </c>
      <c r="J723">
        <v>2</v>
      </c>
      <c r="K723">
        <v>1</v>
      </c>
      <c r="L723">
        <v>1</v>
      </c>
      <c r="M723">
        <v>177683.02</v>
      </c>
      <c r="N723">
        <v>1</v>
      </c>
      <c r="O723" t="str">
        <f t="shared" si="44"/>
        <v>Poor</v>
      </c>
      <c r="P723" t="str">
        <f t="shared" si="45"/>
        <v>Adult</v>
      </c>
      <c r="Q723" t="str">
        <f t="shared" si="46"/>
        <v>High Salary</v>
      </c>
      <c r="R723" t="str">
        <f t="shared" si="47"/>
        <v>High Balance</v>
      </c>
    </row>
    <row r="724" spans="1:18" x14ac:dyDescent="0.25">
      <c r="A724">
        <v>723</v>
      </c>
      <c r="B724">
        <v>15736879</v>
      </c>
      <c r="C724" t="s">
        <v>25</v>
      </c>
      <c r="D724" t="s">
        <v>15</v>
      </c>
      <c r="E724" t="s">
        <v>23</v>
      </c>
      <c r="F724">
        <v>669</v>
      </c>
      <c r="G724">
        <v>23</v>
      </c>
      <c r="H724">
        <v>1</v>
      </c>
      <c r="I724">
        <v>0</v>
      </c>
      <c r="J724">
        <v>2</v>
      </c>
      <c r="K724">
        <v>0</v>
      </c>
      <c r="L724">
        <v>0</v>
      </c>
      <c r="M724">
        <v>66088.83</v>
      </c>
      <c r="N724">
        <v>0</v>
      </c>
      <c r="O724" t="str">
        <f t="shared" si="44"/>
        <v>Average</v>
      </c>
      <c r="P724" t="str">
        <f t="shared" si="45"/>
        <v>Young Adult</v>
      </c>
      <c r="Q724" t="str">
        <f t="shared" si="46"/>
        <v>Medium Salary</v>
      </c>
      <c r="R724" t="str">
        <f t="shared" si="47"/>
        <v>Low Balance</v>
      </c>
    </row>
    <row r="725" spans="1:18" x14ac:dyDescent="0.25">
      <c r="A725">
        <v>724</v>
      </c>
      <c r="B725">
        <v>15571973</v>
      </c>
      <c r="C725" t="s">
        <v>594</v>
      </c>
      <c r="D725" t="s">
        <v>15</v>
      </c>
      <c r="E725" t="s">
        <v>16</v>
      </c>
      <c r="F725">
        <v>776</v>
      </c>
      <c r="G725">
        <v>38</v>
      </c>
      <c r="H725">
        <v>2</v>
      </c>
      <c r="I725">
        <v>169824.46</v>
      </c>
      <c r="J725">
        <v>1</v>
      </c>
      <c r="K725">
        <v>1</v>
      </c>
      <c r="L725">
        <v>0</v>
      </c>
      <c r="M725">
        <v>169291.7</v>
      </c>
      <c r="N725">
        <v>0</v>
      </c>
      <c r="O725" t="str">
        <f t="shared" si="44"/>
        <v>Good</v>
      </c>
      <c r="P725" t="str">
        <f t="shared" si="45"/>
        <v>Adult</v>
      </c>
      <c r="Q725" t="str">
        <f t="shared" si="46"/>
        <v>High Salary</v>
      </c>
      <c r="R725" t="str">
        <f t="shared" si="47"/>
        <v>High Balance</v>
      </c>
    </row>
    <row r="726" spans="1:18" x14ac:dyDescent="0.25">
      <c r="A726">
        <v>725</v>
      </c>
      <c r="B726">
        <v>15626742</v>
      </c>
      <c r="C726" t="s">
        <v>365</v>
      </c>
      <c r="D726" t="s">
        <v>15</v>
      </c>
      <c r="E726" t="s">
        <v>23</v>
      </c>
      <c r="F726">
        <v>694</v>
      </c>
      <c r="G726">
        <v>36</v>
      </c>
      <c r="H726">
        <v>3</v>
      </c>
      <c r="I726">
        <v>97530.25</v>
      </c>
      <c r="J726">
        <v>1</v>
      </c>
      <c r="K726">
        <v>1</v>
      </c>
      <c r="L726">
        <v>1</v>
      </c>
      <c r="M726">
        <v>117140.41</v>
      </c>
      <c r="N726">
        <v>0</v>
      </c>
      <c r="O726" t="str">
        <f t="shared" si="44"/>
        <v>Good</v>
      </c>
      <c r="P726" t="str">
        <f t="shared" si="45"/>
        <v>Adult</v>
      </c>
      <c r="Q726" t="str">
        <f t="shared" si="46"/>
        <v>High Salary</v>
      </c>
      <c r="R726" t="str">
        <f t="shared" si="47"/>
        <v>Medium Balance</v>
      </c>
    </row>
    <row r="727" spans="1:18" x14ac:dyDescent="0.25">
      <c r="A727">
        <v>726</v>
      </c>
      <c r="B727">
        <v>15672692</v>
      </c>
      <c r="C727" t="s">
        <v>67</v>
      </c>
      <c r="D727" t="s">
        <v>15</v>
      </c>
      <c r="E727" t="s">
        <v>16</v>
      </c>
      <c r="F727">
        <v>787</v>
      </c>
      <c r="G727">
        <v>42</v>
      </c>
      <c r="H727">
        <v>10</v>
      </c>
      <c r="I727">
        <v>145988.65</v>
      </c>
      <c r="J727">
        <v>2</v>
      </c>
      <c r="K727">
        <v>1</v>
      </c>
      <c r="L727">
        <v>1</v>
      </c>
      <c r="M727">
        <v>79510.37</v>
      </c>
      <c r="N727">
        <v>0</v>
      </c>
      <c r="O727" t="str">
        <f t="shared" si="44"/>
        <v>Good</v>
      </c>
      <c r="P727" t="str">
        <f t="shared" si="45"/>
        <v>Adult</v>
      </c>
      <c r="Q727" t="str">
        <f t="shared" si="46"/>
        <v>High Salary</v>
      </c>
      <c r="R727" t="str">
        <f t="shared" si="47"/>
        <v>High Balance</v>
      </c>
    </row>
    <row r="728" spans="1:18" x14ac:dyDescent="0.25">
      <c r="A728">
        <v>727</v>
      </c>
      <c r="B728">
        <v>15673570</v>
      </c>
      <c r="C728" t="s">
        <v>595</v>
      </c>
      <c r="D728" t="s">
        <v>15</v>
      </c>
      <c r="E728" t="s">
        <v>23</v>
      </c>
      <c r="F728">
        <v>580</v>
      </c>
      <c r="G728">
        <v>37</v>
      </c>
      <c r="H728">
        <v>9</v>
      </c>
      <c r="I728">
        <v>0</v>
      </c>
      <c r="J728">
        <v>2</v>
      </c>
      <c r="K728">
        <v>0</v>
      </c>
      <c r="L728">
        <v>1</v>
      </c>
      <c r="M728">
        <v>77108.66</v>
      </c>
      <c r="N728">
        <v>0</v>
      </c>
      <c r="O728" t="str">
        <f t="shared" si="44"/>
        <v>Average</v>
      </c>
      <c r="P728" t="str">
        <f t="shared" si="45"/>
        <v>Adult</v>
      </c>
      <c r="Q728" t="str">
        <f t="shared" si="46"/>
        <v>High Salary</v>
      </c>
      <c r="R728" t="str">
        <f t="shared" si="47"/>
        <v>Low Balance</v>
      </c>
    </row>
    <row r="729" spans="1:18" x14ac:dyDescent="0.25">
      <c r="A729">
        <v>728</v>
      </c>
      <c r="B729">
        <v>15767432</v>
      </c>
      <c r="C729" t="s">
        <v>305</v>
      </c>
      <c r="D729" t="s">
        <v>15</v>
      </c>
      <c r="E729" t="s">
        <v>16</v>
      </c>
      <c r="F729">
        <v>711</v>
      </c>
      <c r="G729">
        <v>25</v>
      </c>
      <c r="H729">
        <v>7</v>
      </c>
      <c r="I729">
        <v>0</v>
      </c>
      <c r="J729">
        <v>3</v>
      </c>
      <c r="K729">
        <v>1</v>
      </c>
      <c r="L729">
        <v>1</v>
      </c>
      <c r="M729">
        <v>9679.2800000000007</v>
      </c>
      <c r="N729">
        <v>0</v>
      </c>
      <c r="O729" t="str">
        <f t="shared" si="44"/>
        <v>Good</v>
      </c>
      <c r="P729" t="str">
        <f t="shared" si="45"/>
        <v>Young Adult</v>
      </c>
      <c r="Q729" t="str">
        <f t="shared" si="46"/>
        <v>Low Salary</v>
      </c>
      <c r="R729" t="str">
        <f t="shared" si="47"/>
        <v>Low Balance</v>
      </c>
    </row>
    <row r="730" spans="1:18" x14ac:dyDescent="0.25">
      <c r="A730">
        <v>729</v>
      </c>
      <c r="B730">
        <v>15654238</v>
      </c>
      <c r="C730" t="s">
        <v>596</v>
      </c>
      <c r="D730" t="s">
        <v>15</v>
      </c>
      <c r="E730" t="s">
        <v>16</v>
      </c>
      <c r="F730">
        <v>673</v>
      </c>
      <c r="G730">
        <v>40</v>
      </c>
      <c r="H730">
        <v>5</v>
      </c>
      <c r="I730">
        <v>137494.28</v>
      </c>
      <c r="J730">
        <v>1</v>
      </c>
      <c r="K730">
        <v>1</v>
      </c>
      <c r="L730">
        <v>0</v>
      </c>
      <c r="M730">
        <v>81753.919999999998</v>
      </c>
      <c r="N730">
        <v>0</v>
      </c>
      <c r="O730" t="str">
        <f t="shared" si="44"/>
        <v>Good</v>
      </c>
      <c r="P730" t="str">
        <f t="shared" si="45"/>
        <v>Adult</v>
      </c>
      <c r="Q730" t="str">
        <f t="shared" si="46"/>
        <v>High Salary</v>
      </c>
      <c r="R730" t="str">
        <f t="shared" si="47"/>
        <v>High Balance</v>
      </c>
    </row>
    <row r="731" spans="1:18" x14ac:dyDescent="0.25">
      <c r="A731">
        <v>730</v>
      </c>
      <c r="B731">
        <v>15612525</v>
      </c>
      <c r="C731" t="s">
        <v>597</v>
      </c>
      <c r="D731" t="s">
        <v>15</v>
      </c>
      <c r="E731" t="s">
        <v>16</v>
      </c>
      <c r="F731">
        <v>499</v>
      </c>
      <c r="G731">
        <v>57</v>
      </c>
      <c r="H731">
        <v>1</v>
      </c>
      <c r="I731">
        <v>0</v>
      </c>
      <c r="J731">
        <v>1</v>
      </c>
      <c r="K731">
        <v>0</v>
      </c>
      <c r="L731">
        <v>0</v>
      </c>
      <c r="M731">
        <v>131372.38</v>
      </c>
      <c r="N731">
        <v>1</v>
      </c>
      <c r="O731" t="str">
        <f t="shared" si="44"/>
        <v>Poor</v>
      </c>
      <c r="P731" t="str">
        <f t="shared" si="45"/>
        <v>Senior</v>
      </c>
      <c r="Q731" t="str">
        <f t="shared" si="46"/>
        <v>High Salary</v>
      </c>
      <c r="R731" t="str">
        <f t="shared" si="47"/>
        <v>Low Balance</v>
      </c>
    </row>
    <row r="732" spans="1:18" x14ac:dyDescent="0.25">
      <c r="A732">
        <v>731</v>
      </c>
      <c r="B732">
        <v>15812750</v>
      </c>
      <c r="C732" t="s">
        <v>598</v>
      </c>
      <c r="D732" t="s">
        <v>15</v>
      </c>
      <c r="E732" t="s">
        <v>23</v>
      </c>
      <c r="F732">
        <v>591</v>
      </c>
      <c r="G732">
        <v>24</v>
      </c>
      <c r="H732">
        <v>6</v>
      </c>
      <c r="I732">
        <v>147360</v>
      </c>
      <c r="J732">
        <v>1</v>
      </c>
      <c r="K732">
        <v>1</v>
      </c>
      <c r="L732">
        <v>1</v>
      </c>
      <c r="M732">
        <v>25310.82</v>
      </c>
      <c r="N732">
        <v>0</v>
      </c>
      <c r="O732" t="str">
        <f t="shared" si="44"/>
        <v>Average</v>
      </c>
      <c r="P732" t="str">
        <f t="shared" si="45"/>
        <v>Young Adult</v>
      </c>
      <c r="Q732" t="str">
        <f t="shared" si="46"/>
        <v>Low Salary</v>
      </c>
      <c r="R732" t="str">
        <f t="shared" si="47"/>
        <v>High Balance</v>
      </c>
    </row>
    <row r="733" spans="1:18" x14ac:dyDescent="0.25">
      <c r="A733">
        <v>732</v>
      </c>
      <c r="B733">
        <v>15790757</v>
      </c>
      <c r="C733" t="s">
        <v>599</v>
      </c>
      <c r="D733" t="s">
        <v>15</v>
      </c>
      <c r="E733" t="s">
        <v>16</v>
      </c>
      <c r="F733">
        <v>769</v>
      </c>
      <c r="G733">
        <v>25</v>
      </c>
      <c r="H733">
        <v>10</v>
      </c>
      <c r="I733">
        <v>0</v>
      </c>
      <c r="J733">
        <v>2</v>
      </c>
      <c r="K733">
        <v>0</v>
      </c>
      <c r="L733">
        <v>0</v>
      </c>
      <c r="M733">
        <v>187925.75</v>
      </c>
      <c r="N733">
        <v>0</v>
      </c>
      <c r="O733" t="str">
        <f t="shared" si="44"/>
        <v>Good</v>
      </c>
      <c r="P733" t="str">
        <f t="shared" si="45"/>
        <v>Young Adult</v>
      </c>
      <c r="Q733" t="str">
        <f t="shared" si="46"/>
        <v>High Salary</v>
      </c>
      <c r="R733" t="str">
        <f t="shared" si="47"/>
        <v>Low Balance</v>
      </c>
    </row>
    <row r="734" spans="1:18" x14ac:dyDescent="0.25">
      <c r="A734">
        <v>733</v>
      </c>
      <c r="B734">
        <v>15723873</v>
      </c>
      <c r="C734" t="s">
        <v>600</v>
      </c>
      <c r="D734" t="s">
        <v>18</v>
      </c>
      <c r="E734" t="s">
        <v>23</v>
      </c>
      <c r="F734">
        <v>657</v>
      </c>
      <c r="G734">
        <v>31</v>
      </c>
      <c r="H734">
        <v>3</v>
      </c>
      <c r="I734">
        <v>125167.02</v>
      </c>
      <c r="J734">
        <v>1</v>
      </c>
      <c r="K734">
        <v>0</v>
      </c>
      <c r="L734">
        <v>0</v>
      </c>
      <c r="M734">
        <v>98820.39</v>
      </c>
      <c r="N734">
        <v>0</v>
      </c>
      <c r="O734" t="str">
        <f t="shared" si="44"/>
        <v>Average</v>
      </c>
      <c r="P734" t="str">
        <f t="shared" si="45"/>
        <v>Adult</v>
      </c>
      <c r="Q734" t="str">
        <f t="shared" si="46"/>
        <v>High Salary</v>
      </c>
      <c r="R734" t="str">
        <f t="shared" si="47"/>
        <v>High Balance</v>
      </c>
    </row>
    <row r="735" spans="1:18" x14ac:dyDescent="0.25">
      <c r="A735">
        <v>734</v>
      </c>
      <c r="B735">
        <v>15744607</v>
      </c>
      <c r="C735" t="s">
        <v>65</v>
      </c>
      <c r="D735" t="s">
        <v>26</v>
      </c>
      <c r="E735" t="s">
        <v>23</v>
      </c>
      <c r="F735">
        <v>738</v>
      </c>
      <c r="G735">
        <v>43</v>
      </c>
      <c r="H735">
        <v>9</v>
      </c>
      <c r="I735">
        <v>121152.05</v>
      </c>
      <c r="J735">
        <v>2</v>
      </c>
      <c r="K735">
        <v>1</v>
      </c>
      <c r="L735">
        <v>0</v>
      </c>
      <c r="M735">
        <v>64166.7</v>
      </c>
      <c r="N735">
        <v>1</v>
      </c>
      <c r="O735" t="str">
        <f t="shared" si="44"/>
        <v>Good</v>
      </c>
      <c r="P735" t="str">
        <f t="shared" si="45"/>
        <v>Adult</v>
      </c>
      <c r="Q735" t="str">
        <f t="shared" si="46"/>
        <v>Medium Salary</v>
      </c>
      <c r="R735" t="str">
        <f t="shared" si="47"/>
        <v>High Balance</v>
      </c>
    </row>
    <row r="736" spans="1:18" x14ac:dyDescent="0.25">
      <c r="A736">
        <v>735</v>
      </c>
      <c r="B736">
        <v>15612966</v>
      </c>
      <c r="C736" t="s">
        <v>601</v>
      </c>
      <c r="D736" t="s">
        <v>26</v>
      </c>
      <c r="E736" t="s">
        <v>16</v>
      </c>
      <c r="F736">
        <v>545</v>
      </c>
      <c r="G736">
        <v>60</v>
      </c>
      <c r="H736">
        <v>7</v>
      </c>
      <c r="I736">
        <v>128981.07</v>
      </c>
      <c r="J736">
        <v>1</v>
      </c>
      <c r="K736">
        <v>0</v>
      </c>
      <c r="L736">
        <v>1</v>
      </c>
      <c r="M736">
        <v>176924.21</v>
      </c>
      <c r="N736">
        <v>1</v>
      </c>
      <c r="O736" t="str">
        <f t="shared" si="44"/>
        <v>Poor</v>
      </c>
      <c r="P736" t="str">
        <f t="shared" si="45"/>
        <v>Senior</v>
      </c>
      <c r="Q736" t="str">
        <f t="shared" si="46"/>
        <v>High Salary</v>
      </c>
      <c r="R736" t="str">
        <f t="shared" si="47"/>
        <v>High Balance</v>
      </c>
    </row>
    <row r="737" spans="1:18" x14ac:dyDescent="0.25">
      <c r="A737">
        <v>736</v>
      </c>
      <c r="B737">
        <v>15784209</v>
      </c>
      <c r="C737" t="s">
        <v>602</v>
      </c>
      <c r="D737" t="s">
        <v>15</v>
      </c>
      <c r="E737" t="s">
        <v>23</v>
      </c>
      <c r="F737">
        <v>497</v>
      </c>
      <c r="G737">
        <v>47</v>
      </c>
      <c r="H737">
        <v>6</v>
      </c>
      <c r="I737">
        <v>0</v>
      </c>
      <c r="J737">
        <v>1</v>
      </c>
      <c r="K737">
        <v>1</v>
      </c>
      <c r="L737">
        <v>1</v>
      </c>
      <c r="M737">
        <v>90055.08</v>
      </c>
      <c r="N737">
        <v>0</v>
      </c>
      <c r="O737" t="str">
        <f t="shared" si="44"/>
        <v>Poor</v>
      </c>
      <c r="P737" t="str">
        <f t="shared" si="45"/>
        <v>Adult</v>
      </c>
      <c r="Q737" t="str">
        <f t="shared" si="46"/>
        <v>High Salary</v>
      </c>
      <c r="R737" t="str">
        <f t="shared" si="47"/>
        <v>Low Balance</v>
      </c>
    </row>
    <row r="738" spans="1:18" x14ac:dyDescent="0.25">
      <c r="A738">
        <v>737</v>
      </c>
      <c r="B738">
        <v>15794278</v>
      </c>
      <c r="C738" t="s">
        <v>603</v>
      </c>
      <c r="D738" t="s">
        <v>18</v>
      </c>
      <c r="E738" t="s">
        <v>23</v>
      </c>
      <c r="F738">
        <v>816</v>
      </c>
      <c r="G738">
        <v>67</v>
      </c>
      <c r="H738">
        <v>6</v>
      </c>
      <c r="I738">
        <v>151858.98000000001</v>
      </c>
      <c r="J738">
        <v>1</v>
      </c>
      <c r="K738">
        <v>1</v>
      </c>
      <c r="L738">
        <v>1</v>
      </c>
      <c r="M738">
        <v>72814.31</v>
      </c>
      <c r="N738">
        <v>0</v>
      </c>
      <c r="O738" t="str">
        <f t="shared" si="44"/>
        <v>Good</v>
      </c>
      <c r="P738" t="str">
        <f t="shared" si="45"/>
        <v>Senior</v>
      </c>
      <c r="Q738" t="str">
        <f t="shared" si="46"/>
        <v>High Salary</v>
      </c>
      <c r="R738" t="str">
        <f t="shared" si="47"/>
        <v>High Balance</v>
      </c>
    </row>
    <row r="739" spans="1:18" x14ac:dyDescent="0.25">
      <c r="A739">
        <v>738</v>
      </c>
      <c r="B739">
        <v>15766741</v>
      </c>
      <c r="C739" t="s">
        <v>222</v>
      </c>
      <c r="D739" t="s">
        <v>15</v>
      </c>
      <c r="E739" t="s">
        <v>23</v>
      </c>
      <c r="F739">
        <v>525</v>
      </c>
      <c r="G739">
        <v>36</v>
      </c>
      <c r="H739">
        <v>2</v>
      </c>
      <c r="I739">
        <v>114628.4</v>
      </c>
      <c r="J739">
        <v>1</v>
      </c>
      <c r="K739">
        <v>0</v>
      </c>
      <c r="L739">
        <v>1</v>
      </c>
      <c r="M739">
        <v>168290.06</v>
      </c>
      <c r="N739">
        <v>0</v>
      </c>
      <c r="O739" t="str">
        <f t="shared" si="44"/>
        <v>Poor</v>
      </c>
      <c r="P739" t="str">
        <f t="shared" si="45"/>
        <v>Adult</v>
      </c>
      <c r="Q739" t="str">
        <f t="shared" si="46"/>
        <v>High Salary</v>
      </c>
      <c r="R739" t="str">
        <f t="shared" si="47"/>
        <v>High Balance</v>
      </c>
    </row>
    <row r="740" spans="1:18" x14ac:dyDescent="0.25">
      <c r="A740">
        <v>739</v>
      </c>
      <c r="B740">
        <v>15661036</v>
      </c>
      <c r="C740" t="s">
        <v>604</v>
      </c>
      <c r="D740" t="s">
        <v>15</v>
      </c>
      <c r="E740" t="s">
        <v>23</v>
      </c>
      <c r="F740">
        <v>725</v>
      </c>
      <c r="G740">
        <v>46</v>
      </c>
      <c r="H740">
        <v>6</v>
      </c>
      <c r="I740">
        <v>0</v>
      </c>
      <c r="J740">
        <v>2</v>
      </c>
      <c r="K740">
        <v>1</v>
      </c>
      <c r="L740">
        <v>0</v>
      </c>
      <c r="M740">
        <v>161767.38</v>
      </c>
      <c r="N740">
        <v>0</v>
      </c>
      <c r="O740" t="str">
        <f t="shared" si="44"/>
        <v>Good</v>
      </c>
      <c r="P740" t="str">
        <f t="shared" si="45"/>
        <v>Adult</v>
      </c>
      <c r="Q740" t="str">
        <f t="shared" si="46"/>
        <v>High Salary</v>
      </c>
      <c r="R740" t="str">
        <f t="shared" si="47"/>
        <v>Low Balance</v>
      </c>
    </row>
    <row r="741" spans="1:18" x14ac:dyDescent="0.25">
      <c r="A741">
        <v>740</v>
      </c>
      <c r="B741">
        <v>15705639</v>
      </c>
      <c r="C741" t="s">
        <v>605</v>
      </c>
      <c r="D741" t="s">
        <v>15</v>
      </c>
      <c r="E741" t="s">
        <v>16</v>
      </c>
      <c r="F741">
        <v>692</v>
      </c>
      <c r="G741">
        <v>28</v>
      </c>
      <c r="H741">
        <v>8</v>
      </c>
      <c r="I741">
        <v>95059.02</v>
      </c>
      <c r="J741">
        <v>2</v>
      </c>
      <c r="K741">
        <v>1</v>
      </c>
      <c r="L741">
        <v>0</v>
      </c>
      <c r="M741">
        <v>44420.18</v>
      </c>
      <c r="N741">
        <v>0</v>
      </c>
      <c r="O741" t="str">
        <f t="shared" si="44"/>
        <v>Good</v>
      </c>
      <c r="P741" t="str">
        <f t="shared" si="45"/>
        <v>Young Adult</v>
      </c>
      <c r="Q741" t="str">
        <f t="shared" si="46"/>
        <v>Medium Salary</v>
      </c>
      <c r="R741" t="str">
        <f t="shared" si="47"/>
        <v>Medium Balance</v>
      </c>
    </row>
    <row r="742" spans="1:18" x14ac:dyDescent="0.25">
      <c r="A742">
        <v>741</v>
      </c>
      <c r="B742">
        <v>15637414</v>
      </c>
      <c r="C742" t="s">
        <v>606</v>
      </c>
      <c r="D742" t="s">
        <v>15</v>
      </c>
      <c r="E742" t="s">
        <v>16</v>
      </c>
      <c r="F742">
        <v>618</v>
      </c>
      <c r="G742">
        <v>24</v>
      </c>
      <c r="H742">
        <v>7</v>
      </c>
      <c r="I742">
        <v>128736.39</v>
      </c>
      <c r="J742">
        <v>1</v>
      </c>
      <c r="K742">
        <v>0</v>
      </c>
      <c r="L742">
        <v>1</v>
      </c>
      <c r="M742">
        <v>37147.61</v>
      </c>
      <c r="N742">
        <v>0</v>
      </c>
      <c r="O742" t="str">
        <f t="shared" si="44"/>
        <v>Average</v>
      </c>
      <c r="P742" t="str">
        <f t="shared" si="45"/>
        <v>Young Adult</v>
      </c>
      <c r="Q742" t="str">
        <f t="shared" si="46"/>
        <v>Medium Salary</v>
      </c>
      <c r="R742" t="str">
        <f t="shared" si="47"/>
        <v>High Balance</v>
      </c>
    </row>
    <row r="743" spans="1:18" x14ac:dyDescent="0.25">
      <c r="A743">
        <v>742</v>
      </c>
      <c r="B743">
        <v>15716835</v>
      </c>
      <c r="C743" t="s">
        <v>259</v>
      </c>
      <c r="D743" t="s">
        <v>15</v>
      </c>
      <c r="E743" t="s">
        <v>23</v>
      </c>
      <c r="F743">
        <v>546</v>
      </c>
      <c r="G743">
        <v>24</v>
      </c>
      <c r="H743">
        <v>8</v>
      </c>
      <c r="I743">
        <v>156325.38</v>
      </c>
      <c r="J743">
        <v>1</v>
      </c>
      <c r="K743">
        <v>1</v>
      </c>
      <c r="L743">
        <v>1</v>
      </c>
      <c r="M743">
        <v>125381.02</v>
      </c>
      <c r="N743">
        <v>0</v>
      </c>
      <c r="O743" t="str">
        <f t="shared" si="44"/>
        <v>Poor</v>
      </c>
      <c r="P743" t="str">
        <f t="shared" si="45"/>
        <v>Young Adult</v>
      </c>
      <c r="Q743" t="str">
        <f t="shared" si="46"/>
        <v>High Salary</v>
      </c>
      <c r="R743" t="str">
        <f t="shared" si="47"/>
        <v>High Balance</v>
      </c>
    </row>
    <row r="744" spans="1:18" x14ac:dyDescent="0.25">
      <c r="A744">
        <v>743</v>
      </c>
      <c r="B744">
        <v>15696231</v>
      </c>
      <c r="C744" t="s">
        <v>607</v>
      </c>
      <c r="D744" t="s">
        <v>15</v>
      </c>
      <c r="E744" t="s">
        <v>23</v>
      </c>
      <c r="F744">
        <v>635</v>
      </c>
      <c r="G744">
        <v>29</v>
      </c>
      <c r="H744">
        <v>7</v>
      </c>
      <c r="I744">
        <v>105405.97</v>
      </c>
      <c r="J744">
        <v>1</v>
      </c>
      <c r="K744">
        <v>1</v>
      </c>
      <c r="L744">
        <v>1</v>
      </c>
      <c r="M744">
        <v>149853.89000000001</v>
      </c>
      <c r="N744">
        <v>0</v>
      </c>
      <c r="O744" t="str">
        <f t="shared" si="44"/>
        <v>Average</v>
      </c>
      <c r="P744" t="str">
        <f t="shared" si="45"/>
        <v>Young Adult</v>
      </c>
      <c r="Q744" t="str">
        <f t="shared" si="46"/>
        <v>High Salary</v>
      </c>
      <c r="R744" t="str">
        <f t="shared" si="47"/>
        <v>High Balance</v>
      </c>
    </row>
    <row r="745" spans="1:18" x14ac:dyDescent="0.25">
      <c r="A745">
        <v>744</v>
      </c>
      <c r="B745">
        <v>15641675</v>
      </c>
      <c r="C745" t="s">
        <v>608</v>
      </c>
      <c r="D745" t="s">
        <v>15</v>
      </c>
      <c r="E745" t="s">
        <v>16</v>
      </c>
      <c r="F745">
        <v>611</v>
      </c>
      <c r="G745">
        <v>49</v>
      </c>
      <c r="H745">
        <v>2</v>
      </c>
      <c r="I745">
        <v>88915.37</v>
      </c>
      <c r="J745">
        <v>3</v>
      </c>
      <c r="K745">
        <v>0</v>
      </c>
      <c r="L745">
        <v>0</v>
      </c>
      <c r="M745">
        <v>161435.01999999999</v>
      </c>
      <c r="N745">
        <v>1</v>
      </c>
      <c r="O745" t="str">
        <f t="shared" si="44"/>
        <v>Average</v>
      </c>
      <c r="P745" t="str">
        <f t="shared" si="45"/>
        <v>Adult</v>
      </c>
      <c r="Q745" t="str">
        <f t="shared" si="46"/>
        <v>High Salary</v>
      </c>
      <c r="R745" t="str">
        <f t="shared" si="47"/>
        <v>Medium Balance</v>
      </c>
    </row>
    <row r="746" spans="1:18" x14ac:dyDescent="0.25">
      <c r="A746">
        <v>745</v>
      </c>
      <c r="B746">
        <v>15670755</v>
      </c>
      <c r="C746" t="s">
        <v>609</v>
      </c>
      <c r="D746" t="s">
        <v>15</v>
      </c>
      <c r="E746" t="s">
        <v>23</v>
      </c>
      <c r="F746">
        <v>650</v>
      </c>
      <c r="G746">
        <v>60</v>
      </c>
      <c r="H746">
        <v>8</v>
      </c>
      <c r="I746">
        <v>0</v>
      </c>
      <c r="J746">
        <v>2</v>
      </c>
      <c r="K746">
        <v>1</v>
      </c>
      <c r="L746">
        <v>1</v>
      </c>
      <c r="M746">
        <v>102925.75999999999</v>
      </c>
      <c r="N746">
        <v>0</v>
      </c>
      <c r="O746" t="str">
        <f t="shared" si="44"/>
        <v>Average</v>
      </c>
      <c r="P746" t="str">
        <f t="shared" si="45"/>
        <v>Senior</v>
      </c>
      <c r="Q746" t="str">
        <f t="shared" si="46"/>
        <v>High Salary</v>
      </c>
      <c r="R746" t="str">
        <f t="shared" si="47"/>
        <v>Low Balance</v>
      </c>
    </row>
    <row r="747" spans="1:18" x14ac:dyDescent="0.25">
      <c r="A747">
        <v>746</v>
      </c>
      <c r="B747">
        <v>15640059</v>
      </c>
      <c r="C747" t="s">
        <v>234</v>
      </c>
      <c r="D747" t="s">
        <v>15</v>
      </c>
      <c r="E747" t="s">
        <v>23</v>
      </c>
      <c r="F747">
        <v>606</v>
      </c>
      <c r="G747">
        <v>40</v>
      </c>
      <c r="H747">
        <v>5</v>
      </c>
      <c r="I747">
        <v>0</v>
      </c>
      <c r="J747">
        <v>2</v>
      </c>
      <c r="K747">
        <v>1</v>
      </c>
      <c r="L747">
        <v>1</v>
      </c>
      <c r="M747">
        <v>70899.27</v>
      </c>
      <c r="N747">
        <v>0</v>
      </c>
      <c r="O747" t="str">
        <f t="shared" si="44"/>
        <v>Average</v>
      </c>
      <c r="P747" t="str">
        <f t="shared" si="45"/>
        <v>Adult</v>
      </c>
      <c r="Q747" t="str">
        <f t="shared" si="46"/>
        <v>High Salary</v>
      </c>
      <c r="R747" t="str">
        <f t="shared" si="47"/>
        <v>Low Balance</v>
      </c>
    </row>
    <row r="748" spans="1:18" x14ac:dyDescent="0.25">
      <c r="A748">
        <v>747</v>
      </c>
      <c r="B748">
        <v>15787619</v>
      </c>
      <c r="C748" t="s">
        <v>313</v>
      </c>
      <c r="D748" t="s">
        <v>15</v>
      </c>
      <c r="E748" t="s">
        <v>23</v>
      </c>
      <c r="F748">
        <v>844</v>
      </c>
      <c r="G748">
        <v>18</v>
      </c>
      <c r="H748">
        <v>2</v>
      </c>
      <c r="I748">
        <v>160980.03</v>
      </c>
      <c r="J748">
        <v>1</v>
      </c>
      <c r="K748">
        <v>0</v>
      </c>
      <c r="L748">
        <v>0</v>
      </c>
      <c r="M748">
        <v>145936.28</v>
      </c>
      <c r="N748">
        <v>0</v>
      </c>
      <c r="O748" t="str">
        <f t="shared" si="44"/>
        <v>Good</v>
      </c>
      <c r="P748" t="str">
        <f t="shared" si="45"/>
        <v>Young Adult</v>
      </c>
      <c r="Q748" t="str">
        <f t="shared" si="46"/>
        <v>High Salary</v>
      </c>
      <c r="R748" t="str">
        <f t="shared" si="47"/>
        <v>High Balance</v>
      </c>
    </row>
    <row r="749" spans="1:18" x14ac:dyDescent="0.25">
      <c r="A749">
        <v>748</v>
      </c>
      <c r="B749">
        <v>15587535</v>
      </c>
      <c r="C749" t="s">
        <v>605</v>
      </c>
      <c r="D749" t="s">
        <v>18</v>
      </c>
      <c r="E749" t="s">
        <v>16</v>
      </c>
      <c r="F749">
        <v>450</v>
      </c>
      <c r="G749">
        <v>46</v>
      </c>
      <c r="H749">
        <v>5</v>
      </c>
      <c r="I749">
        <v>177619.71</v>
      </c>
      <c r="J749">
        <v>1</v>
      </c>
      <c r="K749">
        <v>1</v>
      </c>
      <c r="L749">
        <v>0</v>
      </c>
      <c r="M749">
        <v>54227.06</v>
      </c>
      <c r="N749">
        <v>0</v>
      </c>
      <c r="O749" t="str">
        <f t="shared" si="44"/>
        <v>Poor</v>
      </c>
      <c r="P749" t="str">
        <f t="shared" si="45"/>
        <v>Adult</v>
      </c>
      <c r="Q749" t="str">
        <f t="shared" si="46"/>
        <v>Medium Salary</v>
      </c>
      <c r="R749" t="str">
        <f t="shared" si="47"/>
        <v>High Balance</v>
      </c>
    </row>
    <row r="750" spans="1:18" x14ac:dyDescent="0.25">
      <c r="A750">
        <v>749</v>
      </c>
      <c r="B750">
        <v>15813034</v>
      </c>
      <c r="C750" t="s">
        <v>65</v>
      </c>
      <c r="D750" t="s">
        <v>18</v>
      </c>
      <c r="E750" t="s">
        <v>23</v>
      </c>
      <c r="F750">
        <v>727</v>
      </c>
      <c r="G750">
        <v>38</v>
      </c>
      <c r="H750">
        <v>2</v>
      </c>
      <c r="I750">
        <v>62276.99</v>
      </c>
      <c r="J750">
        <v>1</v>
      </c>
      <c r="K750">
        <v>1</v>
      </c>
      <c r="L750">
        <v>1</v>
      </c>
      <c r="M750">
        <v>59280.79</v>
      </c>
      <c r="N750">
        <v>0</v>
      </c>
      <c r="O750" t="str">
        <f t="shared" si="44"/>
        <v>Good</v>
      </c>
      <c r="P750" t="str">
        <f t="shared" si="45"/>
        <v>Adult</v>
      </c>
      <c r="Q750" t="str">
        <f t="shared" si="46"/>
        <v>Medium Salary</v>
      </c>
      <c r="R750" t="str">
        <f t="shared" si="47"/>
        <v>Medium Balance</v>
      </c>
    </row>
    <row r="751" spans="1:18" x14ac:dyDescent="0.25">
      <c r="A751">
        <v>750</v>
      </c>
      <c r="B751">
        <v>15698839</v>
      </c>
      <c r="C751" t="s">
        <v>610</v>
      </c>
      <c r="D751" t="s">
        <v>26</v>
      </c>
      <c r="E751" t="s">
        <v>23</v>
      </c>
      <c r="F751">
        <v>460</v>
      </c>
      <c r="G751">
        <v>46</v>
      </c>
      <c r="H751">
        <v>4</v>
      </c>
      <c r="I751">
        <v>127559.97</v>
      </c>
      <c r="J751">
        <v>2</v>
      </c>
      <c r="K751">
        <v>1</v>
      </c>
      <c r="L751">
        <v>1</v>
      </c>
      <c r="M751">
        <v>126952.5</v>
      </c>
      <c r="N751">
        <v>0</v>
      </c>
      <c r="O751" t="str">
        <f t="shared" si="44"/>
        <v>Poor</v>
      </c>
      <c r="P751" t="str">
        <f t="shared" si="45"/>
        <v>Adult</v>
      </c>
      <c r="Q751" t="str">
        <f t="shared" si="46"/>
        <v>High Salary</v>
      </c>
      <c r="R751" t="str">
        <f t="shared" si="47"/>
        <v>High Balance</v>
      </c>
    </row>
    <row r="752" spans="1:18" x14ac:dyDescent="0.25">
      <c r="A752">
        <v>751</v>
      </c>
      <c r="B752">
        <v>15790314</v>
      </c>
      <c r="C752" t="s">
        <v>611</v>
      </c>
      <c r="D752" t="s">
        <v>15</v>
      </c>
      <c r="E752" t="s">
        <v>23</v>
      </c>
      <c r="F752">
        <v>649</v>
      </c>
      <c r="G752">
        <v>41</v>
      </c>
      <c r="H752">
        <v>0</v>
      </c>
      <c r="I752">
        <v>0</v>
      </c>
      <c r="J752">
        <v>2</v>
      </c>
      <c r="K752">
        <v>0</v>
      </c>
      <c r="L752">
        <v>1</v>
      </c>
      <c r="M752">
        <v>130567.02</v>
      </c>
      <c r="N752">
        <v>0</v>
      </c>
      <c r="O752" t="str">
        <f t="shared" si="44"/>
        <v>Average</v>
      </c>
      <c r="P752" t="str">
        <f t="shared" si="45"/>
        <v>Adult</v>
      </c>
      <c r="Q752" t="str">
        <f t="shared" si="46"/>
        <v>High Salary</v>
      </c>
      <c r="R752" t="str">
        <f t="shared" si="47"/>
        <v>Low Balance</v>
      </c>
    </row>
    <row r="753" spans="1:18" x14ac:dyDescent="0.25">
      <c r="A753">
        <v>752</v>
      </c>
      <c r="B753">
        <v>15634245</v>
      </c>
      <c r="C753" t="s">
        <v>612</v>
      </c>
      <c r="D753" t="s">
        <v>26</v>
      </c>
      <c r="E753" t="s">
        <v>16</v>
      </c>
      <c r="F753">
        <v>758</v>
      </c>
      <c r="G753">
        <v>47</v>
      </c>
      <c r="H753">
        <v>9</v>
      </c>
      <c r="I753">
        <v>95523.16</v>
      </c>
      <c r="J753">
        <v>1</v>
      </c>
      <c r="K753">
        <v>1</v>
      </c>
      <c r="L753">
        <v>0</v>
      </c>
      <c r="M753">
        <v>73294.48</v>
      </c>
      <c r="N753">
        <v>0</v>
      </c>
      <c r="O753" t="str">
        <f t="shared" si="44"/>
        <v>Good</v>
      </c>
      <c r="P753" t="str">
        <f t="shared" si="45"/>
        <v>Adult</v>
      </c>
      <c r="Q753" t="str">
        <f t="shared" si="46"/>
        <v>High Salary</v>
      </c>
      <c r="R753" t="str">
        <f t="shared" si="47"/>
        <v>Medium Balance</v>
      </c>
    </row>
    <row r="754" spans="1:18" x14ac:dyDescent="0.25">
      <c r="A754">
        <v>753</v>
      </c>
      <c r="B754">
        <v>15677305</v>
      </c>
      <c r="C754" t="s">
        <v>313</v>
      </c>
      <c r="D754" t="s">
        <v>15</v>
      </c>
      <c r="E754" t="s">
        <v>16</v>
      </c>
      <c r="F754">
        <v>490</v>
      </c>
      <c r="G754">
        <v>35</v>
      </c>
      <c r="H754">
        <v>7</v>
      </c>
      <c r="I754">
        <v>107749.03</v>
      </c>
      <c r="J754">
        <v>1</v>
      </c>
      <c r="K754">
        <v>1</v>
      </c>
      <c r="L754">
        <v>1</v>
      </c>
      <c r="M754">
        <v>3937.37</v>
      </c>
      <c r="N754">
        <v>0</v>
      </c>
      <c r="O754" t="str">
        <f t="shared" si="44"/>
        <v>Poor</v>
      </c>
      <c r="P754" t="str">
        <f t="shared" si="45"/>
        <v>Adult</v>
      </c>
      <c r="Q754" t="str">
        <f t="shared" si="46"/>
        <v>Low Salary</v>
      </c>
      <c r="R754" t="str">
        <f t="shared" si="47"/>
        <v>High Balance</v>
      </c>
    </row>
    <row r="755" spans="1:18" x14ac:dyDescent="0.25">
      <c r="A755">
        <v>754</v>
      </c>
      <c r="B755">
        <v>15661526</v>
      </c>
      <c r="C755" t="s">
        <v>540</v>
      </c>
      <c r="D755" t="s">
        <v>26</v>
      </c>
      <c r="E755" t="s">
        <v>23</v>
      </c>
      <c r="F755">
        <v>815</v>
      </c>
      <c r="G755">
        <v>37</v>
      </c>
      <c r="H755">
        <v>2</v>
      </c>
      <c r="I755">
        <v>110777.26</v>
      </c>
      <c r="J755">
        <v>2</v>
      </c>
      <c r="K755">
        <v>1</v>
      </c>
      <c r="L755">
        <v>0</v>
      </c>
      <c r="M755">
        <v>2383.59</v>
      </c>
      <c r="N755">
        <v>0</v>
      </c>
      <c r="O755" t="str">
        <f t="shared" si="44"/>
        <v>Good</v>
      </c>
      <c r="P755" t="str">
        <f t="shared" si="45"/>
        <v>Adult</v>
      </c>
      <c r="Q755" t="str">
        <f t="shared" si="46"/>
        <v>Low Salary</v>
      </c>
      <c r="R755" t="str">
        <f t="shared" si="47"/>
        <v>High Balance</v>
      </c>
    </row>
    <row r="756" spans="1:18" x14ac:dyDescent="0.25">
      <c r="A756">
        <v>755</v>
      </c>
      <c r="B756">
        <v>15685997</v>
      </c>
      <c r="C756" t="s">
        <v>613</v>
      </c>
      <c r="D756" t="s">
        <v>18</v>
      </c>
      <c r="E756" t="s">
        <v>16</v>
      </c>
      <c r="F756">
        <v>838</v>
      </c>
      <c r="G756">
        <v>39</v>
      </c>
      <c r="H756">
        <v>5</v>
      </c>
      <c r="I756">
        <v>166733.92000000001</v>
      </c>
      <c r="J756">
        <v>2</v>
      </c>
      <c r="K756">
        <v>1</v>
      </c>
      <c r="L756">
        <v>0</v>
      </c>
      <c r="M756">
        <v>14279.44</v>
      </c>
      <c r="N756">
        <v>0</v>
      </c>
      <c r="O756" t="str">
        <f t="shared" si="44"/>
        <v>Good</v>
      </c>
      <c r="P756" t="str">
        <f t="shared" si="45"/>
        <v>Adult</v>
      </c>
      <c r="Q756" t="str">
        <f t="shared" si="46"/>
        <v>Low Salary</v>
      </c>
      <c r="R756" t="str">
        <f t="shared" si="47"/>
        <v>High Balance</v>
      </c>
    </row>
    <row r="757" spans="1:18" x14ac:dyDescent="0.25">
      <c r="A757">
        <v>756</v>
      </c>
      <c r="B757">
        <v>15660101</v>
      </c>
      <c r="C757" t="s">
        <v>614</v>
      </c>
      <c r="D757" t="s">
        <v>15</v>
      </c>
      <c r="E757" t="s">
        <v>23</v>
      </c>
      <c r="F757">
        <v>803</v>
      </c>
      <c r="G757">
        <v>31</v>
      </c>
      <c r="H757">
        <v>9</v>
      </c>
      <c r="I757">
        <v>157120.85999999999</v>
      </c>
      <c r="J757">
        <v>2</v>
      </c>
      <c r="K757">
        <v>1</v>
      </c>
      <c r="L757">
        <v>0</v>
      </c>
      <c r="M757">
        <v>141300.53</v>
      </c>
      <c r="N757">
        <v>0</v>
      </c>
      <c r="O757" t="str">
        <f t="shared" si="44"/>
        <v>Good</v>
      </c>
      <c r="P757" t="str">
        <f t="shared" si="45"/>
        <v>Adult</v>
      </c>
      <c r="Q757" t="str">
        <f t="shared" si="46"/>
        <v>High Salary</v>
      </c>
      <c r="R757" t="str">
        <f t="shared" si="47"/>
        <v>High Balance</v>
      </c>
    </row>
    <row r="758" spans="1:18" x14ac:dyDescent="0.25">
      <c r="A758">
        <v>757</v>
      </c>
      <c r="B758">
        <v>15637979</v>
      </c>
      <c r="C758" t="s">
        <v>139</v>
      </c>
      <c r="D758" t="s">
        <v>26</v>
      </c>
      <c r="E758" t="s">
        <v>16</v>
      </c>
      <c r="F758">
        <v>664</v>
      </c>
      <c r="G758">
        <v>36</v>
      </c>
      <c r="H758">
        <v>2</v>
      </c>
      <c r="I758">
        <v>127160.78</v>
      </c>
      <c r="J758">
        <v>2</v>
      </c>
      <c r="K758">
        <v>1</v>
      </c>
      <c r="L758">
        <v>0</v>
      </c>
      <c r="M758">
        <v>78140.75</v>
      </c>
      <c r="N758">
        <v>0</v>
      </c>
      <c r="O758" t="str">
        <f t="shared" si="44"/>
        <v>Average</v>
      </c>
      <c r="P758" t="str">
        <f t="shared" si="45"/>
        <v>Adult</v>
      </c>
      <c r="Q758" t="str">
        <f t="shared" si="46"/>
        <v>High Salary</v>
      </c>
      <c r="R758" t="str">
        <f t="shared" si="47"/>
        <v>High Balance</v>
      </c>
    </row>
    <row r="759" spans="1:18" x14ac:dyDescent="0.25">
      <c r="A759">
        <v>758</v>
      </c>
      <c r="B759">
        <v>15815364</v>
      </c>
      <c r="C759" t="s">
        <v>615</v>
      </c>
      <c r="D759" t="s">
        <v>18</v>
      </c>
      <c r="E759" t="s">
        <v>16</v>
      </c>
      <c r="F759">
        <v>736</v>
      </c>
      <c r="G759">
        <v>28</v>
      </c>
      <c r="H759">
        <v>2</v>
      </c>
      <c r="I759">
        <v>0</v>
      </c>
      <c r="J759">
        <v>2</v>
      </c>
      <c r="K759">
        <v>1</v>
      </c>
      <c r="L759">
        <v>1</v>
      </c>
      <c r="M759">
        <v>117431.1</v>
      </c>
      <c r="N759">
        <v>0</v>
      </c>
      <c r="O759" t="str">
        <f t="shared" si="44"/>
        <v>Good</v>
      </c>
      <c r="P759" t="str">
        <f t="shared" si="45"/>
        <v>Young Adult</v>
      </c>
      <c r="Q759" t="str">
        <f t="shared" si="46"/>
        <v>High Salary</v>
      </c>
      <c r="R759" t="str">
        <f t="shared" si="47"/>
        <v>Low Balance</v>
      </c>
    </row>
    <row r="760" spans="1:18" x14ac:dyDescent="0.25">
      <c r="A760">
        <v>759</v>
      </c>
      <c r="B760">
        <v>15647099</v>
      </c>
      <c r="C760" t="s">
        <v>616</v>
      </c>
      <c r="D760" t="s">
        <v>15</v>
      </c>
      <c r="E760" t="s">
        <v>16</v>
      </c>
      <c r="F760">
        <v>633</v>
      </c>
      <c r="G760">
        <v>37</v>
      </c>
      <c r="H760">
        <v>9</v>
      </c>
      <c r="I760">
        <v>156091.97</v>
      </c>
      <c r="J760">
        <v>1</v>
      </c>
      <c r="K760">
        <v>1</v>
      </c>
      <c r="L760">
        <v>0</v>
      </c>
      <c r="M760">
        <v>72008.61</v>
      </c>
      <c r="N760">
        <v>0</v>
      </c>
      <c r="O760" t="str">
        <f t="shared" si="44"/>
        <v>Average</v>
      </c>
      <c r="P760" t="str">
        <f t="shared" si="45"/>
        <v>Adult</v>
      </c>
      <c r="Q760" t="str">
        <f t="shared" si="46"/>
        <v>High Salary</v>
      </c>
      <c r="R760" t="str">
        <f t="shared" si="47"/>
        <v>High Balance</v>
      </c>
    </row>
    <row r="761" spans="1:18" x14ac:dyDescent="0.25">
      <c r="A761">
        <v>760</v>
      </c>
      <c r="B761">
        <v>15625944</v>
      </c>
      <c r="C761" t="s">
        <v>68</v>
      </c>
      <c r="D761" t="s">
        <v>15</v>
      </c>
      <c r="E761" t="s">
        <v>23</v>
      </c>
      <c r="F761">
        <v>664</v>
      </c>
      <c r="G761">
        <v>58</v>
      </c>
      <c r="H761">
        <v>5</v>
      </c>
      <c r="I761">
        <v>98668.18</v>
      </c>
      <c r="J761">
        <v>1</v>
      </c>
      <c r="K761">
        <v>1</v>
      </c>
      <c r="L761">
        <v>1</v>
      </c>
      <c r="M761">
        <v>60887.58</v>
      </c>
      <c r="N761">
        <v>0</v>
      </c>
      <c r="O761" t="str">
        <f t="shared" si="44"/>
        <v>Average</v>
      </c>
      <c r="P761" t="str">
        <f t="shared" si="45"/>
        <v>Senior</v>
      </c>
      <c r="Q761" t="str">
        <f t="shared" si="46"/>
        <v>Medium Salary</v>
      </c>
      <c r="R761" t="str">
        <f t="shared" si="47"/>
        <v>Medium Balance</v>
      </c>
    </row>
    <row r="762" spans="1:18" x14ac:dyDescent="0.25">
      <c r="A762">
        <v>761</v>
      </c>
      <c r="B762">
        <v>15583212</v>
      </c>
      <c r="C762" t="s">
        <v>133</v>
      </c>
      <c r="D762" t="s">
        <v>15</v>
      </c>
      <c r="E762" t="s">
        <v>16</v>
      </c>
      <c r="F762">
        <v>600</v>
      </c>
      <c r="G762">
        <v>43</v>
      </c>
      <c r="H762">
        <v>5</v>
      </c>
      <c r="I762">
        <v>134022.06</v>
      </c>
      <c r="J762">
        <v>1</v>
      </c>
      <c r="K762">
        <v>1</v>
      </c>
      <c r="L762">
        <v>0</v>
      </c>
      <c r="M762">
        <v>194764.83</v>
      </c>
      <c r="N762">
        <v>0</v>
      </c>
      <c r="O762" t="str">
        <f t="shared" si="44"/>
        <v>Average</v>
      </c>
      <c r="P762" t="str">
        <f t="shared" si="45"/>
        <v>Adult</v>
      </c>
      <c r="Q762" t="str">
        <f t="shared" si="46"/>
        <v>High Salary</v>
      </c>
      <c r="R762" t="str">
        <f t="shared" si="47"/>
        <v>High Balance</v>
      </c>
    </row>
    <row r="763" spans="1:18" x14ac:dyDescent="0.25">
      <c r="A763">
        <v>762</v>
      </c>
      <c r="B763">
        <v>15582741</v>
      </c>
      <c r="C763" t="s">
        <v>44</v>
      </c>
      <c r="D763" t="s">
        <v>15</v>
      </c>
      <c r="E763" t="s">
        <v>16</v>
      </c>
      <c r="F763">
        <v>693</v>
      </c>
      <c r="G763">
        <v>35</v>
      </c>
      <c r="H763">
        <v>5</v>
      </c>
      <c r="I763">
        <v>124151.09</v>
      </c>
      <c r="J763">
        <v>1</v>
      </c>
      <c r="K763">
        <v>1</v>
      </c>
      <c r="L763">
        <v>0</v>
      </c>
      <c r="M763">
        <v>88705.14</v>
      </c>
      <c r="N763">
        <v>1</v>
      </c>
      <c r="O763" t="str">
        <f t="shared" si="44"/>
        <v>Good</v>
      </c>
      <c r="P763" t="str">
        <f t="shared" si="45"/>
        <v>Adult</v>
      </c>
      <c r="Q763" t="str">
        <f t="shared" si="46"/>
        <v>High Salary</v>
      </c>
      <c r="R763" t="str">
        <f t="shared" si="47"/>
        <v>High Balance</v>
      </c>
    </row>
    <row r="764" spans="1:18" x14ac:dyDescent="0.25">
      <c r="A764">
        <v>763</v>
      </c>
      <c r="B764">
        <v>15637876</v>
      </c>
      <c r="C764" t="s">
        <v>422</v>
      </c>
      <c r="D764" t="s">
        <v>26</v>
      </c>
      <c r="E764" t="s">
        <v>16</v>
      </c>
      <c r="F764">
        <v>663</v>
      </c>
      <c r="G764">
        <v>36</v>
      </c>
      <c r="H764">
        <v>6</v>
      </c>
      <c r="I764">
        <v>77253.5</v>
      </c>
      <c r="J764">
        <v>1</v>
      </c>
      <c r="K764">
        <v>0</v>
      </c>
      <c r="L764">
        <v>0</v>
      </c>
      <c r="M764">
        <v>35817.97</v>
      </c>
      <c r="N764">
        <v>1</v>
      </c>
      <c r="O764" t="str">
        <f t="shared" si="44"/>
        <v>Average</v>
      </c>
      <c r="P764" t="str">
        <f t="shared" si="45"/>
        <v>Adult</v>
      </c>
      <c r="Q764" t="str">
        <f t="shared" si="46"/>
        <v>Medium Salary</v>
      </c>
      <c r="R764" t="str">
        <f t="shared" si="47"/>
        <v>Medium Balance</v>
      </c>
    </row>
    <row r="765" spans="1:18" x14ac:dyDescent="0.25">
      <c r="A765">
        <v>764</v>
      </c>
      <c r="B765">
        <v>15622750</v>
      </c>
      <c r="C765" t="s">
        <v>22</v>
      </c>
      <c r="D765" t="s">
        <v>26</v>
      </c>
      <c r="E765" t="s">
        <v>16</v>
      </c>
      <c r="F765">
        <v>742</v>
      </c>
      <c r="G765">
        <v>21</v>
      </c>
      <c r="H765">
        <v>1</v>
      </c>
      <c r="I765">
        <v>114292.48</v>
      </c>
      <c r="J765">
        <v>1</v>
      </c>
      <c r="K765">
        <v>1</v>
      </c>
      <c r="L765">
        <v>0</v>
      </c>
      <c r="M765">
        <v>31520.400000000001</v>
      </c>
      <c r="N765">
        <v>0</v>
      </c>
      <c r="O765" t="str">
        <f t="shared" si="44"/>
        <v>Good</v>
      </c>
      <c r="P765" t="str">
        <f t="shared" si="45"/>
        <v>Young Adult</v>
      </c>
      <c r="Q765" t="str">
        <f t="shared" si="46"/>
        <v>Medium Salary</v>
      </c>
      <c r="R765" t="str">
        <f t="shared" si="47"/>
        <v>High Balance</v>
      </c>
    </row>
    <row r="766" spans="1:18" x14ac:dyDescent="0.25">
      <c r="A766">
        <v>765</v>
      </c>
      <c r="B766">
        <v>15672056</v>
      </c>
      <c r="C766" t="s">
        <v>617</v>
      </c>
      <c r="D766" t="s">
        <v>26</v>
      </c>
      <c r="E766" t="s">
        <v>23</v>
      </c>
      <c r="F766">
        <v>710</v>
      </c>
      <c r="G766">
        <v>43</v>
      </c>
      <c r="H766">
        <v>2</v>
      </c>
      <c r="I766">
        <v>140080.32000000001</v>
      </c>
      <c r="J766">
        <v>3</v>
      </c>
      <c r="K766">
        <v>1</v>
      </c>
      <c r="L766">
        <v>1</v>
      </c>
      <c r="M766">
        <v>157908.19</v>
      </c>
      <c r="N766">
        <v>1</v>
      </c>
      <c r="O766" t="str">
        <f t="shared" si="44"/>
        <v>Good</v>
      </c>
      <c r="P766" t="str">
        <f t="shared" si="45"/>
        <v>Adult</v>
      </c>
      <c r="Q766" t="str">
        <f t="shared" si="46"/>
        <v>High Salary</v>
      </c>
      <c r="R766" t="str">
        <f t="shared" si="47"/>
        <v>High Balance</v>
      </c>
    </row>
    <row r="767" spans="1:18" x14ac:dyDescent="0.25">
      <c r="A767">
        <v>766</v>
      </c>
      <c r="B767">
        <v>15812351</v>
      </c>
      <c r="C767" t="s">
        <v>618</v>
      </c>
      <c r="D767" t="s">
        <v>18</v>
      </c>
      <c r="E767" t="s">
        <v>16</v>
      </c>
      <c r="F767">
        <v>710</v>
      </c>
      <c r="G767">
        <v>27</v>
      </c>
      <c r="H767">
        <v>2</v>
      </c>
      <c r="I767">
        <v>135277.96</v>
      </c>
      <c r="J767">
        <v>1</v>
      </c>
      <c r="K767">
        <v>1</v>
      </c>
      <c r="L767">
        <v>0</v>
      </c>
      <c r="M767">
        <v>142200.15</v>
      </c>
      <c r="N767">
        <v>0</v>
      </c>
      <c r="O767" t="str">
        <f t="shared" si="44"/>
        <v>Good</v>
      </c>
      <c r="P767" t="str">
        <f t="shared" si="45"/>
        <v>Young Adult</v>
      </c>
      <c r="Q767" t="str">
        <f t="shared" si="46"/>
        <v>High Salary</v>
      </c>
      <c r="R767" t="str">
        <f t="shared" si="47"/>
        <v>High Balance</v>
      </c>
    </row>
    <row r="768" spans="1:18" x14ac:dyDescent="0.25">
      <c r="A768">
        <v>767</v>
      </c>
      <c r="B768">
        <v>15810864</v>
      </c>
      <c r="C768" t="s">
        <v>619</v>
      </c>
      <c r="D768" t="s">
        <v>15</v>
      </c>
      <c r="E768" t="s">
        <v>16</v>
      </c>
      <c r="F768">
        <v>700</v>
      </c>
      <c r="G768">
        <v>82</v>
      </c>
      <c r="H768">
        <v>2</v>
      </c>
      <c r="I768">
        <v>0</v>
      </c>
      <c r="J768">
        <v>2</v>
      </c>
      <c r="K768">
        <v>0</v>
      </c>
      <c r="L768">
        <v>1</v>
      </c>
      <c r="M768">
        <v>182055.36</v>
      </c>
      <c r="N768">
        <v>0</v>
      </c>
      <c r="O768" t="str">
        <f t="shared" si="44"/>
        <v>Good</v>
      </c>
      <c r="P768" t="str">
        <f t="shared" si="45"/>
        <v>Senior</v>
      </c>
      <c r="Q768" t="str">
        <f t="shared" si="46"/>
        <v>High Salary</v>
      </c>
      <c r="R768" t="str">
        <f t="shared" si="47"/>
        <v>Low Balance</v>
      </c>
    </row>
    <row r="769" spans="1:18" x14ac:dyDescent="0.25">
      <c r="A769">
        <v>768</v>
      </c>
      <c r="B769">
        <v>15677921</v>
      </c>
      <c r="C769" t="s">
        <v>620</v>
      </c>
      <c r="D769" t="s">
        <v>26</v>
      </c>
      <c r="E769" t="s">
        <v>23</v>
      </c>
      <c r="F769">
        <v>720</v>
      </c>
      <c r="G769">
        <v>60</v>
      </c>
      <c r="H769">
        <v>9</v>
      </c>
      <c r="I769">
        <v>115920.62</v>
      </c>
      <c r="J769">
        <v>2</v>
      </c>
      <c r="K769">
        <v>0</v>
      </c>
      <c r="L769">
        <v>0</v>
      </c>
      <c r="M769">
        <v>157552.07999999999</v>
      </c>
      <c r="N769">
        <v>1</v>
      </c>
      <c r="O769" t="str">
        <f t="shared" si="44"/>
        <v>Good</v>
      </c>
      <c r="P769" t="str">
        <f t="shared" si="45"/>
        <v>Senior</v>
      </c>
      <c r="Q769" t="str">
        <f t="shared" si="46"/>
        <v>High Salary</v>
      </c>
      <c r="R769" t="str">
        <f t="shared" si="47"/>
        <v>High Balance</v>
      </c>
    </row>
    <row r="770" spans="1:18" x14ac:dyDescent="0.25">
      <c r="A770">
        <v>769</v>
      </c>
      <c r="B770">
        <v>15724296</v>
      </c>
      <c r="C770" t="s">
        <v>319</v>
      </c>
      <c r="D770" t="s">
        <v>18</v>
      </c>
      <c r="E770" t="s">
        <v>23</v>
      </c>
      <c r="F770">
        <v>684</v>
      </c>
      <c r="G770">
        <v>41</v>
      </c>
      <c r="H770">
        <v>2</v>
      </c>
      <c r="I770">
        <v>119782.72</v>
      </c>
      <c r="J770">
        <v>2</v>
      </c>
      <c r="K770">
        <v>0</v>
      </c>
      <c r="L770">
        <v>0</v>
      </c>
      <c r="M770">
        <v>120284.67</v>
      </c>
      <c r="N770">
        <v>0</v>
      </c>
      <c r="O770" t="str">
        <f t="shared" si="44"/>
        <v>Good</v>
      </c>
      <c r="P770" t="str">
        <f t="shared" si="45"/>
        <v>Adult</v>
      </c>
      <c r="Q770" t="str">
        <f t="shared" si="46"/>
        <v>High Salary</v>
      </c>
      <c r="R770" t="str">
        <f t="shared" si="47"/>
        <v>High Balance</v>
      </c>
    </row>
    <row r="771" spans="1:18" x14ac:dyDescent="0.25">
      <c r="A771">
        <v>770</v>
      </c>
      <c r="B771">
        <v>15685329</v>
      </c>
      <c r="C771" t="s">
        <v>370</v>
      </c>
      <c r="D771" t="s">
        <v>15</v>
      </c>
      <c r="E771" t="s">
        <v>16</v>
      </c>
      <c r="F771">
        <v>531</v>
      </c>
      <c r="G771">
        <v>63</v>
      </c>
      <c r="H771">
        <v>1</v>
      </c>
      <c r="I771">
        <v>114715.71</v>
      </c>
      <c r="J771">
        <v>1</v>
      </c>
      <c r="K771">
        <v>0</v>
      </c>
      <c r="L771">
        <v>1</v>
      </c>
      <c r="M771">
        <v>24506.95</v>
      </c>
      <c r="N771">
        <v>1</v>
      </c>
      <c r="O771" t="str">
        <f t="shared" ref="O771:O834" si="48">IF(F771&lt;580, "Poor", IF(AND(F771&gt;=580, F771&lt;=669), "Average", "Good"))</f>
        <v>Poor</v>
      </c>
      <c r="P771" t="str">
        <f t="shared" ref="P771:P834" si="49">IF(G771&lt;=30, "Young Adult", IF(AND(G771&gt;=31, G771&lt;=50), "Adult", "Senior"))</f>
        <v>Senior</v>
      </c>
      <c r="Q771" t="str">
        <f t="shared" ref="Q771:Q834" si="50">IF(M771&lt;30000, "Low Salary", IF(AND(M771&gt;=30000, M771&lt;=70000), "Medium Salary", "High Salary"))</f>
        <v>Low Salary</v>
      </c>
      <c r="R771" t="str">
        <f t="shared" ref="R771:R834" si="51">IF(I771&lt;50000, "Low Balance", IF(AND(I771&gt;=50000, I771&lt;=100000), "Medium Balance", "High Balance"))</f>
        <v>High Balance</v>
      </c>
    </row>
    <row r="772" spans="1:18" x14ac:dyDescent="0.25">
      <c r="A772">
        <v>771</v>
      </c>
      <c r="B772">
        <v>15584091</v>
      </c>
      <c r="C772" t="s">
        <v>621</v>
      </c>
      <c r="D772" t="s">
        <v>26</v>
      </c>
      <c r="E772" t="s">
        <v>16</v>
      </c>
      <c r="F772">
        <v>742</v>
      </c>
      <c r="G772">
        <v>36</v>
      </c>
      <c r="H772">
        <v>2</v>
      </c>
      <c r="I772">
        <v>129748.54</v>
      </c>
      <c r="J772">
        <v>2</v>
      </c>
      <c r="K772">
        <v>0</v>
      </c>
      <c r="L772">
        <v>0</v>
      </c>
      <c r="M772">
        <v>47271.61</v>
      </c>
      <c r="N772">
        <v>1</v>
      </c>
      <c r="O772" t="str">
        <f t="shared" si="48"/>
        <v>Good</v>
      </c>
      <c r="P772" t="str">
        <f t="shared" si="49"/>
        <v>Adult</v>
      </c>
      <c r="Q772" t="str">
        <f t="shared" si="50"/>
        <v>Medium Salary</v>
      </c>
      <c r="R772" t="str">
        <f t="shared" si="51"/>
        <v>High Balance</v>
      </c>
    </row>
    <row r="773" spans="1:18" x14ac:dyDescent="0.25">
      <c r="A773">
        <v>772</v>
      </c>
      <c r="B773">
        <v>15640442</v>
      </c>
      <c r="C773" t="s">
        <v>622</v>
      </c>
      <c r="D773" t="s">
        <v>15</v>
      </c>
      <c r="E773" t="s">
        <v>23</v>
      </c>
      <c r="F773">
        <v>717</v>
      </c>
      <c r="G773">
        <v>31</v>
      </c>
      <c r="H773">
        <v>4</v>
      </c>
      <c r="I773">
        <v>129722.57</v>
      </c>
      <c r="J773">
        <v>1</v>
      </c>
      <c r="K773">
        <v>0</v>
      </c>
      <c r="L773">
        <v>0</v>
      </c>
      <c r="M773">
        <v>41176.6</v>
      </c>
      <c r="N773">
        <v>0</v>
      </c>
      <c r="O773" t="str">
        <f t="shared" si="48"/>
        <v>Good</v>
      </c>
      <c r="P773" t="str">
        <f t="shared" si="49"/>
        <v>Adult</v>
      </c>
      <c r="Q773" t="str">
        <f t="shared" si="50"/>
        <v>Medium Salary</v>
      </c>
      <c r="R773" t="str">
        <f t="shared" si="51"/>
        <v>High Balance</v>
      </c>
    </row>
    <row r="774" spans="1:18" x14ac:dyDescent="0.25">
      <c r="A774">
        <v>773</v>
      </c>
      <c r="B774">
        <v>15639314</v>
      </c>
      <c r="C774" t="s">
        <v>623</v>
      </c>
      <c r="D774" t="s">
        <v>15</v>
      </c>
      <c r="E774" t="s">
        <v>23</v>
      </c>
      <c r="F774">
        <v>589</v>
      </c>
      <c r="G774">
        <v>32</v>
      </c>
      <c r="H774">
        <v>2</v>
      </c>
      <c r="I774">
        <v>0</v>
      </c>
      <c r="J774">
        <v>2</v>
      </c>
      <c r="K774">
        <v>0</v>
      </c>
      <c r="L774">
        <v>1</v>
      </c>
      <c r="M774">
        <v>9468.64</v>
      </c>
      <c r="N774">
        <v>0</v>
      </c>
      <c r="O774" t="str">
        <f t="shared" si="48"/>
        <v>Average</v>
      </c>
      <c r="P774" t="str">
        <f t="shared" si="49"/>
        <v>Adult</v>
      </c>
      <c r="Q774" t="str">
        <f t="shared" si="50"/>
        <v>Low Salary</v>
      </c>
      <c r="R774" t="str">
        <f t="shared" si="51"/>
        <v>Low Balance</v>
      </c>
    </row>
    <row r="775" spans="1:18" x14ac:dyDescent="0.25">
      <c r="A775">
        <v>774</v>
      </c>
      <c r="B775">
        <v>15685320</v>
      </c>
      <c r="C775" t="s">
        <v>624</v>
      </c>
      <c r="D775" t="s">
        <v>15</v>
      </c>
      <c r="E775" t="s">
        <v>23</v>
      </c>
      <c r="F775">
        <v>767</v>
      </c>
      <c r="G775">
        <v>36</v>
      </c>
      <c r="H775">
        <v>3</v>
      </c>
      <c r="I775">
        <v>139180.20000000001</v>
      </c>
      <c r="J775">
        <v>1</v>
      </c>
      <c r="K775">
        <v>0</v>
      </c>
      <c r="L775">
        <v>0</v>
      </c>
      <c r="M775">
        <v>123880.19</v>
      </c>
      <c r="N775">
        <v>0</v>
      </c>
      <c r="O775" t="str">
        <f t="shared" si="48"/>
        <v>Good</v>
      </c>
      <c r="P775" t="str">
        <f t="shared" si="49"/>
        <v>Adult</v>
      </c>
      <c r="Q775" t="str">
        <f t="shared" si="50"/>
        <v>High Salary</v>
      </c>
      <c r="R775" t="str">
        <f t="shared" si="51"/>
        <v>High Balance</v>
      </c>
    </row>
    <row r="776" spans="1:18" x14ac:dyDescent="0.25">
      <c r="A776">
        <v>775</v>
      </c>
      <c r="B776">
        <v>15789158</v>
      </c>
      <c r="C776" t="s">
        <v>625</v>
      </c>
      <c r="D776" t="s">
        <v>26</v>
      </c>
      <c r="E776" t="s">
        <v>23</v>
      </c>
      <c r="F776">
        <v>636</v>
      </c>
      <c r="G776">
        <v>49</v>
      </c>
      <c r="H776">
        <v>6</v>
      </c>
      <c r="I776">
        <v>113599.74</v>
      </c>
      <c r="J776">
        <v>2</v>
      </c>
      <c r="K776">
        <v>1</v>
      </c>
      <c r="L776">
        <v>0</v>
      </c>
      <c r="M776">
        <v>158887.09</v>
      </c>
      <c r="N776">
        <v>1</v>
      </c>
      <c r="O776" t="str">
        <f t="shared" si="48"/>
        <v>Average</v>
      </c>
      <c r="P776" t="str">
        <f t="shared" si="49"/>
        <v>Adult</v>
      </c>
      <c r="Q776" t="str">
        <f t="shared" si="50"/>
        <v>High Salary</v>
      </c>
      <c r="R776" t="str">
        <f t="shared" si="51"/>
        <v>High Balance</v>
      </c>
    </row>
    <row r="777" spans="1:18" x14ac:dyDescent="0.25">
      <c r="A777">
        <v>776</v>
      </c>
      <c r="B777">
        <v>15752137</v>
      </c>
      <c r="C777" t="s">
        <v>626</v>
      </c>
      <c r="D777" t="s">
        <v>15</v>
      </c>
      <c r="E777" t="s">
        <v>23</v>
      </c>
      <c r="F777">
        <v>648</v>
      </c>
      <c r="G777">
        <v>33</v>
      </c>
      <c r="H777">
        <v>7</v>
      </c>
      <c r="I777">
        <v>134944</v>
      </c>
      <c r="J777">
        <v>1</v>
      </c>
      <c r="K777">
        <v>1</v>
      </c>
      <c r="L777">
        <v>1</v>
      </c>
      <c r="M777">
        <v>117036.38</v>
      </c>
      <c r="N777">
        <v>0</v>
      </c>
      <c r="O777" t="str">
        <f t="shared" si="48"/>
        <v>Average</v>
      </c>
      <c r="P777" t="str">
        <f t="shared" si="49"/>
        <v>Adult</v>
      </c>
      <c r="Q777" t="str">
        <f t="shared" si="50"/>
        <v>High Salary</v>
      </c>
      <c r="R777" t="str">
        <f t="shared" si="51"/>
        <v>High Balance</v>
      </c>
    </row>
    <row r="778" spans="1:18" x14ac:dyDescent="0.25">
      <c r="A778">
        <v>777</v>
      </c>
      <c r="B778">
        <v>15712551</v>
      </c>
      <c r="C778" t="s">
        <v>627</v>
      </c>
      <c r="D778" t="s">
        <v>26</v>
      </c>
      <c r="E778" t="s">
        <v>16</v>
      </c>
      <c r="F778">
        <v>622</v>
      </c>
      <c r="G778">
        <v>58</v>
      </c>
      <c r="H778">
        <v>7</v>
      </c>
      <c r="I778">
        <v>116922.25</v>
      </c>
      <c r="J778">
        <v>1</v>
      </c>
      <c r="K778">
        <v>1</v>
      </c>
      <c r="L778">
        <v>0</v>
      </c>
      <c r="M778">
        <v>120415.61</v>
      </c>
      <c r="N778">
        <v>1</v>
      </c>
      <c r="O778" t="str">
        <f t="shared" si="48"/>
        <v>Average</v>
      </c>
      <c r="P778" t="str">
        <f t="shared" si="49"/>
        <v>Senior</v>
      </c>
      <c r="Q778" t="str">
        <f t="shared" si="50"/>
        <v>High Salary</v>
      </c>
      <c r="R778" t="str">
        <f t="shared" si="51"/>
        <v>High Balance</v>
      </c>
    </row>
    <row r="779" spans="1:18" x14ac:dyDescent="0.25">
      <c r="A779">
        <v>778</v>
      </c>
      <c r="B779">
        <v>15628936</v>
      </c>
      <c r="C779" t="s">
        <v>628</v>
      </c>
      <c r="D779" t="s">
        <v>18</v>
      </c>
      <c r="E779" t="s">
        <v>23</v>
      </c>
      <c r="F779">
        <v>692</v>
      </c>
      <c r="G779">
        <v>28</v>
      </c>
      <c r="H779">
        <v>9</v>
      </c>
      <c r="I779">
        <v>118945.09</v>
      </c>
      <c r="J779">
        <v>1</v>
      </c>
      <c r="K779">
        <v>0</v>
      </c>
      <c r="L779">
        <v>0</v>
      </c>
      <c r="M779">
        <v>16064.25</v>
      </c>
      <c r="N779">
        <v>1</v>
      </c>
      <c r="O779" t="str">
        <f t="shared" si="48"/>
        <v>Good</v>
      </c>
      <c r="P779" t="str">
        <f t="shared" si="49"/>
        <v>Young Adult</v>
      </c>
      <c r="Q779" t="str">
        <f t="shared" si="50"/>
        <v>Low Salary</v>
      </c>
      <c r="R779" t="str">
        <f t="shared" si="51"/>
        <v>High Balance</v>
      </c>
    </row>
    <row r="780" spans="1:18" x14ac:dyDescent="0.25">
      <c r="A780">
        <v>779</v>
      </c>
      <c r="B780">
        <v>15797227</v>
      </c>
      <c r="C780" t="s">
        <v>629</v>
      </c>
      <c r="D780" t="s">
        <v>15</v>
      </c>
      <c r="E780" t="s">
        <v>23</v>
      </c>
      <c r="F780">
        <v>754</v>
      </c>
      <c r="G780">
        <v>28</v>
      </c>
      <c r="H780">
        <v>8</v>
      </c>
      <c r="I780">
        <v>0</v>
      </c>
      <c r="J780">
        <v>2</v>
      </c>
      <c r="K780">
        <v>1</v>
      </c>
      <c r="L780">
        <v>1</v>
      </c>
      <c r="M780">
        <v>52615.62</v>
      </c>
      <c r="N780">
        <v>0</v>
      </c>
      <c r="O780" t="str">
        <f t="shared" si="48"/>
        <v>Good</v>
      </c>
      <c r="P780" t="str">
        <f t="shared" si="49"/>
        <v>Young Adult</v>
      </c>
      <c r="Q780" t="str">
        <f t="shared" si="50"/>
        <v>Medium Salary</v>
      </c>
      <c r="R780" t="str">
        <f t="shared" si="51"/>
        <v>Low Balance</v>
      </c>
    </row>
    <row r="781" spans="1:18" x14ac:dyDescent="0.25">
      <c r="A781">
        <v>780</v>
      </c>
      <c r="B781">
        <v>15769974</v>
      </c>
      <c r="C781" t="s">
        <v>219</v>
      </c>
      <c r="D781" t="s">
        <v>18</v>
      </c>
      <c r="E781" t="s">
        <v>16</v>
      </c>
      <c r="F781">
        <v>679</v>
      </c>
      <c r="G781">
        <v>35</v>
      </c>
      <c r="H781">
        <v>8</v>
      </c>
      <c r="I781">
        <v>119182.73</v>
      </c>
      <c r="J781">
        <v>1</v>
      </c>
      <c r="K781">
        <v>0</v>
      </c>
      <c r="L781">
        <v>0</v>
      </c>
      <c r="M781">
        <v>121210.09</v>
      </c>
      <c r="N781">
        <v>0</v>
      </c>
      <c r="O781" t="str">
        <f t="shared" si="48"/>
        <v>Good</v>
      </c>
      <c r="P781" t="str">
        <f t="shared" si="49"/>
        <v>Adult</v>
      </c>
      <c r="Q781" t="str">
        <f t="shared" si="50"/>
        <v>High Salary</v>
      </c>
      <c r="R781" t="str">
        <f t="shared" si="51"/>
        <v>High Balance</v>
      </c>
    </row>
    <row r="782" spans="1:18" x14ac:dyDescent="0.25">
      <c r="A782">
        <v>781</v>
      </c>
      <c r="B782">
        <v>15737051</v>
      </c>
      <c r="C782" t="s">
        <v>630</v>
      </c>
      <c r="D782" t="s">
        <v>15</v>
      </c>
      <c r="E782" t="s">
        <v>23</v>
      </c>
      <c r="F782">
        <v>639</v>
      </c>
      <c r="G782">
        <v>27</v>
      </c>
      <c r="H782">
        <v>8</v>
      </c>
      <c r="I782">
        <v>0</v>
      </c>
      <c r="J782">
        <v>2</v>
      </c>
      <c r="K782">
        <v>1</v>
      </c>
      <c r="L782">
        <v>0</v>
      </c>
      <c r="M782">
        <v>192247.35</v>
      </c>
      <c r="N782">
        <v>0</v>
      </c>
      <c r="O782" t="str">
        <f t="shared" si="48"/>
        <v>Average</v>
      </c>
      <c r="P782" t="str">
        <f t="shared" si="49"/>
        <v>Young Adult</v>
      </c>
      <c r="Q782" t="str">
        <f t="shared" si="50"/>
        <v>High Salary</v>
      </c>
      <c r="R782" t="str">
        <f t="shared" si="51"/>
        <v>Low Balance</v>
      </c>
    </row>
    <row r="783" spans="1:18" x14ac:dyDescent="0.25">
      <c r="A783">
        <v>782</v>
      </c>
      <c r="B783">
        <v>15585595</v>
      </c>
      <c r="C783" t="s">
        <v>631</v>
      </c>
      <c r="D783" t="s">
        <v>15</v>
      </c>
      <c r="E783" t="s">
        <v>16</v>
      </c>
      <c r="F783">
        <v>774</v>
      </c>
      <c r="G783">
        <v>28</v>
      </c>
      <c r="H783">
        <v>1</v>
      </c>
      <c r="I783">
        <v>71264.02</v>
      </c>
      <c r="J783">
        <v>2</v>
      </c>
      <c r="K783">
        <v>0</v>
      </c>
      <c r="L783">
        <v>1</v>
      </c>
      <c r="M783">
        <v>68759.570000000007</v>
      </c>
      <c r="N783">
        <v>0</v>
      </c>
      <c r="O783" t="str">
        <f t="shared" si="48"/>
        <v>Good</v>
      </c>
      <c r="P783" t="str">
        <f t="shared" si="49"/>
        <v>Young Adult</v>
      </c>
      <c r="Q783" t="str">
        <f t="shared" si="50"/>
        <v>Medium Salary</v>
      </c>
      <c r="R783" t="str">
        <f t="shared" si="51"/>
        <v>Medium Balance</v>
      </c>
    </row>
    <row r="784" spans="1:18" x14ac:dyDescent="0.25">
      <c r="A784">
        <v>783</v>
      </c>
      <c r="B784">
        <v>15654060</v>
      </c>
      <c r="C784" t="s">
        <v>632</v>
      </c>
      <c r="D784" t="s">
        <v>15</v>
      </c>
      <c r="E784" t="s">
        <v>23</v>
      </c>
      <c r="F784">
        <v>517</v>
      </c>
      <c r="G784">
        <v>41</v>
      </c>
      <c r="H784">
        <v>2</v>
      </c>
      <c r="I784">
        <v>0</v>
      </c>
      <c r="J784">
        <v>2</v>
      </c>
      <c r="K784">
        <v>0</v>
      </c>
      <c r="L784">
        <v>1</v>
      </c>
      <c r="M784">
        <v>75937.47</v>
      </c>
      <c r="N784">
        <v>0</v>
      </c>
      <c r="O784" t="str">
        <f t="shared" si="48"/>
        <v>Poor</v>
      </c>
      <c r="P784" t="str">
        <f t="shared" si="49"/>
        <v>Adult</v>
      </c>
      <c r="Q784" t="str">
        <f t="shared" si="50"/>
        <v>High Salary</v>
      </c>
      <c r="R784" t="str">
        <f t="shared" si="51"/>
        <v>Low Balance</v>
      </c>
    </row>
    <row r="785" spans="1:18" x14ac:dyDescent="0.25">
      <c r="A785">
        <v>784</v>
      </c>
      <c r="B785">
        <v>15745196</v>
      </c>
      <c r="C785" t="s">
        <v>633</v>
      </c>
      <c r="D785" t="s">
        <v>15</v>
      </c>
      <c r="E785" t="s">
        <v>16</v>
      </c>
      <c r="F785">
        <v>571</v>
      </c>
      <c r="G785">
        <v>35</v>
      </c>
      <c r="H785">
        <v>8</v>
      </c>
      <c r="I785">
        <v>0</v>
      </c>
      <c r="J785">
        <v>2</v>
      </c>
      <c r="K785">
        <v>0</v>
      </c>
      <c r="L785">
        <v>0</v>
      </c>
      <c r="M785">
        <v>84569.13</v>
      </c>
      <c r="N785">
        <v>0</v>
      </c>
      <c r="O785" t="str">
        <f t="shared" si="48"/>
        <v>Poor</v>
      </c>
      <c r="P785" t="str">
        <f t="shared" si="49"/>
        <v>Adult</v>
      </c>
      <c r="Q785" t="str">
        <f t="shared" si="50"/>
        <v>High Salary</v>
      </c>
      <c r="R785" t="str">
        <f t="shared" si="51"/>
        <v>Low Balance</v>
      </c>
    </row>
    <row r="786" spans="1:18" x14ac:dyDescent="0.25">
      <c r="A786">
        <v>785</v>
      </c>
      <c r="B786">
        <v>15571221</v>
      </c>
      <c r="C786" t="s">
        <v>634</v>
      </c>
      <c r="D786" t="s">
        <v>26</v>
      </c>
      <c r="E786" t="s">
        <v>23</v>
      </c>
      <c r="F786">
        <v>747</v>
      </c>
      <c r="G786">
        <v>58</v>
      </c>
      <c r="H786">
        <v>7</v>
      </c>
      <c r="I786">
        <v>116313.57</v>
      </c>
      <c r="J786">
        <v>1</v>
      </c>
      <c r="K786">
        <v>1</v>
      </c>
      <c r="L786">
        <v>1</v>
      </c>
      <c r="M786">
        <v>190696.35</v>
      </c>
      <c r="N786">
        <v>1</v>
      </c>
      <c r="O786" t="str">
        <f t="shared" si="48"/>
        <v>Good</v>
      </c>
      <c r="P786" t="str">
        <f t="shared" si="49"/>
        <v>Senior</v>
      </c>
      <c r="Q786" t="str">
        <f t="shared" si="50"/>
        <v>High Salary</v>
      </c>
      <c r="R786" t="str">
        <f t="shared" si="51"/>
        <v>High Balance</v>
      </c>
    </row>
    <row r="787" spans="1:18" x14ac:dyDescent="0.25">
      <c r="A787">
        <v>786</v>
      </c>
      <c r="B787">
        <v>15660155</v>
      </c>
      <c r="C787" t="s">
        <v>56</v>
      </c>
      <c r="D787" t="s">
        <v>18</v>
      </c>
      <c r="E787" t="s">
        <v>23</v>
      </c>
      <c r="F787">
        <v>792</v>
      </c>
      <c r="G787">
        <v>36</v>
      </c>
      <c r="H787">
        <v>5</v>
      </c>
      <c r="I787">
        <v>92140.15</v>
      </c>
      <c r="J787">
        <v>1</v>
      </c>
      <c r="K787">
        <v>0</v>
      </c>
      <c r="L787">
        <v>1</v>
      </c>
      <c r="M787">
        <v>67468.67</v>
      </c>
      <c r="N787">
        <v>0</v>
      </c>
      <c r="O787" t="str">
        <f t="shared" si="48"/>
        <v>Good</v>
      </c>
      <c r="P787" t="str">
        <f t="shared" si="49"/>
        <v>Adult</v>
      </c>
      <c r="Q787" t="str">
        <f t="shared" si="50"/>
        <v>Medium Salary</v>
      </c>
      <c r="R787" t="str">
        <f t="shared" si="51"/>
        <v>Medium Balance</v>
      </c>
    </row>
    <row r="788" spans="1:18" x14ac:dyDescent="0.25">
      <c r="A788">
        <v>787</v>
      </c>
      <c r="B788">
        <v>15605284</v>
      </c>
      <c r="C788" t="s">
        <v>635</v>
      </c>
      <c r="D788" t="s">
        <v>15</v>
      </c>
      <c r="E788" t="s">
        <v>23</v>
      </c>
      <c r="F788">
        <v>688</v>
      </c>
      <c r="G788">
        <v>26</v>
      </c>
      <c r="H788">
        <v>1</v>
      </c>
      <c r="I788">
        <v>0</v>
      </c>
      <c r="J788">
        <v>2</v>
      </c>
      <c r="K788">
        <v>1</v>
      </c>
      <c r="L788">
        <v>1</v>
      </c>
      <c r="M788">
        <v>104435.94</v>
      </c>
      <c r="N788">
        <v>0</v>
      </c>
      <c r="O788" t="str">
        <f t="shared" si="48"/>
        <v>Good</v>
      </c>
      <c r="P788" t="str">
        <f t="shared" si="49"/>
        <v>Young Adult</v>
      </c>
      <c r="Q788" t="str">
        <f t="shared" si="50"/>
        <v>High Salary</v>
      </c>
      <c r="R788" t="str">
        <f t="shared" si="51"/>
        <v>Low Balance</v>
      </c>
    </row>
    <row r="789" spans="1:18" x14ac:dyDescent="0.25">
      <c r="A789">
        <v>788</v>
      </c>
      <c r="B789">
        <v>15694366</v>
      </c>
      <c r="C789" t="s">
        <v>636</v>
      </c>
      <c r="D789" t="s">
        <v>26</v>
      </c>
      <c r="E789" t="s">
        <v>23</v>
      </c>
      <c r="F789">
        <v>714</v>
      </c>
      <c r="G789">
        <v>42</v>
      </c>
      <c r="H789">
        <v>2</v>
      </c>
      <c r="I789">
        <v>177640.09</v>
      </c>
      <c r="J789">
        <v>1</v>
      </c>
      <c r="K789">
        <v>0</v>
      </c>
      <c r="L789">
        <v>1</v>
      </c>
      <c r="M789">
        <v>47166.55</v>
      </c>
      <c r="N789">
        <v>0</v>
      </c>
      <c r="O789" t="str">
        <f t="shared" si="48"/>
        <v>Good</v>
      </c>
      <c r="P789" t="str">
        <f t="shared" si="49"/>
        <v>Adult</v>
      </c>
      <c r="Q789" t="str">
        <f t="shared" si="50"/>
        <v>Medium Salary</v>
      </c>
      <c r="R789" t="str">
        <f t="shared" si="51"/>
        <v>High Balance</v>
      </c>
    </row>
    <row r="790" spans="1:18" x14ac:dyDescent="0.25">
      <c r="A790">
        <v>789</v>
      </c>
      <c r="B790">
        <v>15600739</v>
      </c>
      <c r="C790" t="s">
        <v>637</v>
      </c>
      <c r="D790" t="s">
        <v>18</v>
      </c>
      <c r="E790" t="s">
        <v>16</v>
      </c>
      <c r="F790">
        <v>562</v>
      </c>
      <c r="G790">
        <v>35</v>
      </c>
      <c r="H790">
        <v>0</v>
      </c>
      <c r="I790">
        <v>0</v>
      </c>
      <c r="J790">
        <v>2</v>
      </c>
      <c r="K790">
        <v>1</v>
      </c>
      <c r="L790">
        <v>0</v>
      </c>
      <c r="M790">
        <v>119899.52</v>
      </c>
      <c r="N790">
        <v>0</v>
      </c>
      <c r="O790" t="str">
        <f t="shared" si="48"/>
        <v>Poor</v>
      </c>
      <c r="P790" t="str">
        <f t="shared" si="49"/>
        <v>Adult</v>
      </c>
      <c r="Q790" t="str">
        <f t="shared" si="50"/>
        <v>High Salary</v>
      </c>
      <c r="R790" t="str">
        <f t="shared" si="51"/>
        <v>Low Balance</v>
      </c>
    </row>
    <row r="791" spans="1:18" x14ac:dyDescent="0.25">
      <c r="A791">
        <v>790</v>
      </c>
      <c r="B791">
        <v>15653253</v>
      </c>
      <c r="C791" t="s">
        <v>530</v>
      </c>
      <c r="D791" t="s">
        <v>18</v>
      </c>
      <c r="E791" t="s">
        <v>23</v>
      </c>
      <c r="F791">
        <v>704</v>
      </c>
      <c r="G791">
        <v>48</v>
      </c>
      <c r="H791">
        <v>8</v>
      </c>
      <c r="I791">
        <v>167997.6</v>
      </c>
      <c r="J791">
        <v>1</v>
      </c>
      <c r="K791">
        <v>1</v>
      </c>
      <c r="L791">
        <v>1</v>
      </c>
      <c r="M791">
        <v>173498.45</v>
      </c>
      <c r="N791">
        <v>0</v>
      </c>
      <c r="O791" t="str">
        <f t="shared" si="48"/>
        <v>Good</v>
      </c>
      <c r="P791" t="str">
        <f t="shared" si="49"/>
        <v>Adult</v>
      </c>
      <c r="Q791" t="str">
        <f t="shared" si="50"/>
        <v>High Salary</v>
      </c>
      <c r="R791" t="str">
        <f t="shared" si="51"/>
        <v>High Balance</v>
      </c>
    </row>
    <row r="792" spans="1:18" x14ac:dyDescent="0.25">
      <c r="A792">
        <v>791</v>
      </c>
      <c r="B792">
        <v>15763431</v>
      </c>
      <c r="C792" t="s">
        <v>638</v>
      </c>
      <c r="D792" t="s">
        <v>15</v>
      </c>
      <c r="E792" t="s">
        <v>23</v>
      </c>
      <c r="F792">
        <v>698</v>
      </c>
      <c r="G792">
        <v>36</v>
      </c>
      <c r="H792">
        <v>2</v>
      </c>
      <c r="I792">
        <v>82275.350000000006</v>
      </c>
      <c r="J792">
        <v>2</v>
      </c>
      <c r="K792">
        <v>1</v>
      </c>
      <c r="L792">
        <v>1</v>
      </c>
      <c r="M792">
        <v>93249.26</v>
      </c>
      <c r="N792">
        <v>0</v>
      </c>
      <c r="O792" t="str">
        <f t="shared" si="48"/>
        <v>Good</v>
      </c>
      <c r="P792" t="str">
        <f t="shared" si="49"/>
        <v>Adult</v>
      </c>
      <c r="Q792" t="str">
        <f t="shared" si="50"/>
        <v>High Salary</v>
      </c>
      <c r="R792" t="str">
        <f t="shared" si="51"/>
        <v>Medium Balance</v>
      </c>
    </row>
    <row r="793" spans="1:18" x14ac:dyDescent="0.25">
      <c r="A793">
        <v>792</v>
      </c>
      <c r="B793">
        <v>15643696</v>
      </c>
      <c r="C793" t="s">
        <v>45</v>
      </c>
      <c r="D793" t="s">
        <v>15</v>
      </c>
      <c r="E793" t="s">
        <v>23</v>
      </c>
      <c r="F793">
        <v>611</v>
      </c>
      <c r="G793">
        <v>49</v>
      </c>
      <c r="H793">
        <v>3</v>
      </c>
      <c r="I793">
        <v>0</v>
      </c>
      <c r="J793">
        <v>2</v>
      </c>
      <c r="K793">
        <v>1</v>
      </c>
      <c r="L793">
        <v>1</v>
      </c>
      <c r="M793">
        <v>142917.54</v>
      </c>
      <c r="N793">
        <v>0</v>
      </c>
      <c r="O793" t="str">
        <f t="shared" si="48"/>
        <v>Average</v>
      </c>
      <c r="P793" t="str">
        <f t="shared" si="49"/>
        <v>Adult</v>
      </c>
      <c r="Q793" t="str">
        <f t="shared" si="50"/>
        <v>High Salary</v>
      </c>
      <c r="R793" t="str">
        <f t="shared" si="51"/>
        <v>Low Balance</v>
      </c>
    </row>
    <row r="794" spans="1:18" x14ac:dyDescent="0.25">
      <c r="A794">
        <v>793</v>
      </c>
      <c r="B794">
        <v>15707473</v>
      </c>
      <c r="C794" t="s">
        <v>588</v>
      </c>
      <c r="D794" t="s">
        <v>26</v>
      </c>
      <c r="E794" t="s">
        <v>16</v>
      </c>
      <c r="F794">
        <v>850</v>
      </c>
      <c r="G794">
        <v>48</v>
      </c>
      <c r="H794">
        <v>6</v>
      </c>
      <c r="I794">
        <v>111962.99</v>
      </c>
      <c r="J794">
        <v>1</v>
      </c>
      <c r="K794">
        <v>1</v>
      </c>
      <c r="L794">
        <v>0</v>
      </c>
      <c r="M794">
        <v>111755.8</v>
      </c>
      <c r="N794">
        <v>0</v>
      </c>
      <c r="O794" t="str">
        <f t="shared" si="48"/>
        <v>Good</v>
      </c>
      <c r="P794" t="str">
        <f t="shared" si="49"/>
        <v>Adult</v>
      </c>
      <c r="Q794" t="str">
        <f t="shared" si="50"/>
        <v>High Salary</v>
      </c>
      <c r="R794" t="str">
        <f t="shared" si="51"/>
        <v>High Balance</v>
      </c>
    </row>
    <row r="795" spans="1:18" x14ac:dyDescent="0.25">
      <c r="A795">
        <v>794</v>
      </c>
      <c r="B795">
        <v>15769504</v>
      </c>
      <c r="C795" t="s">
        <v>639</v>
      </c>
      <c r="D795" t="s">
        <v>26</v>
      </c>
      <c r="E795" t="s">
        <v>16</v>
      </c>
      <c r="F795">
        <v>743</v>
      </c>
      <c r="G795">
        <v>34</v>
      </c>
      <c r="H795">
        <v>1</v>
      </c>
      <c r="I795">
        <v>131736.88</v>
      </c>
      <c r="J795">
        <v>1</v>
      </c>
      <c r="K795">
        <v>1</v>
      </c>
      <c r="L795">
        <v>1</v>
      </c>
      <c r="M795">
        <v>108543.21</v>
      </c>
      <c r="N795">
        <v>0</v>
      </c>
      <c r="O795" t="str">
        <f t="shared" si="48"/>
        <v>Good</v>
      </c>
      <c r="P795" t="str">
        <f t="shared" si="49"/>
        <v>Adult</v>
      </c>
      <c r="Q795" t="str">
        <f t="shared" si="50"/>
        <v>High Salary</v>
      </c>
      <c r="R795" t="str">
        <f t="shared" si="51"/>
        <v>High Balance</v>
      </c>
    </row>
    <row r="796" spans="1:18" x14ac:dyDescent="0.25">
      <c r="A796">
        <v>795</v>
      </c>
      <c r="B796">
        <v>15776807</v>
      </c>
      <c r="C796" t="s">
        <v>292</v>
      </c>
      <c r="D796" t="s">
        <v>15</v>
      </c>
      <c r="E796" t="s">
        <v>23</v>
      </c>
      <c r="F796">
        <v>654</v>
      </c>
      <c r="G796">
        <v>29</v>
      </c>
      <c r="H796">
        <v>1</v>
      </c>
      <c r="I796">
        <v>0</v>
      </c>
      <c r="J796">
        <v>1</v>
      </c>
      <c r="K796">
        <v>1</v>
      </c>
      <c r="L796">
        <v>0</v>
      </c>
      <c r="M796">
        <v>180345.44</v>
      </c>
      <c r="N796">
        <v>0</v>
      </c>
      <c r="O796" t="str">
        <f t="shared" si="48"/>
        <v>Average</v>
      </c>
      <c r="P796" t="str">
        <f t="shared" si="49"/>
        <v>Young Adult</v>
      </c>
      <c r="Q796" t="str">
        <f t="shared" si="50"/>
        <v>High Salary</v>
      </c>
      <c r="R796" t="str">
        <f t="shared" si="51"/>
        <v>Low Balance</v>
      </c>
    </row>
    <row r="797" spans="1:18" x14ac:dyDescent="0.25">
      <c r="A797">
        <v>796</v>
      </c>
      <c r="B797">
        <v>15686870</v>
      </c>
      <c r="C797" t="s">
        <v>640</v>
      </c>
      <c r="D797" t="s">
        <v>26</v>
      </c>
      <c r="E797" t="s">
        <v>23</v>
      </c>
      <c r="F797">
        <v>761</v>
      </c>
      <c r="G797">
        <v>36</v>
      </c>
      <c r="H797">
        <v>8</v>
      </c>
      <c r="I797">
        <v>108239.11</v>
      </c>
      <c r="J797">
        <v>2</v>
      </c>
      <c r="K797">
        <v>0</v>
      </c>
      <c r="L797">
        <v>0</v>
      </c>
      <c r="M797">
        <v>99444.02</v>
      </c>
      <c r="N797">
        <v>0</v>
      </c>
      <c r="O797" t="str">
        <f t="shared" si="48"/>
        <v>Good</v>
      </c>
      <c r="P797" t="str">
        <f t="shared" si="49"/>
        <v>Adult</v>
      </c>
      <c r="Q797" t="str">
        <f t="shared" si="50"/>
        <v>High Salary</v>
      </c>
      <c r="R797" t="str">
        <f t="shared" si="51"/>
        <v>High Balance</v>
      </c>
    </row>
    <row r="798" spans="1:18" x14ac:dyDescent="0.25">
      <c r="A798">
        <v>797</v>
      </c>
      <c r="B798">
        <v>15668747</v>
      </c>
      <c r="C798" t="s">
        <v>641</v>
      </c>
      <c r="D798" t="s">
        <v>15</v>
      </c>
      <c r="E798" t="s">
        <v>16</v>
      </c>
      <c r="F798">
        <v>702</v>
      </c>
      <c r="G798">
        <v>46</v>
      </c>
      <c r="H798">
        <v>9</v>
      </c>
      <c r="I798">
        <v>98444.19</v>
      </c>
      <c r="J798">
        <v>1</v>
      </c>
      <c r="K798">
        <v>0</v>
      </c>
      <c r="L798">
        <v>1</v>
      </c>
      <c r="M798">
        <v>109563.28</v>
      </c>
      <c r="N798">
        <v>0</v>
      </c>
      <c r="O798" t="str">
        <f t="shared" si="48"/>
        <v>Good</v>
      </c>
      <c r="P798" t="str">
        <f t="shared" si="49"/>
        <v>Adult</v>
      </c>
      <c r="Q798" t="str">
        <f t="shared" si="50"/>
        <v>High Salary</v>
      </c>
      <c r="R798" t="str">
        <f t="shared" si="51"/>
        <v>Medium Balance</v>
      </c>
    </row>
    <row r="799" spans="1:18" x14ac:dyDescent="0.25">
      <c r="A799">
        <v>798</v>
      </c>
      <c r="B799">
        <v>15766908</v>
      </c>
      <c r="C799" t="s">
        <v>70</v>
      </c>
      <c r="D799" t="s">
        <v>26</v>
      </c>
      <c r="E799" t="s">
        <v>23</v>
      </c>
      <c r="F799">
        <v>488</v>
      </c>
      <c r="G799">
        <v>32</v>
      </c>
      <c r="H799">
        <v>3</v>
      </c>
      <c r="I799">
        <v>114540.38</v>
      </c>
      <c r="J799">
        <v>1</v>
      </c>
      <c r="K799">
        <v>1</v>
      </c>
      <c r="L799">
        <v>0</v>
      </c>
      <c r="M799">
        <v>92568.07</v>
      </c>
      <c r="N799">
        <v>0</v>
      </c>
      <c r="O799" t="str">
        <f t="shared" si="48"/>
        <v>Poor</v>
      </c>
      <c r="P799" t="str">
        <f t="shared" si="49"/>
        <v>Adult</v>
      </c>
      <c r="Q799" t="str">
        <f t="shared" si="50"/>
        <v>High Salary</v>
      </c>
      <c r="R799" t="str">
        <f t="shared" si="51"/>
        <v>High Balance</v>
      </c>
    </row>
    <row r="800" spans="1:18" x14ac:dyDescent="0.25">
      <c r="A800">
        <v>799</v>
      </c>
      <c r="B800">
        <v>15570134</v>
      </c>
      <c r="C800" t="s">
        <v>415</v>
      </c>
      <c r="D800" t="s">
        <v>15</v>
      </c>
      <c r="E800" t="s">
        <v>16</v>
      </c>
      <c r="F800">
        <v>683</v>
      </c>
      <c r="G800">
        <v>35</v>
      </c>
      <c r="H800">
        <v>6</v>
      </c>
      <c r="I800">
        <v>187530.66</v>
      </c>
      <c r="J800">
        <v>2</v>
      </c>
      <c r="K800">
        <v>1</v>
      </c>
      <c r="L800">
        <v>1</v>
      </c>
      <c r="M800">
        <v>37976.36</v>
      </c>
      <c r="N800">
        <v>0</v>
      </c>
      <c r="O800" t="str">
        <f t="shared" si="48"/>
        <v>Good</v>
      </c>
      <c r="P800" t="str">
        <f t="shared" si="49"/>
        <v>Adult</v>
      </c>
      <c r="Q800" t="str">
        <f t="shared" si="50"/>
        <v>Medium Salary</v>
      </c>
      <c r="R800" t="str">
        <f t="shared" si="51"/>
        <v>High Balance</v>
      </c>
    </row>
    <row r="801" spans="1:18" x14ac:dyDescent="0.25">
      <c r="A801">
        <v>800</v>
      </c>
      <c r="B801">
        <v>15567367</v>
      </c>
      <c r="C801" t="s">
        <v>642</v>
      </c>
      <c r="D801" t="s">
        <v>26</v>
      </c>
      <c r="E801" t="s">
        <v>16</v>
      </c>
      <c r="F801">
        <v>601</v>
      </c>
      <c r="G801">
        <v>42</v>
      </c>
      <c r="H801">
        <v>9</v>
      </c>
      <c r="I801">
        <v>133636.16</v>
      </c>
      <c r="J801">
        <v>1</v>
      </c>
      <c r="K801">
        <v>0</v>
      </c>
      <c r="L801">
        <v>1</v>
      </c>
      <c r="M801">
        <v>103315.74</v>
      </c>
      <c r="N801">
        <v>0</v>
      </c>
      <c r="O801" t="str">
        <f t="shared" si="48"/>
        <v>Average</v>
      </c>
      <c r="P801" t="str">
        <f t="shared" si="49"/>
        <v>Adult</v>
      </c>
      <c r="Q801" t="str">
        <f t="shared" si="50"/>
        <v>High Salary</v>
      </c>
      <c r="R801" t="str">
        <f t="shared" si="51"/>
        <v>High Balance</v>
      </c>
    </row>
    <row r="802" spans="1:18" x14ac:dyDescent="0.25">
      <c r="A802">
        <v>801</v>
      </c>
      <c r="B802">
        <v>15747542</v>
      </c>
      <c r="C802" t="s">
        <v>643</v>
      </c>
      <c r="D802" t="s">
        <v>15</v>
      </c>
      <c r="E802" t="s">
        <v>23</v>
      </c>
      <c r="F802">
        <v>605</v>
      </c>
      <c r="G802">
        <v>52</v>
      </c>
      <c r="H802">
        <v>7</v>
      </c>
      <c r="I802">
        <v>0</v>
      </c>
      <c r="J802">
        <v>2</v>
      </c>
      <c r="K802">
        <v>1</v>
      </c>
      <c r="L802">
        <v>1</v>
      </c>
      <c r="M802">
        <v>173952.5</v>
      </c>
      <c r="N802">
        <v>0</v>
      </c>
      <c r="O802" t="str">
        <f t="shared" si="48"/>
        <v>Average</v>
      </c>
      <c r="P802" t="str">
        <f t="shared" si="49"/>
        <v>Senior</v>
      </c>
      <c r="Q802" t="str">
        <f t="shared" si="50"/>
        <v>High Salary</v>
      </c>
      <c r="R802" t="str">
        <f t="shared" si="51"/>
        <v>Low Balance</v>
      </c>
    </row>
    <row r="803" spans="1:18" x14ac:dyDescent="0.25">
      <c r="A803">
        <v>802</v>
      </c>
      <c r="B803">
        <v>15762238</v>
      </c>
      <c r="C803" t="s">
        <v>644</v>
      </c>
      <c r="D803" t="s">
        <v>26</v>
      </c>
      <c r="E803" t="s">
        <v>16</v>
      </c>
      <c r="F803">
        <v>671</v>
      </c>
      <c r="G803">
        <v>44</v>
      </c>
      <c r="H803">
        <v>0</v>
      </c>
      <c r="I803">
        <v>84745.03</v>
      </c>
      <c r="J803">
        <v>2</v>
      </c>
      <c r="K803">
        <v>0</v>
      </c>
      <c r="L803">
        <v>1</v>
      </c>
      <c r="M803">
        <v>34673.980000000003</v>
      </c>
      <c r="N803">
        <v>0</v>
      </c>
      <c r="O803" t="str">
        <f t="shared" si="48"/>
        <v>Good</v>
      </c>
      <c r="P803" t="str">
        <f t="shared" si="49"/>
        <v>Adult</v>
      </c>
      <c r="Q803" t="str">
        <f t="shared" si="50"/>
        <v>Medium Salary</v>
      </c>
      <c r="R803" t="str">
        <f t="shared" si="51"/>
        <v>Medium Balance</v>
      </c>
    </row>
    <row r="804" spans="1:18" x14ac:dyDescent="0.25">
      <c r="A804">
        <v>803</v>
      </c>
      <c r="B804">
        <v>15681554</v>
      </c>
      <c r="C804" t="s">
        <v>645</v>
      </c>
      <c r="D804" t="s">
        <v>26</v>
      </c>
      <c r="E804" t="s">
        <v>16</v>
      </c>
      <c r="F804">
        <v>614</v>
      </c>
      <c r="G804">
        <v>31</v>
      </c>
      <c r="H804">
        <v>7</v>
      </c>
      <c r="I804">
        <v>120599.38</v>
      </c>
      <c r="J804">
        <v>2</v>
      </c>
      <c r="K804">
        <v>1</v>
      </c>
      <c r="L804">
        <v>1</v>
      </c>
      <c r="M804">
        <v>46163.44</v>
      </c>
      <c r="N804">
        <v>0</v>
      </c>
      <c r="O804" t="str">
        <f t="shared" si="48"/>
        <v>Average</v>
      </c>
      <c r="P804" t="str">
        <f t="shared" si="49"/>
        <v>Adult</v>
      </c>
      <c r="Q804" t="str">
        <f t="shared" si="50"/>
        <v>Medium Salary</v>
      </c>
      <c r="R804" t="str">
        <f t="shared" si="51"/>
        <v>High Balance</v>
      </c>
    </row>
    <row r="805" spans="1:18" x14ac:dyDescent="0.25">
      <c r="A805">
        <v>804</v>
      </c>
      <c r="B805">
        <v>15712825</v>
      </c>
      <c r="C805" t="s">
        <v>549</v>
      </c>
      <c r="D805" t="s">
        <v>18</v>
      </c>
      <c r="E805" t="s">
        <v>16</v>
      </c>
      <c r="F805">
        <v>511</v>
      </c>
      <c r="G805">
        <v>29</v>
      </c>
      <c r="H805">
        <v>9</v>
      </c>
      <c r="I805">
        <v>0</v>
      </c>
      <c r="J805">
        <v>2</v>
      </c>
      <c r="K805">
        <v>0</v>
      </c>
      <c r="L805">
        <v>1</v>
      </c>
      <c r="M805">
        <v>140676.98000000001</v>
      </c>
      <c r="N805">
        <v>0</v>
      </c>
      <c r="O805" t="str">
        <f t="shared" si="48"/>
        <v>Poor</v>
      </c>
      <c r="P805" t="str">
        <f t="shared" si="49"/>
        <v>Young Adult</v>
      </c>
      <c r="Q805" t="str">
        <f t="shared" si="50"/>
        <v>High Salary</v>
      </c>
      <c r="R805" t="str">
        <f t="shared" si="51"/>
        <v>Low Balance</v>
      </c>
    </row>
    <row r="806" spans="1:18" x14ac:dyDescent="0.25">
      <c r="A806">
        <v>805</v>
      </c>
      <c r="B806">
        <v>15640280</v>
      </c>
      <c r="C806" t="s">
        <v>58</v>
      </c>
      <c r="D806" t="s">
        <v>15</v>
      </c>
      <c r="E806" t="s">
        <v>23</v>
      </c>
      <c r="F806">
        <v>850</v>
      </c>
      <c r="G806">
        <v>39</v>
      </c>
      <c r="H806">
        <v>4</v>
      </c>
      <c r="I806">
        <v>127771.35</v>
      </c>
      <c r="J806">
        <v>2</v>
      </c>
      <c r="K806">
        <v>0</v>
      </c>
      <c r="L806">
        <v>1</v>
      </c>
      <c r="M806">
        <v>151738.54</v>
      </c>
      <c r="N806">
        <v>0</v>
      </c>
      <c r="O806" t="str">
        <f t="shared" si="48"/>
        <v>Good</v>
      </c>
      <c r="P806" t="str">
        <f t="shared" si="49"/>
        <v>Adult</v>
      </c>
      <c r="Q806" t="str">
        <f t="shared" si="50"/>
        <v>High Salary</v>
      </c>
      <c r="R806" t="str">
        <f t="shared" si="51"/>
        <v>High Balance</v>
      </c>
    </row>
    <row r="807" spans="1:18" x14ac:dyDescent="0.25">
      <c r="A807">
        <v>806</v>
      </c>
      <c r="B807">
        <v>15756026</v>
      </c>
      <c r="C807" t="s">
        <v>646</v>
      </c>
      <c r="D807" t="s">
        <v>18</v>
      </c>
      <c r="E807" t="s">
        <v>16</v>
      </c>
      <c r="F807">
        <v>790</v>
      </c>
      <c r="G807">
        <v>46</v>
      </c>
      <c r="H807">
        <v>9</v>
      </c>
      <c r="I807">
        <v>0</v>
      </c>
      <c r="J807">
        <v>1</v>
      </c>
      <c r="K807">
        <v>0</v>
      </c>
      <c r="L807">
        <v>0</v>
      </c>
      <c r="M807">
        <v>14679.81</v>
      </c>
      <c r="N807">
        <v>1</v>
      </c>
      <c r="O807" t="str">
        <f t="shared" si="48"/>
        <v>Good</v>
      </c>
      <c r="P807" t="str">
        <f t="shared" si="49"/>
        <v>Adult</v>
      </c>
      <c r="Q807" t="str">
        <f t="shared" si="50"/>
        <v>Low Salary</v>
      </c>
      <c r="R807" t="str">
        <f t="shared" si="51"/>
        <v>Low Balance</v>
      </c>
    </row>
    <row r="808" spans="1:18" x14ac:dyDescent="0.25">
      <c r="A808">
        <v>807</v>
      </c>
      <c r="B808">
        <v>15613319</v>
      </c>
      <c r="C808" t="s">
        <v>647</v>
      </c>
      <c r="D808" t="s">
        <v>15</v>
      </c>
      <c r="E808" t="s">
        <v>16</v>
      </c>
      <c r="F808">
        <v>793</v>
      </c>
      <c r="G808">
        <v>33</v>
      </c>
      <c r="H808">
        <v>0</v>
      </c>
      <c r="I808">
        <v>0</v>
      </c>
      <c r="J808">
        <v>1</v>
      </c>
      <c r="K808">
        <v>0</v>
      </c>
      <c r="L808">
        <v>0</v>
      </c>
      <c r="M808">
        <v>175544.02</v>
      </c>
      <c r="N808">
        <v>0</v>
      </c>
      <c r="O808" t="str">
        <f t="shared" si="48"/>
        <v>Good</v>
      </c>
      <c r="P808" t="str">
        <f t="shared" si="49"/>
        <v>Adult</v>
      </c>
      <c r="Q808" t="str">
        <f t="shared" si="50"/>
        <v>High Salary</v>
      </c>
      <c r="R808" t="str">
        <f t="shared" si="51"/>
        <v>Low Balance</v>
      </c>
    </row>
    <row r="809" spans="1:18" x14ac:dyDescent="0.25">
      <c r="A809">
        <v>808</v>
      </c>
      <c r="B809">
        <v>15798906</v>
      </c>
      <c r="C809" t="s">
        <v>648</v>
      </c>
      <c r="D809" t="s">
        <v>15</v>
      </c>
      <c r="E809" t="s">
        <v>23</v>
      </c>
      <c r="F809">
        <v>628</v>
      </c>
      <c r="G809">
        <v>69</v>
      </c>
      <c r="H809">
        <v>5</v>
      </c>
      <c r="I809">
        <v>0</v>
      </c>
      <c r="J809">
        <v>2</v>
      </c>
      <c r="K809">
        <v>1</v>
      </c>
      <c r="L809">
        <v>1</v>
      </c>
      <c r="M809">
        <v>181964.6</v>
      </c>
      <c r="N809">
        <v>0</v>
      </c>
      <c r="O809" t="str">
        <f t="shared" si="48"/>
        <v>Average</v>
      </c>
      <c r="P809" t="str">
        <f t="shared" si="49"/>
        <v>Senior</v>
      </c>
      <c r="Q809" t="str">
        <f t="shared" si="50"/>
        <v>High Salary</v>
      </c>
      <c r="R809" t="str">
        <f t="shared" si="51"/>
        <v>Low Balance</v>
      </c>
    </row>
    <row r="810" spans="1:18" x14ac:dyDescent="0.25">
      <c r="A810">
        <v>809</v>
      </c>
      <c r="B810">
        <v>15708917</v>
      </c>
      <c r="C810" t="s">
        <v>65</v>
      </c>
      <c r="D810" t="s">
        <v>26</v>
      </c>
      <c r="E810" t="s">
        <v>23</v>
      </c>
      <c r="F810">
        <v>598</v>
      </c>
      <c r="G810">
        <v>53</v>
      </c>
      <c r="H810">
        <v>10</v>
      </c>
      <c r="I810">
        <v>167772.96</v>
      </c>
      <c r="J810">
        <v>1</v>
      </c>
      <c r="K810">
        <v>1</v>
      </c>
      <c r="L810">
        <v>1</v>
      </c>
      <c r="M810">
        <v>136886.85999999999</v>
      </c>
      <c r="N810">
        <v>0</v>
      </c>
      <c r="O810" t="str">
        <f t="shared" si="48"/>
        <v>Average</v>
      </c>
      <c r="P810" t="str">
        <f t="shared" si="49"/>
        <v>Senior</v>
      </c>
      <c r="Q810" t="str">
        <f t="shared" si="50"/>
        <v>High Salary</v>
      </c>
      <c r="R810" t="str">
        <f t="shared" si="51"/>
        <v>High Balance</v>
      </c>
    </row>
    <row r="811" spans="1:18" x14ac:dyDescent="0.25">
      <c r="A811">
        <v>810</v>
      </c>
      <c r="B811">
        <v>15778463</v>
      </c>
      <c r="C811" t="s">
        <v>649</v>
      </c>
      <c r="D811" t="s">
        <v>15</v>
      </c>
      <c r="E811" t="s">
        <v>16</v>
      </c>
      <c r="F811">
        <v>657</v>
      </c>
      <c r="G811">
        <v>37</v>
      </c>
      <c r="H811">
        <v>6</v>
      </c>
      <c r="I811">
        <v>95845.6</v>
      </c>
      <c r="J811">
        <v>1</v>
      </c>
      <c r="K811">
        <v>1</v>
      </c>
      <c r="L811">
        <v>0</v>
      </c>
      <c r="M811">
        <v>122218.23</v>
      </c>
      <c r="N811">
        <v>0</v>
      </c>
      <c r="O811" t="str">
        <f t="shared" si="48"/>
        <v>Average</v>
      </c>
      <c r="P811" t="str">
        <f t="shared" si="49"/>
        <v>Adult</v>
      </c>
      <c r="Q811" t="str">
        <f t="shared" si="50"/>
        <v>High Salary</v>
      </c>
      <c r="R811" t="str">
        <f t="shared" si="51"/>
        <v>Medium Balance</v>
      </c>
    </row>
    <row r="812" spans="1:18" x14ac:dyDescent="0.25">
      <c r="A812">
        <v>811</v>
      </c>
      <c r="B812">
        <v>15699430</v>
      </c>
      <c r="C812" t="s">
        <v>464</v>
      </c>
      <c r="D812" t="s">
        <v>15</v>
      </c>
      <c r="E812" t="s">
        <v>16</v>
      </c>
      <c r="F812">
        <v>618</v>
      </c>
      <c r="G812">
        <v>35</v>
      </c>
      <c r="H812">
        <v>10</v>
      </c>
      <c r="I812">
        <v>0</v>
      </c>
      <c r="J812">
        <v>2</v>
      </c>
      <c r="K812">
        <v>1</v>
      </c>
      <c r="L812">
        <v>0</v>
      </c>
      <c r="M812">
        <v>180439.75</v>
      </c>
      <c r="N812">
        <v>0</v>
      </c>
      <c r="O812" t="str">
        <f t="shared" si="48"/>
        <v>Average</v>
      </c>
      <c r="P812" t="str">
        <f t="shared" si="49"/>
        <v>Adult</v>
      </c>
      <c r="Q812" t="str">
        <f t="shared" si="50"/>
        <v>High Salary</v>
      </c>
      <c r="R812" t="str">
        <f t="shared" si="51"/>
        <v>Low Balance</v>
      </c>
    </row>
    <row r="813" spans="1:18" x14ac:dyDescent="0.25">
      <c r="A813">
        <v>812</v>
      </c>
      <c r="B813">
        <v>15649992</v>
      </c>
      <c r="C813" t="s">
        <v>650</v>
      </c>
      <c r="D813" t="s">
        <v>18</v>
      </c>
      <c r="E813" t="s">
        <v>23</v>
      </c>
      <c r="F813">
        <v>681</v>
      </c>
      <c r="G813">
        <v>65</v>
      </c>
      <c r="H813">
        <v>7</v>
      </c>
      <c r="I813">
        <v>134714.70000000001</v>
      </c>
      <c r="J813">
        <v>2</v>
      </c>
      <c r="K813">
        <v>0</v>
      </c>
      <c r="L813">
        <v>1</v>
      </c>
      <c r="M813">
        <v>190419.81</v>
      </c>
      <c r="N813">
        <v>0</v>
      </c>
      <c r="O813" t="str">
        <f t="shared" si="48"/>
        <v>Good</v>
      </c>
      <c r="P813" t="str">
        <f t="shared" si="49"/>
        <v>Senior</v>
      </c>
      <c r="Q813" t="str">
        <f t="shared" si="50"/>
        <v>High Salary</v>
      </c>
      <c r="R813" t="str">
        <f t="shared" si="51"/>
        <v>High Balance</v>
      </c>
    </row>
    <row r="814" spans="1:18" x14ac:dyDescent="0.25">
      <c r="A814">
        <v>813</v>
      </c>
      <c r="B814">
        <v>15578980</v>
      </c>
      <c r="C814" t="s">
        <v>651</v>
      </c>
      <c r="D814" t="s">
        <v>18</v>
      </c>
      <c r="E814" t="s">
        <v>16</v>
      </c>
      <c r="F814">
        <v>516</v>
      </c>
      <c r="G814">
        <v>33</v>
      </c>
      <c r="H814">
        <v>3</v>
      </c>
      <c r="I814">
        <v>0</v>
      </c>
      <c r="J814">
        <v>2</v>
      </c>
      <c r="K814">
        <v>1</v>
      </c>
      <c r="L814">
        <v>1</v>
      </c>
      <c r="M814">
        <v>58685.59</v>
      </c>
      <c r="N814">
        <v>0</v>
      </c>
      <c r="O814" t="str">
        <f t="shared" si="48"/>
        <v>Poor</v>
      </c>
      <c r="P814" t="str">
        <f t="shared" si="49"/>
        <v>Adult</v>
      </c>
      <c r="Q814" t="str">
        <f t="shared" si="50"/>
        <v>Medium Salary</v>
      </c>
      <c r="R814" t="str">
        <f t="shared" si="51"/>
        <v>Low Balance</v>
      </c>
    </row>
    <row r="815" spans="1:18" x14ac:dyDescent="0.25">
      <c r="A815">
        <v>814</v>
      </c>
      <c r="B815">
        <v>15775306</v>
      </c>
      <c r="C815" t="s">
        <v>652</v>
      </c>
      <c r="D815" t="s">
        <v>26</v>
      </c>
      <c r="E815" t="s">
        <v>23</v>
      </c>
      <c r="F815">
        <v>421</v>
      </c>
      <c r="G815">
        <v>28</v>
      </c>
      <c r="H815">
        <v>8</v>
      </c>
      <c r="I815">
        <v>122384.22</v>
      </c>
      <c r="J815">
        <v>3</v>
      </c>
      <c r="K815">
        <v>1</v>
      </c>
      <c r="L815">
        <v>1</v>
      </c>
      <c r="M815">
        <v>89017.38</v>
      </c>
      <c r="N815">
        <v>1</v>
      </c>
      <c r="O815" t="str">
        <f t="shared" si="48"/>
        <v>Poor</v>
      </c>
      <c r="P815" t="str">
        <f t="shared" si="49"/>
        <v>Young Adult</v>
      </c>
      <c r="Q815" t="str">
        <f t="shared" si="50"/>
        <v>High Salary</v>
      </c>
      <c r="R815" t="str">
        <f t="shared" si="51"/>
        <v>High Balance</v>
      </c>
    </row>
    <row r="816" spans="1:18" x14ac:dyDescent="0.25">
      <c r="A816">
        <v>815</v>
      </c>
      <c r="B816">
        <v>15641655</v>
      </c>
      <c r="C816" t="s">
        <v>350</v>
      </c>
      <c r="D816" t="s">
        <v>15</v>
      </c>
      <c r="E816" t="s">
        <v>16</v>
      </c>
      <c r="F816">
        <v>700</v>
      </c>
      <c r="G816">
        <v>26</v>
      </c>
      <c r="H816">
        <v>2</v>
      </c>
      <c r="I816">
        <v>0</v>
      </c>
      <c r="J816">
        <v>2</v>
      </c>
      <c r="K816">
        <v>0</v>
      </c>
      <c r="L816">
        <v>0</v>
      </c>
      <c r="M816">
        <v>50051.42</v>
      </c>
      <c r="N816">
        <v>0</v>
      </c>
      <c r="O816" t="str">
        <f t="shared" si="48"/>
        <v>Good</v>
      </c>
      <c r="P816" t="str">
        <f t="shared" si="49"/>
        <v>Young Adult</v>
      </c>
      <c r="Q816" t="str">
        <f t="shared" si="50"/>
        <v>Medium Salary</v>
      </c>
      <c r="R816" t="str">
        <f t="shared" si="51"/>
        <v>Low Balance</v>
      </c>
    </row>
    <row r="817" spans="1:18" x14ac:dyDescent="0.25">
      <c r="A817">
        <v>816</v>
      </c>
      <c r="B817">
        <v>15619708</v>
      </c>
      <c r="C817" t="s">
        <v>653</v>
      </c>
      <c r="D817" t="s">
        <v>15</v>
      </c>
      <c r="E817" t="s">
        <v>23</v>
      </c>
      <c r="F817">
        <v>745</v>
      </c>
      <c r="G817">
        <v>25</v>
      </c>
      <c r="H817">
        <v>5</v>
      </c>
      <c r="I817">
        <v>157993.15</v>
      </c>
      <c r="J817">
        <v>2</v>
      </c>
      <c r="K817">
        <v>1</v>
      </c>
      <c r="L817">
        <v>0</v>
      </c>
      <c r="M817">
        <v>146041.45000000001</v>
      </c>
      <c r="N817">
        <v>0</v>
      </c>
      <c r="O817" t="str">
        <f t="shared" si="48"/>
        <v>Good</v>
      </c>
      <c r="P817" t="str">
        <f t="shared" si="49"/>
        <v>Young Adult</v>
      </c>
      <c r="Q817" t="str">
        <f t="shared" si="50"/>
        <v>High Salary</v>
      </c>
      <c r="R817" t="str">
        <f t="shared" si="51"/>
        <v>High Balance</v>
      </c>
    </row>
    <row r="818" spans="1:18" x14ac:dyDescent="0.25">
      <c r="A818">
        <v>817</v>
      </c>
      <c r="B818">
        <v>15734565</v>
      </c>
      <c r="C818" t="s">
        <v>249</v>
      </c>
      <c r="D818" t="s">
        <v>15</v>
      </c>
      <c r="E818" t="s">
        <v>23</v>
      </c>
      <c r="F818">
        <v>696</v>
      </c>
      <c r="G818">
        <v>29</v>
      </c>
      <c r="H818">
        <v>8</v>
      </c>
      <c r="I818">
        <v>0</v>
      </c>
      <c r="J818">
        <v>2</v>
      </c>
      <c r="K818">
        <v>1</v>
      </c>
      <c r="L818">
        <v>0</v>
      </c>
      <c r="M818">
        <v>191166.09</v>
      </c>
      <c r="N818">
        <v>0</v>
      </c>
      <c r="O818" t="str">
        <f t="shared" si="48"/>
        <v>Good</v>
      </c>
      <c r="P818" t="str">
        <f t="shared" si="49"/>
        <v>Young Adult</v>
      </c>
      <c r="Q818" t="str">
        <f t="shared" si="50"/>
        <v>High Salary</v>
      </c>
      <c r="R818" t="str">
        <f t="shared" si="51"/>
        <v>Low Balance</v>
      </c>
    </row>
    <row r="819" spans="1:18" x14ac:dyDescent="0.25">
      <c r="A819">
        <v>818</v>
      </c>
      <c r="B819">
        <v>15806438</v>
      </c>
      <c r="C819" t="s">
        <v>654</v>
      </c>
      <c r="D819" t="s">
        <v>26</v>
      </c>
      <c r="E819" t="s">
        <v>16</v>
      </c>
      <c r="F819">
        <v>580</v>
      </c>
      <c r="G819">
        <v>42</v>
      </c>
      <c r="H819">
        <v>2</v>
      </c>
      <c r="I819">
        <v>123331.36</v>
      </c>
      <c r="J819">
        <v>1</v>
      </c>
      <c r="K819">
        <v>0</v>
      </c>
      <c r="L819">
        <v>0</v>
      </c>
      <c r="M819">
        <v>103516.08</v>
      </c>
      <c r="N819">
        <v>1</v>
      </c>
      <c r="O819" t="str">
        <f t="shared" si="48"/>
        <v>Average</v>
      </c>
      <c r="P819" t="str">
        <f t="shared" si="49"/>
        <v>Adult</v>
      </c>
      <c r="Q819" t="str">
        <f t="shared" si="50"/>
        <v>High Salary</v>
      </c>
      <c r="R819" t="str">
        <f t="shared" si="51"/>
        <v>High Balance</v>
      </c>
    </row>
    <row r="820" spans="1:18" x14ac:dyDescent="0.25">
      <c r="A820">
        <v>819</v>
      </c>
      <c r="B820">
        <v>15591969</v>
      </c>
      <c r="C820" t="s">
        <v>655</v>
      </c>
      <c r="D820" t="s">
        <v>18</v>
      </c>
      <c r="E820" t="s">
        <v>23</v>
      </c>
      <c r="F820">
        <v>497</v>
      </c>
      <c r="G820">
        <v>27</v>
      </c>
      <c r="H820">
        <v>9</v>
      </c>
      <c r="I820">
        <v>75263.16</v>
      </c>
      <c r="J820">
        <v>1</v>
      </c>
      <c r="K820">
        <v>1</v>
      </c>
      <c r="L820">
        <v>1</v>
      </c>
      <c r="M820">
        <v>164825.04</v>
      </c>
      <c r="N820">
        <v>0</v>
      </c>
      <c r="O820" t="str">
        <f t="shared" si="48"/>
        <v>Poor</v>
      </c>
      <c r="P820" t="str">
        <f t="shared" si="49"/>
        <v>Young Adult</v>
      </c>
      <c r="Q820" t="str">
        <f t="shared" si="50"/>
        <v>High Salary</v>
      </c>
      <c r="R820" t="str">
        <f t="shared" si="51"/>
        <v>Medium Balance</v>
      </c>
    </row>
    <row r="821" spans="1:18" x14ac:dyDescent="0.25">
      <c r="A821">
        <v>820</v>
      </c>
      <c r="B821">
        <v>15747807</v>
      </c>
      <c r="C821" t="s">
        <v>656</v>
      </c>
      <c r="D821" t="s">
        <v>15</v>
      </c>
      <c r="E821" t="s">
        <v>16</v>
      </c>
      <c r="F821">
        <v>720</v>
      </c>
      <c r="G821">
        <v>43</v>
      </c>
      <c r="H821">
        <v>6</v>
      </c>
      <c r="I821">
        <v>137824.03</v>
      </c>
      <c r="J821">
        <v>2</v>
      </c>
      <c r="K821">
        <v>1</v>
      </c>
      <c r="L821">
        <v>0</v>
      </c>
      <c r="M821">
        <v>172557.77</v>
      </c>
      <c r="N821">
        <v>0</v>
      </c>
      <c r="O821" t="str">
        <f t="shared" si="48"/>
        <v>Good</v>
      </c>
      <c r="P821" t="str">
        <f t="shared" si="49"/>
        <v>Adult</v>
      </c>
      <c r="Q821" t="str">
        <f t="shared" si="50"/>
        <v>High Salary</v>
      </c>
      <c r="R821" t="str">
        <f t="shared" si="51"/>
        <v>High Balance</v>
      </c>
    </row>
    <row r="822" spans="1:18" x14ac:dyDescent="0.25">
      <c r="A822">
        <v>821</v>
      </c>
      <c r="B822">
        <v>15596939</v>
      </c>
      <c r="C822" t="s">
        <v>137</v>
      </c>
      <c r="D822" t="s">
        <v>26</v>
      </c>
      <c r="E822" t="s">
        <v>23</v>
      </c>
      <c r="F822">
        <v>659</v>
      </c>
      <c r="G822">
        <v>36</v>
      </c>
      <c r="H822">
        <v>4</v>
      </c>
      <c r="I822">
        <v>132578.92000000001</v>
      </c>
      <c r="J822">
        <v>2</v>
      </c>
      <c r="K822">
        <v>1</v>
      </c>
      <c r="L822">
        <v>0</v>
      </c>
      <c r="M822">
        <v>84320.94</v>
      </c>
      <c r="N822">
        <v>0</v>
      </c>
      <c r="O822" t="str">
        <f t="shared" si="48"/>
        <v>Average</v>
      </c>
      <c r="P822" t="str">
        <f t="shared" si="49"/>
        <v>Adult</v>
      </c>
      <c r="Q822" t="str">
        <f t="shared" si="50"/>
        <v>High Salary</v>
      </c>
      <c r="R822" t="str">
        <f t="shared" si="51"/>
        <v>High Balance</v>
      </c>
    </row>
    <row r="823" spans="1:18" x14ac:dyDescent="0.25">
      <c r="A823">
        <v>822</v>
      </c>
      <c r="B823">
        <v>15716155</v>
      </c>
      <c r="C823" t="s">
        <v>609</v>
      </c>
      <c r="D823" t="s">
        <v>15</v>
      </c>
      <c r="E823" t="s">
        <v>16</v>
      </c>
      <c r="F823">
        <v>841</v>
      </c>
      <c r="G823">
        <v>36</v>
      </c>
      <c r="H823">
        <v>5</v>
      </c>
      <c r="I823">
        <v>156021.31</v>
      </c>
      <c r="J823">
        <v>1</v>
      </c>
      <c r="K823">
        <v>0</v>
      </c>
      <c r="L823">
        <v>0</v>
      </c>
      <c r="M823">
        <v>122662.98</v>
      </c>
      <c r="N823">
        <v>0</v>
      </c>
      <c r="O823" t="str">
        <f t="shared" si="48"/>
        <v>Good</v>
      </c>
      <c r="P823" t="str">
        <f t="shared" si="49"/>
        <v>Adult</v>
      </c>
      <c r="Q823" t="str">
        <f t="shared" si="50"/>
        <v>High Salary</v>
      </c>
      <c r="R823" t="str">
        <f t="shared" si="51"/>
        <v>High Balance</v>
      </c>
    </row>
    <row r="824" spans="1:18" x14ac:dyDescent="0.25">
      <c r="A824">
        <v>823</v>
      </c>
      <c r="B824">
        <v>15765311</v>
      </c>
      <c r="C824" t="s">
        <v>657</v>
      </c>
      <c r="D824" t="s">
        <v>18</v>
      </c>
      <c r="E824" t="s">
        <v>23</v>
      </c>
      <c r="F824">
        <v>642</v>
      </c>
      <c r="G824">
        <v>34</v>
      </c>
      <c r="H824">
        <v>8</v>
      </c>
      <c r="I824">
        <v>0</v>
      </c>
      <c r="J824">
        <v>1</v>
      </c>
      <c r="K824">
        <v>1</v>
      </c>
      <c r="L824">
        <v>0</v>
      </c>
      <c r="M824">
        <v>72085.100000000006</v>
      </c>
      <c r="N824">
        <v>0</v>
      </c>
      <c r="O824" t="str">
        <f t="shared" si="48"/>
        <v>Average</v>
      </c>
      <c r="P824" t="str">
        <f t="shared" si="49"/>
        <v>Adult</v>
      </c>
      <c r="Q824" t="str">
        <f t="shared" si="50"/>
        <v>High Salary</v>
      </c>
      <c r="R824" t="str">
        <f t="shared" si="51"/>
        <v>Low Balance</v>
      </c>
    </row>
    <row r="825" spans="1:18" x14ac:dyDescent="0.25">
      <c r="A825">
        <v>824</v>
      </c>
      <c r="B825">
        <v>15757811</v>
      </c>
      <c r="C825" t="s">
        <v>658</v>
      </c>
      <c r="D825" t="s">
        <v>18</v>
      </c>
      <c r="E825" t="s">
        <v>16</v>
      </c>
      <c r="F825">
        <v>732</v>
      </c>
      <c r="G825">
        <v>69</v>
      </c>
      <c r="H825">
        <v>9</v>
      </c>
      <c r="I825">
        <v>137453.43</v>
      </c>
      <c r="J825">
        <v>1</v>
      </c>
      <c r="K825">
        <v>0</v>
      </c>
      <c r="L825">
        <v>1</v>
      </c>
      <c r="M825">
        <v>110932.24</v>
      </c>
      <c r="N825">
        <v>1</v>
      </c>
      <c r="O825" t="str">
        <f t="shared" si="48"/>
        <v>Good</v>
      </c>
      <c r="P825" t="str">
        <f t="shared" si="49"/>
        <v>Senior</v>
      </c>
      <c r="Q825" t="str">
        <f t="shared" si="50"/>
        <v>High Salary</v>
      </c>
      <c r="R825" t="str">
        <f t="shared" si="51"/>
        <v>High Balance</v>
      </c>
    </row>
    <row r="826" spans="1:18" x14ac:dyDescent="0.25">
      <c r="A826">
        <v>825</v>
      </c>
      <c r="B826">
        <v>15603830</v>
      </c>
      <c r="C826" t="s">
        <v>659</v>
      </c>
      <c r="D826" t="s">
        <v>18</v>
      </c>
      <c r="E826" t="s">
        <v>23</v>
      </c>
      <c r="F826">
        <v>600</v>
      </c>
      <c r="G826">
        <v>36</v>
      </c>
      <c r="H826">
        <v>4</v>
      </c>
      <c r="I826">
        <v>0</v>
      </c>
      <c r="J826">
        <v>2</v>
      </c>
      <c r="K826">
        <v>1</v>
      </c>
      <c r="L826">
        <v>0</v>
      </c>
      <c r="M826">
        <v>143635.35999999999</v>
      </c>
      <c r="N826">
        <v>0</v>
      </c>
      <c r="O826" t="str">
        <f t="shared" si="48"/>
        <v>Average</v>
      </c>
      <c r="P826" t="str">
        <f t="shared" si="49"/>
        <v>Adult</v>
      </c>
      <c r="Q826" t="str">
        <f t="shared" si="50"/>
        <v>High Salary</v>
      </c>
      <c r="R826" t="str">
        <f t="shared" si="51"/>
        <v>Low Balance</v>
      </c>
    </row>
    <row r="827" spans="1:18" x14ac:dyDescent="0.25">
      <c r="A827">
        <v>826</v>
      </c>
      <c r="B827">
        <v>15660602</v>
      </c>
      <c r="C827" t="s">
        <v>660</v>
      </c>
      <c r="D827" t="s">
        <v>26</v>
      </c>
      <c r="E827" t="s">
        <v>23</v>
      </c>
      <c r="F827">
        <v>464</v>
      </c>
      <c r="G827">
        <v>33</v>
      </c>
      <c r="H827">
        <v>8</v>
      </c>
      <c r="I827">
        <v>164284.72</v>
      </c>
      <c r="J827">
        <v>2</v>
      </c>
      <c r="K827">
        <v>1</v>
      </c>
      <c r="L827">
        <v>1</v>
      </c>
      <c r="M827">
        <v>3710.34</v>
      </c>
      <c r="N827">
        <v>0</v>
      </c>
      <c r="O827" t="str">
        <f t="shared" si="48"/>
        <v>Poor</v>
      </c>
      <c r="P827" t="str">
        <f t="shared" si="49"/>
        <v>Adult</v>
      </c>
      <c r="Q827" t="str">
        <f t="shared" si="50"/>
        <v>Low Salary</v>
      </c>
      <c r="R827" t="str">
        <f t="shared" si="51"/>
        <v>High Balance</v>
      </c>
    </row>
    <row r="828" spans="1:18" x14ac:dyDescent="0.25">
      <c r="A828">
        <v>827</v>
      </c>
      <c r="B828">
        <v>15660535</v>
      </c>
      <c r="C828" t="s">
        <v>661</v>
      </c>
      <c r="D828" t="s">
        <v>15</v>
      </c>
      <c r="E828" t="s">
        <v>16</v>
      </c>
      <c r="F828">
        <v>680</v>
      </c>
      <c r="G828">
        <v>47</v>
      </c>
      <c r="H828">
        <v>5</v>
      </c>
      <c r="I828">
        <v>0</v>
      </c>
      <c r="J828">
        <v>2</v>
      </c>
      <c r="K828">
        <v>1</v>
      </c>
      <c r="L828">
        <v>1</v>
      </c>
      <c r="M828">
        <v>179843.33</v>
      </c>
      <c r="N828">
        <v>0</v>
      </c>
      <c r="O828" t="str">
        <f t="shared" si="48"/>
        <v>Good</v>
      </c>
      <c r="P828" t="str">
        <f t="shared" si="49"/>
        <v>Adult</v>
      </c>
      <c r="Q828" t="str">
        <f t="shared" si="50"/>
        <v>High Salary</v>
      </c>
      <c r="R828" t="str">
        <f t="shared" si="51"/>
        <v>Low Balance</v>
      </c>
    </row>
    <row r="829" spans="1:18" x14ac:dyDescent="0.25">
      <c r="A829">
        <v>828</v>
      </c>
      <c r="B829">
        <v>15666633</v>
      </c>
      <c r="C829" t="s">
        <v>277</v>
      </c>
      <c r="D829" t="s">
        <v>18</v>
      </c>
      <c r="E829" t="s">
        <v>23</v>
      </c>
      <c r="F829">
        <v>758</v>
      </c>
      <c r="G829">
        <v>56</v>
      </c>
      <c r="H829">
        <v>1</v>
      </c>
      <c r="I829">
        <v>0</v>
      </c>
      <c r="J829">
        <v>2</v>
      </c>
      <c r="K829">
        <v>1</v>
      </c>
      <c r="L829">
        <v>1</v>
      </c>
      <c r="M829">
        <v>10643.38</v>
      </c>
      <c r="N829">
        <v>0</v>
      </c>
      <c r="O829" t="str">
        <f t="shared" si="48"/>
        <v>Good</v>
      </c>
      <c r="P829" t="str">
        <f t="shared" si="49"/>
        <v>Senior</v>
      </c>
      <c r="Q829" t="str">
        <f t="shared" si="50"/>
        <v>Low Salary</v>
      </c>
      <c r="R829" t="str">
        <f t="shared" si="51"/>
        <v>Low Balance</v>
      </c>
    </row>
    <row r="830" spans="1:18" x14ac:dyDescent="0.25">
      <c r="A830">
        <v>829</v>
      </c>
      <c r="B830">
        <v>15596914</v>
      </c>
      <c r="C830" t="s">
        <v>609</v>
      </c>
      <c r="D830" t="s">
        <v>26</v>
      </c>
      <c r="E830" t="s">
        <v>16</v>
      </c>
      <c r="F830">
        <v>630</v>
      </c>
      <c r="G830">
        <v>31</v>
      </c>
      <c r="H830">
        <v>2</v>
      </c>
      <c r="I830">
        <v>112373.49</v>
      </c>
      <c r="J830">
        <v>2</v>
      </c>
      <c r="K830">
        <v>1</v>
      </c>
      <c r="L830">
        <v>1</v>
      </c>
      <c r="M830">
        <v>131167.98000000001</v>
      </c>
      <c r="N830">
        <v>0</v>
      </c>
      <c r="O830" t="str">
        <f t="shared" si="48"/>
        <v>Average</v>
      </c>
      <c r="P830" t="str">
        <f t="shared" si="49"/>
        <v>Adult</v>
      </c>
      <c r="Q830" t="str">
        <f t="shared" si="50"/>
        <v>High Salary</v>
      </c>
      <c r="R830" t="str">
        <f t="shared" si="51"/>
        <v>High Balance</v>
      </c>
    </row>
    <row r="831" spans="1:18" x14ac:dyDescent="0.25">
      <c r="A831">
        <v>830</v>
      </c>
      <c r="B831">
        <v>15639788</v>
      </c>
      <c r="C831" t="s">
        <v>307</v>
      </c>
      <c r="D831" t="s">
        <v>15</v>
      </c>
      <c r="E831" t="s">
        <v>16</v>
      </c>
      <c r="F831">
        <v>577</v>
      </c>
      <c r="G831">
        <v>39</v>
      </c>
      <c r="H831">
        <v>10</v>
      </c>
      <c r="I831">
        <v>0</v>
      </c>
      <c r="J831">
        <v>2</v>
      </c>
      <c r="K831">
        <v>1</v>
      </c>
      <c r="L831">
        <v>0</v>
      </c>
      <c r="M831">
        <v>10553.31</v>
      </c>
      <c r="N831">
        <v>0</v>
      </c>
      <c r="O831" t="str">
        <f t="shared" si="48"/>
        <v>Poor</v>
      </c>
      <c r="P831" t="str">
        <f t="shared" si="49"/>
        <v>Adult</v>
      </c>
      <c r="Q831" t="str">
        <f t="shared" si="50"/>
        <v>Low Salary</v>
      </c>
      <c r="R831" t="str">
        <f t="shared" si="51"/>
        <v>Low Balance</v>
      </c>
    </row>
    <row r="832" spans="1:18" x14ac:dyDescent="0.25">
      <c r="A832">
        <v>831</v>
      </c>
      <c r="B832">
        <v>15695846</v>
      </c>
      <c r="C832" t="s">
        <v>179</v>
      </c>
      <c r="D832" t="s">
        <v>15</v>
      </c>
      <c r="E832" t="s">
        <v>16</v>
      </c>
      <c r="F832">
        <v>684</v>
      </c>
      <c r="G832">
        <v>34</v>
      </c>
      <c r="H832">
        <v>6</v>
      </c>
      <c r="I832">
        <v>0</v>
      </c>
      <c r="J832">
        <v>2</v>
      </c>
      <c r="K832">
        <v>1</v>
      </c>
      <c r="L832">
        <v>1</v>
      </c>
      <c r="M832">
        <v>130928.22</v>
      </c>
      <c r="N832">
        <v>0</v>
      </c>
      <c r="O832" t="str">
        <f t="shared" si="48"/>
        <v>Good</v>
      </c>
      <c r="P832" t="str">
        <f t="shared" si="49"/>
        <v>Adult</v>
      </c>
      <c r="Q832" t="str">
        <f t="shared" si="50"/>
        <v>High Salary</v>
      </c>
      <c r="R832" t="str">
        <f t="shared" si="51"/>
        <v>Low Balance</v>
      </c>
    </row>
    <row r="833" spans="1:18" x14ac:dyDescent="0.25">
      <c r="A833">
        <v>832</v>
      </c>
      <c r="B833">
        <v>15726234</v>
      </c>
      <c r="C833" t="s">
        <v>662</v>
      </c>
      <c r="D833" t="s">
        <v>18</v>
      </c>
      <c r="E833" t="s">
        <v>16</v>
      </c>
      <c r="F833">
        <v>708</v>
      </c>
      <c r="G833">
        <v>41</v>
      </c>
      <c r="H833">
        <v>5</v>
      </c>
      <c r="I833">
        <v>0</v>
      </c>
      <c r="J833">
        <v>1</v>
      </c>
      <c r="K833">
        <v>0</v>
      </c>
      <c r="L833">
        <v>1</v>
      </c>
      <c r="M833">
        <v>157003.99</v>
      </c>
      <c r="N833">
        <v>0</v>
      </c>
      <c r="O833" t="str">
        <f t="shared" si="48"/>
        <v>Good</v>
      </c>
      <c r="P833" t="str">
        <f t="shared" si="49"/>
        <v>Adult</v>
      </c>
      <c r="Q833" t="str">
        <f t="shared" si="50"/>
        <v>High Salary</v>
      </c>
      <c r="R833" t="str">
        <f t="shared" si="51"/>
        <v>Low Balance</v>
      </c>
    </row>
    <row r="834" spans="1:18" x14ac:dyDescent="0.25">
      <c r="A834">
        <v>833</v>
      </c>
      <c r="B834">
        <v>15797964</v>
      </c>
      <c r="C834" t="s">
        <v>58</v>
      </c>
      <c r="D834" t="s">
        <v>26</v>
      </c>
      <c r="E834" t="s">
        <v>16</v>
      </c>
      <c r="F834">
        <v>732</v>
      </c>
      <c r="G834">
        <v>29</v>
      </c>
      <c r="H834">
        <v>1</v>
      </c>
      <c r="I834">
        <v>154333.82</v>
      </c>
      <c r="J834">
        <v>1</v>
      </c>
      <c r="K834">
        <v>1</v>
      </c>
      <c r="L834">
        <v>1</v>
      </c>
      <c r="M834">
        <v>138527.56</v>
      </c>
      <c r="N834">
        <v>0</v>
      </c>
      <c r="O834" t="str">
        <f t="shared" si="48"/>
        <v>Good</v>
      </c>
      <c r="P834" t="str">
        <f t="shared" si="49"/>
        <v>Young Adult</v>
      </c>
      <c r="Q834" t="str">
        <f t="shared" si="50"/>
        <v>High Salary</v>
      </c>
      <c r="R834" t="str">
        <f t="shared" si="51"/>
        <v>High Balance</v>
      </c>
    </row>
    <row r="835" spans="1:18" x14ac:dyDescent="0.25">
      <c r="A835">
        <v>834</v>
      </c>
      <c r="B835">
        <v>15625881</v>
      </c>
      <c r="C835" t="s">
        <v>663</v>
      </c>
      <c r="D835" t="s">
        <v>26</v>
      </c>
      <c r="E835" t="s">
        <v>23</v>
      </c>
      <c r="F835">
        <v>634</v>
      </c>
      <c r="G835">
        <v>37</v>
      </c>
      <c r="H835">
        <v>3</v>
      </c>
      <c r="I835">
        <v>111432.77</v>
      </c>
      <c r="J835">
        <v>2</v>
      </c>
      <c r="K835">
        <v>1</v>
      </c>
      <c r="L835">
        <v>1</v>
      </c>
      <c r="M835">
        <v>167032.49</v>
      </c>
      <c r="N835">
        <v>0</v>
      </c>
      <c r="O835" t="str">
        <f t="shared" ref="O835:O898" si="52">IF(F835&lt;580, "Poor", IF(AND(F835&gt;=580, F835&lt;=669), "Average", "Good"))</f>
        <v>Average</v>
      </c>
      <c r="P835" t="str">
        <f t="shared" ref="P835:P898" si="53">IF(G835&lt;=30, "Young Adult", IF(AND(G835&gt;=31, G835&lt;=50), "Adult", "Senior"))</f>
        <v>Adult</v>
      </c>
      <c r="Q835" t="str">
        <f t="shared" ref="Q835:Q898" si="54">IF(M835&lt;30000, "Low Salary", IF(AND(M835&gt;=30000, M835&lt;=70000), "Medium Salary", "High Salary"))</f>
        <v>High Salary</v>
      </c>
      <c r="R835" t="str">
        <f t="shared" ref="R835:R898" si="55">IF(I835&lt;50000, "Low Balance", IF(AND(I835&gt;=50000, I835&lt;=100000), "Medium Balance", "High Balance"))</f>
        <v>High Balance</v>
      </c>
    </row>
    <row r="836" spans="1:18" x14ac:dyDescent="0.25">
      <c r="A836">
        <v>835</v>
      </c>
      <c r="B836">
        <v>15780628</v>
      </c>
      <c r="C836" t="s">
        <v>134</v>
      </c>
      <c r="D836" t="s">
        <v>15</v>
      </c>
      <c r="E836" t="s">
        <v>16</v>
      </c>
      <c r="F836">
        <v>633</v>
      </c>
      <c r="G836">
        <v>30</v>
      </c>
      <c r="H836">
        <v>6</v>
      </c>
      <c r="I836">
        <v>0</v>
      </c>
      <c r="J836">
        <v>2</v>
      </c>
      <c r="K836">
        <v>0</v>
      </c>
      <c r="L836">
        <v>0</v>
      </c>
      <c r="M836">
        <v>41642.29</v>
      </c>
      <c r="N836">
        <v>0</v>
      </c>
      <c r="O836" t="str">
        <f t="shared" si="52"/>
        <v>Average</v>
      </c>
      <c r="P836" t="str">
        <f t="shared" si="53"/>
        <v>Young Adult</v>
      </c>
      <c r="Q836" t="str">
        <f t="shared" si="54"/>
        <v>Medium Salary</v>
      </c>
      <c r="R836" t="str">
        <f t="shared" si="55"/>
        <v>Low Balance</v>
      </c>
    </row>
    <row r="837" spans="1:18" x14ac:dyDescent="0.25">
      <c r="A837">
        <v>836</v>
      </c>
      <c r="B837">
        <v>15575883</v>
      </c>
      <c r="C837" t="s">
        <v>387</v>
      </c>
      <c r="D837" t="s">
        <v>15</v>
      </c>
      <c r="E837" t="s">
        <v>23</v>
      </c>
      <c r="F837">
        <v>559</v>
      </c>
      <c r="G837">
        <v>34</v>
      </c>
      <c r="H837">
        <v>2</v>
      </c>
      <c r="I837">
        <v>137390.10999999999</v>
      </c>
      <c r="J837">
        <v>2</v>
      </c>
      <c r="K837">
        <v>1</v>
      </c>
      <c r="L837">
        <v>0</v>
      </c>
      <c r="M837">
        <v>9677</v>
      </c>
      <c r="N837">
        <v>0</v>
      </c>
      <c r="O837" t="str">
        <f t="shared" si="52"/>
        <v>Poor</v>
      </c>
      <c r="P837" t="str">
        <f t="shared" si="53"/>
        <v>Adult</v>
      </c>
      <c r="Q837" t="str">
        <f t="shared" si="54"/>
        <v>Low Salary</v>
      </c>
      <c r="R837" t="str">
        <f t="shared" si="55"/>
        <v>High Balance</v>
      </c>
    </row>
    <row r="838" spans="1:18" x14ac:dyDescent="0.25">
      <c r="A838">
        <v>837</v>
      </c>
      <c r="B838">
        <v>15585036</v>
      </c>
      <c r="C838" t="s">
        <v>664</v>
      </c>
      <c r="D838" t="s">
        <v>18</v>
      </c>
      <c r="E838" t="s">
        <v>16</v>
      </c>
      <c r="F838">
        <v>694</v>
      </c>
      <c r="G838">
        <v>37</v>
      </c>
      <c r="H838">
        <v>3</v>
      </c>
      <c r="I838">
        <v>0</v>
      </c>
      <c r="J838">
        <v>2</v>
      </c>
      <c r="K838">
        <v>1</v>
      </c>
      <c r="L838">
        <v>1</v>
      </c>
      <c r="M838">
        <v>147012.22</v>
      </c>
      <c r="N838">
        <v>0</v>
      </c>
      <c r="O838" t="str">
        <f t="shared" si="52"/>
        <v>Good</v>
      </c>
      <c r="P838" t="str">
        <f t="shared" si="53"/>
        <v>Adult</v>
      </c>
      <c r="Q838" t="str">
        <f t="shared" si="54"/>
        <v>High Salary</v>
      </c>
      <c r="R838" t="str">
        <f t="shared" si="55"/>
        <v>Low Balance</v>
      </c>
    </row>
    <row r="839" spans="1:18" x14ac:dyDescent="0.25">
      <c r="A839">
        <v>838</v>
      </c>
      <c r="B839">
        <v>15589488</v>
      </c>
      <c r="C839" t="s">
        <v>660</v>
      </c>
      <c r="D839" t="s">
        <v>26</v>
      </c>
      <c r="E839" t="s">
        <v>16</v>
      </c>
      <c r="F839">
        <v>686</v>
      </c>
      <c r="G839">
        <v>56</v>
      </c>
      <c r="H839">
        <v>5</v>
      </c>
      <c r="I839">
        <v>111642.08</v>
      </c>
      <c r="J839">
        <v>1</v>
      </c>
      <c r="K839">
        <v>1</v>
      </c>
      <c r="L839">
        <v>1</v>
      </c>
      <c r="M839">
        <v>80553.87</v>
      </c>
      <c r="N839">
        <v>0</v>
      </c>
      <c r="O839" t="str">
        <f t="shared" si="52"/>
        <v>Good</v>
      </c>
      <c r="P839" t="str">
        <f t="shared" si="53"/>
        <v>Senior</v>
      </c>
      <c r="Q839" t="str">
        <f t="shared" si="54"/>
        <v>High Salary</v>
      </c>
      <c r="R839" t="str">
        <f t="shared" si="55"/>
        <v>High Balance</v>
      </c>
    </row>
    <row r="840" spans="1:18" x14ac:dyDescent="0.25">
      <c r="A840">
        <v>839</v>
      </c>
      <c r="B840">
        <v>15585888</v>
      </c>
      <c r="C840" t="s">
        <v>665</v>
      </c>
      <c r="D840" t="s">
        <v>18</v>
      </c>
      <c r="E840" t="s">
        <v>16</v>
      </c>
      <c r="F840">
        <v>553</v>
      </c>
      <c r="G840">
        <v>48</v>
      </c>
      <c r="H840">
        <v>3</v>
      </c>
      <c r="I840">
        <v>0</v>
      </c>
      <c r="J840">
        <v>1</v>
      </c>
      <c r="K840">
        <v>0</v>
      </c>
      <c r="L840">
        <v>1</v>
      </c>
      <c r="M840">
        <v>30730.95</v>
      </c>
      <c r="N840">
        <v>1</v>
      </c>
      <c r="O840" t="str">
        <f t="shared" si="52"/>
        <v>Poor</v>
      </c>
      <c r="P840" t="str">
        <f t="shared" si="53"/>
        <v>Adult</v>
      </c>
      <c r="Q840" t="str">
        <f t="shared" si="54"/>
        <v>Medium Salary</v>
      </c>
      <c r="R840" t="str">
        <f t="shared" si="55"/>
        <v>Low Balance</v>
      </c>
    </row>
    <row r="841" spans="1:18" x14ac:dyDescent="0.25">
      <c r="A841">
        <v>840</v>
      </c>
      <c r="B841">
        <v>15727915</v>
      </c>
      <c r="C841" t="s">
        <v>666</v>
      </c>
      <c r="D841" t="s">
        <v>15</v>
      </c>
      <c r="E841" t="s">
        <v>23</v>
      </c>
      <c r="F841">
        <v>507</v>
      </c>
      <c r="G841">
        <v>36</v>
      </c>
      <c r="H841">
        <v>4</v>
      </c>
      <c r="I841">
        <v>83543.37</v>
      </c>
      <c r="J841">
        <v>1</v>
      </c>
      <c r="K841">
        <v>0</v>
      </c>
      <c r="L841">
        <v>0</v>
      </c>
      <c r="M841">
        <v>140134.43</v>
      </c>
      <c r="N841">
        <v>0</v>
      </c>
      <c r="O841" t="str">
        <f t="shared" si="52"/>
        <v>Poor</v>
      </c>
      <c r="P841" t="str">
        <f t="shared" si="53"/>
        <v>Adult</v>
      </c>
      <c r="Q841" t="str">
        <f t="shared" si="54"/>
        <v>High Salary</v>
      </c>
      <c r="R841" t="str">
        <f t="shared" si="55"/>
        <v>Medium Balance</v>
      </c>
    </row>
    <row r="842" spans="1:18" x14ac:dyDescent="0.25">
      <c r="A842">
        <v>841</v>
      </c>
      <c r="B842">
        <v>15707567</v>
      </c>
      <c r="C842" t="s">
        <v>667</v>
      </c>
      <c r="D842" t="s">
        <v>26</v>
      </c>
      <c r="E842" t="s">
        <v>23</v>
      </c>
      <c r="F842">
        <v>732</v>
      </c>
      <c r="G842">
        <v>50</v>
      </c>
      <c r="H842">
        <v>6</v>
      </c>
      <c r="I842">
        <v>145338.76</v>
      </c>
      <c r="J842">
        <v>1</v>
      </c>
      <c r="K842">
        <v>0</v>
      </c>
      <c r="L842">
        <v>0</v>
      </c>
      <c r="M842">
        <v>91936.1</v>
      </c>
      <c r="N842">
        <v>1</v>
      </c>
      <c r="O842" t="str">
        <f t="shared" si="52"/>
        <v>Good</v>
      </c>
      <c r="P842" t="str">
        <f t="shared" si="53"/>
        <v>Adult</v>
      </c>
      <c r="Q842" t="str">
        <f t="shared" si="54"/>
        <v>High Salary</v>
      </c>
      <c r="R842" t="str">
        <f t="shared" si="55"/>
        <v>High Balance</v>
      </c>
    </row>
    <row r="843" spans="1:18" x14ac:dyDescent="0.25">
      <c r="A843">
        <v>842</v>
      </c>
      <c r="B843">
        <v>15737792</v>
      </c>
      <c r="C843" t="s">
        <v>668</v>
      </c>
      <c r="D843" t="s">
        <v>15</v>
      </c>
      <c r="E843" t="s">
        <v>16</v>
      </c>
      <c r="F843">
        <v>818</v>
      </c>
      <c r="G843">
        <v>31</v>
      </c>
      <c r="H843">
        <v>1</v>
      </c>
      <c r="I843">
        <v>186796.37</v>
      </c>
      <c r="J843">
        <v>1</v>
      </c>
      <c r="K843">
        <v>0</v>
      </c>
      <c r="L843">
        <v>0</v>
      </c>
      <c r="M843">
        <v>178252.63</v>
      </c>
      <c r="N843">
        <v>0</v>
      </c>
      <c r="O843" t="str">
        <f t="shared" si="52"/>
        <v>Good</v>
      </c>
      <c r="P843" t="str">
        <f t="shared" si="53"/>
        <v>Adult</v>
      </c>
      <c r="Q843" t="str">
        <f t="shared" si="54"/>
        <v>High Salary</v>
      </c>
      <c r="R843" t="str">
        <f t="shared" si="55"/>
        <v>High Balance</v>
      </c>
    </row>
    <row r="844" spans="1:18" x14ac:dyDescent="0.25">
      <c r="A844">
        <v>843</v>
      </c>
      <c r="B844">
        <v>15599433</v>
      </c>
      <c r="C844" t="s">
        <v>116</v>
      </c>
      <c r="D844" t="s">
        <v>26</v>
      </c>
      <c r="E844" t="s">
        <v>23</v>
      </c>
      <c r="F844">
        <v>660</v>
      </c>
      <c r="G844">
        <v>35</v>
      </c>
      <c r="H844">
        <v>8</v>
      </c>
      <c r="I844">
        <v>58641.43</v>
      </c>
      <c r="J844">
        <v>1</v>
      </c>
      <c r="K844">
        <v>0</v>
      </c>
      <c r="L844">
        <v>1</v>
      </c>
      <c r="M844">
        <v>198674.08</v>
      </c>
      <c r="N844">
        <v>0</v>
      </c>
      <c r="O844" t="str">
        <f t="shared" si="52"/>
        <v>Average</v>
      </c>
      <c r="P844" t="str">
        <f t="shared" si="53"/>
        <v>Adult</v>
      </c>
      <c r="Q844" t="str">
        <f t="shared" si="54"/>
        <v>High Salary</v>
      </c>
      <c r="R844" t="str">
        <f t="shared" si="55"/>
        <v>Medium Balance</v>
      </c>
    </row>
    <row r="845" spans="1:18" x14ac:dyDescent="0.25">
      <c r="A845">
        <v>844</v>
      </c>
      <c r="B845">
        <v>15672012</v>
      </c>
      <c r="C845" t="s">
        <v>596</v>
      </c>
      <c r="D845" t="s">
        <v>18</v>
      </c>
      <c r="E845" t="s">
        <v>16</v>
      </c>
      <c r="F845">
        <v>773</v>
      </c>
      <c r="G845">
        <v>41</v>
      </c>
      <c r="H845">
        <v>5</v>
      </c>
      <c r="I845">
        <v>0</v>
      </c>
      <c r="J845">
        <v>1</v>
      </c>
      <c r="K845">
        <v>1</v>
      </c>
      <c r="L845">
        <v>0</v>
      </c>
      <c r="M845">
        <v>28266.9</v>
      </c>
      <c r="N845">
        <v>1</v>
      </c>
      <c r="O845" t="str">
        <f t="shared" si="52"/>
        <v>Good</v>
      </c>
      <c r="P845" t="str">
        <f t="shared" si="53"/>
        <v>Adult</v>
      </c>
      <c r="Q845" t="str">
        <f t="shared" si="54"/>
        <v>Low Salary</v>
      </c>
      <c r="R845" t="str">
        <f t="shared" si="55"/>
        <v>Low Balance</v>
      </c>
    </row>
    <row r="846" spans="1:18" x14ac:dyDescent="0.25">
      <c r="A846">
        <v>845</v>
      </c>
      <c r="B846">
        <v>15806983</v>
      </c>
      <c r="C846" t="s">
        <v>511</v>
      </c>
      <c r="D846" t="s">
        <v>15</v>
      </c>
      <c r="E846" t="s">
        <v>23</v>
      </c>
      <c r="F846">
        <v>640</v>
      </c>
      <c r="G846">
        <v>44</v>
      </c>
      <c r="H846">
        <v>3</v>
      </c>
      <c r="I846">
        <v>137148.68</v>
      </c>
      <c r="J846">
        <v>1</v>
      </c>
      <c r="K846">
        <v>1</v>
      </c>
      <c r="L846">
        <v>0</v>
      </c>
      <c r="M846">
        <v>92381.01</v>
      </c>
      <c r="N846">
        <v>0</v>
      </c>
      <c r="O846" t="str">
        <f t="shared" si="52"/>
        <v>Average</v>
      </c>
      <c r="P846" t="str">
        <f t="shared" si="53"/>
        <v>Adult</v>
      </c>
      <c r="Q846" t="str">
        <f t="shared" si="54"/>
        <v>High Salary</v>
      </c>
      <c r="R846" t="str">
        <f t="shared" si="55"/>
        <v>High Balance</v>
      </c>
    </row>
    <row r="847" spans="1:18" x14ac:dyDescent="0.25">
      <c r="A847">
        <v>846</v>
      </c>
      <c r="B847">
        <v>15592222</v>
      </c>
      <c r="C847" t="s">
        <v>441</v>
      </c>
      <c r="D847" t="s">
        <v>15</v>
      </c>
      <c r="E847" t="s">
        <v>23</v>
      </c>
      <c r="F847">
        <v>505</v>
      </c>
      <c r="G847">
        <v>49</v>
      </c>
      <c r="H847">
        <v>7</v>
      </c>
      <c r="I847">
        <v>80001.23</v>
      </c>
      <c r="J847">
        <v>1</v>
      </c>
      <c r="K847">
        <v>0</v>
      </c>
      <c r="L847">
        <v>0</v>
      </c>
      <c r="M847">
        <v>135180.10999999999</v>
      </c>
      <c r="N847">
        <v>0</v>
      </c>
      <c r="O847" t="str">
        <f t="shared" si="52"/>
        <v>Poor</v>
      </c>
      <c r="P847" t="str">
        <f t="shared" si="53"/>
        <v>Adult</v>
      </c>
      <c r="Q847" t="str">
        <f t="shared" si="54"/>
        <v>High Salary</v>
      </c>
      <c r="R847" t="str">
        <f t="shared" si="55"/>
        <v>Medium Balance</v>
      </c>
    </row>
    <row r="848" spans="1:18" x14ac:dyDescent="0.25">
      <c r="A848">
        <v>847</v>
      </c>
      <c r="B848">
        <v>15608968</v>
      </c>
      <c r="C848" t="s">
        <v>669</v>
      </c>
      <c r="D848" t="s">
        <v>26</v>
      </c>
      <c r="E848" t="s">
        <v>23</v>
      </c>
      <c r="F848">
        <v>714</v>
      </c>
      <c r="G848">
        <v>21</v>
      </c>
      <c r="H848">
        <v>6</v>
      </c>
      <c r="I848">
        <v>86402.52</v>
      </c>
      <c r="J848">
        <v>2</v>
      </c>
      <c r="K848">
        <v>0</v>
      </c>
      <c r="L848">
        <v>0</v>
      </c>
      <c r="M848">
        <v>27330.59</v>
      </c>
      <c r="N848">
        <v>0</v>
      </c>
      <c r="O848" t="str">
        <f t="shared" si="52"/>
        <v>Good</v>
      </c>
      <c r="P848" t="str">
        <f t="shared" si="53"/>
        <v>Young Adult</v>
      </c>
      <c r="Q848" t="str">
        <f t="shared" si="54"/>
        <v>Low Salary</v>
      </c>
      <c r="R848" t="str">
        <f t="shared" si="55"/>
        <v>Medium Balance</v>
      </c>
    </row>
    <row r="849" spans="1:18" x14ac:dyDescent="0.25">
      <c r="A849">
        <v>848</v>
      </c>
      <c r="B849">
        <v>15586959</v>
      </c>
      <c r="C849" t="s">
        <v>670</v>
      </c>
      <c r="D849" t="s">
        <v>15</v>
      </c>
      <c r="E849" t="s">
        <v>16</v>
      </c>
      <c r="F849">
        <v>468</v>
      </c>
      <c r="G849">
        <v>42</v>
      </c>
      <c r="H849">
        <v>5</v>
      </c>
      <c r="I849">
        <v>0</v>
      </c>
      <c r="J849">
        <v>2</v>
      </c>
      <c r="K849">
        <v>1</v>
      </c>
      <c r="L849">
        <v>0</v>
      </c>
      <c r="M849">
        <v>125305.34</v>
      </c>
      <c r="N849">
        <v>0</v>
      </c>
      <c r="O849" t="str">
        <f t="shared" si="52"/>
        <v>Poor</v>
      </c>
      <c r="P849" t="str">
        <f t="shared" si="53"/>
        <v>Adult</v>
      </c>
      <c r="Q849" t="str">
        <f t="shared" si="54"/>
        <v>High Salary</v>
      </c>
      <c r="R849" t="str">
        <f t="shared" si="55"/>
        <v>Low Balance</v>
      </c>
    </row>
    <row r="850" spans="1:18" x14ac:dyDescent="0.25">
      <c r="A850">
        <v>849</v>
      </c>
      <c r="B850">
        <v>15646558</v>
      </c>
      <c r="C850" t="s">
        <v>671</v>
      </c>
      <c r="D850" t="s">
        <v>18</v>
      </c>
      <c r="E850" t="s">
        <v>23</v>
      </c>
      <c r="F850">
        <v>611</v>
      </c>
      <c r="G850">
        <v>51</v>
      </c>
      <c r="H850">
        <v>1</v>
      </c>
      <c r="I850">
        <v>122874.74</v>
      </c>
      <c r="J850">
        <v>1</v>
      </c>
      <c r="K850">
        <v>1</v>
      </c>
      <c r="L850">
        <v>1</v>
      </c>
      <c r="M850">
        <v>149648.45000000001</v>
      </c>
      <c r="N850">
        <v>0</v>
      </c>
      <c r="O850" t="str">
        <f t="shared" si="52"/>
        <v>Average</v>
      </c>
      <c r="P850" t="str">
        <f t="shared" si="53"/>
        <v>Senior</v>
      </c>
      <c r="Q850" t="str">
        <f t="shared" si="54"/>
        <v>High Salary</v>
      </c>
      <c r="R850" t="str">
        <f t="shared" si="55"/>
        <v>High Balance</v>
      </c>
    </row>
    <row r="851" spans="1:18" x14ac:dyDescent="0.25">
      <c r="A851">
        <v>850</v>
      </c>
      <c r="B851">
        <v>15725811</v>
      </c>
      <c r="C851" t="s">
        <v>672</v>
      </c>
      <c r="D851" t="s">
        <v>15</v>
      </c>
      <c r="E851" t="s">
        <v>23</v>
      </c>
      <c r="F851">
        <v>705</v>
      </c>
      <c r="G851">
        <v>25</v>
      </c>
      <c r="H851">
        <v>0</v>
      </c>
      <c r="I851">
        <v>97544.29</v>
      </c>
      <c r="J851">
        <v>1</v>
      </c>
      <c r="K851">
        <v>0</v>
      </c>
      <c r="L851">
        <v>1</v>
      </c>
      <c r="M851">
        <v>59887.15</v>
      </c>
      <c r="N851">
        <v>0</v>
      </c>
      <c r="O851" t="str">
        <f t="shared" si="52"/>
        <v>Good</v>
      </c>
      <c r="P851" t="str">
        <f t="shared" si="53"/>
        <v>Young Adult</v>
      </c>
      <c r="Q851" t="str">
        <f t="shared" si="54"/>
        <v>Medium Salary</v>
      </c>
      <c r="R851" t="str">
        <f t="shared" si="55"/>
        <v>Medium Balance</v>
      </c>
    </row>
    <row r="852" spans="1:18" x14ac:dyDescent="0.25">
      <c r="A852">
        <v>851</v>
      </c>
      <c r="B852">
        <v>15572265</v>
      </c>
      <c r="C852" t="s">
        <v>134</v>
      </c>
      <c r="D852" t="s">
        <v>26</v>
      </c>
      <c r="E852" t="s">
        <v>23</v>
      </c>
      <c r="F852">
        <v>646</v>
      </c>
      <c r="G852">
        <v>46</v>
      </c>
      <c r="H852">
        <v>1</v>
      </c>
      <c r="I852">
        <v>170826.55</v>
      </c>
      <c r="J852">
        <v>2</v>
      </c>
      <c r="K852">
        <v>1</v>
      </c>
      <c r="L852">
        <v>0</v>
      </c>
      <c r="M852">
        <v>45041.32</v>
      </c>
      <c r="N852">
        <v>0</v>
      </c>
      <c r="O852" t="str">
        <f t="shared" si="52"/>
        <v>Average</v>
      </c>
      <c r="P852" t="str">
        <f t="shared" si="53"/>
        <v>Adult</v>
      </c>
      <c r="Q852" t="str">
        <f t="shared" si="54"/>
        <v>Medium Salary</v>
      </c>
      <c r="R852" t="str">
        <f t="shared" si="55"/>
        <v>High Balance</v>
      </c>
    </row>
    <row r="853" spans="1:18" x14ac:dyDescent="0.25">
      <c r="A853">
        <v>852</v>
      </c>
      <c r="B853">
        <v>15794048</v>
      </c>
      <c r="C853" t="s">
        <v>673</v>
      </c>
      <c r="D853" t="s">
        <v>26</v>
      </c>
      <c r="E853" t="s">
        <v>16</v>
      </c>
      <c r="F853">
        <v>667</v>
      </c>
      <c r="G853">
        <v>48</v>
      </c>
      <c r="H853">
        <v>1</v>
      </c>
      <c r="I853">
        <v>97133.92</v>
      </c>
      <c r="J853">
        <v>2</v>
      </c>
      <c r="K853">
        <v>0</v>
      </c>
      <c r="L853">
        <v>0</v>
      </c>
      <c r="M853">
        <v>113316.77</v>
      </c>
      <c r="N853">
        <v>1</v>
      </c>
      <c r="O853" t="str">
        <f t="shared" si="52"/>
        <v>Average</v>
      </c>
      <c r="P853" t="str">
        <f t="shared" si="53"/>
        <v>Adult</v>
      </c>
      <c r="Q853" t="str">
        <f t="shared" si="54"/>
        <v>High Salary</v>
      </c>
      <c r="R853" t="str">
        <f t="shared" si="55"/>
        <v>Medium Balance</v>
      </c>
    </row>
    <row r="854" spans="1:18" x14ac:dyDescent="0.25">
      <c r="A854">
        <v>853</v>
      </c>
      <c r="B854">
        <v>15677610</v>
      </c>
      <c r="C854" t="s">
        <v>533</v>
      </c>
      <c r="D854" t="s">
        <v>26</v>
      </c>
      <c r="E854" t="s">
        <v>16</v>
      </c>
      <c r="F854">
        <v>511</v>
      </c>
      <c r="G854">
        <v>41</v>
      </c>
      <c r="H854">
        <v>8</v>
      </c>
      <c r="I854">
        <v>153895.65</v>
      </c>
      <c r="J854">
        <v>1</v>
      </c>
      <c r="K854">
        <v>1</v>
      </c>
      <c r="L854">
        <v>1</v>
      </c>
      <c r="M854">
        <v>39087.42</v>
      </c>
      <c r="N854">
        <v>0</v>
      </c>
      <c r="O854" t="str">
        <f t="shared" si="52"/>
        <v>Poor</v>
      </c>
      <c r="P854" t="str">
        <f t="shared" si="53"/>
        <v>Adult</v>
      </c>
      <c r="Q854" t="str">
        <f t="shared" si="54"/>
        <v>Medium Salary</v>
      </c>
      <c r="R854" t="str">
        <f t="shared" si="55"/>
        <v>High Balance</v>
      </c>
    </row>
    <row r="855" spans="1:18" x14ac:dyDescent="0.25">
      <c r="A855">
        <v>854</v>
      </c>
      <c r="B855">
        <v>15745012</v>
      </c>
      <c r="C855" t="s">
        <v>674</v>
      </c>
      <c r="D855" t="s">
        <v>15</v>
      </c>
      <c r="E855" t="s">
        <v>16</v>
      </c>
      <c r="F855">
        <v>653</v>
      </c>
      <c r="G855">
        <v>43</v>
      </c>
      <c r="H855">
        <v>6</v>
      </c>
      <c r="I855">
        <v>0</v>
      </c>
      <c r="J855">
        <v>2</v>
      </c>
      <c r="K855">
        <v>1</v>
      </c>
      <c r="L855">
        <v>1</v>
      </c>
      <c r="M855">
        <v>7330.59</v>
      </c>
      <c r="N855">
        <v>0</v>
      </c>
      <c r="O855" t="str">
        <f t="shared" si="52"/>
        <v>Average</v>
      </c>
      <c r="P855" t="str">
        <f t="shared" si="53"/>
        <v>Adult</v>
      </c>
      <c r="Q855" t="str">
        <f t="shared" si="54"/>
        <v>Low Salary</v>
      </c>
      <c r="R855" t="str">
        <f t="shared" si="55"/>
        <v>Low Balance</v>
      </c>
    </row>
    <row r="856" spans="1:18" x14ac:dyDescent="0.25">
      <c r="A856">
        <v>855</v>
      </c>
      <c r="B856">
        <v>15601589</v>
      </c>
      <c r="C856" t="s">
        <v>675</v>
      </c>
      <c r="D856" t="s">
        <v>15</v>
      </c>
      <c r="E856" t="s">
        <v>16</v>
      </c>
      <c r="F856">
        <v>675</v>
      </c>
      <c r="G856">
        <v>57</v>
      </c>
      <c r="H856">
        <v>8</v>
      </c>
      <c r="I856">
        <v>0</v>
      </c>
      <c r="J856">
        <v>2</v>
      </c>
      <c r="K856">
        <v>0</v>
      </c>
      <c r="L856">
        <v>1</v>
      </c>
      <c r="M856">
        <v>95463.29</v>
      </c>
      <c r="N856">
        <v>0</v>
      </c>
      <c r="O856" t="str">
        <f t="shared" si="52"/>
        <v>Good</v>
      </c>
      <c r="P856" t="str">
        <f t="shared" si="53"/>
        <v>Senior</v>
      </c>
      <c r="Q856" t="str">
        <f t="shared" si="54"/>
        <v>High Salary</v>
      </c>
      <c r="R856" t="str">
        <f t="shared" si="55"/>
        <v>Low Balance</v>
      </c>
    </row>
    <row r="857" spans="1:18" x14ac:dyDescent="0.25">
      <c r="A857">
        <v>856</v>
      </c>
      <c r="B857">
        <v>15686436</v>
      </c>
      <c r="C857" t="s">
        <v>676</v>
      </c>
      <c r="D857" t="s">
        <v>18</v>
      </c>
      <c r="E857" t="s">
        <v>23</v>
      </c>
      <c r="F857">
        <v>523</v>
      </c>
      <c r="G857">
        <v>32</v>
      </c>
      <c r="H857">
        <v>4</v>
      </c>
      <c r="I857">
        <v>0</v>
      </c>
      <c r="J857">
        <v>2</v>
      </c>
      <c r="K857">
        <v>1</v>
      </c>
      <c r="L857">
        <v>0</v>
      </c>
      <c r="M857">
        <v>167848.02</v>
      </c>
      <c r="N857">
        <v>0</v>
      </c>
      <c r="O857" t="str">
        <f t="shared" si="52"/>
        <v>Poor</v>
      </c>
      <c r="P857" t="str">
        <f t="shared" si="53"/>
        <v>Adult</v>
      </c>
      <c r="Q857" t="str">
        <f t="shared" si="54"/>
        <v>High Salary</v>
      </c>
      <c r="R857" t="str">
        <f t="shared" si="55"/>
        <v>Low Balance</v>
      </c>
    </row>
    <row r="858" spans="1:18" x14ac:dyDescent="0.25">
      <c r="A858">
        <v>857</v>
      </c>
      <c r="B858">
        <v>15693864</v>
      </c>
      <c r="C858" t="s">
        <v>677</v>
      </c>
      <c r="D858" t="s">
        <v>26</v>
      </c>
      <c r="E858" t="s">
        <v>16</v>
      </c>
      <c r="F858">
        <v>567</v>
      </c>
      <c r="G858">
        <v>49</v>
      </c>
      <c r="H858">
        <v>5</v>
      </c>
      <c r="I858">
        <v>134956.01999999999</v>
      </c>
      <c r="J858">
        <v>1</v>
      </c>
      <c r="K858">
        <v>1</v>
      </c>
      <c r="L858">
        <v>0</v>
      </c>
      <c r="M858">
        <v>93953.84</v>
      </c>
      <c r="N858">
        <v>1</v>
      </c>
      <c r="O858" t="str">
        <f t="shared" si="52"/>
        <v>Poor</v>
      </c>
      <c r="P858" t="str">
        <f t="shared" si="53"/>
        <v>Adult</v>
      </c>
      <c r="Q858" t="str">
        <f t="shared" si="54"/>
        <v>High Salary</v>
      </c>
      <c r="R858" t="str">
        <f t="shared" si="55"/>
        <v>High Balance</v>
      </c>
    </row>
    <row r="859" spans="1:18" x14ac:dyDescent="0.25">
      <c r="A859">
        <v>858</v>
      </c>
      <c r="B859">
        <v>15760550</v>
      </c>
      <c r="C859" t="s">
        <v>132</v>
      </c>
      <c r="D859" t="s">
        <v>18</v>
      </c>
      <c r="E859" t="s">
        <v>23</v>
      </c>
      <c r="F859">
        <v>741</v>
      </c>
      <c r="G859">
        <v>39</v>
      </c>
      <c r="H859">
        <v>7</v>
      </c>
      <c r="I859">
        <v>143637.57999999999</v>
      </c>
      <c r="J859">
        <v>2</v>
      </c>
      <c r="K859">
        <v>0</v>
      </c>
      <c r="L859">
        <v>1</v>
      </c>
      <c r="M859">
        <v>174227.66</v>
      </c>
      <c r="N859">
        <v>0</v>
      </c>
      <c r="O859" t="str">
        <f t="shared" si="52"/>
        <v>Good</v>
      </c>
      <c r="P859" t="str">
        <f t="shared" si="53"/>
        <v>Adult</v>
      </c>
      <c r="Q859" t="str">
        <f t="shared" si="54"/>
        <v>High Salary</v>
      </c>
      <c r="R859" t="str">
        <f t="shared" si="55"/>
        <v>High Balance</v>
      </c>
    </row>
    <row r="860" spans="1:18" x14ac:dyDescent="0.25">
      <c r="A860">
        <v>859</v>
      </c>
      <c r="B860">
        <v>15686137</v>
      </c>
      <c r="C860" t="s">
        <v>434</v>
      </c>
      <c r="D860" t="s">
        <v>18</v>
      </c>
      <c r="E860" t="s">
        <v>23</v>
      </c>
      <c r="F860">
        <v>456</v>
      </c>
      <c r="G860">
        <v>32</v>
      </c>
      <c r="H860">
        <v>9</v>
      </c>
      <c r="I860">
        <v>147506.25</v>
      </c>
      <c r="J860">
        <v>1</v>
      </c>
      <c r="K860">
        <v>1</v>
      </c>
      <c r="L860">
        <v>1</v>
      </c>
      <c r="M860">
        <v>135399.21</v>
      </c>
      <c r="N860">
        <v>0</v>
      </c>
      <c r="O860" t="str">
        <f t="shared" si="52"/>
        <v>Poor</v>
      </c>
      <c r="P860" t="str">
        <f t="shared" si="53"/>
        <v>Adult</v>
      </c>
      <c r="Q860" t="str">
        <f t="shared" si="54"/>
        <v>High Salary</v>
      </c>
      <c r="R860" t="str">
        <f t="shared" si="55"/>
        <v>High Balance</v>
      </c>
    </row>
    <row r="861" spans="1:18" x14ac:dyDescent="0.25">
      <c r="A861">
        <v>860</v>
      </c>
      <c r="B861">
        <v>15809087</v>
      </c>
      <c r="C861" t="s">
        <v>678</v>
      </c>
      <c r="D861" t="s">
        <v>15</v>
      </c>
      <c r="E861" t="s">
        <v>23</v>
      </c>
      <c r="F861">
        <v>598</v>
      </c>
      <c r="G861">
        <v>64</v>
      </c>
      <c r="H861">
        <v>1</v>
      </c>
      <c r="I861">
        <v>0</v>
      </c>
      <c r="J861">
        <v>2</v>
      </c>
      <c r="K861">
        <v>1</v>
      </c>
      <c r="L861">
        <v>0</v>
      </c>
      <c r="M861">
        <v>195635.3</v>
      </c>
      <c r="N861">
        <v>1</v>
      </c>
      <c r="O861" t="str">
        <f t="shared" si="52"/>
        <v>Average</v>
      </c>
      <c r="P861" t="str">
        <f t="shared" si="53"/>
        <v>Senior</v>
      </c>
      <c r="Q861" t="str">
        <f t="shared" si="54"/>
        <v>High Salary</v>
      </c>
      <c r="R861" t="str">
        <f t="shared" si="55"/>
        <v>Low Balance</v>
      </c>
    </row>
    <row r="862" spans="1:18" x14ac:dyDescent="0.25">
      <c r="A862">
        <v>861</v>
      </c>
      <c r="B862">
        <v>15807663</v>
      </c>
      <c r="C862" t="s">
        <v>679</v>
      </c>
      <c r="D862" t="s">
        <v>15</v>
      </c>
      <c r="E862" t="s">
        <v>23</v>
      </c>
      <c r="F862">
        <v>667</v>
      </c>
      <c r="G862">
        <v>43</v>
      </c>
      <c r="H862">
        <v>8</v>
      </c>
      <c r="I862">
        <v>190227.46</v>
      </c>
      <c r="J862">
        <v>1</v>
      </c>
      <c r="K862">
        <v>1</v>
      </c>
      <c r="L862">
        <v>0</v>
      </c>
      <c r="M862">
        <v>97508.04</v>
      </c>
      <c r="N862">
        <v>1</v>
      </c>
      <c r="O862" t="str">
        <f t="shared" si="52"/>
        <v>Average</v>
      </c>
      <c r="P862" t="str">
        <f t="shared" si="53"/>
        <v>Adult</v>
      </c>
      <c r="Q862" t="str">
        <f t="shared" si="54"/>
        <v>High Salary</v>
      </c>
      <c r="R862" t="str">
        <f t="shared" si="55"/>
        <v>High Balance</v>
      </c>
    </row>
    <row r="863" spans="1:18" x14ac:dyDescent="0.25">
      <c r="A863">
        <v>862</v>
      </c>
      <c r="B863">
        <v>15809100</v>
      </c>
      <c r="C863" t="s">
        <v>563</v>
      </c>
      <c r="D863" t="s">
        <v>15</v>
      </c>
      <c r="E863" t="s">
        <v>16</v>
      </c>
      <c r="F863">
        <v>548</v>
      </c>
      <c r="G863">
        <v>32</v>
      </c>
      <c r="H863">
        <v>2</v>
      </c>
      <c r="I863">
        <v>172448.77</v>
      </c>
      <c r="J863">
        <v>1</v>
      </c>
      <c r="K863">
        <v>1</v>
      </c>
      <c r="L863">
        <v>0</v>
      </c>
      <c r="M863">
        <v>188083.77</v>
      </c>
      <c r="N863">
        <v>1</v>
      </c>
      <c r="O863" t="str">
        <f t="shared" si="52"/>
        <v>Poor</v>
      </c>
      <c r="P863" t="str">
        <f t="shared" si="53"/>
        <v>Adult</v>
      </c>
      <c r="Q863" t="str">
        <f t="shared" si="54"/>
        <v>High Salary</v>
      </c>
      <c r="R863" t="str">
        <f t="shared" si="55"/>
        <v>High Balance</v>
      </c>
    </row>
    <row r="864" spans="1:18" x14ac:dyDescent="0.25">
      <c r="A864">
        <v>863</v>
      </c>
      <c r="B864">
        <v>15794916</v>
      </c>
      <c r="C864" t="s">
        <v>680</v>
      </c>
      <c r="D864" t="s">
        <v>15</v>
      </c>
      <c r="E864" t="s">
        <v>23</v>
      </c>
      <c r="F864">
        <v>725</v>
      </c>
      <c r="G864">
        <v>41</v>
      </c>
      <c r="H864">
        <v>7</v>
      </c>
      <c r="I864">
        <v>113980.21</v>
      </c>
      <c r="J864">
        <v>1</v>
      </c>
      <c r="K864">
        <v>1</v>
      </c>
      <c r="L864">
        <v>1</v>
      </c>
      <c r="M864">
        <v>116704.25</v>
      </c>
      <c r="N864">
        <v>0</v>
      </c>
      <c r="O864" t="str">
        <f t="shared" si="52"/>
        <v>Good</v>
      </c>
      <c r="P864" t="str">
        <f t="shared" si="53"/>
        <v>Adult</v>
      </c>
      <c r="Q864" t="str">
        <f t="shared" si="54"/>
        <v>High Salary</v>
      </c>
      <c r="R864" t="str">
        <f t="shared" si="55"/>
        <v>High Balance</v>
      </c>
    </row>
    <row r="865" spans="1:18" x14ac:dyDescent="0.25">
      <c r="A865">
        <v>864</v>
      </c>
      <c r="B865">
        <v>15614215</v>
      </c>
      <c r="C865" t="s">
        <v>681</v>
      </c>
      <c r="D865" t="s">
        <v>15</v>
      </c>
      <c r="E865" t="s">
        <v>23</v>
      </c>
      <c r="F865">
        <v>717</v>
      </c>
      <c r="G865">
        <v>53</v>
      </c>
      <c r="H865">
        <v>6</v>
      </c>
      <c r="I865">
        <v>0</v>
      </c>
      <c r="J865">
        <v>2</v>
      </c>
      <c r="K865">
        <v>0</v>
      </c>
      <c r="L865">
        <v>1</v>
      </c>
      <c r="M865">
        <v>97614.87</v>
      </c>
      <c r="N865">
        <v>0</v>
      </c>
      <c r="O865" t="str">
        <f t="shared" si="52"/>
        <v>Good</v>
      </c>
      <c r="P865" t="str">
        <f t="shared" si="53"/>
        <v>Senior</v>
      </c>
      <c r="Q865" t="str">
        <f t="shared" si="54"/>
        <v>High Salary</v>
      </c>
      <c r="R865" t="str">
        <f t="shared" si="55"/>
        <v>Low Balance</v>
      </c>
    </row>
    <row r="866" spans="1:18" x14ac:dyDescent="0.25">
      <c r="A866">
        <v>865</v>
      </c>
      <c r="B866">
        <v>15805449</v>
      </c>
      <c r="C866" t="s">
        <v>682</v>
      </c>
      <c r="D866" t="s">
        <v>15</v>
      </c>
      <c r="E866" t="s">
        <v>23</v>
      </c>
      <c r="F866">
        <v>594</v>
      </c>
      <c r="G866">
        <v>38</v>
      </c>
      <c r="H866">
        <v>4</v>
      </c>
      <c r="I866">
        <v>0</v>
      </c>
      <c r="J866">
        <v>2</v>
      </c>
      <c r="K866">
        <v>0</v>
      </c>
      <c r="L866">
        <v>0</v>
      </c>
      <c r="M866">
        <v>186884.04</v>
      </c>
      <c r="N866">
        <v>0</v>
      </c>
      <c r="O866" t="str">
        <f t="shared" si="52"/>
        <v>Average</v>
      </c>
      <c r="P866" t="str">
        <f t="shared" si="53"/>
        <v>Adult</v>
      </c>
      <c r="Q866" t="str">
        <f t="shared" si="54"/>
        <v>High Salary</v>
      </c>
      <c r="R866" t="str">
        <f t="shared" si="55"/>
        <v>Low Balance</v>
      </c>
    </row>
    <row r="867" spans="1:18" x14ac:dyDescent="0.25">
      <c r="A867">
        <v>866</v>
      </c>
      <c r="B867">
        <v>15686983</v>
      </c>
      <c r="C867" t="s">
        <v>683</v>
      </c>
      <c r="D867" t="s">
        <v>26</v>
      </c>
      <c r="E867" t="s">
        <v>16</v>
      </c>
      <c r="F867">
        <v>678</v>
      </c>
      <c r="G867">
        <v>25</v>
      </c>
      <c r="H867">
        <v>10</v>
      </c>
      <c r="I867">
        <v>76968.12</v>
      </c>
      <c r="J867">
        <v>2</v>
      </c>
      <c r="K867">
        <v>0</v>
      </c>
      <c r="L867">
        <v>1</v>
      </c>
      <c r="M867">
        <v>131501.72</v>
      </c>
      <c r="N867">
        <v>0</v>
      </c>
      <c r="O867" t="str">
        <f t="shared" si="52"/>
        <v>Good</v>
      </c>
      <c r="P867" t="str">
        <f t="shared" si="53"/>
        <v>Young Adult</v>
      </c>
      <c r="Q867" t="str">
        <f t="shared" si="54"/>
        <v>High Salary</v>
      </c>
      <c r="R867" t="str">
        <f t="shared" si="55"/>
        <v>Medium Balance</v>
      </c>
    </row>
    <row r="868" spans="1:18" x14ac:dyDescent="0.25">
      <c r="A868">
        <v>867</v>
      </c>
      <c r="B868">
        <v>15808017</v>
      </c>
      <c r="C868" t="s">
        <v>684</v>
      </c>
      <c r="D868" t="s">
        <v>15</v>
      </c>
      <c r="E868" t="s">
        <v>23</v>
      </c>
      <c r="F868">
        <v>545</v>
      </c>
      <c r="G868">
        <v>38</v>
      </c>
      <c r="H868">
        <v>1</v>
      </c>
      <c r="I868">
        <v>88293.13</v>
      </c>
      <c r="J868">
        <v>2</v>
      </c>
      <c r="K868">
        <v>1</v>
      </c>
      <c r="L868">
        <v>1</v>
      </c>
      <c r="M868">
        <v>24302.95</v>
      </c>
      <c r="N868">
        <v>0</v>
      </c>
      <c r="O868" t="str">
        <f t="shared" si="52"/>
        <v>Poor</v>
      </c>
      <c r="P868" t="str">
        <f t="shared" si="53"/>
        <v>Adult</v>
      </c>
      <c r="Q868" t="str">
        <f t="shared" si="54"/>
        <v>Low Salary</v>
      </c>
      <c r="R868" t="str">
        <f t="shared" si="55"/>
        <v>Medium Balance</v>
      </c>
    </row>
    <row r="869" spans="1:18" x14ac:dyDescent="0.25">
      <c r="A869">
        <v>868</v>
      </c>
      <c r="B869">
        <v>15756804</v>
      </c>
      <c r="C869" t="s">
        <v>685</v>
      </c>
      <c r="D869" t="s">
        <v>15</v>
      </c>
      <c r="E869" t="s">
        <v>16</v>
      </c>
      <c r="F869">
        <v>636</v>
      </c>
      <c r="G869">
        <v>48</v>
      </c>
      <c r="H869">
        <v>1</v>
      </c>
      <c r="I869">
        <v>170833.46</v>
      </c>
      <c r="J869">
        <v>1</v>
      </c>
      <c r="K869">
        <v>1</v>
      </c>
      <c r="L869">
        <v>0</v>
      </c>
      <c r="M869">
        <v>110510.28</v>
      </c>
      <c r="N869">
        <v>1</v>
      </c>
      <c r="O869" t="str">
        <f t="shared" si="52"/>
        <v>Average</v>
      </c>
      <c r="P869" t="str">
        <f t="shared" si="53"/>
        <v>Adult</v>
      </c>
      <c r="Q869" t="str">
        <f t="shared" si="54"/>
        <v>High Salary</v>
      </c>
      <c r="R869" t="str">
        <f t="shared" si="55"/>
        <v>High Balance</v>
      </c>
    </row>
    <row r="870" spans="1:18" x14ac:dyDescent="0.25">
      <c r="A870">
        <v>869</v>
      </c>
      <c r="B870">
        <v>15646810</v>
      </c>
      <c r="C870" t="s">
        <v>686</v>
      </c>
      <c r="D870" t="s">
        <v>26</v>
      </c>
      <c r="E870" t="s">
        <v>23</v>
      </c>
      <c r="F870">
        <v>603</v>
      </c>
      <c r="G870">
        <v>44</v>
      </c>
      <c r="H870">
        <v>6</v>
      </c>
      <c r="I870">
        <v>108122.39</v>
      </c>
      <c r="J870">
        <v>2</v>
      </c>
      <c r="K870">
        <v>1</v>
      </c>
      <c r="L870">
        <v>0</v>
      </c>
      <c r="M870">
        <v>108488.33</v>
      </c>
      <c r="N870">
        <v>1</v>
      </c>
      <c r="O870" t="str">
        <f t="shared" si="52"/>
        <v>Average</v>
      </c>
      <c r="P870" t="str">
        <f t="shared" si="53"/>
        <v>Adult</v>
      </c>
      <c r="Q870" t="str">
        <f t="shared" si="54"/>
        <v>High Salary</v>
      </c>
      <c r="R870" t="str">
        <f t="shared" si="55"/>
        <v>High Balance</v>
      </c>
    </row>
    <row r="871" spans="1:18" x14ac:dyDescent="0.25">
      <c r="A871">
        <v>870</v>
      </c>
      <c r="B871">
        <v>15710424</v>
      </c>
      <c r="C871" t="s">
        <v>687</v>
      </c>
      <c r="D871" t="s">
        <v>15</v>
      </c>
      <c r="E871" t="s">
        <v>23</v>
      </c>
      <c r="F871">
        <v>435</v>
      </c>
      <c r="G871">
        <v>36</v>
      </c>
      <c r="H871">
        <v>4</v>
      </c>
      <c r="I871">
        <v>0</v>
      </c>
      <c r="J871">
        <v>1</v>
      </c>
      <c r="K871">
        <v>1</v>
      </c>
      <c r="L871">
        <v>1</v>
      </c>
      <c r="M871">
        <v>197015.2</v>
      </c>
      <c r="N871">
        <v>0</v>
      </c>
      <c r="O871" t="str">
        <f t="shared" si="52"/>
        <v>Poor</v>
      </c>
      <c r="P871" t="str">
        <f t="shared" si="53"/>
        <v>Adult</v>
      </c>
      <c r="Q871" t="str">
        <f t="shared" si="54"/>
        <v>High Salary</v>
      </c>
      <c r="R871" t="str">
        <f t="shared" si="55"/>
        <v>Low Balance</v>
      </c>
    </row>
    <row r="872" spans="1:18" x14ac:dyDescent="0.25">
      <c r="A872">
        <v>871</v>
      </c>
      <c r="B872">
        <v>15799422</v>
      </c>
      <c r="C872" t="s">
        <v>412</v>
      </c>
      <c r="D872" t="s">
        <v>15</v>
      </c>
      <c r="E872" t="s">
        <v>16</v>
      </c>
      <c r="F872">
        <v>535</v>
      </c>
      <c r="G872">
        <v>40</v>
      </c>
      <c r="H872">
        <v>8</v>
      </c>
      <c r="I872">
        <v>0</v>
      </c>
      <c r="J872">
        <v>1</v>
      </c>
      <c r="K872">
        <v>1</v>
      </c>
      <c r="L872">
        <v>1</v>
      </c>
      <c r="M872">
        <v>27689.77</v>
      </c>
      <c r="N872">
        <v>0</v>
      </c>
      <c r="O872" t="str">
        <f t="shared" si="52"/>
        <v>Poor</v>
      </c>
      <c r="P872" t="str">
        <f t="shared" si="53"/>
        <v>Adult</v>
      </c>
      <c r="Q872" t="str">
        <f t="shared" si="54"/>
        <v>Low Salary</v>
      </c>
      <c r="R872" t="str">
        <f t="shared" si="55"/>
        <v>Low Balance</v>
      </c>
    </row>
    <row r="873" spans="1:18" x14ac:dyDescent="0.25">
      <c r="A873">
        <v>872</v>
      </c>
      <c r="B873">
        <v>15692750</v>
      </c>
      <c r="C873" t="s">
        <v>679</v>
      </c>
      <c r="D873" t="s">
        <v>26</v>
      </c>
      <c r="E873" t="s">
        <v>16</v>
      </c>
      <c r="F873">
        <v>629</v>
      </c>
      <c r="G873">
        <v>45</v>
      </c>
      <c r="H873">
        <v>7</v>
      </c>
      <c r="I873">
        <v>129818.39</v>
      </c>
      <c r="J873">
        <v>3</v>
      </c>
      <c r="K873">
        <v>1</v>
      </c>
      <c r="L873">
        <v>0</v>
      </c>
      <c r="M873">
        <v>9217.5499999999993</v>
      </c>
      <c r="N873">
        <v>1</v>
      </c>
      <c r="O873" t="str">
        <f t="shared" si="52"/>
        <v>Average</v>
      </c>
      <c r="P873" t="str">
        <f t="shared" si="53"/>
        <v>Adult</v>
      </c>
      <c r="Q873" t="str">
        <f t="shared" si="54"/>
        <v>Low Salary</v>
      </c>
      <c r="R873" t="str">
        <f t="shared" si="55"/>
        <v>High Balance</v>
      </c>
    </row>
    <row r="874" spans="1:18" x14ac:dyDescent="0.25">
      <c r="A874">
        <v>873</v>
      </c>
      <c r="B874">
        <v>15794549</v>
      </c>
      <c r="C874" t="s">
        <v>30</v>
      </c>
      <c r="D874" t="s">
        <v>15</v>
      </c>
      <c r="E874" t="s">
        <v>16</v>
      </c>
      <c r="F874">
        <v>722</v>
      </c>
      <c r="G874">
        <v>35</v>
      </c>
      <c r="H874">
        <v>2</v>
      </c>
      <c r="I874">
        <v>163943.89000000001</v>
      </c>
      <c r="J874">
        <v>2</v>
      </c>
      <c r="K874">
        <v>1</v>
      </c>
      <c r="L874">
        <v>1</v>
      </c>
      <c r="M874">
        <v>15068.18</v>
      </c>
      <c r="N874">
        <v>0</v>
      </c>
      <c r="O874" t="str">
        <f t="shared" si="52"/>
        <v>Good</v>
      </c>
      <c r="P874" t="str">
        <f t="shared" si="53"/>
        <v>Adult</v>
      </c>
      <c r="Q874" t="str">
        <f t="shared" si="54"/>
        <v>Low Salary</v>
      </c>
      <c r="R874" t="str">
        <f t="shared" si="55"/>
        <v>High Balance</v>
      </c>
    </row>
    <row r="875" spans="1:18" x14ac:dyDescent="0.25">
      <c r="A875">
        <v>874</v>
      </c>
      <c r="B875">
        <v>15803764</v>
      </c>
      <c r="C875" t="s">
        <v>688</v>
      </c>
      <c r="D875" t="s">
        <v>15</v>
      </c>
      <c r="E875" t="s">
        <v>23</v>
      </c>
      <c r="F875">
        <v>561</v>
      </c>
      <c r="G875">
        <v>28</v>
      </c>
      <c r="H875">
        <v>7</v>
      </c>
      <c r="I875">
        <v>0</v>
      </c>
      <c r="J875">
        <v>2</v>
      </c>
      <c r="K875">
        <v>1</v>
      </c>
      <c r="L875">
        <v>0</v>
      </c>
      <c r="M875">
        <v>7797.01</v>
      </c>
      <c r="N875">
        <v>0</v>
      </c>
      <c r="O875" t="str">
        <f t="shared" si="52"/>
        <v>Poor</v>
      </c>
      <c r="P875" t="str">
        <f t="shared" si="53"/>
        <v>Young Adult</v>
      </c>
      <c r="Q875" t="str">
        <f t="shared" si="54"/>
        <v>Low Salary</v>
      </c>
      <c r="R875" t="str">
        <f t="shared" si="55"/>
        <v>Low Balance</v>
      </c>
    </row>
    <row r="876" spans="1:18" x14ac:dyDescent="0.25">
      <c r="A876">
        <v>875</v>
      </c>
      <c r="B876">
        <v>15674840</v>
      </c>
      <c r="C876" t="s">
        <v>272</v>
      </c>
      <c r="D876" t="s">
        <v>15</v>
      </c>
      <c r="E876" t="s">
        <v>16</v>
      </c>
      <c r="F876">
        <v>645</v>
      </c>
      <c r="G876">
        <v>38</v>
      </c>
      <c r="H876">
        <v>5</v>
      </c>
      <c r="I876">
        <v>101430.3</v>
      </c>
      <c r="J876">
        <v>2</v>
      </c>
      <c r="K876">
        <v>0</v>
      </c>
      <c r="L876">
        <v>1</v>
      </c>
      <c r="M876">
        <v>4400.32</v>
      </c>
      <c r="N876">
        <v>0</v>
      </c>
      <c r="O876" t="str">
        <f t="shared" si="52"/>
        <v>Average</v>
      </c>
      <c r="P876" t="str">
        <f t="shared" si="53"/>
        <v>Adult</v>
      </c>
      <c r="Q876" t="str">
        <f t="shared" si="54"/>
        <v>Low Salary</v>
      </c>
      <c r="R876" t="str">
        <f t="shared" si="55"/>
        <v>High Balance</v>
      </c>
    </row>
    <row r="877" spans="1:18" x14ac:dyDescent="0.25">
      <c r="A877">
        <v>876</v>
      </c>
      <c r="B877">
        <v>15653762</v>
      </c>
      <c r="C877" t="s">
        <v>69</v>
      </c>
      <c r="D877" t="s">
        <v>15</v>
      </c>
      <c r="E877" t="s">
        <v>16</v>
      </c>
      <c r="F877">
        <v>501</v>
      </c>
      <c r="G877">
        <v>39</v>
      </c>
      <c r="H877">
        <v>9</v>
      </c>
      <c r="I877">
        <v>117301.66</v>
      </c>
      <c r="J877">
        <v>1</v>
      </c>
      <c r="K877">
        <v>0</v>
      </c>
      <c r="L877">
        <v>0</v>
      </c>
      <c r="M877">
        <v>182025.95</v>
      </c>
      <c r="N877">
        <v>0</v>
      </c>
      <c r="O877" t="str">
        <f t="shared" si="52"/>
        <v>Poor</v>
      </c>
      <c r="P877" t="str">
        <f t="shared" si="53"/>
        <v>Adult</v>
      </c>
      <c r="Q877" t="str">
        <f t="shared" si="54"/>
        <v>High Salary</v>
      </c>
      <c r="R877" t="str">
        <f t="shared" si="55"/>
        <v>High Balance</v>
      </c>
    </row>
    <row r="878" spans="1:18" x14ac:dyDescent="0.25">
      <c r="A878">
        <v>877</v>
      </c>
      <c r="B878">
        <v>15581229</v>
      </c>
      <c r="C878" t="s">
        <v>342</v>
      </c>
      <c r="D878" t="s">
        <v>26</v>
      </c>
      <c r="E878" t="s">
        <v>16</v>
      </c>
      <c r="F878">
        <v>502</v>
      </c>
      <c r="G878">
        <v>32</v>
      </c>
      <c r="H878">
        <v>1</v>
      </c>
      <c r="I878">
        <v>173340.83</v>
      </c>
      <c r="J878">
        <v>1</v>
      </c>
      <c r="K878">
        <v>0</v>
      </c>
      <c r="L878">
        <v>1</v>
      </c>
      <c r="M878">
        <v>122763.95</v>
      </c>
      <c r="N878">
        <v>0</v>
      </c>
      <c r="O878" t="str">
        <f t="shared" si="52"/>
        <v>Poor</v>
      </c>
      <c r="P878" t="str">
        <f t="shared" si="53"/>
        <v>Adult</v>
      </c>
      <c r="Q878" t="str">
        <f t="shared" si="54"/>
        <v>High Salary</v>
      </c>
      <c r="R878" t="str">
        <f t="shared" si="55"/>
        <v>High Balance</v>
      </c>
    </row>
    <row r="879" spans="1:18" x14ac:dyDescent="0.25">
      <c r="A879">
        <v>878</v>
      </c>
      <c r="B879">
        <v>15800228</v>
      </c>
      <c r="C879" t="s">
        <v>689</v>
      </c>
      <c r="D879" t="s">
        <v>18</v>
      </c>
      <c r="E879" t="s">
        <v>16</v>
      </c>
      <c r="F879">
        <v>652</v>
      </c>
      <c r="G879">
        <v>42</v>
      </c>
      <c r="H879">
        <v>4</v>
      </c>
      <c r="I879">
        <v>0</v>
      </c>
      <c r="J879">
        <v>2</v>
      </c>
      <c r="K879">
        <v>1</v>
      </c>
      <c r="L879">
        <v>1</v>
      </c>
      <c r="M879">
        <v>38152.01</v>
      </c>
      <c r="N879">
        <v>0</v>
      </c>
      <c r="O879" t="str">
        <f t="shared" si="52"/>
        <v>Average</v>
      </c>
      <c r="P879" t="str">
        <f t="shared" si="53"/>
        <v>Adult</v>
      </c>
      <c r="Q879" t="str">
        <f t="shared" si="54"/>
        <v>Medium Salary</v>
      </c>
      <c r="R879" t="str">
        <f t="shared" si="55"/>
        <v>Low Balance</v>
      </c>
    </row>
    <row r="880" spans="1:18" x14ac:dyDescent="0.25">
      <c r="A880">
        <v>879</v>
      </c>
      <c r="B880">
        <v>15656333</v>
      </c>
      <c r="C880" t="s">
        <v>596</v>
      </c>
      <c r="D880" t="s">
        <v>15</v>
      </c>
      <c r="E880" t="s">
        <v>16</v>
      </c>
      <c r="F880">
        <v>574</v>
      </c>
      <c r="G880">
        <v>33</v>
      </c>
      <c r="H880">
        <v>3</v>
      </c>
      <c r="I880">
        <v>134348.57</v>
      </c>
      <c r="J880">
        <v>1</v>
      </c>
      <c r="K880">
        <v>1</v>
      </c>
      <c r="L880">
        <v>0</v>
      </c>
      <c r="M880">
        <v>63163.99</v>
      </c>
      <c r="N880">
        <v>0</v>
      </c>
      <c r="O880" t="str">
        <f t="shared" si="52"/>
        <v>Poor</v>
      </c>
      <c r="P880" t="str">
        <f t="shared" si="53"/>
        <v>Adult</v>
      </c>
      <c r="Q880" t="str">
        <f t="shared" si="54"/>
        <v>Medium Salary</v>
      </c>
      <c r="R880" t="str">
        <f t="shared" si="55"/>
        <v>High Balance</v>
      </c>
    </row>
    <row r="881" spans="1:18" x14ac:dyDescent="0.25">
      <c r="A881">
        <v>880</v>
      </c>
      <c r="B881">
        <v>15697497</v>
      </c>
      <c r="C881" t="s">
        <v>690</v>
      </c>
      <c r="D881" t="s">
        <v>15</v>
      </c>
      <c r="E881" t="s">
        <v>16</v>
      </c>
      <c r="F881">
        <v>518</v>
      </c>
      <c r="G881">
        <v>45</v>
      </c>
      <c r="H881">
        <v>9</v>
      </c>
      <c r="I881">
        <v>105525.65</v>
      </c>
      <c r="J881">
        <v>2</v>
      </c>
      <c r="K881">
        <v>1</v>
      </c>
      <c r="L881">
        <v>1</v>
      </c>
      <c r="M881">
        <v>73418.289999999994</v>
      </c>
      <c r="N881">
        <v>0</v>
      </c>
      <c r="O881" t="str">
        <f t="shared" si="52"/>
        <v>Poor</v>
      </c>
      <c r="P881" t="str">
        <f t="shared" si="53"/>
        <v>Adult</v>
      </c>
      <c r="Q881" t="str">
        <f t="shared" si="54"/>
        <v>High Salary</v>
      </c>
      <c r="R881" t="str">
        <f t="shared" si="55"/>
        <v>High Balance</v>
      </c>
    </row>
    <row r="882" spans="1:18" x14ac:dyDescent="0.25">
      <c r="A882">
        <v>881</v>
      </c>
      <c r="B882">
        <v>15585362</v>
      </c>
      <c r="C882" t="s">
        <v>331</v>
      </c>
      <c r="D882" t="s">
        <v>15</v>
      </c>
      <c r="E882" t="s">
        <v>16</v>
      </c>
      <c r="F882">
        <v>749</v>
      </c>
      <c r="G882">
        <v>60</v>
      </c>
      <c r="H882">
        <v>6</v>
      </c>
      <c r="I882">
        <v>0</v>
      </c>
      <c r="J882">
        <v>1</v>
      </c>
      <c r="K882">
        <v>1</v>
      </c>
      <c r="L882">
        <v>0</v>
      </c>
      <c r="M882">
        <v>17978.68</v>
      </c>
      <c r="N882">
        <v>1</v>
      </c>
      <c r="O882" t="str">
        <f t="shared" si="52"/>
        <v>Good</v>
      </c>
      <c r="P882" t="str">
        <f t="shared" si="53"/>
        <v>Senior</v>
      </c>
      <c r="Q882" t="str">
        <f t="shared" si="54"/>
        <v>Low Salary</v>
      </c>
      <c r="R882" t="str">
        <f t="shared" si="55"/>
        <v>Low Balance</v>
      </c>
    </row>
    <row r="883" spans="1:18" x14ac:dyDescent="0.25">
      <c r="A883">
        <v>882</v>
      </c>
      <c r="B883">
        <v>15571928</v>
      </c>
      <c r="C883" t="s">
        <v>644</v>
      </c>
      <c r="D883" t="s">
        <v>15</v>
      </c>
      <c r="E883" t="s">
        <v>16</v>
      </c>
      <c r="F883">
        <v>679</v>
      </c>
      <c r="G883">
        <v>43</v>
      </c>
      <c r="H883">
        <v>4</v>
      </c>
      <c r="I883">
        <v>0</v>
      </c>
      <c r="J883">
        <v>3</v>
      </c>
      <c r="K883">
        <v>1</v>
      </c>
      <c r="L883">
        <v>0</v>
      </c>
      <c r="M883">
        <v>115136.51</v>
      </c>
      <c r="N883">
        <v>1</v>
      </c>
      <c r="O883" t="str">
        <f t="shared" si="52"/>
        <v>Good</v>
      </c>
      <c r="P883" t="str">
        <f t="shared" si="53"/>
        <v>Adult</v>
      </c>
      <c r="Q883" t="str">
        <f t="shared" si="54"/>
        <v>High Salary</v>
      </c>
      <c r="R883" t="str">
        <f t="shared" si="55"/>
        <v>Low Balance</v>
      </c>
    </row>
    <row r="884" spans="1:18" x14ac:dyDescent="0.25">
      <c r="A884">
        <v>883</v>
      </c>
      <c r="B884">
        <v>15785519</v>
      </c>
      <c r="C884" t="s">
        <v>691</v>
      </c>
      <c r="D884" t="s">
        <v>15</v>
      </c>
      <c r="E884" t="s">
        <v>23</v>
      </c>
      <c r="F884">
        <v>565</v>
      </c>
      <c r="G884">
        <v>36</v>
      </c>
      <c r="H884">
        <v>6</v>
      </c>
      <c r="I884">
        <v>106192.1</v>
      </c>
      <c r="J884">
        <v>1</v>
      </c>
      <c r="K884">
        <v>1</v>
      </c>
      <c r="L884">
        <v>0</v>
      </c>
      <c r="M884">
        <v>149575.59</v>
      </c>
      <c r="N884">
        <v>0</v>
      </c>
      <c r="O884" t="str">
        <f t="shared" si="52"/>
        <v>Poor</v>
      </c>
      <c r="P884" t="str">
        <f t="shared" si="53"/>
        <v>Adult</v>
      </c>
      <c r="Q884" t="str">
        <f t="shared" si="54"/>
        <v>High Salary</v>
      </c>
      <c r="R884" t="str">
        <f t="shared" si="55"/>
        <v>High Balance</v>
      </c>
    </row>
    <row r="885" spans="1:18" x14ac:dyDescent="0.25">
      <c r="A885">
        <v>884</v>
      </c>
      <c r="B885">
        <v>15743007</v>
      </c>
      <c r="C885" t="s">
        <v>692</v>
      </c>
      <c r="D885" t="s">
        <v>15</v>
      </c>
      <c r="E885" t="s">
        <v>16</v>
      </c>
      <c r="F885">
        <v>643</v>
      </c>
      <c r="G885">
        <v>45</v>
      </c>
      <c r="H885">
        <v>4</v>
      </c>
      <c r="I885">
        <v>45144.43</v>
      </c>
      <c r="J885">
        <v>1</v>
      </c>
      <c r="K885">
        <v>1</v>
      </c>
      <c r="L885">
        <v>0</v>
      </c>
      <c r="M885">
        <v>60917.24</v>
      </c>
      <c r="N885">
        <v>1</v>
      </c>
      <c r="O885" t="str">
        <f t="shared" si="52"/>
        <v>Average</v>
      </c>
      <c r="P885" t="str">
        <f t="shared" si="53"/>
        <v>Adult</v>
      </c>
      <c r="Q885" t="str">
        <f t="shared" si="54"/>
        <v>Medium Salary</v>
      </c>
      <c r="R885" t="str">
        <f t="shared" si="55"/>
        <v>Low Balance</v>
      </c>
    </row>
    <row r="886" spans="1:18" x14ac:dyDescent="0.25">
      <c r="A886">
        <v>885</v>
      </c>
      <c r="B886">
        <v>15777211</v>
      </c>
      <c r="C886" t="s">
        <v>693</v>
      </c>
      <c r="D886" t="s">
        <v>15</v>
      </c>
      <c r="E886" t="s">
        <v>23</v>
      </c>
      <c r="F886">
        <v>515</v>
      </c>
      <c r="G886">
        <v>65</v>
      </c>
      <c r="H886">
        <v>7</v>
      </c>
      <c r="I886">
        <v>92113.61</v>
      </c>
      <c r="J886">
        <v>1</v>
      </c>
      <c r="K886">
        <v>1</v>
      </c>
      <c r="L886">
        <v>1</v>
      </c>
      <c r="M886">
        <v>142548.32999999999</v>
      </c>
      <c r="N886">
        <v>0</v>
      </c>
      <c r="O886" t="str">
        <f t="shared" si="52"/>
        <v>Poor</v>
      </c>
      <c r="P886" t="str">
        <f t="shared" si="53"/>
        <v>Senior</v>
      </c>
      <c r="Q886" t="str">
        <f t="shared" si="54"/>
        <v>High Salary</v>
      </c>
      <c r="R886" t="str">
        <f t="shared" si="55"/>
        <v>Medium Balance</v>
      </c>
    </row>
    <row r="887" spans="1:18" x14ac:dyDescent="0.25">
      <c r="A887">
        <v>886</v>
      </c>
      <c r="B887">
        <v>15721935</v>
      </c>
      <c r="C887" t="s">
        <v>694</v>
      </c>
      <c r="D887" t="s">
        <v>15</v>
      </c>
      <c r="E887" t="s">
        <v>23</v>
      </c>
      <c r="F887">
        <v>521</v>
      </c>
      <c r="G887">
        <v>25</v>
      </c>
      <c r="H887">
        <v>7</v>
      </c>
      <c r="I887">
        <v>0</v>
      </c>
      <c r="J887">
        <v>2</v>
      </c>
      <c r="K887">
        <v>1</v>
      </c>
      <c r="L887">
        <v>1</v>
      </c>
      <c r="M887">
        <v>157878.67000000001</v>
      </c>
      <c r="N887">
        <v>0</v>
      </c>
      <c r="O887" t="str">
        <f t="shared" si="52"/>
        <v>Poor</v>
      </c>
      <c r="P887" t="str">
        <f t="shared" si="53"/>
        <v>Young Adult</v>
      </c>
      <c r="Q887" t="str">
        <f t="shared" si="54"/>
        <v>High Salary</v>
      </c>
      <c r="R887" t="str">
        <f t="shared" si="55"/>
        <v>Low Balance</v>
      </c>
    </row>
    <row r="888" spans="1:18" x14ac:dyDescent="0.25">
      <c r="A888">
        <v>887</v>
      </c>
      <c r="B888">
        <v>15591711</v>
      </c>
      <c r="C888" t="s">
        <v>695</v>
      </c>
      <c r="D888" t="s">
        <v>18</v>
      </c>
      <c r="E888" t="s">
        <v>23</v>
      </c>
      <c r="F888">
        <v>739</v>
      </c>
      <c r="G888">
        <v>38</v>
      </c>
      <c r="H888">
        <v>0</v>
      </c>
      <c r="I888">
        <v>128366.44</v>
      </c>
      <c r="J888">
        <v>1</v>
      </c>
      <c r="K888">
        <v>1</v>
      </c>
      <c r="L888">
        <v>0</v>
      </c>
      <c r="M888">
        <v>12796.43</v>
      </c>
      <c r="N888">
        <v>0</v>
      </c>
      <c r="O888" t="str">
        <f t="shared" si="52"/>
        <v>Good</v>
      </c>
      <c r="P888" t="str">
        <f t="shared" si="53"/>
        <v>Adult</v>
      </c>
      <c r="Q888" t="str">
        <f t="shared" si="54"/>
        <v>Low Salary</v>
      </c>
      <c r="R888" t="str">
        <f t="shared" si="55"/>
        <v>High Balance</v>
      </c>
    </row>
    <row r="889" spans="1:18" x14ac:dyDescent="0.25">
      <c r="A889">
        <v>888</v>
      </c>
      <c r="B889">
        <v>15625021</v>
      </c>
      <c r="C889" t="s">
        <v>118</v>
      </c>
      <c r="D889" t="s">
        <v>15</v>
      </c>
      <c r="E889" t="s">
        <v>23</v>
      </c>
      <c r="F889">
        <v>585</v>
      </c>
      <c r="G889">
        <v>42</v>
      </c>
      <c r="H889">
        <v>2</v>
      </c>
      <c r="I889">
        <v>0</v>
      </c>
      <c r="J889">
        <v>2</v>
      </c>
      <c r="K889">
        <v>1</v>
      </c>
      <c r="L889">
        <v>1</v>
      </c>
      <c r="M889">
        <v>18657.77</v>
      </c>
      <c r="N889">
        <v>0</v>
      </c>
      <c r="O889" t="str">
        <f t="shared" si="52"/>
        <v>Average</v>
      </c>
      <c r="P889" t="str">
        <f t="shared" si="53"/>
        <v>Adult</v>
      </c>
      <c r="Q889" t="str">
        <f t="shared" si="54"/>
        <v>Low Salary</v>
      </c>
      <c r="R889" t="str">
        <f t="shared" si="55"/>
        <v>Low Balance</v>
      </c>
    </row>
    <row r="890" spans="1:18" x14ac:dyDescent="0.25">
      <c r="A890">
        <v>889</v>
      </c>
      <c r="B890">
        <v>15702968</v>
      </c>
      <c r="C890" t="s">
        <v>696</v>
      </c>
      <c r="D890" t="s">
        <v>26</v>
      </c>
      <c r="E890" t="s">
        <v>23</v>
      </c>
      <c r="F890">
        <v>733</v>
      </c>
      <c r="G890">
        <v>74</v>
      </c>
      <c r="H890">
        <v>3</v>
      </c>
      <c r="I890">
        <v>106545.53</v>
      </c>
      <c r="J890">
        <v>1</v>
      </c>
      <c r="K890">
        <v>1</v>
      </c>
      <c r="L890">
        <v>1</v>
      </c>
      <c r="M890">
        <v>134589.57999999999</v>
      </c>
      <c r="N890">
        <v>0</v>
      </c>
      <c r="O890" t="str">
        <f t="shared" si="52"/>
        <v>Good</v>
      </c>
      <c r="P890" t="str">
        <f t="shared" si="53"/>
        <v>Senior</v>
      </c>
      <c r="Q890" t="str">
        <f t="shared" si="54"/>
        <v>High Salary</v>
      </c>
      <c r="R890" t="str">
        <f t="shared" si="55"/>
        <v>High Balance</v>
      </c>
    </row>
    <row r="891" spans="1:18" x14ac:dyDescent="0.25">
      <c r="A891">
        <v>890</v>
      </c>
      <c r="B891">
        <v>15600462</v>
      </c>
      <c r="C891" t="s">
        <v>697</v>
      </c>
      <c r="D891" t="s">
        <v>15</v>
      </c>
      <c r="E891" t="s">
        <v>16</v>
      </c>
      <c r="F891">
        <v>542</v>
      </c>
      <c r="G891">
        <v>43</v>
      </c>
      <c r="H891">
        <v>8</v>
      </c>
      <c r="I891">
        <v>145618.37</v>
      </c>
      <c r="J891">
        <v>1</v>
      </c>
      <c r="K891">
        <v>0</v>
      </c>
      <c r="L891">
        <v>1</v>
      </c>
      <c r="M891">
        <v>10350.74</v>
      </c>
      <c r="N891">
        <v>0</v>
      </c>
      <c r="O891" t="str">
        <f t="shared" si="52"/>
        <v>Poor</v>
      </c>
      <c r="P891" t="str">
        <f t="shared" si="53"/>
        <v>Adult</v>
      </c>
      <c r="Q891" t="str">
        <f t="shared" si="54"/>
        <v>Low Salary</v>
      </c>
      <c r="R891" t="str">
        <f t="shared" si="55"/>
        <v>High Balance</v>
      </c>
    </row>
    <row r="892" spans="1:18" x14ac:dyDescent="0.25">
      <c r="A892">
        <v>891</v>
      </c>
      <c r="B892">
        <v>15768104</v>
      </c>
      <c r="C892" t="s">
        <v>698</v>
      </c>
      <c r="D892" t="s">
        <v>18</v>
      </c>
      <c r="E892" t="s">
        <v>23</v>
      </c>
      <c r="F892">
        <v>788</v>
      </c>
      <c r="G892">
        <v>37</v>
      </c>
      <c r="H892">
        <v>8</v>
      </c>
      <c r="I892">
        <v>141541.25</v>
      </c>
      <c r="J892">
        <v>1</v>
      </c>
      <c r="K892">
        <v>0</v>
      </c>
      <c r="L892">
        <v>0</v>
      </c>
      <c r="M892">
        <v>66013.27</v>
      </c>
      <c r="N892">
        <v>0</v>
      </c>
      <c r="O892" t="str">
        <f t="shared" si="52"/>
        <v>Good</v>
      </c>
      <c r="P892" t="str">
        <f t="shared" si="53"/>
        <v>Adult</v>
      </c>
      <c r="Q892" t="str">
        <f t="shared" si="54"/>
        <v>Medium Salary</v>
      </c>
      <c r="R892" t="str">
        <f t="shared" si="55"/>
        <v>High Balance</v>
      </c>
    </row>
    <row r="893" spans="1:18" x14ac:dyDescent="0.25">
      <c r="A893">
        <v>892</v>
      </c>
      <c r="B893">
        <v>15780140</v>
      </c>
      <c r="C893" t="s">
        <v>509</v>
      </c>
      <c r="D893" t="s">
        <v>26</v>
      </c>
      <c r="E893" t="s">
        <v>23</v>
      </c>
      <c r="F893">
        <v>435</v>
      </c>
      <c r="G893">
        <v>32</v>
      </c>
      <c r="H893">
        <v>2</v>
      </c>
      <c r="I893">
        <v>57017.06</v>
      </c>
      <c r="J893">
        <v>2</v>
      </c>
      <c r="K893">
        <v>1</v>
      </c>
      <c r="L893">
        <v>1</v>
      </c>
      <c r="M893">
        <v>5907.11</v>
      </c>
      <c r="N893">
        <v>0</v>
      </c>
      <c r="O893" t="str">
        <f t="shared" si="52"/>
        <v>Poor</v>
      </c>
      <c r="P893" t="str">
        <f t="shared" si="53"/>
        <v>Adult</v>
      </c>
      <c r="Q893" t="str">
        <f t="shared" si="54"/>
        <v>Low Salary</v>
      </c>
      <c r="R893" t="str">
        <f t="shared" si="55"/>
        <v>Medium Balance</v>
      </c>
    </row>
    <row r="894" spans="1:18" x14ac:dyDescent="0.25">
      <c r="A894">
        <v>893</v>
      </c>
      <c r="B894">
        <v>15585255</v>
      </c>
      <c r="C894" t="s">
        <v>699</v>
      </c>
      <c r="D894" t="s">
        <v>15</v>
      </c>
      <c r="E894" t="s">
        <v>23</v>
      </c>
      <c r="F894">
        <v>577</v>
      </c>
      <c r="G894">
        <v>42</v>
      </c>
      <c r="H894">
        <v>9</v>
      </c>
      <c r="I894">
        <v>0</v>
      </c>
      <c r="J894">
        <v>1</v>
      </c>
      <c r="K894">
        <v>1</v>
      </c>
      <c r="L894">
        <v>0</v>
      </c>
      <c r="M894">
        <v>74077.91</v>
      </c>
      <c r="N894">
        <v>0</v>
      </c>
      <c r="O894" t="str">
        <f t="shared" si="52"/>
        <v>Poor</v>
      </c>
      <c r="P894" t="str">
        <f t="shared" si="53"/>
        <v>Adult</v>
      </c>
      <c r="Q894" t="str">
        <f t="shared" si="54"/>
        <v>High Salary</v>
      </c>
      <c r="R894" t="str">
        <f t="shared" si="55"/>
        <v>Low Balance</v>
      </c>
    </row>
    <row r="895" spans="1:18" x14ac:dyDescent="0.25">
      <c r="A895">
        <v>894</v>
      </c>
      <c r="B895">
        <v>15772781</v>
      </c>
      <c r="C895" t="s">
        <v>640</v>
      </c>
      <c r="D895" t="s">
        <v>15</v>
      </c>
      <c r="E895" t="s">
        <v>16</v>
      </c>
      <c r="F895">
        <v>703</v>
      </c>
      <c r="G895">
        <v>51</v>
      </c>
      <c r="H895">
        <v>3</v>
      </c>
      <c r="I895">
        <v>0</v>
      </c>
      <c r="J895">
        <v>3</v>
      </c>
      <c r="K895">
        <v>1</v>
      </c>
      <c r="L895">
        <v>1</v>
      </c>
      <c r="M895">
        <v>77294.559999999998</v>
      </c>
      <c r="N895">
        <v>1</v>
      </c>
      <c r="O895" t="str">
        <f t="shared" si="52"/>
        <v>Good</v>
      </c>
      <c r="P895" t="str">
        <f t="shared" si="53"/>
        <v>Senior</v>
      </c>
      <c r="Q895" t="str">
        <f t="shared" si="54"/>
        <v>High Salary</v>
      </c>
      <c r="R895" t="str">
        <f t="shared" si="55"/>
        <v>Low Balance</v>
      </c>
    </row>
    <row r="896" spans="1:18" x14ac:dyDescent="0.25">
      <c r="A896">
        <v>895</v>
      </c>
      <c r="B896">
        <v>15669987</v>
      </c>
      <c r="C896" t="s">
        <v>700</v>
      </c>
      <c r="D896" t="s">
        <v>26</v>
      </c>
      <c r="E896" t="s">
        <v>16</v>
      </c>
      <c r="F896">
        <v>728</v>
      </c>
      <c r="G896">
        <v>35</v>
      </c>
      <c r="H896">
        <v>8</v>
      </c>
      <c r="I896">
        <v>125884.95</v>
      </c>
      <c r="J896">
        <v>2</v>
      </c>
      <c r="K896">
        <v>1</v>
      </c>
      <c r="L896">
        <v>0</v>
      </c>
      <c r="M896">
        <v>54359.02</v>
      </c>
      <c r="N896">
        <v>1</v>
      </c>
      <c r="O896" t="str">
        <f t="shared" si="52"/>
        <v>Good</v>
      </c>
      <c r="P896" t="str">
        <f t="shared" si="53"/>
        <v>Adult</v>
      </c>
      <c r="Q896" t="str">
        <f t="shared" si="54"/>
        <v>Medium Salary</v>
      </c>
      <c r="R896" t="str">
        <f t="shared" si="55"/>
        <v>High Balance</v>
      </c>
    </row>
    <row r="897" spans="1:18" x14ac:dyDescent="0.25">
      <c r="A897">
        <v>896</v>
      </c>
      <c r="B897">
        <v>15697000</v>
      </c>
      <c r="C897" t="s">
        <v>701</v>
      </c>
      <c r="D897" t="s">
        <v>26</v>
      </c>
      <c r="E897" t="s">
        <v>23</v>
      </c>
      <c r="F897">
        <v>728</v>
      </c>
      <c r="G897">
        <v>32</v>
      </c>
      <c r="H897">
        <v>5</v>
      </c>
      <c r="I897">
        <v>61825.5</v>
      </c>
      <c r="J897">
        <v>1</v>
      </c>
      <c r="K897">
        <v>1</v>
      </c>
      <c r="L897">
        <v>1</v>
      </c>
      <c r="M897">
        <v>156124.93</v>
      </c>
      <c r="N897">
        <v>0</v>
      </c>
      <c r="O897" t="str">
        <f t="shared" si="52"/>
        <v>Good</v>
      </c>
      <c r="P897" t="str">
        <f t="shared" si="53"/>
        <v>Adult</v>
      </c>
      <c r="Q897" t="str">
        <f t="shared" si="54"/>
        <v>High Salary</v>
      </c>
      <c r="R897" t="str">
        <f t="shared" si="55"/>
        <v>Medium Balance</v>
      </c>
    </row>
    <row r="898" spans="1:18" x14ac:dyDescent="0.25">
      <c r="A898">
        <v>897</v>
      </c>
      <c r="B898">
        <v>15733119</v>
      </c>
      <c r="C898" t="s">
        <v>702</v>
      </c>
      <c r="D898" t="s">
        <v>15</v>
      </c>
      <c r="E898" t="s">
        <v>23</v>
      </c>
      <c r="F898">
        <v>718</v>
      </c>
      <c r="G898">
        <v>35</v>
      </c>
      <c r="H898">
        <v>8</v>
      </c>
      <c r="I898">
        <v>0</v>
      </c>
      <c r="J898">
        <v>2</v>
      </c>
      <c r="K898">
        <v>1</v>
      </c>
      <c r="L898">
        <v>0</v>
      </c>
      <c r="M898">
        <v>94820.85</v>
      </c>
      <c r="N898">
        <v>0</v>
      </c>
      <c r="O898" t="str">
        <f t="shared" si="52"/>
        <v>Good</v>
      </c>
      <c r="P898" t="str">
        <f t="shared" si="53"/>
        <v>Adult</v>
      </c>
      <c r="Q898" t="str">
        <f t="shared" si="54"/>
        <v>High Salary</v>
      </c>
      <c r="R898" t="str">
        <f t="shared" si="55"/>
        <v>Low Balance</v>
      </c>
    </row>
    <row r="899" spans="1:18" x14ac:dyDescent="0.25">
      <c r="A899">
        <v>898</v>
      </c>
      <c r="B899">
        <v>15782390</v>
      </c>
      <c r="C899" t="s">
        <v>77</v>
      </c>
      <c r="D899" t="s">
        <v>15</v>
      </c>
      <c r="E899" t="s">
        <v>16</v>
      </c>
      <c r="F899">
        <v>621</v>
      </c>
      <c r="G899">
        <v>40</v>
      </c>
      <c r="H899">
        <v>6</v>
      </c>
      <c r="I899">
        <v>0</v>
      </c>
      <c r="J899">
        <v>1</v>
      </c>
      <c r="K899">
        <v>1</v>
      </c>
      <c r="L899">
        <v>0</v>
      </c>
      <c r="M899">
        <v>155155.25</v>
      </c>
      <c r="N899">
        <v>0</v>
      </c>
      <c r="O899" t="str">
        <f t="shared" ref="O899:O962" si="56">IF(F899&lt;580, "Poor", IF(AND(F899&gt;=580, F899&lt;=669), "Average", "Good"))</f>
        <v>Average</v>
      </c>
      <c r="P899" t="str">
        <f t="shared" ref="P899:P962" si="57">IF(G899&lt;=30, "Young Adult", IF(AND(G899&gt;=31, G899&lt;=50), "Adult", "Senior"))</f>
        <v>Adult</v>
      </c>
      <c r="Q899" t="str">
        <f t="shared" ref="Q899:Q962" si="58">IF(M899&lt;30000, "Low Salary", IF(AND(M899&gt;=30000, M899&lt;=70000), "Medium Salary", "High Salary"))</f>
        <v>High Salary</v>
      </c>
      <c r="R899" t="str">
        <f t="shared" ref="R899:R962" si="59">IF(I899&lt;50000, "Low Balance", IF(AND(I899&gt;=50000, I899&lt;=100000), "Medium Balance", "High Balance"))</f>
        <v>Low Balance</v>
      </c>
    </row>
    <row r="900" spans="1:18" x14ac:dyDescent="0.25">
      <c r="A900">
        <v>899</v>
      </c>
      <c r="B900">
        <v>15654700</v>
      </c>
      <c r="C900" t="s">
        <v>503</v>
      </c>
      <c r="D900" t="s">
        <v>15</v>
      </c>
      <c r="E900" t="s">
        <v>16</v>
      </c>
      <c r="F900">
        <v>523</v>
      </c>
      <c r="G900">
        <v>40</v>
      </c>
      <c r="H900">
        <v>2</v>
      </c>
      <c r="I900">
        <v>102967.41</v>
      </c>
      <c r="J900">
        <v>1</v>
      </c>
      <c r="K900">
        <v>1</v>
      </c>
      <c r="L900">
        <v>0</v>
      </c>
      <c r="M900">
        <v>128702.1</v>
      </c>
      <c r="N900">
        <v>1</v>
      </c>
      <c r="O900" t="str">
        <f t="shared" si="56"/>
        <v>Poor</v>
      </c>
      <c r="P900" t="str">
        <f t="shared" si="57"/>
        <v>Adult</v>
      </c>
      <c r="Q900" t="str">
        <f t="shared" si="58"/>
        <v>High Salary</v>
      </c>
      <c r="R900" t="str">
        <f t="shared" si="59"/>
        <v>High Balance</v>
      </c>
    </row>
    <row r="901" spans="1:18" x14ac:dyDescent="0.25">
      <c r="A901">
        <v>900</v>
      </c>
      <c r="B901">
        <v>15632210</v>
      </c>
      <c r="C901" t="s">
        <v>17</v>
      </c>
      <c r="D901" t="s">
        <v>26</v>
      </c>
      <c r="E901" t="s">
        <v>23</v>
      </c>
      <c r="F901">
        <v>657</v>
      </c>
      <c r="G901">
        <v>25</v>
      </c>
      <c r="H901">
        <v>2</v>
      </c>
      <c r="I901">
        <v>171770.55</v>
      </c>
      <c r="J901">
        <v>1</v>
      </c>
      <c r="K901">
        <v>1</v>
      </c>
      <c r="L901">
        <v>0</v>
      </c>
      <c r="M901">
        <v>22745.5</v>
      </c>
      <c r="N901">
        <v>0</v>
      </c>
      <c r="O901" t="str">
        <f t="shared" si="56"/>
        <v>Average</v>
      </c>
      <c r="P901" t="str">
        <f t="shared" si="57"/>
        <v>Young Adult</v>
      </c>
      <c r="Q901" t="str">
        <f t="shared" si="58"/>
        <v>Low Salary</v>
      </c>
      <c r="R901" t="str">
        <f t="shared" si="59"/>
        <v>High Balance</v>
      </c>
    </row>
    <row r="902" spans="1:18" x14ac:dyDescent="0.25">
      <c r="A902">
        <v>901</v>
      </c>
      <c r="B902">
        <v>15642041</v>
      </c>
      <c r="C902" t="s">
        <v>422</v>
      </c>
      <c r="D902" t="s">
        <v>26</v>
      </c>
      <c r="E902" t="s">
        <v>23</v>
      </c>
      <c r="F902">
        <v>727</v>
      </c>
      <c r="G902">
        <v>40</v>
      </c>
      <c r="H902">
        <v>1</v>
      </c>
      <c r="I902">
        <v>93051.64</v>
      </c>
      <c r="J902">
        <v>2</v>
      </c>
      <c r="K902">
        <v>1</v>
      </c>
      <c r="L902">
        <v>0</v>
      </c>
      <c r="M902">
        <v>71865.31</v>
      </c>
      <c r="N902">
        <v>1</v>
      </c>
      <c r="O902" t="str">
        <f t="shared" si="56"/>
        <v>Good</v>
      </c>
      <c r="P902" t="str">
        <f t="shared" si="57"/>
        <v>Adult</v>
      </c>
      <c r="Q902" t="str">
        <f t="shared" si="58"/>
        <v>High Salary</v>
      </c>
      <c r="R902" t="str">
        <f t="shared" si="59"/>
        <v>Medium Balance</v>
      </c>
    </row>
    <row r="903" spans="1:18" x14ac:dyDescent="0.25">
      <c r="A903">
        <v>902</v>
      </c>
      <c r="B903">
        <v>15709737</v>
      </c>
      <c r="C903" t="s">
        <v>79</v>
      </c>
      <c r="D903" t="s">
        <v>15</v>
      </c>
      <c r="E903" t="s">
        <v>23</v>
      </c>
      <c r="F903">
        <v>643</v>
      </c>
      <c r="G903">
        <v>36</v>
      </c>
      <c r="H903">
        <v>7</v>
      </c>
      <c r="I903">
        <v>161064.64000000001</v>
      </c>
      <c r="J903">
        <v>2</v>
      </c>
      <c r="K903">
        <v>0</v>
      </c>
      <c r="L903">
        <v>1</v>
      </c>
      <c r="M903">
        <v>84294.82</v>
      </c>
      <c r="N903">
        <v>0</v>
      </c>
      <c r="O903" t="str">
        <f t="shared" si="56"/>
        <v>Average</v>
      </c>
      <c r="P903" t="str">
        <f t="shared" si="57"/>
        <v>Adult</v>
      </c>
      <c r="Q903" t="str">
        <f t="shared" si="58"/>
        <v>High Salary</v>
      </c>
      <c r="R903" t="str">
        <f t="shared" si="59"/>
        <v>High Balance</v>
      </c>
    </row>
    <row r="904" spans="1:18" x14ac:dyDescent="0.25">
      <c r="A904">
        <v>903</v>
      </c>
      <c r="B904">
        <v>15792388</v>
      </c>
      <c r="C904" t="s">
        <v>148</v>
      </c>
      <c r="D904" t="s">
        <v>15</v>
      </c>
      <c r="E904" t="s">
        <v>16</v>
      </c>
      <c r="F904">
        <v>645</v>
      </c>
      <c r="G904">
        <v>48</v>
      </c>
      <c r="H904">
        <v>7</v>
      </c>
      <c r="I904">
        <v>90612.34</v>
      </c>
      <c r="J904">
        <v>1</v>
      </c>
      <c r="K904">
        <v>1</v>
      </c>
      <c r="L904">
        <v>1</v>
      </c>
      <c r="M904">
        <v>149139.13</v>
      </c>
      <c r="N904">
        <v>0</v>
      </c>
      <c r="O904" t="str">
        <f t="shared" si="56"/>
        <v>Average</v>
      </c>
      <c r="P904" t="str">
        <f t="shared" si="57"/>
        <v>Adult</v>
      </c>
      <c r="Q904" t="str">
        <f t="shared" si="58"/>
        <v>High Salary</v>
      </c>
      <c r="R904" t="str">
        <f t="shared" si="59"/>
        <v>Medium Balance</v>
      </c>
    </row>
    <row r="905" spans="1:18" x14ac:dyDescent="0.25">
      <c r="A905">
        <v>904</v>
      </c>
      <c r="B905">
        <v>15786014</v>
      </c>
      <c r="C905" t="s">
        <v>209</v>
      </c>
      <c r="D905" t="s">
        <v>15</v>
      </c>
      <c r="E905" t="s">
        <v>23</v>
      </c>
      <c r="F905">
        <v>568</v>
      </c>
      <c r="G905">
        <v>28</v>
      </c>
      <c r="H905">
        <v>5</v>
      </c>
      <c r="I905">
        <v>145105.64000000001</v>
      </c>
      <c r="J905">
        <v>2</v>
      </c>
      <c r="K905">
        <v>1</v>
      </c>
      <c r="L905">
        <v>0</v>
      </c>
      <c r="M905">
        <v>185489.11</v>
      </c>
      <c r="N905">
        <v>0</v>
      </c>
      <c r="O905" t="str">
        <f t="shared" si="56"/>
        <v>Poor</v>
      </c>
      <c r="P905" t="str">
        <f t="shared" si="57"/>
        <v>Young Adult</v>
      </c>
      <c r="Q905" t="str">
        <f t="shared" si="58"/>
        <v>High Salary</v>
      </c>
      <c r="R905" t="str">
        <f t="shared" si="59"/>
        <v>High Balance</v>
      </c>
    </row>
    <row r="906" spans="1:18" x14ac:dyDescent="0.25">
      <c r="A906">
        <v>905</v>
      </c>
      <c r="B906">
        <v>15794580</v>
      </c>
      <c r="C906" t="s">
        <v>404</v>
      </c>
      <c r="D906" t="s">
        <v>15</v>
      </c>
      <c r="E906" t="s">
        <v>23</v>
      </c>
      <c r="F906">
        <v>599</v>
      </c>
      <c r="G906">
        <v>58</v>
      </c>
      <c r="H906">
        <v>4</v>
      </c>
      <c r="I906">
        <v>0</v>
      </c>
      <c r="J906">
        <v>1</v>
      </c>
      <c r="K906">
        <v>0</v>
      </c>
      <c r="L906">
        <v>0</v>
      </c>
      <c r="M906">
        <v>176407.15</v>
      </c>
      <c r="N906">
        <v>1</v>
      </c>
      <c r="O906" t="str">
        <f t="shared" si="56"/>
        <v>Average</v>
      </c>
      <c r="P906" t="str">
        <f t="shared" si="57"/>
        <v>Senior</v>
      </c>
      <c r="Q906" t="str">
        <f t="shared" si="58"/>
        <v>High Salary</v>
      </c>
      <c r="R906" t="str">
        <f t="shared" si="59"/>
        <v>Low Balance</v>
      </c>
    </row>
    <row r="907" spans="1:18" x14ac:dyDescent="0.25">
      <c r="A907">
        <v>906</v>
      </c>
      <c r="B907">
        <v>15675964</v>
      </c>
      <c r="C907" t="s">
        <v>703</v>
      </c>
      <c r="D907" t="s">
        <v>15</v>
      </c>
      <c r="E907" t="s">
        <v>16</v>
      </c>
      <c r="F907">
        <v>672</v>
      </c>
      <c r="G907">
        <v>45</v>
      </c>
      <c r="H907">
        <v>9</v>
      </c>
      <c r="I907">
        <v>0</v>
      </c>
      <c r="J907">
        <v>1</v>
      </c>
      <c r="K907">
        <v>1</v>
      </c>
      <c r="L907">
        <v>1</v>
      </c>
      <c r="M907">
        <v>92027.69</v>
      </c>
      <c r="N907">
        <v>1</v>
      </c>
      <c r="O907" t="str">
        <f t="shared" si="56"/>
        <v>Good</v>
      </c>
      <c r="P907" t="str">
        <f t="shared" si="57"/>
        <v>Adult</v>
      </c>
      <c r="Q907" t="str">
        <f t="shared" si="58"/>
        <v>High Salary</v>
      </c>
      <c r="R907" t="str">
        <f t="shared" si="59"/>
        <v>Low Balance</v>
      </c>
    </row>
    <row r="908" spans="1:18" x14ac:dyDescent="0.25">
      <c r="A908">
        <v>907</v>
      </c>
      <c r="B908">
        <v>15814275</v>
      </c>
      <c r="C908" t="s">
        <v>704</v>
      </c>
      <c r="D908" t="s">
        <v>15</v>
      </c>
      <c r="E908" t="s">
        <v>23</v>
      </c>
      <c r="F908">
        <v>685</v>
      </c>
      <c r="G908">
        <v>33</v>
      </c>
      <c r="H908">
        <v>6</v>
      </c>
      <c r="I908">
        <v>174912.72</v>
      </c>
      <c r="J908">
        <v>1</v>
      </c>
      <c r="K908">
        <v>1</v>
      </c>
      <c r="L908">
        <v>1</v>
      </c>
      <c r="M908">
        <v>43932.54</v>
      </c>
      <c r="N908">
        <v>0</v>
      </c>
      <c r="O908" t="str">
        <f t="shared" si="56"/>
        <v>Good</v>
      </c>
      <c r="P908" t="str">
        <f t="shared" si="57"/>
        <v>Adult</v>
      </c>
      <c r="Q908" t="str">
        <f t="shared" si="58"/>
        <v>Medium Salary</v>
      </c>
      <c r="R908" t="str">
        <f t="shared" si="59"/>
        <v>High Balance</v>
      </c>
    </row>
    <row r="909" spans="1:18" x14ac:dyDescent="0.25">
      <c r="A909">
        <v>908</v>
      </c>
      <c r="B909">
        <v>15724848</v>
      </c>
      <c r="C909" t="s">
        <v>705</v>
      </c>
      <c r="D909" t="s">
        <v>15</v>
      </c>
      <c r="E909" t="s">
        <v>16</v>
      </c>
      <c r="F909">
        <v>516</v>
      </c>
      <c r="G909">
        <v>46</v>
      </c>
      <c r="H909">
        <v>1</v>
      </c>
      <c r="I909">
        <v>104947.72</v>
      </c>
      <c r="J909">
        <v>1</v>
      </c>
      <c r="K909">
        <v>1</v>
      </c>
      <c r="L909">
        <v>0</v>
      </c>
      <c r="M909">
        <v>115789.25</v>
      </c>
      <c r="N909">
        <v>1</v>
      </c>
      <c r="O909" t="str">
        <f t="shared" si="56"/>
        <v>Poor</v>
      </c>
      <c r="P909" t="str">
        <f t="shared" si="57"/>
        <v>Adult</v>
      </c>
      <c r="Q909" t="str">
        <f t="shared" si="58"/>
        <v>High Salary</v>
      </c>
      <c r="R909" t="str">
        <f t="shared" si="59"/>
        <v>High Balance</v>
      </c>
    </row>
    <row r="910" spans="1:18" x14ac:dyDescent="0.25">
      <c r="A910">
        <v>909</v>
      </c>
      <c r="B910">
        <v>15754713</v>
      </c>
      <c r="C910" t="s">
        <v>706</v>
      </c>
      <c r="D910" t="s">
        <v>18</v>
      </c>
      <c r="E910" t="s">
        <v>23</v>
      </c>
      <c r="F910">
        <v>685</v>
      </c>
      <c r="G910">
        <v>31</v>
      </c>
      <c r="H910">
        <v>10</v>
      </c>
      <c r="I910">
        <v>135213.71</v>
      </c>
      <c r="J910">
        <v>1</v>
      </c>
      <c r="K910">
        <v>1</v>
      </c>
      <c r="L910">
        <v>1</v>
      </c>
      <c r="M910">
        <v>125777.28</v>
      </c>
      <c r="N910">
        <v>0</v>
      </c>
      <c r="O910" t="str">
        <f t="shared" si="56"/>
        <v>Good</v>
      </c>
      <c r="P910" t="str">
        <f t="shared" si="57"/>
        <v>Adult</v>
      </c>
      <c r="Q910" t="str">
        <f t="shared" si="58"/>
        <v>High Salary</v>
      </c>
      <c r="R910" t="str">
        <f t="shared" si="59"/>
        <v>High Balance</v>
      </c>
    </row>
    <row r="911" spans="1:18" x14ac:dyDescent="0.25">
      <c r="A911">
        <v>910</v>
      </c>
      <c r="B911">
        <v>15693814</v>
      </c>
      <c r="C911" t="s">
        <v>707</v>
      </c>
      <c r="D911" t="s">
        <v>18</v>
      </c>
      <c r="E911" t="s">
        <v>23</v>
      </c>
      <c r="F911">
        <v>806</v>
      </c>
      <c r="G911">
        <v>25</v>
      </c>
      <c r="H911">
        <v>7</v>
      </c>
      <c r="I911">
        <v>0</v>
      </c>
      <c r="J911">
        <v>2</v>
      </c>
      <c r="K911">
        <v>1</v>
      </c>
      <c r="L911">
        <v>0</v>
      </c>
      <c r="M911">
        <v>18461.900000000001</v>
      </c>
      <c r="N911">
        <v>0</v>
      </c>
      <c r="O911" t="str">
        <f t="shared" si="56"/>
        <v>Good</v>
      </c>
      <c r="P911" t="str">
        <f t="shared" si="57"/>
        <v>Young Adult</v>
      </c>
      <c r="Q911" t="str">
        <f t="shared" si="58"/>
        <v>Low Salary</v>
      </c>
      <c r="R911" t="str">
        <f t="shared" si="59"/>
        <v>Low Balance</v>
      </c>
    </row>
    <row r="912" spans="1:18" x14ac:dyDescent="0.25">
      <c r="A912">
        <v>911</v>
      </c>
      <c r="B912">
        <v>15599660</v>
      </c>
      <c r="C912" t="s">
        <v>708</v>
      </c>
      <c r="D912" t="s">
        <v>15</v>
      </c>
      <c r="E912" t="s">
        <v>23</v>
      </c>
      <c r="F912">
        <v>604</v>
      </c>
      <c r="G912">
        <v>36</v>
      </c>
      <c r="H912">
        <v>6</v>
      </c>
      <c r="I912">
        <v>116229.85</v>
      </c>
      <c r="J912">
        <v>2</v>
      </c>
      <c r="K912">
        <v>1</v>
      </c>
      <c r="L912">
        <v>1</v>
      </c>
      <c r="M912">
        <v>79633.38</v>
      </c>
      <c r="N912">
        <v>0</v>
      </c>
      <c r="O912" t="str">
        <f t="shared" si="56"/>
        <v>Average</v>
      </c>
      <c r="P912" t="str">
        <f t="shared" si="57"/>
        <v>Adult</v>
      </c>
      <c r="Q912" t="str">
        <f t="shared" si="58"/>
        <v>High Salary</v>
      </c>
      <c r="R912" t="str">
        <f t="shared" si="59"/>
        <v>High Balance</v>
      </c>
    </row>
    <row r="913" spans="1:18" x14ac:dyDescent="0.25">
      <c r="A913">
        <v>912</v>
      </c>
      <c r="B913">
        <v>15746490</v>
      </c>
      <c r="C913" t="s">
        <v>709</v>
      </c>
      <c r="D913" t="s">
        <v>18</v>
      </c>
      <c r="E913" t="s">
        <v>16</v>
      </c>
      <c r="F913">
        <v>648</v>
      </c>
      <c r="G913">
        <v>53</v>
      </c>
      <c r="H913">
        <v>6</v>
      </c>
      <c r="I913">
        <v>111201.41</v>
      </c>
      <c r="J913">
        <v>1</v>
      </c>
      <c r="K913">
        <v>1</v>
      </c>
      <c r="L913">
        <v>1</v>
      </c>
      <c r="M913">
        <v>121542.29</v>
      </c>
      <c r="N913">
        <v>0</v>
      </c>
      <c r="O913" t="str">
        <f t="shared" si="56"/>
        <v>Average</v>
      </c>
      <c r="P913" t="str">
        <f t="shared" si="57"/>
        <v>Senior</v>
      </c>
      <c r="Q913" t="str">
        <f t="shared" si="58"/>
        <v>High Salary</v>
      </c>
      <c r="R913" t="str">
        <f t="shared" si="59"/>
        <v>High Balance</v>
      </c>
    </row>
    <row r="914" spans="1:18" x14ac:dyDescent="0.25">
      <c r="A914">
        <v>913</v>
      </c>
      <c r="B914">
        <v>15566091</v>
      </c>
      <c r="C914" t="s">
        <v>710</v>
      </c>
      <c r="D914" t="s">
        <v>18</v>
      </c>
      <c r="E914" t="s">
        <v>16</v>
      </c>
      <c r="F914">
        <v>545</v>
      </c>
      <c r="G914">
        <v>32</v>
      </c>
      <c r="H914">
        <v>4</v>
      </c>
      <c r="I914">
        <v>0</v>
      </c>
      <c r="J914">
        <v>1</v>
      </c>
      <c r="K914">
        <v>1</v>
      </c>
      <c r="L914">
        <v>0</v>
      </c>
      <c r="M914">
        <v>94739.199999999997</v>
      </c>
      <c r="N914">
        <v>0</v>
      </c>
      <c r="O914" t="str">
        <f t="shared" si="56"/>
        <v>Poor</v>
      </c>
      <c r="P914" t="str">
        <f t="shared" si="57"/>
        <v>Adult</v>
      </c>
      <c r="Q914" t="str">
        <f t="shared" si="58"/>
        <v>High Salary</v>
      </c>
      <c r="R914" t="str">
        <f t="shared" si="59"/>
        <v>Low Balance</v>
      </c>
    </row>
    <row r="915" spans="1:18" x14ac:dyDescent="0.25">
      <c r="A915">
        <v>914</v>
      </c>
      <c r="B915">
        <v>15655961</v>
      </c>
      <c r="C915" t="s">
        <v>91</v>
      </c>
      <c r="D915" t="s">
        <v>26</v>
      </c>
      <c r="E915" t="s">
        <v>23</v>
      </c>
      <c r="F915">
        <v>756</v>
      </c>
      <c r="G915">
        <v>27</v>
      </c>
      <c r="H915">
        <v>1</v>
      </c>
      <c r="I915">
        <v>131899</v>
      </c>
      <c r="J915">
        <v>1</v>
      </c>
      <c r="K915">
        <v>1</v>
      </c>
      <c r="L915">
        <v>0</v>
      </c>
      <c r="M915">
        <v>93302.29</v>
      </c>
      <c r="N915">
        <v>0</v>
      </c>
      <c r="O915" t="str">
        <f t="shared" si="56"/>
        <v>Good</v>
      </c>
      <c r="P915" t="str">
        <f t="shared" si="57"/>
        <v>Young Adult</v>
      </c>
      <c r="Q915" t="str">
        <f t="shared" si="58"/>
        <v>High Salary</v>
      </c>
      <c r="R915" t="str">
        <f t="shared" si="59"/>
        <v>High Balance</v>
      </c>
    </row>
    <row r="916" spans="1:18" x14ac:dyDescent="0.25">
      <c r="A916">
        <v>915</v>
      </c>
      <c r="B916">
        <v>15710404</v>
      </c>
      <c r="C916" t="s">
        <v>711</v>
      </c>
      <c r="D916" t="s">
        <v>15</v>
      </c>
      <c r="E916" t="s">
        <v>23</v>
      </c>
      <c r="F916">
        <v>569</v>
      </c>
      <c r="G916">
        <v>35</v>
      </c>
      <c r="H916">
        <v>10</v>
      </c>
      <c r="I916">
        <v>124525.52</v>
      </c>
      <c r="J916">
        <v>1</v>
      </c>
      <c r="K916">
        <v>1</v>
      </c>
      <c r="L916">
        <v>1</v>
      </c>
      <c r="M916">
        <v>193793.78</v>
      </c>
      <c r="N916">
        <v>0</v>
      </c>
      <c r="O916" t="str">
        <f t="shared" si="56"/>
        <v>Poor</v>
      </c>
      <c r="P916" t="str">
        <f t="shared" si="57"/>
        <v>Adult</v>
      </c>
      <c r="Q916" t="str">
        <f t="shared" si="58"/>
        <v>High Salary</v>
      </c>
      <c r="R916" t="str">
        <f t="shared" si="59"/>
        <v>High Balance</v>
      </c>
    </row>
    <row r="917" spans="1:18" x14ac:dyDescent="0.25">
      <c r="A917">
        <v>916</v>
      </c>
      <c r="B917">
        <v>15775625</v>
      </c>
      <c r="C917" t="s">
        <v>370</v>
      </c>
      <c r="D917" t="s">
        <v>15</v>
      </c>
      <c r="E917" t="s">
        <v>23</v>
      </c>
      <c r="F917">
        <v>596</v>
      </c>
      <c r="G917">
        <v>47</v>
      </c>
      <c r="H917">
        <v>6</v>
      </c>
      <c r="I917">
        <v>0</v>
      </c>
      <c r="J917">
        <v>1</v>
      </c>
      <c r="K917">
        <v>1</v>
      </c>
      <c r="L917">
        <v>0</v>
      </c>
      <c r="M917">
        <v>74835.649999999994</v>
      </c>
      <c r="N917">
        <v>0</v>
      </c>
      <c r="O917" t="str">
        <f t="shared" si="56"/>
        <v>Average</v>
      </c>
      <c r="P917" t="str">
        <f t="shared" si="57"/>
        <v>Adult</v>
      </c>
      <c r="Q917" t="str">
        <f t="shared" si="58"/>
        <v>High Salary</v>
      </c>
      <c r="R917" t="str">
        <f t="shared" si="59"/>
        <v>Low Balance</v>
      </c>
    </row>
    <row r="918" spans="1:18" x14ac:dyDescent="0.25">
      <c r="A918">
        <v>917</v>
      </c>
      <c r="B918">
        <v>15792328</v>
      </c>
      <c r="C918" t="s">
        <v>712</v>
      </c>
      <c r="D918" t="s">
        <v>15</v>
      </c>
      <c r="E918" t="s">
        <v>23</v>
      </c>
      <c r="F918">
        <v>475</v>
      </c>
      <c r="G918">
        <v>39</v>
      </c>
      <c r="H918">
        <v>6</v>
      </c>
      <c r="I918">
        <v>0</v>
      </c>
      <c r="J918">
        <v>1</v>
      </c>
      <c r="K918">
        <v>1</v>
      </c>
      <c r="L918">
        <v>1</v>
      </c>
      <c r="M918">
        <v>56999.9</v>
      </c>
      <c r="N918">
        <v>1</v>
      </c>
      <c r="O918" t="str">
        <f t="shared" si="56"/>
        <v>Poor</v>
      </c>
      <c r="P918" t="str">
        <f t="shared" si="57"/>
        <v>Adult</v>
      </c>
      <c r="Q918" t="str">
        <f t="shared" si="58"/>
        <v>Medium Salary</v>
      </c>
      <c r="R918" t="str">
        <f t="shared" si="59"/>
        <v>Low Balance</v>
      </c>
    </row>
    <row r="919" spans="1:18" x14ac:dyDescent="0.25">
      <c r="A919">
        <v>918</v>
      </c>
      <c r="B919">
        <v>15719856</v>
      </c>
      <c r="C919" t="s">
        <v>713</v>
      </c>
      <c r="D919" t="s">
        <v>15</v>
      </c>
      <c r="E919" t="s">
        <v>16</v>
      </c>
      <c r="F919">
        <v>646</v>
      </c>
      <c r="G919">
        <v>45</v>
      </c>
      <c r="H919">
        <v>3</v>
      </c>
      <c r="I919">
        <v>47134.75</v>
      </c>
      <c r="J919">
        <v>1</v>
      </c>
      <c r="K919">
        <v>1</v>
      </c>
      <c r="L919">
        <v>1</v>
      </c>
      <c r="M919">
        <v>57236.44</v>
      </c>
      <c r="N919">
        <v>0</v>
      </c>
      <c r="O919" t="str">
        <f t="shared" si="56"/>
        <v>Average</v>
      </c>
      <c r="P919" t="str">
        <f t="shared" si="57"/>
        <v>Adult</v>
      </c>
      <c r="Q919" t="str">
        <f t="shared" si="58"/>
        <v>Medium Salary</v>
      </c>
      <c r="R919" t="str">
        <f t="shared" si="59"/>
        <v>Low Balance</v>
      </c>
    </row>
    <row r="920" spans="1:18" x14ac:dyDescent="0.25">
      <c r="A920">
        <v>919</v>
      </c>
      <c r="B920">
        <v>15593773</v>
      </c>
      <c r="C920" t="s">
        <v>714</v>
      </c>
      <c r="D920" t="s">
        <v>18</v>
      </c>
      <c r="E920" t="s">
        <v>23</v>
      </c>
      <c r="F920">
        <v>784</v>
      </c>
      <c r="G920">
        <v>35</v>
      </c>
      <c r="H920">
        <v>3</v>
      </c>
      <c r="I920">
        <v>0</v>
      </c>
      <c r="J920">
        <v>2</v>
      </c>
      <c r="K920">
        <v>0</v>
      </c>
      <c r="L920">
        <v>0</v>
      </c>
      <c r="M920">
        <v>81483.64</v>
      </c>
      <c r="N920">
        <v>0</v>
      </c>
      <c r="O920" t="str">
        <f t="shared" si="56"/>
        <v>Good</v>
      </c>
      <c r="P920" t="str">
        <f t="shared" si="57"/>
        <v>Adult</v>
      </c>
      <c r="Q920" t="str">
        <f t="shared" si="58"/>
        <v>High Salary</v>
      </c>
      <c r="R920" t="str">
        <f t="shared" si="59"/>
        <v>Low Balance</v>
      </c>
    </row>
    <row r="921" spans="1:18" x14ac:dyDescent="0.25">
      <c r="A921">
        <v>920</v>
      </c>
      <c r="B921">
        <v>15733114</v>
      </c>
      <c r="C921" t="s">
        <v>220</v>
      </c>
      <c r="D921" t="s">
        <v>18</v>
      </c>
      <c r="E921" t="s">
        <v>23</v>
      </c>
      <c r="F921">
        <v>552</v>
      </c>
      <c r="G921">
        <v>45</v>
      </c>
      <c r="H921">
        <v>9</v>
      </c>
      <c r="I921">
        <v>0</v>
      </c>
      <c r="J921">
        <v>2</v>
      </c>
      <c r="K921">
        <v>1</v>
      </c>
      <c r="L921">
        <v>0</v>
      </c>
      <c r="M921">
        <v>26752.560000000001</v>
      </c>
      <c r="N921">
        <v>0</v>
      </c>
      <c r="O921" t="str">
        <f t="shared" si="56"/>
        <v>Poor</v>
      </c>
      <c r="P921" t="str">
        <f t="shared" si="57"/>
        <v>Adult</v>
      </c>
      <c r="Q921" t="str">
        <f t="shared" si="58"/>
        <v>Low Salary</v>
      </c>
      <c r="R921" t="str">
        <f t="shared" si="59"/>
        <v>Low Balance</v>
      </c>
    </row>
    <row r="922" spans="1:18" x14ac:dyDescent="0.25">
      <c r="A922">
        <v>921</v>
      </c>
      <c r="B922">
        <v>15797748</v>
      </c>
      <c r="C922" t="s">
        <v>456</v>
      </c>
      <c r="D922" t="s">
        <v>15</v>
      </c>
      <c r="E922" t="s">
        <v>23</v>
      </c>
      <c r="F922">
        <v>729</v>
      </c>
      <c r="G922">
        <v>44</v>
      </c>
      <c r="H922">
        <v>5</v>
      </c>
      <c r="I922">
        <v>0</v>
      </c>
      <c r="J922">
        <v>2</v>
      </c>
      <c r="K922">
        <v>0</v>
      </c>
      <c r="L922">
        <v>1</v>
      </c>
      <c r="M922">
        <v>9200.5400000000009</v>
      </c>
      <c r="N922">
        <v>0</v>
      </c>
      <c r="O922" t="str">
        <f t="shared" si="56"/>
        <v>Good</v>
      </c>
      <c r="P922" t="str">
        <f t="shared" si="57"/>
        <v>Adult</v>
      </c>
      <c r="Q922" t="str">
        <f t="shared" si="58"/>
        <v>Low Salary</v>
      </c>
      <c r="R922" t="str">
        <f t="shared" si="59"/>
        <v>Low Balance</v>
      </c>
    </row>
    <row r="923" spans="1:18" x14ac:dyDescent="0.25">
      <c r="A923">
        <v>922</v>
      </c>
      <c r="B923">
        <v>15743411</v>
      </c>
      <c r="C923" t="s">
        <v>715</v>
      </c>
      <c r="D923" t="s">
        <v>18</v>
      </c>
      <c r="E923" t="s">
        <v>23</v>
      </c>
      <c r="F923">
        <v>609</v>
      </c>
      <c r="G923">
        <v>61</v>
      </c>
      <c r="H923">
        <v>1</v>
      </c>
      <c r="I923">
        <v>0</v>
      </c>
      <c r="J923">
        <v>1</v>
      </c>
      <c r="K923">
        <v>1</v>
      </c>
      <c r="L923">
        <v>0</v>
      </c>
      <c r="M923">
        <v>22447.85</v>
      </c>
      <c r="N923">
        <v>1</v>
      </c>
      <c r="O923" t="str">
        <f t="shared" si="56"/>
        <v>Average</v>
      </c>
      <c r="P923" t="str">
        <f t="shared" si="57"/>
        <v>Senior</v>
      </c>
      <c r="Q923" t="str">
        <f t="shared" si="58"/>
        <v>Low Salary</v>
      </c>
      <c r="R923" t="str">
        <f t="shared" si="59"/>
        <v>Low Balance</v>
      </c>
    </row>
    <row r="924" spans="1:18" x14ac:dyDescent="0.25">
      <c r="A924">
        <v>923</v>
      </c>
      <c r="B924">
        <v>15753337</v>
      </c>
      <c r="C924" t="s">
        <v>716</v>
      </c>
      <c r="D924" t="s">
        <v>15</v>
      </c>
      <c r="E924" t="s">
        <v>23</v>
      </c>
      <c r="F924">
        <v>555</v>
      </c>
      <c r="G924">
        <v>51</v>
      </c>
      <c r="H924">
        <v>5</v>
      </c>
      <c r="I924">
        <v>0</v>
      </c>
      <c r="J924">
        <v>3</v>
      </c>
      <c r="K924">
        <v>1</v>
      </c>
      <c r="L924">
        <v>0</v>
      </c>
      <c r="M924">
        <v>189122.89</v>
      </c>
      <c r="N924">
        <v>1</v>
      </c>
      <c r="O924" t="str">
        <f t="shared" si="56"/>
        <v>Poor</v>
      </c>
      <c r="P924" t="str">
        <f t="shared" si="57"/>
        <v>Senior</v>
      </c>
      <c r="Q924" t="str">
        <f t="shared" si="58"/>
        <v>High Salary</v>
      </c>
      <c r="R924" t="str">
        <f t="shared" si="59"/>
        <v>Low Balance</v>
      </c>
    </row>
    <row r="925" spans="1:18" x14ac:dyDescent="0.25">
      <c r="A925">
        <v>924</v>
      </c>
      <c r="B925">
        <v>15601026</v>
      </c>
      <c r="C925" t="s">
        <v>656</v>
      </c>
      <c r="D925" t="s">
        <v>26</v>
      </c>
      <c r="E925" t="s">
        <v>16</v>
      </c>
      <c r="F925">
        <v>572</v>
      </c>
      <c r="G925">
        <v>19</v>
      </c>
      <c r="H925">
        <v>1</v>
      </c>
      <c r="I925">
        <v>138657.07999999999</v>
      </c>
      <c r="J925">
        <v>1</v>
      </c>
      <c r="K925">
        <v>1</v>
      </c>
      <c r="L925">
        <v>1</v>
      </c>
      <c r="M925">
        <v>16161.82</v>
      </c>
      <c r="N925">
        <v>0</v>
      </c>
      <c r="O925" t="str">
        <f t="shared" si="56"/>
        <v>Poor</v>
      </c>
      <c r="P925" t="str">
        <f t="shared" si="57"/>
        <v>Young Adult</v>
      </c>
      <c r="Q925" t="str">
        <f t="shared" si="58"/>
        <v>Low Salary</v>
      </c>
      <c r="R925" t="str">
        <f t="shared" si="59"/>
        <v>High Balance</v>
      </c>
    </row>
    <row r="926" spans="1:18" x14ac:dyDescent="0.25">
      <c r="A926">
        <v>925</v>
      </c>
      <c r="B926">
        <v>15658485</v>
      </c>
      <c r="C926" t="s">
        <v>376</v>
      </c>
      <c r="D926" t="s">
        <v>15</v>
      </c>
      <c r="E926" t="s">
        <v>16</v>
      </c>
      <c r="F926">
        <v>785</v>
      </c>
      <c r="G926">
        <v>34</v>
      </c>
      <c r="H926">
        <v>9</v>
      </c>
      <c r="I926">
        <v>70302.48</v>
      </c>
      <c r="J926">
        <v>1</v>
      </c>
      <c r="K926">
        <v>1</v>
      </c>
      <c r="L926">
        <v>1</v>
      </c>
      <c r="M926">
        <v>68600.36</v>
      </c>
      <c r="N926">
        <v>0</v>
      </c>
      <c r="O926" t="str">
        <f t="shared" si="56"/>
        <v>Good</v>
      </c>
      <c r="P926" t="str">
        <f t="shared" si="57"/>
        <v>Adult</v>
      </c>
      <c r="Q926" t="str">
        <f t="shared" si="58"/>
        <v>Medium Salary</v>
      </c>
      <c r="R926" t="str">
        <f t="shared" si="59"/>
        <v>Medium Balance</v>
      </c>
    </row>
    <row r="927" spans="1:18" x14ac:dyDescent="0.25">
      <c r="A927">
        <v>926</v>
      </c>
      <c r="B927">
        <v>15636731</v>
      </c>
      <c r="C927" t="s">
        <v>305</v>
      </c>
      <c r="D927" t="s">
        <v>26</v>
      </c>
      <c r="E927" t="s">
        <v>16</v>
      </c>
      <c r="F927">
        <v>714</v>
      </c>
      <c r="G927">
        <v>36</v>
      </c>
      <c r="H927">
        <v>1</v>
      </c>
      <c r="I927">
        <v>101609.01</v>
      </c>
      <c r="J927">
        <v>2</v>
      </c>
      <c r="K927">
        <v>1</v>
      </c>
      <c r="L927">
        <v>1</v>
      </c>
      <c r="M927">
        <v>447.73</v>
      </c>
      <c r="N927">
        <v>0</v>
      </c>
      <c r="O927" t="str">
        <f t="shared" si="56"/>
        <v>Good</v>
      </c>
      <c r="P927" t="str">
        <f t="shared" si="57"/>
        <v>Adult</v>
      </c>
      <c r="Q927" t="str">
        <f t="shared" si="58"/>
        <v>Low Salary</v>
      </c>
      <c r="R927" t="str">
        <f t="shared" si="59"/>
        <v>High Balance</v>
      </c>
    </row>
    <row r="928" spans="1:18" x14ac:dyDescent="0.25">
      <c r="A928">
        <v>927</v>
      </c>
      <c r="B928">
        <v>15628303</v>
      </c>
      <c r="C928" t="s">
        <v>717</v>
      </c>
      <c r="D928" t="s">
        <v>18</v>
      </c>
      <c r="E928" t="s">
        <v>23</v>
      </c>
      <c r="F928">
        <v>738</v>
      </c>
      <c r="G928">
        <v>35</v>
      </c>
      <c r="H928">
        <v>3</v>
      </c>
      <c r="I928">
        <v>0</v>
      </c>
      <c r="J928">
        <v>1</v>
      </c>
      <c r="K928">
        <v>1</v>
      </c>
      <c r="L928">
        <v>1</v>
      </c>
      <c r="M928">
        <v>15650.73</v>
      </c>
      <c r="N928">
        <v>0</v>
      </c>
      <c r="O928" t="str">
        <f t="shared" si="56"/>
        <v>Good</v>
      </c>
      <c r="P928" t="str">
        <f t="shared" si="57"/>
        <v>Adult</v>
      </c>
      <c r="Q928" t="str">
        <f t="shared" si="58"/>
        <v>Low Salary</v>
      </c>
      <c r="R928" t="str">
        <f t="shared" si="59"/>
        <v>Low Balance</v>
      </c>
    </row>
    <row r="929" spans="1:18" x14ac:dyDescent="0.25">
      <c r="A929">
        <v>928</v>
      </c>
      <c r="B929">
        <v>15633461</v>
      </c>
      <c r="C929" t="s">
        <v>364</v>
      </c>
      <c r="D929" t="s">
        <v>26</v>
      </c>
      <c r="E929" t="s">
        <v>23</v>
      </c>
      <c r="F929">
        <v>639</v>
      </c>
      <c r="G929">
        <v>38</v>
      </c>
      <c r="H929">
        <v>5</v>
      </c>
      <c r="I929">
        <v>130170.82</v>
      </c>
      <c r="J929">
        <v>1</v>
      </c>
      <c r="K929">
        <v>1</v>
      </c>
      <c r="L929">
        <v>1</v>
      </c>
      <c r="M929">
        <v>149599.62</v>
      </c>
      <c r="N929">
        <v>0</v>
      </c>
      <c r="O929" t="str">
        <f t="shared" si="56"/>
        <v>Average</v>
      </c>
      <c r="P929" t="str">
        <f t="shared" si="57"/>
        <v>Adult</v>
      </c>
      <c r="Q929" t="str">
        <f t="shared" si="58"/>
        <v>High Salary</v>
      </c>
      <c r="R929" t="str">
        <f t="shared" si="59"/>
        <v>High Balance</v>
      </c>
    </row>
    <row r="930" spans="1:18" x14ac:dyDescent="0.25">
      <c r="A930">
        <v>929</v>
      </c>
      <c r="B930">
        <v>15677135</v>
      </c>
      <c r="C930" t="s">
        <v>56</v>
      </c>
      <c r="D930" t="s">
        <v>26</v>
      </c>
      <c r="E930" t="s">
        <v>23</v>
      </c>
      <c r="F930">
        <v>520</v>
      </c>
      <c r="G930">
        <v>61</v>
      </c>
      <c r="H930">
        <v>8</v>
      </c>
      <c r="I930">
        <v>133802.29</v>
      </c>
      <c r="J930">
        <v>2</v>
      </c>
      <c r="K930">
        <v>1</v>
      </c>
      <c r="L930">
        <v>1</v>
      </c>
      <c r="M930">
        <v>90304.01</v>
      </c>
      <c r="N930">
        <v>0</v>
      </c>
      <c r="O930" t="str">
        <f t="shared" si="56"/>
        <v>Poor</v>
      </c>
      <c r="P930" t="str">
        <f t="shared" si="57"/>
        <v>Senior</v>
      </c>
      <c r="Q930" t="str">
        <f t="shared" si="58"/>
        <v>High Salary</v>
      </c>
      <c r="R930" t="str">
        <f t="shared" si="59"/>
        <v>High Balance</v>
      </c>
    </row>
    <row r="931" spans="1:18" x14ac:dyDescent="0.25">
      <c r="A931">
        <v>930</v>
      </c>
      <c r="B931">
        <v>15590876</v>
      </c>
      <c r="C931" t="s">
        <v>718</v>
      </c>
      <c r="D931" t="s">
        <v>15</v>
      </c>
      <c r="E931" t="s">
        <v>16</v>
      </c>
      <c r="F931">
        <v>764</v>
      </c>
      <c r="G931">
        <v>24</v>
      </c>
      <c r="H931">
        <v>7</v>
      </c>
      <c r="I931">
        <v>106234.02</v>
      </c>
      <c r="J931">
        <v>1</v>
      </c>
      <c r="K931">
        <v>0</v>
      </c>
      <c r="L931">
        <v>0</v>
      </c>
      <c r="M931">
        <v>115676.38</v>
      </c>
      <c r="N931">
        <v>0</v>
      </c>
      <c r="O931" t="str">
        <f t="shared" si="56"/>
        <v>Good</v>
      </c>
      <c r="P931" t="str">
        <f t="shared" si="57"/>
        <v>Young Adult</v>
      </c>
      <c r="Q931" t="str">
        <f t="shared" si="58"/>
        <v>High Salary</v>
      </c>
      <c r="R931" t="str">
        <f t="shared" si="59"/>
        <v>High Balance</v>
      </c>
    </row>
    <row r="932" spans="1:18" x14ac:dyDescent="0.25">
      <c r="A932">
        <v>931</v>
      </c>
      <c r="B932">
        <v>15790782</v>
      </c>
      <c r="C932" t="s">
        <v>719</v>
      </c>
      <c r="D932" t="s">
        <v>18</v>
      </c>
      <c r="E932" t="s">
        <v>23</v>
      </c>
      <c r="F932">
        <v>661</v>
      </c>
      <c r="G932">
        <v>39</v>
      </c>
      <c r="H932">
        <v>6</v>
      </c>
      <c r="I932">
        <v>132628.98000000001</v>
      </c>
      <c r="J932">
        <v>1</v>
      </c>
      <c r="K932">
        <v>0</v>
      </c>
      <c r="L932">
        <v>0</v>
      </c>
      <c r="M932">
        <v>38812.67</v>
      </c>
      <c r="N932">
        <v>0</v>
      </c>
      <c r="O932" t="str">
        <f t="shared" si="56"/>
        <v>Average</v>
      </c>
      <c r="P932" t="str">
        <f t="shared" si="57"/>
        <v>Adult</v>
      </c>
      <c r="Q932" t="str">
        <f t="shared" si="58"/>
        <v>Medium Salary</v>
      </c>
      <c r="R932" t="str">
        <f t="shared" si="59"/>
        <v>High Balance</v>
      </c>
    </row>
    <row r="933" spans="1:18" x14ac:dyDescent="0.25">
      <c r="A933">
        <v>932</v>
      </c>
      <c r="B933">
        <v>15700476</v>
      </c>
      <c r="C933" t="s">
        <v>613</v>
      </c>
      <c r="D933" t="s">
        <v>26</v>
      </c>
      <c r="E933" t="s">
        <v>23</v>
      </c>
      <c r="F933">
        <v>564</v>
      </c>
      <c r="G933">
        <v>41</v>
      </c>
      <c r="H933">
        <v>9</v>
      </c>
      <c r="I933">
        <v>103522.75</v>
      </c>
      <c r="J933">
        <v>2</v>
      </c>
      <c r="K933">
        <v>1</v>
      </c>
      <c r="L933">
        <v>1</v>
      </c>
      <c r="M933">
        <v>34338.21</v>
      </c>
      <c r="N933">
        <v>0</v>
      </c>
      <c r="O933" t="str">
        <f t="shared" si="56"/>
        <v>Poor</v>
      </c>
      <c r="P933" t="str">
        <f t="shared" si="57"/>
        <v>Adult</v>
      </c>
      <c r="Q933" t="str">
        <f t="shared" si="58"/>
        <v>Medium Salary</v>
      </c>
      <c r="R933" t="str">
        <f t="shared" si="59"/>
        <v>High Balance</v>
      </c>
    </row>
    <row r="934" spans="1:18" x14ac:dyDescent="0.25">
      <c r="A934">
        <v>933</v>
      </c>
      <c r="B934">
        <v>15634141</v>
      </c>
      <c r="C934" t="s">
        <v>720</v>
      </c>
      <c r="D934" t="s">
        <v>26</v>
      </c>
      <c r="E934" t="s">
        <v>16</v>
      </c>
      <c r="F934">
        <v>708</v>
      </c>
      <c r="G934">
        <v>42</v>
      </c>
      <c r="H934">
        <v>8</v>
      </c>
      <c r="I934">
        <v>192390.52</v>
      </c>
      <c r="J934">
        <v>2</v>
      </c>
      <c r="K934">
        <v>1</v>
      </c>
      <c r="L934">
        <v>0</v>
      </c>
      <c r="M934">
        <v>823.36</v>
      </c>
      <c r="N934">
        <v>0</v>
      </c>
      <c r="O934" t="str">
        <f t="shared" si="56"/>
        <v>Good</v>
      </c>
      <c r="P934" t="str">
        <f t="shared" si="57"/>
        <v>Adult</v>
      </c>
      <c r="Q934" t="str">
        <f t="shared" si="58"/>
        <v>Low Salary</v>
      </c>
      <c r="R934" t="str">
        <f t="shared" si="59"/>
        <v>High Balance</v>
      </c>
    </row>
    <row r="935" spans="1:18" x14ac:dyDescent="0.25">
      <c r="A935">
        <v>934</v>
      </c>
      <c r="B935">
        <v>15737795</v>
      </c>
      <c r="C935" t="s">
        <v>33</v>
      </c>
      <c r="D935" t="s">
        <v>18</v>
      </c>
      <c r="E935" t="s">
        <v>23</v>
      </c>
      <c r="F935">
        <v>512</v>
      </c>
      <c r="G935">
        <v>36</v>
      </c>
      <c r="H935">
        <v>1</v>
      </c>
      <c r="I935">
        <v>0</v>
      </c>
      <c r="J935">
        <v>1</v>
      </c>
      <c r="K935">
        <v>0</v>
      </c>
      <c r="L935">
        <v>1</v>
      </c>
      <c r="M935">
        <v>135482.26</v>
      </c>
      <c r="N935">
        <v>1</v>
      </c>
      <c r="O935" t="str">
        <f t="shared" si="56"/>
        <v>Poor</v>
      </c>
      <c r="P935" t="str">
        <f t="shared" si="57"/>
        <v>Adult</v>
      </c>
      <c r="Q935" t="str">
        <f t="shared" si="58"/>
        <v>High Salary</v>
      </c>
      <c r="R935" t="str">
        <f t="shared" si="59"/>
        <v>Low Balance</v>
      </c>
    </row>
    <row r="936" spans="1:18" x14ac:dyDescent="0.25">
      <c r="A936">
        <v>935</v>
      </c>
      <c r="B936">
        <v>15790299</v>
      </c>
      <c r="C936" t="s">
        <v>619</v>
      </c>
      <c r="D936" t="s">
        <v>18</v>
      </c>
      <c r="E936" t="s">
        <v>23</v>
      </c>
      <c r="F936">
        <v>592</v>
      </c>
      <c r="G936">
        <v>37</v>
      </c>
      <c r="H936">
        <v>9</v>
      </c>
      <c r="I936">
        <v>0</v>
      </c>
      <c r="J936">
        <v>3</v>
      </c>
      <c r="K936">
        <v>1</v>
      </c>
      <c r="L936">
        <v>1</v>
      </c>
      <c r="M936">
        <v>10656.89</v>
      </c>
      <c r="N936">
        <v>0</v>
      </c>
      <c r="O936" t="str">
        <f t="shared" si="56"/>
        <v>Average</v>
      </c>
      <c r="P936" t="str">
        <f t="shared" si="57"/>
        <v>Adult</v>
      </c>
      <c r="Q936" t="str">
        <f t="shared" si="58"/>
        <v>Low Salary</v>
      </c>
      <c r="R936" t="str">
        <f t="shared" si="59"/>
        <v>Low Balance</v>
      </c>
    </row>
    <row r="937" spans="1:18" x14ac:dyDescent="0.25">
      <c r="A937">
        <v>936</v>
      </c>
      <c r="B937">
        <v>15675316</v>
      </c>
      <c r="C937" t="s">
        <v>721</v>
      </c>
      <c r="D937" t="s">
        <v>15</v>
      </c>
      <c r="E937" t="s">
        <v>16</v>
      </c>
      <c r="F937">
        <v>619</v>
      </c>
      <c r="G937">
        <v>38</v>
      </c>
      <c r="H937">
        <v>3</v>
      </c>
      <c r="I937">
        <v>0</v>
      </c>
      <c r="J937">
        <v>2</v>
      </c>
      <c r="K937">
        <v>0</v>
      </c>
      <c r="L937">
        <v>1</v>
      </c>
      <c r="M937">
        <v>116467.35</v>
      </c>
      <c r="N937">
        <v>0</v>
      </c>
      <c r="O937" t="str">
        <f t="shared" si="56"/>
        <v>Average</v>
      </c>
      <c r="P937" t="str">
        <f t="shared" si="57"/>
        <v>Adult</v>
      </c>
      <c r="Q937" t="str">
        <f t="shared" si="58"/>
        <v>High Salary</v>
      </c>
      <c r="R937" t="str">
        <f t="shared" si="59"/>
        <v>Low Balance</v>
      </c>
    </row>
    <row r="938" spans="1:18" x14ac:dyDescent="0.25">
      <c r="A938">
        <v>937</v>
      </c>
      <c r="B938">
        <v>15613630</v>
      </c>
      <c r="C938" t="s">
        <v>602</v>
      </c>
      <c r="D938" t="s">
        <v>15</v>
      </c>
      <c r="E938" t="s">
        <v>23</v>
      </c>
      <c r="F938">
        <v>775</v>
      </c>
      <c r="G938">
        <v>52</v>
      </c>
      <c r="H938">
        <v>8</v>
      </c>
      <c r="I938">
        <v>109922.61</v>
      </c>
      <c r="J938">
        <v>1</v>
      </c>
      <c r="K938">
        <v>1</v>
      </c>
      <c r="L938">
        <v>1</v>
      </c>
      <c r="M938">
        <v>96823.32</v>
      </c>
      <c r="N938">
        <v>1</v>
      </c>
      <c r="O938" t="str">
        <f t="shared" si="56"/>
        <v>Good</v>
      </c>
      <c r="P938" t="str">
        <f t="shared" si="57"/>
        <v>Senior</v>
      </c>
      <c r="Q938" t="str">
        <f t="shared" si="58"/>
        <v>High Salary</v>
      </c>
      <c r="R938" t="str">
        <f t="shared" si="59"/>
        <v>High Balance</v>
      </c>
    </row>
    <row r="939" spans="1:18" x14ac:dyDescent="0.25">
      <c r="A939">
        <v>938</v>
      </c>
      <c r="B939">
        <v>15662100</v>
      </c>
      <c r="C939" t="s">
        <v>722</v>
      </c>
      <c r="D939" t="s">
        <v>26</v>
      </c>
      <c r="E939" t="s">
        <v>16</v>
      </c>
      <c r="F939">
        <v>850</v>
      </c>
      <c r="G939">
        <v>44</v>
      </c>
      <c r="H939">
        <v>5</v>
      </c>
      <c r="I939">
        <v>128605.32</v>
      </c>
      <c r="J939">
        <v>1</v>
      </c>
      <c r="K939">
        <v>0</v>
      </c>
      <c r="L939">
        <v>1</v>
      </c>
      <c r="M939">
        <v>171096.2</v>
      </c>
      <c r="N939">
        <v>0</v>
      </c>
      <c r="O939" t="str">
        <f t="shared" si="56"/>
        <v>Good</v>
      </c>
      <c r="P939" t="str">
        <f t="shared" si="57"/>
        <v>Adult</v>
      </c>
      <c r="Q939" t="str">
        <f t="shared" si="58"/>
        <v>High Salary</v>
      </c>
      <c r="R939" t="str">
        <f t="shared" si="59"/>
        <v>High Balance</v>
      </c>
    </row>
    <row r="940" spans="1:18" x14ac:dyDescent="0.25">
      <c r="A940">
        <v>939</v>
      </c>
      <c r="B940">
        <v>15668032</v>
      </c>
      <c r="C940" t="s">
        <v>723</v>
      </c>
      <c r="D940" t="s">
        <v>15</v>
      </c>
      <c r="E940" t="s">
        <v>16</v>
      </c>
      <c r="F940">
        <v>577</v>
      </c>
      <c r="G940">
        <v>37</v>
      </c>
      <c r="H940">
        <v>4</v>
      </c>
      <c r="I940">
        <v>0</v>
      </c>
      <c r="J940">
        <v>1</v>
      </c>
      <c r="K940">
        <v>1</v>
      </c>
      <c r="L940">
        <v>1</v>
      </c>
      <c r="M940">
        <v>79881.39</v>
      </c>
      <c r="N940">
        <v>0</v>
      </c>
      <c r="O940" t="str">
        <f t="shared" si="56"/>
        <v>Poor</v>
      </c>
      <c r="P940" t="str">
        <f t="shared" si="57"/>
        <v>Adult</v>
      </c>
      <c r="Q940" t="str">
        <f t="shared" si="58"/>
        <v>High Salary</v>
      </c>
      <c r="R940" t="str">
        <f t="shared" si="59"/>
        <v>Low Balance</v>
      </c>
    </row>
    <row r="941" spans="1:18" x14ac:dyDescent="0.25">
      <c r="A941">
        <v>940</v>
      </c>
      <c r="B941">
        <v>15599289</v>
      </c>
      <c r="C941" t="s">
        <v>724</v>
      </c>
      <c r="D941" t="s">
        <v>15</v>
      </c>
      <c r="E941" t="s">
        <v>16</v>
      </c>
      <c r="F941">
        <v>724</v>
      </c>
      <c r="G941">
        <v>37</v>
      </c>
      <c r="H941">
        <v>10</v>
      </c>
      <c r="I941">
        <v>68598.559999999998</v>
      </c>
      <c r="J941">
        <v>1</v>
      </c>
      <c r="K941">
        <v>1</v>
      </c>
      <c r="L941">
        <v>0</v>
      </c>
      <c r="M941">
        <v>157862.82</v>
      </c>
      <c r="N941">
        <v>0</v>
      </c>
      <c r="O941" t="str">
        <f t="shared" si="56"/>
        <v>Good</v>
      </c>
      <c r="P941" t="str">
        <f t="shared" si="57"/>
        <v>Adult</v>
      </c>
      <c r="Q941" t="str">
        <f t="shared" si="58"/>
        <v>High Salary</v>
      </c>
      <c r="R941" t="str">
        <f t="shared" si="59"/>
        <v>Medium Balance</v>
      </c>
    </row>
    <row r="942" spans="1:18" x14ac:dyDescent="0.25">
      <c r="A942">
        <v>941</v>
      </c>
      <c r="B942">
        <v>15754084</v>
      </c>
      <c r="C942" t="s">
        <v>725</v>
      </c>
      <c r="D942" t="s">
        <v>18</v>
      </c>
      <c r="E942" t="s">
        <v>23</v>
      </c>
      <c r="F942">
        <v>710</v>
      </c>
      <c r="G942">
        <v>35</v>
      </c>
      <c r="H942">
        <v>1</v>
      </c>
      <c r="I942">
        <v>106518.52</v>
      </c>
      <c r="J942">
        <v>1</v>
      </c>
      <c r="K942">
        <v>1</v>
      </c>
      <c r="L942">
        <v>1</v>
      </c>
      <c r="M942">
        <v>127951.81</v>
      </c>
      <c r="N942">
        <v>0</v>
      </c>
      <c r="O942" t="str">
        <f t="shared" si="56"/>
        <v>Good</v>
      </c>
      <c r="P942" t="str">
        <f t="shared" si="57"/>
        <v>Adult</v>
      </c>
      <c r="Q942" t="str">
        <f t="shared" si="58"/>
        <v>High Salary</v>
      </c>
      <c r="R942" t="str">
        <f t="shared" si="59"/>
        <v>High Balance</v>
      </c>
    </row>
    <row r="943" spans="1:18" x14ac:dyDescent="0.25">
      <c r="A943">
        <v>942</v>
      </c>
      <c r="B943">
        <v>15676521</v>
      </c>
      <c r="C943" t="s">
        <v>726</v>
      </c>
      <c r="D943" t="s">
        <v>15</v>
      </c>
      <c r="E943" t="s">
        <v>16</v>
      </c>
      <c r="F943">
        <v>696</v>
      </c>
      <c r="G943">
        <v>31</v>
      </c>
      <c r="H943">
        <v>8</v>
      </c>
      <c r="I943">
        <v>0</v>
      </c>
      <c r="J943">
        <v>2</v>
      </c>
      <c r="K943">
        <v>0</v>
      </c>
      <c r="L943">
        <v>0</v>
      </c>
      <c r="M943">
        <v>191074.11</v>
      </c>
      <c r="N943">
        <v>0</v>
      </c>
      <c r="O943" t="str">
        <f t="shared" si="56"/>
        <v>Good</v>
      </c>
      <c r="P943" t="str">
        <f t="shared" si="57"/>
        <v>Adult</v>
      </c>
      <c r="Q943" t="str">
        <f t="shared" si="58"/>
        <v>High Salary</v>
      </c>
      <c r="R943" t="str">
        <f t="shared" si="59"/>
        <v>Low Balance</v>
      </c>
    </row>
    <row r="944" spans="1:18" x14ac:dyDescent="0.25">
      <c r="A944">
        <v>943</v>
      </c>
      <c r="B944">
        <v>15804586</v>
      </c>
      <c r="C944" t="s">
        <v>486</v>
      </c>
      <c r="D944" t="s">
        <v>15</v>
      </c>
      <c r="E944" t="s">
        <v>16</v>
      </c>
      <c r="F944">
        <v>376</v>
      </c>
      <c r="G944">
        <v>46</v>
      </c>
      <c r="H944">
        <v>6</v>
      </c>
      <c r="I944">
        <v>0</v>
      </c>
      <c r="J944">
        <v>1</v>
      </c>
      <c r="K944">
        <v>1</v>
      </c>
      <c r="L944">
        <v>0</v>
      </c>
      <c r="M944">
        <v>157333.69</v>
      </c>
      <c r="N944">
        <v>1</v>
      </c>
      <c r="O944" t="str">
        <f t="shared" si="56"/>
        <v>Poor</v>
      </c>
      <c r="P944" t="str">
        <f t="shared" si="57"/>
        <v>Adult</v>
      </c>
      <c r="Q944" t="str">
        <f t="shared" si="58"/>
        <v>High Salary</v>
      </c>
      <c r="R944" t="str">
        <f t="shared" si="59"/>
        <v>Low Balance</v>
      </c>
    </row>
    <row r="945" spans="1:18" x14ac:dyDescent="0.25">
      <c r="A945">
        <v>944</v>
      </c>
      <c r="B945">
        <v>15781465</v>
      </c>
      <c r="C945" t="s">
        <v>727</v>
      </c>
      <c r="D945" t="s">
        <v>26</v>
      </c>
      <c r="E945" t="s">
        <v>16</v>
      </c>
      <c r="F945">
        <v>675</v>
      </c>
      <c r="G945">
        <v>29</v>
      </c>
      <c r="H945">
        <v>8</v>
      </c>
      <c r="I945">
        <v>121326.42</v>
      </c>
      <c r="J945">
        <v>1</v>
      </c>
      <c r="K945">
        <v>1</v>
      </c>
      <c r="L945">
        <v>0</v>
      </c>
      <c r="M945">
        <v>133457.51999999999</v>
      </c>
      <c r="N945">
        <v>0</v>
      </c>
      <c r="O945" t="str">
        <f t="shared" si="56"/>
        <v>Good</v>
      </c>
      <c r="P945" t="str">
        <f t="shared" si="57"/>
        <v>Young Adult</v>
      </c>
      <c r="Q945" t="str">
        <f t="shared" si="58"/>
        <v>High Salary</v>
      </c>
      <c r="R945" t="str">
        <f t="shared" si="59"/>
        <v>High Balance</v>
      </c>
    </row>
    <row r="946" spans="1:18" x14ac:dyDescent="0.25">
      <c r="A946">
        <v>945</v>
      </c>
      <c r="B946">
        <v>15729362</v>
      </c>
      <c r="C946" t="s">
        <v>499</v>
      </c>
      <c r="D946" t="s">
        <v>15</v>
      </c>
      <c r="E946" t="s">
        <v>23</v>
      </c>
      <c r="F946">
        <v>745</v>
      </c>
      <c r="G946">
        <v>36</v>
      </c>
      <c r="H946">
        <v>8</v>
      </c>
      <c r="I946">
        <v>67226.37</v>
      </c>
      <c r="J946">
        <v>1</v>
      </c>
      <c r="K946">
        <v>1</v>
      </c>
      <c r="L946">
        <v>0</v>
      </c>
      <c r="M946">
        <v>130789.6</v>
      </c>
      <c r="N946">
        <v>0</v>
      </c>
      <c r="O946" t="str">
        <f t="shared" si="56"/>
        <v>Good</v>
      </c>
      <c r="P946" t="str">
        <f t="shared" si="57"/>
        <v>Adult</v>
      </c>
      <c r="Q946" t="str">
        <f t="shared" si="58"/>
        <v>High Salary</v>
      </c>
      <c r="R946" t="str">
        <f t="shared" si="59"/>
        <v>Medium Balance</v>
      </c>
    </row>
    <row r="947" spans="1:18" x14ac:dyDescent="0.25">
      <c r="A947">
        <v>946</v>
      </c>
      <c r="B947">
        <v>15709295</v>
      </c>
      <c r="C947" t="s">
        <v>728</v>
      </c>
      <c r="D947" t="s">
        <v>18</v>
      </c>
      <c r="E947" t="s">
        <v>16</v>
      </c>
      <c r="F947">
        <v>697</v>
      </c>
      <c r="G947">
        <v>25</v>
      </c>
      <c r="H947">
        <v>5</v>
      </c>
      <c r="I947">
        <v>82931.850000000006</v>
      </c>
      <c r="J947">
        <v>2</v>
      </c>
      <c r="K947">
        <v>1</v>
      </c>
      <c r="L947">
        <v>1</v>
      </c>
      <c r="M947">
        <v>128373.88</v>
      </c>
      <c r="N947">
        <v>0</v>
      </c>
      <c r="O947" t="str">
        <f t="shared" si="56"/>
        <v>Good</v>
      </c>
      <c r="P947" t="str">
        <f t="shared" si="57"/>
        <v>Young Adult</v>
      </c>
      <c r="Q947" t="str">
        <f t="shared" si="58"/>
        <v>High Salary</v>
      </c>
      <c r="R947" t="str">
        <f t="shared" si="59"/>
        <v>Medium Balance</v>
      </c>
    </row>
    <row r="948" spans="1:18" x14ac:dyDescent="0.25">
      <c r="A948">
        <v>947</v>
      </c>
      <c r="B948">
        <v>15745324</v>
      </c>
      <c r="C948" t="s">
        <v>601</v>
      </c>
      <c r="D948" t="s">
        <v>18</v>
      </c>
      <c r="E948" t="s">
        <v>16</v>
      </c>
      <c r="F948">
        <v>599</v>
      </c>
      <c r="G948">
        <v>39</v>
      </c>
      <c r="H948">
        <v>4</v>
      </c>
      <c r="I948">
        <v>0</v>
      </c>
      <c r="J948">
        <v>1</v>
      </c>
      <c r="K948">
        <v>1</v>
      </c>
      <c r="L948">
        <v>0</v>
      </c>
      <c r="M948">
        <v>194273.2</v>
      </c>
      <c r="N948">
        <v>1</v>
      </c>
      <c r="O948" t="str">
        <f t="shared" si="56"/>
        <v>Average</v>
      </c>
      <c r="P948" t="str">
        <f t="shared" si="57"/>
        <v>Adult</v>
      </c>
      <c r="Q948" t="str">
        <f t="shared" si="58"/>
        <v>High Salary</v>
      </c>
      <c r="R948" t="str">
        <f t="shared" si="59"/>
        <v>Low Balance</v>
      </c>
    </row>
    <row r="949" spans="1:18" x14ac:dyDescent="0.25">
      <c r="A949">
        <v>948</v>
      </c>
      <c r="B949">
        <v>15741336</v>
      </c>
      <c r="C949" t="s">
        <v>535</v>
      </c>
      <c r="D949" t="s">
        <v>15</v>
      </c>
      <c r="E949" t="s">
        <v>16</v>
      </c>
      <c r="F949">
        <v>715</v>
      </c>
      <c r="G949">
        <v>38</v>
      </c>
      <c r="H949">
        <v>5</v>
      </c>
      <c r="I949">
        <v>118590.41</v>
      </c>
      <c r="J949">
        <v>1</v>
      </c>
      <c r="K949">
        <v>1</v>
      </c>
      <c r="L949">
        <v>1</v>
      </c>
      <c r="M949">
        <v>5684.17</v>
      </c>
      <c r="N949">
        <v>1</v>
      </c>
      <c r="O949" t="str">
        <f t="shared" si="56"/>
        <v>Good</v>
      </c>
      <c r="P949" t="str">
        <f t="shared" si="57"/>
        <v>Adult</v>
      </c>
      <c r="Q949" t="str">
        <f t="shared" si="58"/>
        <v>Low Salary</v>
      </c>
      <c r="R949" t="str">
        <f t="shared" si="59"/>
        <v>High Balance</v>
      </c>
    </row>
    <row r="950" spans="1:18" x14ac:dyDescent="0.25">
      <c r="A950">
        <v>949</v>
      </c>
      <c r="B950">
        <v>15783659</v>
      </c>
      <c r="C950" t="s">
        <v>729</v>
      </c>
      <c r="D950" t="s">
        <v>15</v>
      </c>
      <c r="E950" t="s">
        <v>23</v>
      </c>
      <c r="F950">
        <v>659</v>
      </c>
      <c r="G950">
        <v>67</v>
      </c>
      <c r="H950">
        <v>4</v>
      </c>
      <c r="I950">
        <v>145981.87</v>
      </c>
      <c r="J950">
        <v>1</v>
      </c>
      <c r="K950">
        <v>1</v>
      </c>
      <c r="L950">
        <v>1</v>
      </c>
      <c r="M950">
        <v>131043.2</v>
      </c>
      <c r="N950">
        <v>0</v>
      </c>
      <c r="O950" t="str">
        <f t="shared" si="56"/>
        <v>Average</v>
      </c>
      <c r="P950" t="str">
        <f t="shared" si="57"/>
        <v>Senior</v>
      </c>
      <c r="Q950" t="str">
        <f t="shared" si="58"/>
        <v>High Salary</v>
      </c>
      <c r="R950" t="str">
        <f t="shared" si="59"/>
        <v>High Balance</v>
      </c>
    </row>
    <row r="951" spans="1:18" x14ac:dyDescent="0.25">
      <c r="A951">
        <v>950</v>
      </c>
      <c r="B951">
        <v>15620981</v>
      </c>
      <c r="C951" t="s">
        <v>730</v>
      </c>
      <c r="D951" t="s">
        <v>15</v>
      </c>
      <c r="E951" t="s">
        <v>16</v>
      </c>
      <c r="F951">
        <v>684</v>
      </c>
      <c r="G951">
        <v>48</v>
      </c>
      <c r="H951">
        <v>3</v>
      </c>
      <c r="I951">
        <v>73309.38</v>
      </c>
      <c r="J951">
        <v>1</v>
      </c>
      <c r="K951">
        <v>0</v>
      </c>
      <c r="L951">
        <v>0</v>
      </c>
      <c r="M951">
        <v>21228.34</v>
      </c>
      <c r="N951">
        <v>1</v>
      </c>
      <c r="O951" t="str">
        <f t="shared" si="56"/>
        <v>Good</v>
      </c>
      <c r="P951" t="str">
        <f t="shared" si="57"/>
        <v>Adult</v>
      </c>
      <c r="Q951" t="str">
        <f t="shared" si="58"/>
        <v>Low Salary</v>
      </c>
      <c r="R951" t="str">
        <f t="shared" si="59"/>
        <v>Medium Balance</v>
      </c>
    </row>
    <row r="952" spans="1:18" x14ac:dyDescent="0.25">
      <c r="A952">
        <v>951</v>
      </c>
      <c r="B952">
        <v>15630328</v>
      </c>
      <c r="C952" t="s">
        <v>731</v>
      </c>
      <c r="D952" t="s">
        <v>15</v>
      </c>
      <c r="E952" t="s">
        <v>16</v>
      </c>
      <c r="F952">
        <v>635</v>
      </c>
      <c r="G952">
        <v>48</v>
      </c>
      <c r="H952">
        <v>8</v>
      </c>
      <c r="I952">
        <v>130796.33</v>
      </c>
      <c r="J952">
        <v>2</v>
      </c>
      <c r="K952">
        <v>1</v>
      </c>
      <c r="L952">
        <v>1</v>
      </c>
      <c r="M952">
        <v>43250.3</v>
      </c>
      <c r="N952">
        <v>0</v>
      </c>
      <c r="O952" t="str">
        <f t="shared" si="56"/>
        <v>Average</v>
      </c>
      <c r="P952" t="str">
        <f t="shared" si="57"/>
        <v>Adult</v>
      </c>
      <c r="Q952" t="str">
        <f t="shared" si="58"/>
        <v>Medium Salary</v>
      </c>
      <c r="R952" t="str">
        <f t="shared" si="59"/>
        <v>High Balance</v>
      </c>
    </row>
    <row r="953" spans="1:18" x14ac:dyDescent="0.25">
      <c r="A953">
        <v>952</v>
      </c>
      <c r="B953">
        <v>15785899</v>
      </c>
      <c r="C953" t="s">
        <v>404</v>
      </c>
      <c r="D953" t="s">
        <v>26</v>
      </c>
      <c r="E953" t="s">
        <v>23</v>
      </c>
      <c r="F953">
        <v>789</v>
      </c>
      <c r="G953">
        <v>33</v>
      </c>
      <c r="H953">
        <v>8</v>
      </c>
      <c r="I953">
        <v>151607.56</v>
      </c>
      <c r="J953">
        <v>1</v>
      </c>
      <c r="K953">
        <v>1</v>
      </c>
      <c r="L953">
        <v>0</v>
      </c>
      <c r="M953">
        <v>4389.3999999999996</v>
      </c>
      <c r="N953">
        <v>0</v>
      </c>
      <c r="O953" t="str">
        <f t="shared" si="56"/>
        <v>Good</v>
      </c>
      <c r="P953" t="str">
        <f t="shared" si="57"/>
        <v>Adult</v>
      </c>
      <c r="Q953" t="str">
        <f t="shared" si="58"/>
        <v>Low Salary</v>
      </c>
      <c r="R953" t="str">
        <f t="shared" si="59"/>
        <v>High Balance</v>
      </c>
    </row>
    <row r="954" spans="1:18" x14ac:dyDescent="0.25">
      <c r="A954">
        <v>953</v>
      </c>
      <c r="B954">
        <v>15606149</v>
      </c>
      <c r="C954" t="s">
        <v>178</v>
      </c>
      <c r="D954" t="s">
        <v>26</v>
      </c>
      <c r="E954" t="s">
        <v>16</v>
      </c>
      <c r="F954">
        <v>571</v>
      </c>
      <c r="G954">
        <v>66</v>
      </c>
      <c r="H954">
        <v>9</v>
      </c>
      <c r="I954">
        <v>111577.01</v>
      </c>
      <c r="J954">
        <v>1</v>
      </c>
      <c r="K954">
        <v>0</v>
      </c>
      <c r="L954">
        <v>1</v>
      </c>
      <c r="M954">
        <v>189271.9</v>
      </c>
      <c r="N954">
        <v>0</v>
      </c>
      <c r="O954" t="str">
        <f t="shared" si="56"/>
        <v>Poor</v>
      </c>
      <c r="P954" t="str">
        <f t="shared" si="57"/>
        <v>Senior</v>
      </c>
      <c r="Q954" t="str">
        <f t="shared" si="58"/>
        <v>High Salary</v>
      </c>
      <c r="R954" t="str">
        <f t="shared" si="59"/>
        <v>High Balance</v>
      </c>
    </row>
    <row r="955" spans="1:18" x14ac:dyDescent="0.25">
      <c r="A955">
        <v>954</v>
      </c>
      <c r="B955">
        <v>15671139</v>
      </c>
      <c r="C955" t="s">
        <v>732</v>
      </c>
      <c r="D955" t="s">
        <v>18</v>
      </c>
      <c r="E955" t="s">
        <v>23</v>
      </c>
      <c r="F955">
        <v>694</v>
      </c>
      <c r="G955">
        <v>39</v>
      </c>
      <c r="H955">
        <v>0</v>
      </c>
      <c r="I955">
        <v>107042.74</v>
      </c>
      <c r="J955">
        <v>1</v>
      </c>
      <c r="K955">
        <v>1</v>
      </c>
      <c r="L955">
        <v>1</v>
      </c>
      <c r="M955">
        <v>102284.2</v>
      </c>
      <c r="N955">
        <v>0</v>
      </c>
      <c r="O955" t="str">
        <f t="shared" si="56"/>
        <v>Good</v>
      </c>
      <c r="P955" t="str">
        <f t="shared" si="57"/>
        <v>Adult</v>
      </c>
      <c r="Q955" t="str">
        <f t="shared" si="58"/>
        <v>High Salary</v>
      </c>
      <c r="R955" t="str">
        <f t="shared" si="59"/>
        <v>High Balance</v>
      </c>
    </row>
    <row r="956" spans="1:18" x14ac:dyDescent="0.25">
      <c r="A956">
        <v>955</v>
      </c>
      <c r="B956">
        <v>15660429</v>
      </c>
      <c r="C956" t="s">
        <v>733</v>
      </c>
      <c r="D956" t="s">
        <v>18</v>
      </c>
      <c r="E956" t="s">
        <v>16</v>
      </c>
      <c r="F956">
        <v>665</v>
      </c>
      <c r="G956">
        <v>42</v>
      </c>
      <c r="H956">
        <v>2</v>
      </c>
      <c r="I956">
        <v>156371.60999999999</v>
      </c>
      <c r="J956">
        <v>2</v>
      </c>
      <c r="K956">
        <v>0</v>
      </c>
      <c r="L956">
        <v>1</v>
      </c>
      <c r="M956">
        <v>156774.94</v>
      </c>
      <c r="N956">
        <v>1</v>
      </c>
      <c r="O956" t="str">
        <f t="shared" si="56"/>
        <v>Average</v>
      </c>
      <c r="P956" t="str">
        <f t="shared" si="57"/>
        <v>Adult</v>
      </c>
      <c r="Q956" t="str">
        <f t="shared" si="58"/>
        <v>High Salary</v>
      </c>
      <c r="R956" t="str">
        <f t="shared" si="59"/>
        <v>High Balance</v>
      </c>
    </row>
    <row r="957" spans="1:18" x14ac:dyDescent="0.25">
      <c r="A957">
        <v>956</v>
      </c>
      <c r="B957">
        <v>15571002</v>
      </c>
      <c r="C957" t="s">
        <v>734</v>
      </c>
      <c r="D957" t="s">
        <v>15</v>
      </c>
      <c r="E957" t="s">
        <v>16</v>
      </c>
      <c r="F957">
        <v>706</v>
      </c>
      <c r="G957">
        <v>44</v>
      </c>
      <c r="H957">
        <v>4</v>
      </c>
      <c r="I957">
        <v>129605.99</v>
      </c>
      <c r="J957">
        <v>1</v>
      </c>
      <c r="K957">
        <v>0</v>
      </c>
      <c r="L957">
        <v>0</v>
      </c>
      <c r="M957">
        <v>69865.490000000005</v>
      </c>
      <c r="N957">
        <v>0</v>
      </c>
      <c r="O957" t="str">
        <f t="shared" si="56"/>
        <v>Good</v>
      </c>
      <c r="P957" t="str">
        <f t="shared" si="57"/>
        <v>Adult</v>
      </c>
      <c r="Q957" t="str">
        <f t="shared" si="58"/>
        <v>Medium Salary</v>
      </c>
      <c r="R957" t="str">
        <f t="shared" si="59"/>
        <v>High Balance</v>
      </c>
    </row>
    <row r="958" spans="1:18" x14ac:dyDescent="0.25">
      <c r="A958">
        <v>957</v>
      </c>
      <c r="B958">
        <v>15631681</v>
      </c>
      <c r="C958" t="s">
        <v>735</v>
      </c>
      <c r="D958" t="s">
        <v>18</v>
      </c>
      <c r="E958" t="s">
        <v>16</v>
      </c>
      <c r="F958">
        <v>807</v>
      </c>
      <c r="G958">
        <v>43</v>
      </c>
      <c r="H958">
        <v>0</v>
      </c>
      <c r="I958">
        <v>0</v>
      </c>
      <c r="J958">
        <v>2</v>
      </c>
      <c r="K958">
        <v>0</v>
      </c>
      <c r="L958">
        <v>1</v>
      </c>
      <c r="M958">
        <v>85523.24</v>
      </c>
      <c r="N958">
        <v>0</v>
      </c>
      <c r="O958" t="str">
        <f t="shared" si="56"/>
        <v>Good</v>
      </c>
      <c r="P958" t="str">
        <f t="shared" si="57"/>
        <v>Adult</v>
      </c>
      <c r="Q958" t="str">
        <f t="shared" si="58"/>
        <v>High Salary</v>
      </c>
      <c r="R958" t="str">
        <f t="shared" si="59"/>
        <v>Low Balance</v>
      </c>
    </row>
    <row r="959" spans="1:18" x14ac:dyDescent="0.25">
      <c r="A959">
        <v>958</v>
      </c>
      <c r="B959">
        <v>15731522</v>
      </c>
      <c r="C959" t="s">
        <v>616</v>
      </c>
      <c r="D959" t="s">
        <v>18</v>
      </c>
      <c r="E959" t="s">
        <v>16</v>
      </c>
      <c r="F959">
        <v>771</v>
      </c>
      <c r="G959">
        <v>67</v>
      </c>
      <c r="H959">
        <v>8</v>
      </c>
      <c r="I959">
        <v>0</v>
      </c>
      <c r="J959">
        <v>2</v>
      </c>
      <c r="K959">
        <v>1</v>
      </c>
      <c r="L959">
        <v>1</v>
      </c>
      <c r="M959">
        <v>51219.8</v>
      </c>
      <c r="N959">
        <v>0</v>
      </c>
      <c r="O959" t="str">
        <f t="shared" si="56"/>
        <v>Good</v>
      </c>
      <c r="P959" t="str">
        <f t="shared" si="57"/>
        <v>Senior</v>
      </c>
      <c r="Q959" t="str">
        <f t="shared" si="58"/>
        <v>Medium Salary</v>
      </c>
      <c r="R959" t="str">
        <f t="shared" si="59"/>
        <v>Low Balance</v>
      </c>
    </row>
    <row r="960" spans="1:18" x14ac:dyDescent="0.25">
      <c r="A960">
        <v>959</v>
      </c>
      <c r="B960">
        <v>15619529</v>
      </c>
      <c r="C960" t="s">
        <v>104</v>
      </c>
      <c r="D960" t="s">
        <v>18</v>
      </c>
      <c r="E960" t="s">
        <v>23</v>
      </c>
      <c r="F960">
        <v>531</v>
      </c>
      <c r="G960">
        <v>27</v>
      </c>
      <c r="H960">
        <v>8</v>
      </c>
      <c r="I960">
        <v>132576.25</v>
      </c>
      <c r="J960">
        <v>1</v>
      </c>
      <c r="K960">
        <v>0</v>
      </c>
      <c r="L960">
        <v>0</v>
      </c>
      <c r="M960">
        <v>7222.92</v>
      </c>
      <c r="N960">
        <v>0</v>
      </c>
      <c r="O960" t="str">
        <f t="shared" si="56"/>
        <v>Poor</v>
      </c>
      <c r="P960" t="str">
        <f t="shared" si="57"/>
        <v>Young Adult</v>
      </c>
      <c r="Q960" t="str">
        <f t="shared" si="58"/>
        <v>Low Salary</v>
      </c>
      <c r="R960" t="str">
        <f t="shared" si="59"/>
        <v>High Balance</v>
      </c>
    </row>
    <row r="961" spans="1:18" x14ac:dyDescent="0.25">
      <c r="A961">
        <v>960</v>
      </c>
      <c r="B961">
        <v>15628034</v>
      </c>
      <c r="C961" t="s">
        <v>736</v>
      </c>
      <c r="D961" t="s">
        <v>15</v>
      </c>
      <c r="E961" t="s">
        <v>16</v>
      </c>
      <c r="F961">
        <v>629</v>
      </c>
      <c r="G961">
        <v>37</v>
      </c>
      <c r="H961">
        <v>6</v>
      </c>
      <c r="I961">
        <v>129101.3</v>
      </c>
      <c r="J961">
        <v>1</v>
      </c>
      <c r="K961">
        <v>1</v>
      </c>
      <c r="L961">
        <v>1</v>
      </c>
      <c r="M961">
        <v>23971.33</v>
      </c>
      <c r="N961">
        <v>0</v>
      </c>
      <c r="O961" t="str">
        <f t="shared" si="56"/>
        <v>Average</v>
      </c>
      <c r="P961" t="str">
        <f t="shared" si="57"/>
        <v>Adult</v>
      </c>
      <c r="Q961" t="str">
        <f t="shared" si="58"/>
        <v>Low Salary</v>
      </c>
      <c r="R961" t="str">
        <f t="shared" si="59"/>
        <v>High Balance</v>
      </c>
    </row>
    <row r="962" spans="1:18" x14ac:dyDescent="0.25">
      <c r="A962">
        <v>961</v>
      </c>
      <c r="B962">
        <v>15686164</v>
      </c>
      <c r="C962" t="s">
        <v>44</v>
      </c>
      <c r="D962" t="s">
        <v>26</v>
      </c>
      <c r="E962" t="s">
        <v>16</v>
      </c>
      <c r="F962">
        <v>850</v>
      </c>
      <c r="G962">
        <v>31</v>
      </c>
      <c r="H962">
        <v>1</v>
      </c>
      <c r="I962">
        <v>108822.39999999999</v>
      </c>
      <c r="J962">
        <v>1</v>
      </c>
      <c r="K962">
        <v>1</v>
      </c>
      <c r="L962">
        <v>1</v>
      </c>
      <c r="M962">
        <v>132173.31</v>
      </c>
      <c r="N962">
        <v>0</v>
      </c>
      <c r="O962" t="str">
        <f t="shared" si="56"/>
        <v>Good</v>
      </c>
      <c r="P962" t="str">
        <f t="shared" si="57"/>
        <v>Adult</v>
      </c>
      <c r="Q962" t="str">
        <f t="shared" si="58"/>
        <v>High Salary</v>
      </c>
      <c r="R962" t="str">
        <f t="shared" si="59"/>
        <v>High Balance</v>
      </c>
    </row>
    <row r="963" spans="1:18" x14ac:dyDescent="0.25">
      <c r="A963">
        <v>962</v>
      </c>
      <c r="B963">
        <v>15582797</v>
      </c>
      <c r="C963" t="s">
        <v>262</v>
      </c>
      <c r="D963" t="s">
        <v>18</v>
      </c>
      <c r="E963" t="s">
        <v>23</v>
      </c>
      <c r="F963">
        <v>685</v>
      </c>
      <c r="G963">
        <v>35</v>
      </c>
      <c r="H963">
        <v>4</v>
      </c>
      <c r="I963">
        <v>137948.51</v>
      </c>
      <c r="J963">
        <v>1</v>
      </c>
      <c r="K963">
        <v>1</v>
      </c>
      <c r="L963">
        <v>0</v>
      </c>
      <c r="M963">
        <v>113639.64</v>
      </c>
      <c r="N963">
        <v>0</v>
      </c>
      <c r="O963" t="str">
        <f t="shared" ref="O963:O992" si="60">IF(F963&lt;580, "Poor", IF(AND(F963&gt;=580, F963&lt;=669), "Average", "Good"))</f>
        <v>Good</v>
      </c>
      <c r="P963" t="str">
        <f t="shared" ref="P963:P992" si="61">IF(G963&lt;=30, "Young Adult", IF(AND(G963&gt;=31, G963&lt;=50), "Adult", "Senior"))</f>
        <v>Adult</v>
      </c>
      <c r="Q963" t="str">
        <f t="shared" ref="Q963:Q991" si="62">IF(M963&lt;30000, "Low Salary", IF(AND(M963&gt;=30000, M963&lt;=70000), "Medium Salary", "High Salary"))</f>
        <v>High Salary</v>
      </c>
      <c r="R963" t="str">
        <f t="shared" ref="R963:R992" si="63">IF(I963&lt;50000, "Low Balance", IF(AND(I963&gt;=50000, I963&lt;=100000), "Medium Balance", "High Balance"))</f>
        <v>High Balance</v>
      </c>
    </row>
    <row r="964" spans="1:18" x14ac:dyDescent="0.25">
      <c r="A964">
        <v>963</v>
      </c>
      <c r="B964">
        <v>15753831</v>
      </c>
      <c r="C964" t="s">
        <v>648</v>
      </c>
      <c r="D964" t="s">
        <v>18</v>
      </c>
      <c r="E964" t="s">
        <v>23</v>
      </c>
      <c r="F964">
        <v>642</v>
      </c>
      <c r="G964">
        <v>32</v>
      </c>
      <c r="H964">
        <v>7</v>
      </c>
      <c r="I964">
        <v>100433.8</v>
      </c>
      <c r="J964">
        <v>1</v>
      </c>
      <c r="K964">
        <v>1</v>
      </c>
      <c r="L964">
        <v>1</v>
      </c>
      <c r="M964">
        <v>39768.589999999997</v>
      </c>
      <c r="N964">
        <v>0</v>
      </c>
      <c r="O964" t="str">
        <f t="shared" si="60"/>
        <v>Average</v>
      </c>
      <c r="P964" t="str">
        <f t="shared" si="61"/>
        <v>Adult</v>
      </c>
      <c r="Q964" t="str">
        <f t="shared" si="62"/>
        <v>Medium Salary</v>
      </c>
      <c r="R964" t="str">
        <f t="shared" si="63"/>
        <v>High Balance</v>
      </c>
    </row>
    <row r="965" spans="1:18" x14ac:dyDescent="0.25">
      <c r="A965">
        <v>964</v>
      </c>
      <c r="B965">
        <v>15731815</v>
      </c>
      <c r="C965" t="s">
        <v>737</v>
      </c>
      <c r="D965" t="s">
        <v>18</v>
      </c>
      <c r="E965" t="s">
        <v>23</v>
      </c>
      <c r="F965">
        <v>529</v>
      </c>
      <c r="G965">
        <v>63</v>
      </c>
      <c r="H965">
        <v>4</v>
      </c>
      <c r="I965">
        <v>96134.11</v>
      </c>
      <c r="J965">
        <v>3</v>
      </c>
      <c r="K965">
        <v>1</v>
      </c>
      <c r="L965">
        <v>0</v>
      </c>
      <c r="M965">
        <v>108732.96</v>
      </c>
      <c r="N965">
        <v>1</v>
      </c>
      <c r="O965" t="str">
        <f t="shared" si="60"/>
        <v>Poor</v>
      </c>
      <c r="P965" t="str">
        <f t="shared" si="61"/>
        <v>Senior</v>
      </c>
      <c r="Q965" t="str">
        <f t="shared" si="62"/>
        <v>High Salary</v>
      </c>
      <c r="R965" t="str">
        <f t="shared" si="63"/>
        <v>Medium Balance</v>
      </c>
    </row>
    <row r="966" spans="1:18" x14ac:dyDescent="0.25">
      <c r="A966">
        <v>965</v>
      </c>
      <c r="B966">
        <v>15580956</v>
      </c>
      <c r="C966" t="s">
        <v>738</v>
      </c>
      <c r="D966" t="s">
        <v>26</v>
      </c>
      <c r="E966" t="s">
        <v>16</v>
      </c>
      <c r="F966">
        <v>683</v>
      </c>
      <c r="G966">
        <v>43</v>
      </c>
      <c r="H966">
        <v>4</v>
      </c>
      <c r="I966">
        <v>115888.04</v>
      </c>
      <c r="J966">
        <v>1</v>
      </c>
      <c r="K966">
        <v>1</v>
      </c>
      <c r="L966">
        <v>1</v>
      </c>
      <c r="M966">
        <v>117349.19</v>
      </c>
      <c r="N966">
        <v>1</v>
      </c>
      <c r="O966" t="str">
        <f t="shared" si="60"/>
        <v>Good</v>
      </c>
      <c r="P966" t="str">
        <f t="shared" si="61"/>
        <v>Adult</v>
      </c>
      <c r="Q966" t="str">
        <f t="shared" si="62"/>
        <v>High Salary</v>
      </c>
      <c r="R966" t="str">
        <f t="shared" si="63"/>
        <v>High Balance</v>
      </c>
    </row>
    <row r="967" spans="1:18" x14ac:dyDescent="0.25">
      <c r="A967">
        <v>966</v>
      </c>
      <c r="B967">
        <v>15602084</v>
      </c>
      <c r="C967" t="s">
        <v>739</v>
      </c>
      <c r="D967" t="s">
        <v>15</v>
      </c>
      <c r="E967" t="s">
        <v>16</v>
      </c>
      <c r="F967">
        <v>663</v>
      </c>
      <c r="G967">
        <v>42</v>
      </c>
      <c r="H967">
        <v>5</v>
      </c>
      <c r="I967">
        <v>124626.07</v>
      </c>
      <c r="J967">
        <v>1</v>
      </c>
      <c r="K967">
        <v>1</v>
      </c>
      <c r="L967">
        <v>1</v>
      </c>
      <c r="M967">
        <v>78004.5</v>
      </c>
      <c r="N967">
        <v>0</v>
      </c>
      <c r="O967" t="str">
        <f t="shared" si="60"/>
        <v>Average</v>
      </c>
      <c r="P967" t="str">
        <f t="shared" si="61"/>
        <v>Adult</v>
      </c>
      <c r="Q967" t="str">
        <f t="shared" si="62"/>
        <v>High Salary</v>
      </c>
      <c r="R967" t="str">
        <f t="shared" si="63"/>
        <v>High Balance</v>
      </c>
    </row>
    <row r="968" spans="1:18" x14ac:dyDescent="0.25">
      <c r="A968">
        <v>967</v>
      </c>
      <c r="B968">
        <v>15589805</v>
      </c>
      <c r="C968" t="s">
        <v>740</v>
      </c>
      <c r="D968" t="s">
        <v>15</v>
      </c>
      <c r="E968" t="s">
        <v>16</v>
      </c>
      <c r="F968">
        <v>563</v>
      </c>
      <c r="G968">
        <v>34</v>
      </c>
      <c r="H968">
        <v>6</v>
      </c>
      <c r="I968">
        <v>139810.34</v>
      </c>
      <c r="J968">
        <v>1</v>
      </c>
      <c r="K968">
        <v>1</v>
      </c>
      <c r="L968">
        <v>1</v>
      </c>
      <c r="M968">
        <v>152417.79</v>
      </c>
      <c r="N968">
        <v>0</v>
      </c>
      <c r="O968" t="str">
        <f t="shared" si="60"/>
        <v>Poor</v>
      </c>
      <c r="P968" t="str">
        <f t="shared" si="61"/>
        <v>Adult</v>
      </c>
      <c r="Q968" t="str">
        <f t="shared" si="62"/>
        <v>High Salary</v>
      </c>
      <c r="R968" t="str">
        <f t="shared" si="63"/>
        <v>High Balance</v>
      </c>
    </row>
    <row r="969" spans="1:18" x14ac:dyDescent="0.25">
      <c r="A969">
        <v>968</v>
      </c>
      <c r="B969">
        <v>15720893</v>
      </c>
      <c r="C969" t="s">
        <v>741</v>
      </c>
      <c r="D969" t="s">
        <v>18</v>
      </c>
      <c r="E969" t="s">
        <v>16</v>
      </c>
      <c r="F969">
        <v>637</v>
      </c>
      <c r="G969">
        <v>34</v>
      </c>
      <c r="H969">
        <v>9</v>
      </c>
      <c r="I969">
        <v>0</v>
      </c>
      <c r="J969">
        <v>2</v>
      </c>
      <c r="K969">
        <v>0</v>
      </c>
      <c r="L969">
        <v>0</v>
      </c>
      <c r="M969">
        <v>26057.08</v>
      </c>
      <c r="N969">
        <v>0</v>
      </c>
      <c r="O969" t="str">
        <f t="shared" si="60"/>
        <v>Average</v>
      </c>
      <c r="P969" t="str">
        <f t="shared" si="61"/>
        <v>Adult</v>
      </c>
      <c r="Q969" t="str">
        <f t="shared" si="62"/>
        <v>Low Salary</v>
      </c>
      <c r="R969" t="str">
        <f t="shared" si="63"/>
        <v>Low Balance</v>
      </c>
    </row>
    <row r="970" spans="1:18" x14ac:dyDescent="0.25">
      <c r="A970">
        <v>969</v>
      </c>
      <c r="B970">
        <v>15641009</v>
      </c>
      <c r="C970" t="s">
        <v>742</v>
      </c>
      <c r="D970" t="s">
        <v>15</v>
      </c>
      <c r="E970" t="s">
        <v>23</v>
      </c>
      <c r="F970">
        <v>544</v>
      </c>
      <c r="G970">
        <v>37</v>
      </c>
      <c r="H970">
        <v>3</v>
      </c>
      <c r="I970">
        <v>84496.71</v>
      </c>
      <c r="J970">
        <v>1</v>
      </c>
      <c r="K970">
        <v>0</v>
      </c>
      <c r="L970">
        <v>0</v>
      </c>
      <c r="M970">
        <v>79972.09</v>
      </c>
      <c r="N970">
        <v>0</v>
      </c>
      <c r="O970" t="str">
        <f t="shared" si="60"/>
        <v>Poor</v>
      </c>
      <c r="P970" t="str">
        <f t="shared" si="61"/>
        <v>Adult</v>
      </c>
      <c r="Q970" t="str">
        <f t="shared" si="62"/>
        <v>High Salary</v>
      </c>
      <c r="R970" t="str">
        <f t="shared" si="63"/>
        <v>Medium Balance</v>
      </c>
    </row>
    <row r="971" spans="1:18" x14ac:dyDescent="0.25">
      <c r="A971">
        <v>970</v>
      </c>
      <c r="B971">
        <v>15605926</v>
      </c>
      <c r="C971" t="s">
        <v>743</v>
      </c>
      <c r="D971" t="s">
        <v>26</v>
      </c>
      <c r="E971" t="s">
        <v>23</v>
      </c>
      <c r="F971">
        <v>649</v>
      </c>
      <c r="G971">
        <v>70</v>
      </c>
      <c r="H971">
        <v>9</v>
      </c>
      <c r="I971">
        <v>116854.71</v>
      </c>
      <c r="J971">
        <v>2</v>
      </c>
      <c r="K971">
        <v>0</v>
      </c>
      <c r="L971">
        <v>1</v>
      </c>
      <c r="M971">
        <v>107125.79</v>
      </c>
      <c r="N971">
        <v>0</v>
      </c>
      <c r="O971" t="str">
        <f t="shared" si="60"/>
        <v>Average</v>
      </c>
      <c r="P971" t="str">
        <f t="shared" si="61"/>
        <v>Senior</v>
      </c>
      <c r="Q971" t="str">
        <f t="shared" si="62"/>
        <v>High Salary</v>
      </c>
      <c r="R971" t="str">
        <f t="shared" si="63"/>
        <v>High Balance</v>
      </c>
    </row>
    <row r="972" spans="1:18" x14ac:dyDescent="0.25">
      <c r="A972">
        <v>971</v>
      </c>
      <c r="B972">
        <v>15805955</v>
      </c>
      <c r="C972" t="s">
        <v>311</v>
      </c>
      <c r="D972" t="s">
        <v>15</v>
      </c>
      <c r="E972" t="s">
        <v>16</v>
      </c>
      <c r="F972">
        <v>638</v>
      </c>
      <c r="G972">
        <v>48</v>
      </c>
      <c r="H972">
        <v>10</v>
      </c>
      <c r="I972">
        <v>138333.03</v>
      </c>
      <c r="J972">
        <v>1</v>
      </c>
      <c r="K972">
        <v>1</v>
      </c>
      <c r="L972">
        <v>1</v>
      </c>
      <c r="M972">
        <v>47679.14</v>
      </c>
      <c r="N972">
        <v>0</v>
      </c>
      <c r="O972" t="str">
        <f t="shared" si="60"/>
        <v>Average</v>
      </c>
      <c r="P972" t="str">
        <f t="shared" si="61"/>
        <v>Adult</v>
      </c>
      <c r="Q972" t="str">
        <f t="shared" si="62"/>
        <v>Medium Salary</v>
      </c>
      <c r="R972" t="str">
        <f t="shared" si="63"/>
        <v>High Balance</v>
      </c>
    </row>
    <row r="973" spans="1:18" x14ac:dyDescent="0.25">
      <c r="A973">
        <v>972</v>
      </c>
      <c r="B973">
        <v>15801488</v>
      </c>
      <c r="C973" t="s">
        <v>744</v>
      </c>
      <c r="D973" t="s">
        <v>15</v>
      </c>
      <c r="E973" t="s">
        <v>23</v>
      </c>
      <c r="F973">
        <v>723</v>
      </c>
      <c r="G973">
        <v>25</v>
      </c>
      <c r="H973">
        <v>3</v>
      </c>
      <c r="I973">
        <v>0</v>
      </c>
      <c r="J973">
        <v>2</v>
      </c>
      <c r="K973">
        <v>1</v>
      </c>
      <c r="L973">
        <v>1</v>
      </c>
      <c r="M973">
        <v>134509.47</v>
      </c>
      <c r="N973">
        <v>0</v>
      </c>
      <c r="O973" t="str">
        <f t="shared" si="60"/>
        <v>Good</v>
      </c>
      <c r="P973" t="str">
        <f t="shared" si="61"/>
        <v>Young Adult</v>
      </c>
      <c r="Q973" t="str">
        <f t="shared" si="62"/>
        <v>High Salary</v>
      </c>
      <c r="R973" t="str">
        <f t="shared" si="63"/>
        <v>Low Balance</v>
      </c>
    </row>
    <row r="974" spans="1:18" x14ac:dyDescent="0.25">
      <c r="A974">
        <v>973</v>
      </c>
      <c r="B974">
        <v>15605918</v>
      </c>
      <c r="C974" t="s">
        <v>745</v>
      </c>
      <c r="D974" t="s">
        <v>26</v>
      </c>
      <c r="E974" t="s">
        <v>23</v>
      </c>
      <c r="F974">
        <v>635</v>
      </c>
      <c r="G974">
        <v>43</v>
      </c>
      <c r="H974">
        <v>5</v>
      </c>
      <c r="I974">
        <v>78992.75</v>
      </c>
      <c r="J974">
        <v>2</v>
      </c>
      <c r="K974">
        <v>0</v>
      </c>
      <c r="L974">
        <v>0</v>
      </c>
      <c r="M974">
        <v>153265.31</v>
      </c>
      <c r="N974">
        <v>0</v>
      </c>
      <c r="O974" t="str">
        <f t="shared" si="60"/>
        <v>Average</v>
      </c>
      <c r="P974" t="str">
        <f t="shared" si="61"/>
        <v>Adult</v>
      </c>
      <c r="Q974" t="str">
        <f t="shared" si="62"/>
        <v>High Salary</v>
      </c>
      <c r="R974" t="str">
        <f t="shared" si="63"/>
        <v>Medium Balance</v>
      </c>
    </row>
    <row r="975" spans="1:18" x14ac:dyDescent="0.25">
      <c r="A975">
        <v>974</v>
      </c>
      <c r="B975">
        <v>15779711</v>
      </c>
      <c r="C975" t="s">
        <v>485</v>
      </c>
      <c r="D975" t="s">
        <v>18</v>
      </c>
      <c r="E975" t="s">
        <v>16</v>
      </c>
      <c r="F975">
        <v>750</v>
      </c>
      <c r="G975">
        <v>38</v>
      </c>
      <c r="H975">
        <v>7</v>
      </c>
      <c r="I975">
        <v>97257.41</v>
      </c>
      <c r="J975">
        <v>2</v>
      </c>
      <c r="K975">
        <v>0</v>
      </c>
      <c r="L975">
        <v>1</v>
      </c>
      <c r="M975">
        <v>179883.04</v>
      </c>
      <c r="N975">
        <v>0</v>
      </c>
      <c r="O975" t="str">
        <f t="shared" si="60"/>
        <v>Good</v>
      </c>
      <c r="P975" t="str">
        <f t="shared" si="61"/>
        <v>Adult</v>
      </c>
      <c r="Q975" t="str">
        <f t="shared" si="62"/>
        <v>High Salary</v>
      </c>
      <c r="R975" t="str">
        <f t="shared" si="63"/>
        <v>Medium Balance</v>
      </c>
    </row>
    <row r="976" spans="1:18" x14ac:dyDescent="0.25">
      <c r="A976">
        <v>975</v>
      </c>
      <c r="B976">
        <v>15705620</v>
      </c>
      <c r="C976" t="s">
        <v>456</v>
      </c>
      <c r="D976" t="s">
        <v>15</v>
      </c>
      <c r="E976" t="s">
        <v>23</v>
      </c>
      <c r="F976">
        <v>730</v>
      </c>
      <c r="G976">
        <v>34</v>
      </c>
      <c r="H976">
        <v>5</v>
      </c>
      <c r="I976">
        <v>122453.37</v>
      </c>
      <c r="J976">
        <v>2</v>
      </c>
      <c r="K976">
        <v>1</v>
      </c>
      <c r="L976">
        <v>0</v>
      </c>
      <c r="M976">
        <v>138882.98000000001</v>
      </c>
      <c r="N976">
        <v>0</v>
      </c>
      <c r="O976" t="str">
        <f t="shared" si="60"/>
        <v>Good</v>
      </c>
      <c r="P976" t="str">
        <f t="shared" si="61"/>
        <v>Adult</v>
      </c>
      <c r="Q976" t="str">
        <f t="shared" si="62"/>
        <v>High Salary</v>
      </c>
      <c r="R976" t="str">
        <f t="shared" si="63"/>
        <v>High Balance</v>
      </c>
    </row>
    <row r="977" spans="1:18" x14ac:dyDescent="0.25">
      <c r="A977">
        <v>976</v>
      </c>
      <c r="B977">
        <v>15685357</v>
      </c>
      <c r="C977" t="s">
        <v>698</v>
      </c>
      <c r="D977" t="s">
        <v>18</v>
      </c>
      <c r="E977" t="s">
        <v>16</v>
      </c>
      <c r="F977">
        <v>750</v>
      </c>
      <c r="G977">
        <v>36</v>
      </c>
      <c r="H977">
        <v>8</v>
      </c>
      <c r="I977">
        <v>112940.07</v>
      </c>
      <c r="J977">
        <v>1</v>
      </c>
      <c r="K977">
        <v>0</v>
      </c>
      <c r="L977">
        <v>1</v>
      </c>
      <c r="M977">
        <v>9855.81</v>
      </c>
      <c r="N977">
        <v>0</v>
      </c>
      <c r="O977" t="str">
        <f t="shared" si="60"/>
        <v>Good</v>
      </c>
      <c r="P977" t="str">
        <f t="shared" si="61"/>
        <v>Adult</v>
      </c>
      <c r="Q977" t="str">
        <f t="shared" si="62"/>
        <v>Low Salary</v>
      </c>
      <c r="R977" t="str">
        <f t="shared" si="63"/>
        <v>High Balance</v>
      </c>
    </row>
    <row r="978" spans="1:18" x14ac:dyDescent="0.25">
      <c r="A978">
        <v>977</v>
      </c>
      <c r="B978">
        <v>15570060</v>
      </c>
      <c r="C978" t="s">
        <v>746</v>
      </c>
      <c r="D978" t="s">
        <v>15</v>
      </c>
      <c r="E978" t="s">
        <v>16</v>
      </c>
      <c r="F978">
        <v>653.5</v>
      </c>
      <c r="G978">
        <v>43</v>
      </c>
      <c r="H978">
        <v>8</v>
      </c>
      <c r="I978">
        <v>132558.26</v>
      </c>
      <c r="J978">
        <v>1</v>
      </c>
      <c r="K978">
        <v>1</v>
      </c>
      <c r="L978">
        <v>0</v>
      </c>
      <c r="M978">
        <v>67046.83</v>
      </c>
      <c r="N978">
        <v>1</v>
      </c>
      <c r="O978" t="str">
        <f t="shared" si="60"/>
        <v>Average</v>
      </c>
      <c r="P978" t="str">
        <f t="shared" si="61"/>
        <v>Adult</v>
      </c>
      <c r="Q978" t="str">
        <f t="shared" si="62"/>
        <v>Medium Salary</v>
      </c>
      <c r="R978" t="str">
        <f t="shared" si="63"/>
        <v>High Balance</v>
      </c>
    </row>
    <row r="979" spans="1:18" x14ac:dyDescent="0.25">
      <c r="A979">
        <v>978</v>
      </c>
      <c r="B979">
        <v>15582616</v>
      </c>
      <c r="C979" t="s">
        <v>726</v>
      </c>
      <c r="D979" t="s">
        <v>15</v>
      </c>
      <c r="E979" t="s">
        <v>16</v>
      </c>
      <c r="F979">
        <v>520</v>
      </c>
      <c r="G979">
        <v>38</v>
      </c>
      <c r="H979">
        <v>4</v>
      </c>
      <c r="I979">
        <v>0</v>
      </c>
      <c r="J979">
        <v>2</v>
      </c>
      <c r="K979">
        <v>1</v>
      </c>
      <c r="L979">
        <v>0</v>
      </c>
      <c r="M979">
        <v>56388.63</v>
      </c>
      <c r="N979">
        <v>0</v>
      </c>
      <c r="O979" t="str">
        <f t="shared" si="60"/>
        <v>Poor</v>
      </c>
      <c r="P979" t="str">
        <f t="shared" si="61"/>
        <v>Adult</v>
      </c>
      <c r="Q979" t="str">
        <f t="shared" si="62"/>
        <v>Medium Salary</v>
      </c>
      <c r="R979" t="str">
        <f t="shared" si="63"/>
        <v>Low Balance</v>
      </c>
    </row>
    <row r="980" spans="1:18" x14ac:dyDescent="0.25">
      <c r="A980">
        <v>979</v>
      </c>
      <c r="B980">
        <v>15799515</v>
      </c>
      <c r="C980" t="s">
        <v>171</v>
      </c>
      <c r="D980" t="s">
        <v>15</v>
      </c>
      <c r="E980" t="s">
        <v>16</v>
      </c>
      <c r="F980">
        <v>652</v>
      </c>
      <c r="G980">
        <v>48</v>
      </c>
      <c r="H980">
        <v>8</v>
      </c>
      <c r="I980">
        <v>133297.24</v>
      </c>
      <c r="J980">
        <v>1</v>
      </c>
      <c r="K980">
        <v>1</v>
      </c>
      <c r="L980">
        <v>0</v>
      </c>
      <c r="M980">
        <v>77764.37</v>
      </c>
      <c r="N980">
        <v>0</v>
      </c>
      <c r="O980" t="str">
        <f t="shared" si="60"/>
        <v>Average</v>
      </c>
      <c r="P980" t="str">
        <f t="shared" si="61"/>
        <v>Adult</v>
      </c>
      <c r="Q980" t="str">
        <f t="shared" si="62"/>
        <v>High Salary</v>
      </c>
      <c r="R980" t="str">
        <f t="shared" si="63"/>
        <v>High Balance</v>
      </c>
    </row>
    <row r="981" spans="1:18" x14ac:dyDescent="0.25">
      <c r="A981">
        <v>980</v>
      </c>
      <c r="B981">
        <v>15642937</v>
      </c>
      <c r="C981" t="s">
        <v>745</v>
      </c>
      <c r="D981" t="s">
        <v>15</v>
      </c>
      <c r="E981" t="s">
        <v>16</v>
      </c>
      <c r="F981">
        <v>550</v>
      </c>
      <c r="G981">
        <v>46</v>
      </c>
      <c r="H981">
        <v>7</v>
      </c>
      <c r="I981">
        <v>0</v>
      </c>
      <c r="J981">
        <v>2</v>
      </c>
      <c r="K981">
        <v>1</v>
      </c>
      <c r="L981">
        <v>0</v>
      </c>
      <c r="M981">
        <v>130590.35</v>
      </c>
      <c r="N981">
        <v>0</v>
      </c>
      <c r="O981" t="str">
        <f t="shared" si="60"/>
        <v>Poor</v>
      </c>
      <c r="P981" t="str">
        <f t="shared" si="61"/>
        <v>Adult</v>
      </c>
      <c r="Q981" t="str">
        <f t="shared" si="62"/>
        <v>High Salary</v>
      </c>
      <c r="R981" t="str">
        <f t="shared" si="63"/>
        <v>Low Balance</v>
      </c>
    </row>
    <row r="982" spans="1:18" x14ac:dyDescent="0.25">
      <c r="A982">
        <v>981</v>
      </c>
      <c r="B982">
        <v>15624729</v>
      </c>
      <c r="C982" t="s">
        <v>75</v>
      </c>
      <c r="D982" t="s">
        <v>15</v>
      </c>
      <c r="E982" t="s">
        <v>23</v>
      </c>
      <c r="F982">
        <v>594</v>
      </c>
      <c r="G982">
        <v>27</v>
      </c>
      <c r="H982">
        <v>0</v>
      </c>
      <c r="I982">
        <v>197041.8</v>
      </c>
      <c r="J982">
        <v>1</v>
      </c>
      <c r="K982">
        <v>0</v>
      </c>
      <c r="L982">
        <v>0</v>
      </c>
      <c r="M982">
        <v>151912.49</v>
      </c>
      <c r="N982">
        <v>0</v>
      </c>
      <c r="O982" t="str">
        <f t="shared" si="60"/>
        <v>Average</v>
      </c>
      <c r="P982" t="str">
        <f t="shared" si="61"/>
        <v>Young Adult</v>
      </c>
      <c r="Q982" t="str">
        <f t="shared" si="62"/>
        <v>High Salary</v>
      </c>
      <c r="R982" t="str">
        <f t="shared" si="63"/>
        <v>High Balance</v>
      </c>
    </row>
    <row r="983" spans="1:18" x14ac:dyDescent="0.25">
      <c r="A983">
        <v>982</v>
      </c>
      <c r="B983">
        <v>15566156</v>
      </c>
      <c r="C983" t="s">
        <v>369</v>
      </c>
      <c r="D983" t="s">
        <v>26</v>
      </c>
      <c r="E983" t="s">
        <v>16</v>
      </c>
      <c r="F983">
        <v>749</v>
      </c>
      <c r="G983">
        <v>44</v>
      </c>
      <c r="H983">
        <v>0</v>
      </c>
      <c r="I983">
        <v>71497.789999999994</v>
      </c>
      <c r="J983">
        <v>2</v>
      </c>
      <c r="K983">
        <v>0</v>
      </c>
      <c r="L983">
        <v>0</v>
      </c>
      <c r="M983">
        <v>151083.79999999999</v>
      </c>
      <c r="N983">
        <v>0</v>
      </c>
      <c r="O983" t="str">
        <f t="shared" si="60"/>
        <v>Good</v>
      </c>
      <c r="P983" t="str">
        <f t="shared" si="61"/>
        <v>Adult</v>
      </c>
      <c r="Q983" t="str">
        <f t="shared" si="62"/>
        <v>High Salary</v>
      </c>
      <c r="R983" t="str">
        <f t="shared" si="63"/>
        <v>Medium Balance</v>
      </c>
    </row>
    <row r="984" spans="1:18" x14ac:dyDescent="0.25">
      <c r="A984">
        <v>983</v>
      </c>
      <c r="B984">
        <v>15792360</v>
      </c>
      <c r="C984" t="s">
        <v>80</v>
      </c>
      <c r="D984" t="s">
        <v>15</v>
      </c>
      <c r="E984" t="s">
        <v>23</v>
      </c>
      <c r="F984">
        <v>668</v>
      </c>
      <c r="G984">
        <v>32</v>
      </c>
      <c r="H984">
        <v>7</v>
      </c>
      <c r="I984">
        <v>0</v>
      </c>
      <c r="J984">
        <v>2</v>
      </c>
      <c r="K984">
        <v>1</v>
      </c>
      <c r="L984">
        <v>1</v>
      </c>
      <c r="M984">
        <v>777.37</v>
      </c>
      <c r="N984">
        <v>0</v>
      </c>
      <c r="O984" t="str">
        <f t="shared" si="60"/>
        <v>Average</v>
      </c>
      <c r="P984" t="str">
        <f t="shared" si="61"/>
        <v>Adult</v>
      </c>
      <c r="Q984" t="str">
        <f t="shared" si="62"/>
        <v>Low Salary</v>
      </c>
      <c r="R984" t="str">
        <f t="shared" si="63"/>
        <v>Low Balance</v>
      </c>
    </row>
    <row r="985" spans="1:18" x14ac:dyDescent="0.25">
      <c r="A985">
        <v>984</v>
      </c>
      <c r="B985">
        <v>15807008</v>
      </c>
      <c r="C985" t="s">
        <v>679</v>
      </c>
      <c r="D985" t="s">
        <v>26</v>
      </c>
      <c r="E985" t="s">
        <v>16</v>
      </c>
      <c r="F985">
        <v>614</v>
      </c>
      <c r="G985">
        <v>35</v>
      </c>
      <c r="H985">
        <v>6</v>
      </c>
      <c r="I985">
        <v>128100.28</v>
      </c>
      <c r="J985">
        <v>1</v>
      </c>
      <c r="K985">
        <v>0</v>
      </c>
      <c r="L985">
        <v>0</v>
      </c>
      <c r="M985">
        <v>69454.240000000005</v>
      </c>
      <c r="N985">
        <v>1</v>
      </c>
      <c r="O985" t="str">
        <f t="shared" si="60"/>
        <v>Average</v>
      </c>
      <c r="P985" t="str">
        <f t="shared" si="61"/>
        <v>Adult</v>
      </c>
      <c r="Q985" t="str">
        <f t="shared" si="62"/>
        <v>Medium Salary</v>
      </c>
      <c r="R985" t="str">
        <f t="shared" si="63"/>
        <v>High Balance</v>
      </c>
    </row>
    <row r="986" spans="1:18" x14ac:dyDescent="0.25">
      <c r="A986">
        <v>985</v>
      </c>
      <c r="B986">
        <v>15704770</v>
      </c>
      <c r="C986" t="s">
        <v>747</v>
      </c>
      <c r="D986" t="s">
        <v>15</v>
      </c>
      <c r="E986" t="s">
        <v>23</v>
      </c>
      <c r="F986">
        <v>773</v>
      </c>
      <c r="G986">
        <v>25</v>
      </c>
      <c r="H986">
        <v>1</v>
      </c>
      <c r="I986">
        <v>124532.78</v>
      </c>
      <c r="J986">
        <v>2</v>
      </c>
      <c r="K986">
        <v>0</v>
      </c>
      <c r="L986">
        <v>1</v>
      </c>
      <c r="M986">
        <v>11723.57</v>
      </c>
      <c r="N986">
        <v>0</v>
      </c>
      <c r="O986" t="str">
        <f t="shared" si="60"/>
        <v>Good</v>
      </c>
      <c r="P986" t="str">
        <f t="shared" si="61"/>
        <v>Young Adult</v>
      </c>
      <c r="Q986" t="str">
        <f t="shared" si="62"/>
        <v>Low Salary</v>
      </c>
      <c r="R986" t="str">
        <f t="shared" si="63"/>
        <v>High Balance</v>
      </c>
    </row>
    <row r="987" spans="1:18" x14ac:dyDescent="0.25">
      <c r="A987">
        <v>986</v>
      </c>
      <c r="B987">
        <v>15756475</v>
      </c>
      <c r="C987" t="s">
        <v>748</v>
      </c>
      <c r="D987" t="s">
        <v>26</v>
      </c>
      <c r="E987" t="s">
        <v>23</v>
      </c>
      <c r="F987">
        <v>551</v>
      </c>
      <c r="G987">
        <v>31</v>
      </c>
      <c r="H987">
        <v>9</v>
      </c>
      <c r="I987">
        <v>82293.820000000007</v>
      </c>
      <c r="J987">
        <v>2</v>
      </c>
      <c r="K987">
        <v>1</v>
      </c>
      <c r="L987">
        <v>1</v>
      </c>
      <c r="M987">
        <v>91565.25</v>
      </c>
      <c r="N987">
        <v>0</v>
      </c>
      <c r="O987" t="str">
        <f t="shared" si="60"/>
        <v>Poor</v>
      </c>
      <c r="P987" t="str">
        <f t="shared" si="61"/>
        <v>Adult</v>
      </c>
      <c r="Q987" t="str">
        <f t="shared" si="62"/>
        <v>High Salary</v>
      </c>
      <c r="R987" t="str">
        <f t="shared" si="63"/>
        <v>Medium Balance</v>
      </c>
    </row>
    <row r="988" spans="1:18" x14ac:dyDescent="0.25">
      <c r="A988">
        <v>987</v>
      </c>
      <c r="B988">
        <v>15655339</v>
      </c>
      <c r="C988" t="s">
        <v>749</v>
      </c>
      <c r="D988" t="s">
        <v>15</v>
      </c>
      <c r="E988" t="s">
        <v>23</v>
      </c>
      <c r="F988">
        <v>566</v>
      </c>
      <c r="G988">
        <v>36</v>
      </c>
      <c r="H988">
        <v>1</v>
      </c>
      <c r="I988">
        <v>142120.91</v>
      </c>
      <c r="J988">
        <v>1</v>
      </c>
      <c r="K988">
        <v>1</v>
      </c>
      <c r="L988">
        <v>0</v>
      </c>
      <c r="M988">
        <v>79616.37</v>
      </c>
      <c r="N988">
        <v>0</v>
      </c>
      <c r="O988" t="str">
        <f t="shared" si="60"/>
        <v>Poor</v>
      </c>
      <c r="P988" t="str">
        <f t="shared" si="61"/>
        <v>Adult</v>
      </c>
      <c r="Q988" t="str">
        <f t="shared" si="62"/>
        <v>High Salary</v>
      </c>
      <c r="R988" t="str">
        <f t="shared" si="63"/>
        <v>High Balance</v>
      </c>
    </row>
    <row r="989" spans="1:18" x14ac:dyDescent="0.25">
      <c r="A989">
        <v>988</v>
      </c>
      <c r="B989">
        <v>15613749</v>
      </c>
      <c r="C989" t="s">
        <v>750</v>
      </c>
      <c r="D989" t="s">
        <v>18</v>
      </c>
      <c r="E989" t="s">
        <v>23</v>
      </c>
      <c r="F989">
        <v>569</v>
      </c>
      <c r="G989">
        <v>34</v>
      </c>
      <c r="H989">
        <v>0</v>
      </c>
      <c r="I989">
        <v>151839.26</v>
      </c>
      <c r="J989">
        <v>1</v>
      </c>
      <c r="K989">
        <v>1</v>
      </c>
      <c r="L989">
        <v>0</v>
      </c>
      <c r="M989">
        <v>102299.81</v>
      </c>
      <c r="N989">
        <v>1</v>
      </c>
      <c r="O989" t="str">
        <f t="shared" si="60"/>
        <v>Poor</v>
      </c>
      <c r="P989" t="str">
        <f t="shared" si="61"/>
        <v>Adult</v>
      </c>
      <c r="Q989" t="str">
        <f t="shared" si="62"/>
        <v>High Salary</v>
      </c>
      <c r="R989" t="str">
        <f t="shared" si="63"/>
        <v>High Balance</v>
      </c>
    </row>
    <row r="990" spans="1:18" x14ac:dyDescent="0.25">
      <c r="A990">
        <v>989</v>
      </c>
      <c r="B990">
        <v>15664521</v>
      </c>
      <c r="C990" t="s">
        <v>751</v>
      </c>
      <c r="D990" t="s">
        <v>18</v>
      </c>
      <c r="E990" t="s">
        <v>23</v>
      </c>
      <c r="F990">
        <v>659</v>
      </c>
      <c r="G990">
        <v>31</v>
      </c>
      <c r="H990">
        <v>7</v>
      </c>
      <c r="I990">
        <v>149620.88</v>
      </c>
      <c r="J990">
        <v>2</v>
      </c>
      <c r="K990">
        <v>1</v>
      </c>
      <c r="L990">
        <v>1</v>
      </c>
      <c r="M990">
        <v>104533.51</v>
      </c>
      <c r="N990">
        <v>0</v>
      </c>
      <c r="O990" t="str">
        <f t="shared" si="60"/>
        <v>Average</v>
      </c>
      <c r="P990" t="str">
        <f t="shared" si="61"/>
        <v>Adult</v>
      </c>
      <c r="Q990" t="str">
        <f t="shared" si="62"/>
        <v>High Salary</v>
      </c>
      <c r="R990" t="str">
        <f t="shared" si="63"/>
        <v>High Balance</v>
      </c>
    </row>
    <row r="991" spans="1:18" x14ac:dyDescent="0.25">
      <c r="A991">
        <v>990</v>
      </c>
      <c r="B991">
        <v>15681206</v>
      </c>
      <c r="C991" t="s">
        <v>752</v>
      </c>
      <c r="D991" t="s">
        <v>15</v>
      </c>
      <c r="E991" t="s">
        <v>16</v>
      </c>
      <c r="F991">
        <v>722</v>
      </c>
      <c r="G991">
        <v>49</v>
      </c>
      <c r="H991">
        <v>3</v>
      </c>
      <c r="I991">
        <v>168197.66</v>
      </c>
      <c r="J991">
        <v>1</v>
      </c>
      <c r="K991">
        <v>1</v>
      </c>
      <c r="L991">
        <v>0</v>
      </c>
      <c r="M991">
        <v>140765.57</v>
      </c>
      <c r="N991">
        <v>1</v>
      </c>
      <c r="O991" t="str">
        <f t="shared" si="60"/>
        <v>Good</v>
      </c>
      <c r="P991" t="str">
        <f t="shared" si="61"/>
        <v>Adult</v>
      </c>
      <c r="Q991" t="str">
        <f t="shared" si="62"/>
        <v>High Salary</v>
      </c>
      <c r="R991" t="str">
        <f t="shared" si="63"/>
        <v>High Balance</v>
      </c>
    </row>
    <row r="992" spans="1:18" x14ac:dyDescent="0.25">
      <c r="A992">
        <v>991</v>
      </c>
      <c r="B992">
        <v>15745527</v>
      </c>
      <c r="C992" t="s">
        <v>506</v>
      </c>
      <c r="D992" t="s">
        <v>15</v>
      </c>
      <c r="E992" t="s">
        <v>23</v>
      </c>
      <c r="F992">
        <v>655</v>
      </c>
      <c r="G992">
        <v>37</v>
      </c>
      <c r="H992">
        <v>5</v>
      </c>
      <c r="I992">
        <v>93147</v>
      </c>
      <c r="J992">
        <v>2</v>
      </c>
      <c r="K992">
        <v>1</v>
      </c>
      <c r="L992">
        <v>0</v>
      </c>
      <c r="M992">
        <v>66214.13</v>
      </c>
      <c r="N992">
        <v>0</v>
      </c>
      <c r="O992" t="str">
        <f t="shared" si="60"/>
        <v>Average</v>
      </c>
      <c r="P992" t="str">
        <f t="shared" si="61"/>
        <v>Adult</v>
      </c>
      <c r="Q992" t="str">
        <f>IF(M992&lt;30000, "Low Salary", IF(AND(M992&gt;=30000, M992&lt;=70000), "Medium Salary", "High Salary"))</f>
        <v>Medium Salary</v>
      </c>
      <c r="R992" t="str">
        <f t="shared" si="63"/>
        <v>Medium Balance</v>
      </c>
    </row>
  </sheetData>
  <autoFilter ref="A1:Q992" xr:uid="{C6724BF4-D6E6-40E1-8A9E-5344DCC2B643}"/>
  <mergeCells count="1">
    <mergeCell ref="W2:X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CE48C-B84C-4E97-86DA-798E5A3AF61E}">
  <dimension ref="A1:Q205"/>
  <sheetViews>
    <sheetView topLeftCell="B1" workbookViewId="0">
      <selection activeCell="O3" sqref="O3"/>
    </sheetView>
  </sheetViews>
  <sheetFormatPr defaultRowHeight="15" x14ac:dyDescent="0.25"/>
  <cols>
    <col min="1" max="1" width="17.85546875" bestFit="1" customWidth="1"/>
    <col min="2" max="2" width="16.42578125" customWidth="1"/>
    <col min="3" max="3" width="17.5703125" bestFit="1" customWidth="1"/>
    <col min="4" max="4" width="12.5703125" bestFit="1" customWidth="1"/>
    <col min="5" max="5" width="12.28515625" bestFit="1" customWidth="1"/>
    <col min="6" max="6" width="16.28515625" bestFit="1" customWidth="1"/>
    <col min="7" max="7" width="9" bestFit="1" customWidth="1"/>
    <col min="8" max="8" width="11.85546875" style="43" bestFit="1" customWidth="1"/>
    <col min="9" max="9" width="12.42578125" style="44" bestFit="1" customWidth="1"/>
    <col min="10" max="10" width="19.85546875" style="43" bestFit="1" customWidth="1"/>
    <col min="11" max="11" width="15.5703125" style="43" bestFit="1" customWidth="1"/>
    <col min="12" max="12" width="20.42578125" style="44" bestFit="1" customWidth="1"/>
    <col min="13" max="13" width="20.28515625" style="44" bestFit="1" customWidth="1"/>
    <col min="14" max="14" width="21.140625" style="44" bestFit="1" customWidth="1"/>
    <col min="15" max="15" width="18.5703125" bestFit="1" customWidth="1"/>
    <col min="16" max="16" width="11.7109375" bestFit="1" customWidth="1"/>
    <col min="17" max="17" width="14.28515625" bestFit="1" customWidth="1"/>
  </cols>
  <sheetData>
    <row r="1" spans="1:17" s="11" customFormat="1" x14ac:dyDescent="0.25">
      <c r="A1" s="10" t="s">
        <v>0</v>
      </c>
      <c r="B1" s="10" t="s">
        <v>1</v>
      </c>
      <c r="C1" s="10" t="s">
        <v>2</v>
      </c>
      <c r="D1" s="10" t="s">
        <v>4</v>
      </c>
      <c r="E1" s="10" t="s">
        <v>5</v>
      </c>
      <c r="F1" s="10" t="s">
        <v>3</v>
      </c>
      <c r="G1" s="10" t="s">
        <v>6</v>
      </c>
      <c r="H1" s="42" t="s">
        <v>7</v>
      </c>
      <c r="I1" s="10" t="s">
        <v>8</v>
      </c>
      <c r="J1" s="42" t="s">
        <v>9</v>
      </c>
      <c r="K1" s="42" t="s">
        <v>10</v>
      </c>
      <c r="L1" s="10" t="s">
        <v>11</v>
      </c>
      <c r="M1" s="10" t="s">
        <v>12</v>
      </c>
      <c r="N1" s="10" t="s">
        <v>13</v>
      </c>
      <c r="O1" s="77" t="s">
        <v>826</v>
      </c>
      <c r="P1" s="77" t="s">
        <v>832</v>
      </c>
      <c r="Q1" s="77" t="s">
        <v>840</v>
      </c>
    </row>
    <row r="2" spans="1:17" x14ac:dyDescent="0.25">
      <c r="A2">
        <v>1</v>
      </c>
      <c r="B2">
        <v>15634602</v>
      </c>
      <c r="C2" t="s">
        <v>14</v>
      </c>
      <c r="D2" t="s">
        <v>15</v>
      </c>
      <c r="E2" t="s">
        <v>16</v>
      </c>
      <c r="F2">
        <v>619</v>
      </c>
      <c r="G2">
        <v>42</v>
      </c>
      <c r="H2" s="43">
        <v>2</v>
      </c>
      <c r="I2" s="44">
        <v>0</v>
      </c>
      <c r="J2" s="43">
        <v>1</v>
      </c>
      <c r="K2" s="43">
        <v>1</v>
      </c>
      <c r="L2" s="44">
        <v>1</v>
      </c>
      <c r="M2" s="44">
        <v>101348.88</v>
      </c>
      <c r="N2" s="44">
        <v>1</v>
      </c>
      <c r="O2" t="str">
        <f>IF(F2&lt;580, "Poor", IF(AND(F2&gt;=580, F2&lt;=669), "Average", "Good"))</f>
        <v>Average</v>
      </c>
      <c r="P2" t="str">
        <f>IF(G2&lt;=30, "Young Adult", IF(AND(G2&gt;=31, G2&lt;=60), "Adult", "Senior"))</f>
        <v>Adult</v>
      </c>
      <c r="Q2" t="str">
        <f>IF(M2&lt;30000, "Low Salary", IF(AND(M2&gt;=30000, M2&lt;=70000), "Medium Salary", "High Salary"))</f>
        <v>High Salary</v>
      </c>
    </row>
    <row r="3" spans="1:17" x14ac:dyDescent="0.25">
      <c r="A3">
        <v>3</v>
      </c>
      <c r="B3">
        <v>15619304</v>
      </c>
      <c r="C3" t="s">
        <v>19</v>
      </c>
      <c r="D3" t="s">
        <v>15</v>
      </c>
      <c r="E3" t="s">
        <v>16</v>
      </c>
      <c r="F3">
        <v>502</v>
      </c>
      <c r="G3">
        <v>42</v>
      </c>
      <c r="H3" s="43">
        <v>8</v>
      </c>
      <c r="I3" s="44">
        <v>159660.79999999999</v>
      </c>
      <c r="J3" s="43">
        <v>3</v>
      </c>
      <c r="K3" s="43">
        <v>1</v>
      </c>
      <c r="L3" s="44">
        <v>0</v>
      </c>
      <c r="M3" s="44">
        <v>113931.57</v>
      </c>
      <c r="N3" s="44">
        <v>1</v>
      </c>
      <c r="O3" t="str">
        <f t="shared" ref="O3:O66" si="0">IF(F3&lt;580, "Poor", IF(AND(F3&gt;=580, F3&lt;=669), "Average", "Good"))</f>
        <v>Poor</v>
      </c>
      <c r="P3" t="str">
        <f t="shared" ref="P3:P66" si="1">IF(G3&lt;=30, "Young Adult", IF(AND(G3&gt;=31, G3&lt;=60), "Adult", "Senior"))</f>
        <v>Adult</v>
      </c>
      <c r="Q3" t="str">
        <f t="shared" ref="Q3:Q66" si="2">IF(M3&lt;30000, "Low Salary", IF(AND(M3&gt;=30000, M3&lt;=70000), "Medium Salary", "High Salary"))</f>
        <v>High Salary</v>
      </c>
    </row>
    <row r="4" spans="1:17" x14ac:dyDescent="0.25">
      <c r="A4">
        <v>6</v>
      </c>
      <c r="B4">
        <v>15574012</v>
      </c>
      <c r="C4" t="s">
        <v>22</v>
      </c>
      <c r="D4" t="s">
        <v>18</v>
      </c>
      <c r="E4" t="s">
        <v>23</v>
      </c>
      <c r="F4">
        <v>645</v>
      </c>
      <c r="G4">
        <v>44</v>
      </c>
      <c r="H4" s="43">
        <v>8</v>
      </c>
      <c r="I4" s="44">
        <v>113755.78</v>
      </c>
      <c r="J4" s="43">
        <v>2</v>
      </c>
      <c r="K4" s="43">
        <v>1</v>
      </c>
      <c r="L4" s="44">
        <v>0</v>
      </c>
      <c r="M4" s="44">
        <v>149756.71</v>
      </c>
      <c r="N4" s="44">
        <v>1</v>
      </c>
      <c r="O4" t="str">
        <f t="shared" si="0"/>
        <v>Average</v>
      </c>
      <c r="P4" t="str">
        <f t="shared" si="1"/>
        <v>Adult</v>
      </c>
      <c r="Q4" t="str">
        <f t="shared" si="2"/>
        <v>High Salary</v>
      </c>
    </row>
    <row r="5" spans="1:17" x14ac:dyDescent="0.25">
      <c r="A5">
        <v>8</v>
      </c>
      <c r="B5">
        <v>15656148</v>
      </c>
      <c r="C5" t="s">
        <v>25</v>
      </c>
      <c r="D5" t="s">
        <v>26</v>
      </c>
      <c r="E5" t="s">
        <v>16</v>
      </c>
      <c r="F5">
        <v>376</v>
      </c>
      <c r="G5">
        <v>29</v>
      </c>
      <c r="H5" s="43">
        <v>4</v>
      </c>
      <c r="I5" s="44">
        <v>115046.74</v>
      </c>
      <c r="J5" s="43">
        <v>4</v>
      </c>
      <c r="K5" s="43">
        <v>1</v>
      </c>
      <c r="L5" s="44">
        <v>0</v>
      </c>
      <c r="M5" s="44">
        <v>119346.88</v>
      </c>
      <c r="N5" s="44">
        <v>1</v>
      </c>
      <c r="O5" t="str">
        <f t="shared" si="0"/>
        <v>Poor</v>
      </c>
      <c r="P5" t="str">
        <f t="shared" si="1"/>
        <v>Young Adult</v>
      </c>
      <c r="Q5" t="str">
        <f t="shared" si="2"/>
        <v>High Salary</v>
      </c>
    </row>
    <row r="6" spans="1:17" x14ac:dyDescent="0.25">
      <c r="A6">
        <v>17</v>
      </c>
      <c r="B6">
        <v>15737452</v>
      </c>
      <c r="C6" t="s">
        <v>35</v>
      </c>
      <c r="D6" t="s">
        <v>26</v>
      </c>
      <c r="E6" t="s">
        <v>23</v>
      </c>
      <c r="F6">
        <v>653</v>
      </c>
      <c r="G6">
        <v>58</v>
      </c>
      <c r="H6" s="43">
        <v>1</v>
      </c>
      <c r="I6" s="44">
        <v>132602.88</v>
      </c>
      <c r="J6" s="43">
        <v>1</v>
      </c>
      <c r="K6" s="43">
        <v>1</v>
      </c>
      <c r="L6" s="44">
        <v>0</v>
      </c>
      <c r="M6" s="44">
        <v>5097.67</v>
      </c>
      <c r="N6" s="44">
        <v>1</v>
      </c>
      <c r="O6" t="str">
        <f t="shared" si="0"/>
        <v>Average</v>
      </c>
      <c r="P6" t="str">
        <f t="shared" si="1"/>
        <v>Adult</v>
      </c>
      <c r="Q6" t="str">
        <f t="shared" si="2"/>
        <v>Low Salary</v>
      </c>
    </row>
    <row r="7" spans="1:17" x14ac:dyDescent="0.25">
      <c r="A7">
        <v>23</v>
      </c>
      <c r="B7">
        <v>15699309</v>
      </c>
      <c r="C7" t="s">
        <v>41</v>
      </c>
      <c r="D7" t="s">
        <v>18</v>
      </c>
      <c r="E7" t="s">
        <v>16</v>
      </c>
      <c r="F7">
        <v>510</v>
      </c>
      <c r="G7">
        <v>37</v>
      </c>
      <c r="H7" s="43">
        <v>4</v>
      </c>
      <c r="I7" s="44">
        <v>0</v>
      </c>
      <c r="J7" s="43">
        <v>1</v>
      </c>
      <c r="K7" s="43">
        <v>1</v>
      </c>
      <c r="L7" s="44">
        <v>0</v>
      </c>
      <c r="M7" s="44">
        <v>118913.53</v>
      </c>
      <c r="N7" s="44">
        <v>1</v>
      </c>
      <c r="O7" t="str">
        <f t="shared" si="0"/>
        <v>Poor</v>
      </c>
      <c r="P7" t="str">
        <f t="shared" si="1"/>
        <v>Adult</v>
      </c>
      <c r="Q7" t="str">
        <f t="shared" si="2"/>
        <v>High Salary</v>
      </c>
    </row>
    <row r="8" spans="1:17" x14ac:dyDescent="0.25">
      <c r="A8">
        <v>31</v>
      </c>
      <c r="B8">
        <v>15589475</v>
      </c>
      <c r="C8" t="s">
        <v>49</v>
      </c>
      <c r="D8" t="s">
        <v>18</v>
      </c>
      <c r="E8" t="s">
        <v>16</v>
      </c>
      <c r="F8">
        <v>591</v>
      </c>
      <c r="G8">
        <v>39</v>
      </c>
      <c r="H8" s="43">
        <v>3</v>
      </c>
      <c r="I8" s="44">
        <v>0</v>
      </c>
      <c r="J8" s="43">
        <v>3</v>
      </c>
      <c r="K8" s="43">
        <v>1</v>
      </c>
      <c r="L8" s="44">
        <v>0</v>
      </c>
      <c r="M8" s="44">
        <v>140469.38</v>
      </c>
      <c r="N8" s="44">
        <v>1</v>
      </c>
      <c r="O8" t="str">
        <f t="shared" si="0"/>
        <v>Average</v>
      </c>
      <c r="P8" t="str">
        <f t="shared" si="1"/>
        <v>Adult</v>
      </c>
      <c r="Q8" t="str">
        <f t="shared" si="2"/>
        <v>High Salary</v>
      </c>
    </row>
    <row r="9" spans="1:17" x14ac:dyDescent="0.25">
      <c r="A9">
        <v>36</v>
      </c>
      <c r="B9">
        <v>15794171</v>
      </c>
      <c r="C9" t="s">
        <v>54</v>
      </c>
      <c r="D9" t="s">
        <v>15</v>
      </c>
      <c r="E9" t="s">
        <v>16</v>
      </c>
      <c r="F9">
        <v>475</v>
      </c>
      <c r="G9">
        <v>45</v>
      </c>
      <c r="H9" s="43">
        <v>0</v>
      </c>
      <c r="I9" s="44">
        <v>134264.04</v>
      </c>
      <c r="J9" s="43">
        <v>1</v>
      </c>
      <c r="K9" s="43">
        <v>1</v>
      </c>
      <c r="L9" s="44">
        <v>0</v>
      </c>
      <c r="M9" s="44">
        <v>27822.99</v>
      </c>
      <c r="N9" s="44">
        <v>1</v>
      </c>
      <c r="O9" t="str">
        <f t="shared" si="0"/>
        <v>Poor</v>
      </c>
      <c r="P9" t="str">
        <f t="shared" si="1"/>
        <v>Adult</v>
      </c>
      <c r="Q9" t="str">
        <f t="shared" si="2"/>
        <v>Low Salary</v>
      </c>
    </row>
    <row r="10" spans="1:17" x14ac:dyDescent="0.25">
      <c r="A10">
        <v>42</v>
      </c>
      <c r="B10">
        <v>15738148</v>
      </c>
      <c r="C10" t="s">
        <v>60</v>
      </c>
      <c r="D10" t="s">
        <v>15</v>
      </c>
      <c r="E10" t="s">
        <v>16</v>
      </c>
      <c r="F10">
        <v>465</v>
      </c>
      <c r="G10">
        <v>51</v>
      </c>
      <c r="H10" s="43">
        <v>8</v>
      </c>
      <c r="I10" s="44">
        <v>122522.32</v>
      </c>
      <c r="J10" s="43">
        <v>1</v>
      </c>
      <c r="K10" s="43">
        <v>0</v>
      </c>
      <c r="L10" s="44">
        <v>0</v>
      </c>
      <c r="M10" s="44">
        <v>181297.65</v>
      </c>
      <c r="N10" s="44">
        <v>1</v>
      </c>
      <c r="O10" t="str">
        <f t="shared" si="0"/>
        <v>Poor</v>
      </c>
      <c r="P10" t="str">
        <f t="shared" si="1"/>
        <v>Adult</v>
      </c>
      <c r="Q10" t="str">
        <f t="shared" si="2"/>
        <v>High Salary</v>
      </c>
    </row>
    <row r="11" spans="1:17" x14ac:dyDescent="0.25">
      <c r="A11">
        <v>44</v>
      </c>
      <c r="B11">
        <v>15755196</v>
      </c>
      <c r="C11" t="s">
        <v>62</v>
      </c>
      <c r="D11" t="s">
        <v>15</v>
      </c>
      <c r="E11" t="s">
        <v>16</v>
      </c>
      <c r="F11">
        <v>834</v>
      </c>
      <c r="G11">
        <v>49</v>
      </c>
      <c r="H11" s="43">
        <v>2</v>
      </c>
      <c r="I11" s="44">
        <v>131394.56</v>
      </c>
      <c r="J11" s="43">
        <v>1</v>
      </c>
      <c r="K11" s="43">
        <v>0</v>
      </c>
      <c r="L11" s="44">
        <v>0</v>
      </c>
      <c r="M11" s="44">
        <v>194365.76</v>
      </c>
      <c r="N11" s="44">
        <v>1</v>
      </c>
      <c r="O11" t="str">
        <f t="shared" si="0"/>
        <v>Good</v>
      </c>
      <c r="P11" t="str">
        <f t="shared" si="1"/>
        <v>Adult</v>
      </c>
      <c r="Q11" t="str">
        <f t="shared" si="2"/>
        <v>High Salary</v>
      </c>
    </row>
    <row r="12" spans="1:17" x14ac:dyDescent="0.25">
      <c r="A12">
        <v>47</v>
      </c>
      <c r="B12">
        <v>15602280</v>
      </c>
      <c r="C12" t="s">
        <v>65</v>
      </c>
      <c r="D12" t="s">
        <v>26</v>
      </c>
      <c r="E12" t="s">
        <v>16</v>
      </c>
      <c r="F12">
        <v>829</v>
      </c>
      <c r="G12">
        <v>27</v>
      </c>
      <c r="H12" s="43">
        <v>9</v>
      </c>
      <c r="I12" s="44">
        <v>112045.67</v>
      </c>
      <c r="J12" s="43">
        <v>1</v>
      </c>
      <c r="K12" s="43">
        <v>1</v>
      </c>
      <c r="L12" s="44">
        <v>1</v>
      </c>
      <c r="M12" s="44">
        <v>119708.21</v>
      </c>
      <c r="N12" s="44">
        <v>1</v>
      </c>
      <c r="O12" t="str">
        <f t="shared" si="0"/>
        <v>Good</v>
      </c>
      <c r="P12" t="str">
        <f t="shared" si="1"/>
        <v>Young Adult</v>
      </c>
      <c r="Q12" t="str">
        <f t="shared" si="2"/>
        <v>High Salary</v>
      </c>
    </row>
    <row r="13" spans="1:17" x14ac:dyDescent="0.25">
      <c r="A13">
        <v>48</v>
      </c>
      <c r="B13">
        <v>15771573</v>
      </c>
      <c r="C13" t="s">
        <v>66</v>
      </c>
      <c r="D13" t="s">
        <v>26</v>
      </c>
      <c r="E13" t="s">
        <v>16</v>
      </c>
      <c r="F13">
        <v>637</v>
      </c>
      <c r="G13">
        <v>39</v>
      </c>
      <c r="H13" s="43">
        <v>9</v>
      </c>
      <c r="I13" s="44">
        <v>137843.79999999999</v>
      </c>
      <c r="J13" s="43">
        <v>1</v>
      </c>
      <c r="K13" s="43">
        <v>1</v>
      </c>
      <c r="L13" s="44">
        <v>1</v>
      </c>
      <c r="M13" s="44">
        <v>117622.8</v>
      </c>
      <c r="N13" s="44">
        <v>1</v>
      </c>
      <c r="O13" t="str">
        <f t="shared" si="0"/>
        <v>Average</v>
      </c>
      <c r="P13" t="str">
        <f t="shared" si="1"/>
        <v>Adult</v>
      </c>
      <c r="Q13" t="str">
        <f t="shared" si="2"/>
        <v>High Salary</v>
      </c>
    </row>
    <row r="14" spans="1:17" x14ac:dyDescent="0.25">
      <c r="A14">
        <v>54</v>
      </c>
      <c r="B14">
        <v>15702298</v>
      </c>
      <c r="C14" t="s">
        <v>72</v>
      </c>
      <c r="D14" t="s">
        <v>26</v>
      </c>
      <c r="E14" t="s">
        <v>23</v>
      </c>
      <c r="F14">
        <v>655</v>
      </c>
      <c r="G14">
        <v>41</v>
      </c>
      <c r="H14" s="43">
        <v>8</v>
      </c>
      <c r="I14" s="44">
        <v>125561.97</v>
      </c>
      <c r="J14" s="43">
        <v>1</v>
      </c>
      <c r="K14" s="43">
        <v>0</v>
      </c>
      <c r="L14" s="44">
        <v>0</v>
      </c>
      <c r="M14" s="44">
        <v>164040.94</v>
      </c>
      <c r="N14" s="44">
        <v>1</v>
      </c>
      <c r="O14" t="str">
        <f t="shared" si="0"/>
        <v>Average</v>
      </c>
      <c r="P14" t="str">
        <f t="shared" si="1"/>
        <v>Adult</v>
      </c>
      <c r="Q14" t="str">
        <f t="shared" si="2"/>
        <v>High Salary</v>
      </c>
    </row>
    <row r="15" spans="1:17" x14ac:dyDescent="0.25">
      <c r="A15">
        <v>55</v>
      </c>
      <c r="B15">
        <v>15569590</v>
      </c>
      <c r="C15" t="s">
        <v>73</v>
      </c>
      <c r="D15" t="s">
        <v>26</v>
      </c>
      <c r="E15" t="s">
        <v>23</v>
      </c>
      <c r="F15">
        <v>601</v>
      </c>
      <c r="G15">
        <v>42</v>
      </c>
      <c r="H15" s="43">
        <v>1</v>
      </c>
      <c r="I15" s="44">
        <v>98495.72</v>
      </c>
      <c r="J15" s="43">
        <v>1</v>
      </c>
      <c r="K15" s="43">
        <v>1</v>
      </c>
      <c r="L15" s="44">
        <v>0</v>
      </c>
      <c r="M15" s="44">
        <v>40014.76</v>
      </c>
      <c r="N15" s="44">
        <v>1</v>
      </c>
      <c r="O15" t="str">
        <f t="shared" si="0"/>
        <v>Average</v>
      </c>
      <c r="P15" t="str">
        <f t="shared" si="1"/>
        <v>Adult</v>
      </c>
      <c r="Q15" t="str">
        <f t="shared" si="2"/>
        <v>Medium Salary</v>
      </c>
    </row>
    <row r="16" spans="1:17" x14ac:dyDescent="0.25">
      <c r="A16">
        <v>59</v>
      </c>
      <c r="B16">
        <v>15623944</v>
      </c>
      <c r="C16" t="s">
        <v>77</v>
      </c>
      <c r="D16" t="s">
        <v>18</v>
      </c>
      <c r="E16" t="s">
        <v>16</v>
      </c>
      <c r="F16">
        <v>511</v>
      </c>
      <c r="G16">
        <v>66</v>
      </c>
      <c r="H16" s="43">
        <v>4</v>
      </c>
      <c r="I16" s="44">
        <v>0</v>
      </c>
      <c r="J16" s="43">
        <v>1</v>
      </c>
      <c r="K16" s="43">
        <v>1</v>
      </c>
      <c r="L16" s="44">
        <v>0</v>
      </c>
      <c r="M16" s="44">
        <v>1643.11</v>
      </c>
      <c r="N16" s="44">
        <v>1</v>
      </c>
      <c r="O16" t="str">
        <f t="shared" si="0"/>
        <v>Poor</v>
      </c>
      <c r="P16" t="str">
        <f t="shared" si="1"/>
        <v>Senior</v>
      </c>
      <c r="Q16" t="str">
        <f t="shared" si="2"/>
        <v>Low Salary</v>
      </c>
    </row>
    <row r="17" spans="1:17" x14ac:dyDescent="0.25">
      <c r="A17">
        <v>71</v>
      </c>
      <c r="B17">
        <v>15703793</v>
      </c>
      <c r="C17" t="s">
        <v>89</v>
      </c>
      <c r="D17" t="s">
        <v>26</v>
      </c>
      <c r="E17" t="s">
        <v>23</v>
      </c>
      <c r="F17">
        <v>738</v>
      </c>
      <c r="G17">
        <v>58</v>
      </c>
      <c r="H17" s="43">
        <v>2</v>
      </c>
      <c r="I17" s="44">
        <v>133745.44</v>
      </c>
      <c r="J17" s="43">
        <v>4</v>
      </c>
      <c r="K17" s="43">
        <v>1</v>
      </c>
      <c r="L17" s="44">
        <v>0</v>
      </c>
      <c r="M17" s="44">
        <v>28373.86</v>
      </c>
      <c r="N17" s="44">
        <v>1</v>
      </c>
      <c r="O17" t="str">
        <f t="shared" si="0"/>
        <v>Good</v>
      </c>
      <c r="P17" t="str">
        <f t="shared" si="1"/>
        <v>Adult</v>
      </c>
      <c r="Q17" t="str">
        <f t="shared" si="2"/>
        <v>Low Salary</v>
      </c>
    </row>
    <row r="18" spans="1:17" x14ac:dyDescent="0.25">
      <c r="A18">
        <v>82</v>
      </c>
      <c r="B18">
        <v>15663706</v>
      </c>
      <c r="C18" t="s">
        <v>100</v>
      </c>
      <c r="D18" t="s">
        <v>15</v>
      </c>
      <c r="E18" t="s">
        <v>16</v>
      </c>
      <c r="F18">
        <v>777</v>
      </c>
      <c r="G18">
        <v>32</v>
      </c>
      <c r="H18" s="43">
        <v>2</v>
      </c>
      <c r="I18" s="44">
        <v>0</v>
      </c>
      <c r="J18" s="43">
        <v>1</v>
      </c>
      <c r="K18" s="43">
        <v>1</v>
      </c>
      <c r="L18" s="44">
        <v>0</v>
      </c>
      <c r="M18" s="44">
        <v>136458.19</v>
      </c>
      <c r="N18" s="44">
        <v>1</v>
      </c>
      <c r="O18" t="str">
        <f t="shared" si="0"/>
        <v>Good</v>
      </c>
      <c r="P18" t="str">
        <f t="shared" si="1"/>
        <v>Adult</v>
      </c>
      <c r="Q18" t="str">
        <f t="shared" si="2"/>
        <v>High Salary</v>
      </c>
    </row>
    <row r="19" spans="1:17" x14ac:dyDescent="0.25">
      <c r="A19">
        <v>87</v>
      </c>
      <c r="B19">
        <v>15762418</v>
      </c>
      <c r="C19" t="s">
        <v>105</v>
      </c>
      <c r="D19" t="s">
        <v>18</v>
      </c>
      <c r="E19" t="s">
        <v>23</v>
      </c>
      <c r="F19">
        <v>750</v>
      </c>
      <c r="G19">
        <v>22</v>
      </c>
      <c r="H19" s="43">
        <v>3</v>
      </c>
      <c r="I19" s="44">
        <v>121681.82</v>
      </c>
      <c r="J19" s="43">
        <v>1</v>
      </c>
      <c r="K19" s="43">
        <v>1</v>
      </c>
      <c r="L19" s="44">
        <v>0</v>
      </c>
      <c r="M19" s="44">
        <v>128643.35</v>
      </c>
      <c r="N19" s="44">
        <v>1</v>
      </c>
      <c r="O19" t="str">
        <f t="shared" si="0"/>
        <v>Good</v>
      </c>
      <c r="P19" t="str">
        <f t="shared" si="1"/>
        <v>Young Adult</v>
      </c>
      <c r="Q19" t="str">
        <f t="shared" si="2"/>
        <v>High Salary</v>
      </c>
    </row>
    <row r="20" spans="1:17" x14ac:dyDescent="0.25">
      <c r="A20">
        <v>89</v>
      </c>
      <c r="B20">
        <v>15622897</v>
      </c>
      <c r="C20" t="s">
        <v>107</v>
      </c>
      <c r="D20" t="s">
        <v>15</v>
      </c>
      <c r="E20" t="s">
        <v>16</v>
      </c>
      <c r="F20">
        <v>646</v>
      </c>
      <c r="G20">
        <v>46</v>
      </c>
      <c r="H20" s="43">
        <v>4</v>
      </c>
      <c r="I20" s="44">
        <v>0</v>
      </c>
      <c r="J20" s="43">
        <v>3</v>
      </c>
      <c r="K20" s="43">
        <v>1</v>
      </c>
      <c r="L20" s="44">
        <v>0</v>
      </c>
      <c r="M20" s="44">
        <v>93251.42</v>
      </c>
      <c r="N20" s="44">
        <v>1</v>
      </c>
      <c r="O20" t="str">
        <f t="shared" si="0"/>
        <v>Average</v>
      </c>
      <c r="P20" t="str">
        <f t="shared" si="1"/>
        <v>Adult</v>
      </c>
      <c r="Q20" t="str">
        <f t="shared" si="2"/>
        <v>High Salary</v>
      </c>
    </row>
    <row r="21" spans="1:17" x14ac:dyDescent="0.25">
      <c r="A21">
        <v>91</v>
      </c>
      <c r="B21">
        <v>15757535</v>
      </c>
      <c r="C21" t="s">
        <v>108</v>
      </c>
      <c r="D21" t="s">
        <v>18</v>
      </c>
      <c r="E21" t="s">
        <v>16</v>
      </c>
      <c r="F21">
        <v>647</v>
      </c>
      <c r="G21">
        <v>44</v>
      </c>
      <c r="H21" s="43">
        <v>5</v>
      </c>
      <c r="I21" s="44">
        <v>0</v>
      </c>
      <c r="J21" s="43">
        <v>3</v>
      </c>
      <c r="K21" s="43">
        <v>1</v>
      </c>
      <c r="L21" s="44">
        <v>1</v>
      </c>
      <c r="M21" s="44">
        <v>174205.22</v>
      </c>
      <c r="N21" s="44">
        <v>1</v>
      </c>
      <c r="O21" t="str">
        <f t="shared" si="0"/>
        <v>Average</v>
      </c>
      <c r="P21" t="str">
        <f t="shared" si="1"/>
        <v>Adult</v>
      </c>
      <c r="Q21" t="str">
        <f t="shared" si="2"/>
        <v>High Salary</v>
      </c>
    </row>
    <row r="22" spans="1:17" x14ac:dyDescent="0.25">
      <c r="A22">
        <v>105</v>
      </c>
      <c r="B22">
        <v>15804919</v>
      </c>
      <c r="C22" t="s">
        <v>120</v>
      </c>
      <c r="D22" t="s">
        <v>18</v>
      </c>
      <c r="E22" t="s">
        <v>16</v>
      </c>
      <c r="F22">
        <v>670</v>
      </c>
      <c r="G22">
        <v>65</v>
      </c>
      <c r="H22" s="43">
        <v>1</v>
      </c>
      <c r="I22" s="44">
        <v>0</v>
      </c>
      <c r="J22" s="43">
        <v>1</v>
      </c>
      <c r="K22" s="43">
        <v>1</v>
      </c>
      <c r="L22" s="44">
        <v>1</v>
      </c>
      <c r="M22" s="44">
        <v>177655.67999999999</v>
      </c>
      <c r="N22" s="44">
        <v>1</v>
      </c>
      <c r="O22" t="str">
        <f t="shared" si="0"/>
        <v>Good</v>
      </c>
      <c r="P22" t="str">
        <f t="shared" si="1"/>
        <v>Senior</v>
      </c>
      <c r="Q22" t="str">
        <f t="shared" si="2"/>
        <v>High Salary</v>
      </c>
    </row>
    <row r="23" spans="1:17" x14ac:dyDescent="0.25">
      <c r="A23">
        <v>106</v>
      </c>
      <c r="B23">
        <v>15613854</v>
      </c>
      <c r="C23" t="s">
        <v>121</v>
      </c>
      <c r="D23" t="s">
        <v>18</v>
      </c>
      <c r="E23" t="s">
        <v>16</v>
      </c>
      <c r="F23">
        <v>622</v>
      </c>
      <c r="G23">
        <v>46</v>
      </c>
      <c r="H23" s="43">
        <v>4</v>
      </c>
      <c r="I23" s="44">
        <v>107073.27</v>
      </c>
      <c r="J23" s="43">
        <v>2</v>
      </c>
      <c r="K23" s="43">
        <v>1</v>
      </c>
      <c r="L23" s="44">
        <v>1</v>
      </c>
      <c r="M23" s="44">
        <v>30984.59</v>
      </c>
      <c r="N23" s="44">
        <v>1</v>
      </c>
      <c r="O23" t="str">
        <f t="shared" si="0"/>
        <v>Average</v>
      </c>
      <c r="P23" t="str">
        <f t="shared" si="1"/>
        <v>Adult</v>
      </c>
      <c r="Q23" t="str">
        <f t="shared" si="2"/>
        <v>Medium Salary</v>
      </c>
    </row>
    <row r="24" spans="1:17" x14ac:dyDescent="0.25">
      <c r="A24">
        <v>110</v>
      </c>
      <c r="B24">
        <v>15744689</v>
      </c>
      <c r="C24" t="s">
        <v>125</v>
      </c>
      <c r="D24" t="s">
        <v>26</v>
      </c>
      <c r="E24" t="s">
        <v>23</v>
      </c>
      <c r="F24">
        <v>479</v>
      </c>
      <c r="G24">
        <v>35</v>
      </c>
      <c r="H24" s="43">
        <v>9</v>
      </c>
      <c r="I24" s="44">
        <v>92833.89</v>
      </c>
      <c r="J24" s="43">
        <v>1</v>
      </c>
      <c r="K24" s="43">
        <v>1</v>
      </c>
      <c r="L24" s="44">
        <v>0</v>
      </c>
      <c r="M24" s="44">
        <v>99449.86</v>
      </c>
      <c r="N24" s="44">
        <v>1</v>
      </c>
      <c r="O24" t="str">
        <f t="shared" si="0"/>
        <v>Poor</v>
      </c>
      <c r="P24" t="str">
        <f t="shared" si="1"/>
        <v>Adult</v>
      </c>
      <c r="Q24" t="str">
        <f t="shared" si="2"/>
        <v>High Salary</v>
      </c>
    </row>
    <row r="25" spans="1:17" x14ac:dyDescent="0.25">
      <c r="A25">
        <v>115</v>
      </c>
      <c r="B25">
        <v>15609618</v>
      </c>
      <c r="C25" t="s">
        <v>116</v>
      </c>
      <c r="D25" t="s">
        <v>26</v>
      </c>
      <c r="E25" t="s">
        <v>23</v>
      </c>
      <c r="F25">
        <v>721</v>
      </c>
      <c r="G25">
        <v>28</v>
      </c>
      <c r="H25" s="43">
        <v>9</v>
      </c>
      <c r="I25" s="44">
        <v>154475.54</v>
      </c>
      <c r="J25" s="43">
        <v>2</v>
      </c>
      <c r="K25" s="43">
        <v>0</v>
      </c>
      <c r="L25" s="44">
        <v>1</v>
      </c>
      <c r="M25" s="44">
        <v>101300.94</v>
      </c>
      <c r="N25" s="44">
        <v>1</v>
      </c>
      <c r="O25" t="str">
        <f t="shared" si="0"/>
        <v>Good</v>
      </c>
      <c r="P25" t="str">
        <f t="shared" si="1"/>
        <v>Young Adult</v>
      </c>
      <c r="Q25" t="str">
        <f t="shared" si="2"/>
        <v>High Salary</v>
      </c>
    </row>
    <row r="26" spans="1:17" x14ac:dyDescent="0.25">
      <c r="A26">
        <v>119</v>
      </c>
      <c r="B26">
        <v>15661670</v>
      </c>
      <c r="C26" t="s">
        <v>133</v>
      </c>
      <c r="D26" t="s">
        <v>26</v>
      </c>
      <c r="E26" t="s">
        <v>16</v>
      </c>
      <c r="F26">
        <v>524</v>
      </c>
      <c r="G26">
        <v>31</v>
      </c>
      <c r="H26" s="43">
        <v>8</v>
      </c>
      <c r="I26" s="44">
        <v>107818.63</v>
      </c>
      <c r="J26" s="43">
        <v>1</v>
      </c>
      <c r="K26" s="43">
        <v>1</v>
      </c>
      <c r="L26" s="44">
        <v>0</v>
      </c>
      <c r="M26" s="44">
        <v>199725.39</v>
      </c>
      <c r="N26" s="44">
        <v>1</v>
      </c>
      <c r="O26" t="str">
        <f t="shared" si="0"/>
        <v>Poor</v>
      </c>
      <c r="P26" t="str">
        <f t="shared" si="1"/>
        <v>Adult</v>
      </c>
      <c r="Q26" t="str">
        <f t="shared" si="2"/>
        <v>High Salary</v>
      </c>
    </row>
    <row r="27" spans="1:17" x14ac:dyDescent="0.25">
      <c r="A27">
        <v>126</v>
      </c>
      <c r="B27">
        <v>15627360</v>
      </c>
      <c r="C27" t="s">
        <v>139</v>
      </c>
      <c r="D27" t="s">
        <v>15</v>
      </c>
      <c r="E27" t="s">
        <v>23</v>
      </c>
      <c r="F27">
        <v>432</v>
      </c>
      <c r="G27">
        <v>42</v>
      </c>
      <c r="H27" s="43">
        <v>9</v>
      </c>
      <c r="I27" s="44">
        <v>152603.45000000001</v>
      </c>
      <c r="J27" s="43">
        <v>1</v>
      </c>
      <c r="K27" s="43">
        <v>1</v>
      </c>
      <c r="L27" s="44">
        <v>0</v>
      </c>
      <c r="M27" s="44">
        <v>110265.24</v>
      </c>
      <c r="N27" s="44">
        <v>1</v>
      </c>
      <c r="O27" t="str">
        <f t="shared" si="0"/>
        <v>Poor</v>
      </c>
      <c r="P27" t="str">
        <f t="shared" si="1"/>
        <v>Adult</v>
      </c>
      <c r="Q27" t="str">
        <f t="shared" si="2"/>
        <v>High Salary</v>
      </c>
    </row>
    <row r="28" spans="1:17" x14ac:dyDescent="0.25">
      <c r="A28">
        <v>127</v>
      </c>
      <c r="B28">
        <v>15671137</v>
      </c>
      <c r="C28" t="s">
        <v>140</v>
      </c>
      <c r="D28" t="s">
        <v>15</v>
      </c>
      <c r="E28" t="s">
        <v>16</v>
      </c>
      <c r="F28">
        <v>549</v>
      </c>
      <c r="G28">
        <v>52</v>
      </c>
      <c r="H28" s="43">
        <v>1</v>
      </c>
      <c r="I28" s="44">
        <v>0</v>
      </c>
      <c r="J28" s="43">
        <v>1</v>
      </c>
      <c r="K28" s="43">
        <v>0</v>
      </c>
      <c r="L28" s="44">
        <v>1</v>
      </c>
      <c r="M28" s="44">
        <v>8636.0499999999993</v>
      </c>
      <c r="N28" s="44">
        <v>1</v>
      </c>
      <c r="O28" t="str">
        <f t="shared" si="0"/>
        <v>Poor</v>
      </c>
      <c r="P28" t="str">
        <f t="shared" si="1"/>
        <v>Adult</v>
      </c>
      <c r="Q28" t="str">
        <f t="shared" si="2"/>
        <v>Low Salary</v>
      </c>
    </row>
    <row r="29" spans="1:17" x14ac:dyDescent="0.25">
      <c r="A29">
        <v>128</v>
      </c>
      <c r="B29">
        <v>15782688</v>
      </c>
      <c r="C29" t="s">
        <v>141</v>
      </c>
      <c r="D29" t="s">
        <v>26</v>
      </c>
      <c r="E29" t="s">
        <v>23</v>
      </c>
      <c r="F29">
        <v>625</v>
      </c>
      <c r="G29">
        <v>56</v>
      </c>
      <c r="H29" s="43">
        <v>0</v>
      </c>
      <c r="I29" s="44">
        <v>148507.24</v>
      </c>
      <c r="J29" s="43">
        <v>1</v>
      </c>
      <c r="K29" s="43">
        <v>1</v>
      </c>
      <c r="L29" s="44">
        <v>0</v>
      </c>
      <c r="M29" s="44">
        <v>46824.08</v>
      </c>
      <c r="N29" s="44">
        <v>1</v>
      </c>
      <c r="O29" t="str">
        <f t="shared" si="0"/>
        <v>Average</v>
      </c>
      <c r="P29" t="str">
        <f t="shared" si="1"/>
        <v>Adult</v>
      </c>
      <c r="Q29" t="str">
        <f t="shared" si="2"/>
        <v>Medium Salary</v>
      </c>
    </row>
    <row r="30" spans="1:17" x14ac:dyDescent="0.25">
      <c r="A30">
        <v>139</v>
      </c>
      <c r="B30">
        <v>15594408</v>
      </c>
      <c r="C30" t="s">
        <v>150</v>
      </c>
      <c r="D30" t="s">
        <v>18</v>
      </c>
      <c r="E30" t="s">
        <v>16</v>
      </c>
      <c r="F30">
        <v>584</v>
      </c>
      <c r="G30">
        <v>48</v>
      </c>
      <c r="H30" s="43">
        <v>2</v>
      </c>
      <c r="I30" s="44">
        <v>213146.2</v>
      </c>
      <c r="J30" s="43">
        <v>1</v>
      </c>
      <c r="K30" s="43">
        <v>1</v>
      </c>
      <c r="L30" s="44">
        <v>0</v>
      </c>
      <c r="M30" s="44">
        <v>75161.25</v>
      </c>
      <c r="N30" s="44">
        <v>1</v>
      </c>
      <c r="O30" t="str">
        <f t="shared" si="0"/>
        <v>Average</v>
      </c>
      <c r="P30" t="str">
        <f t="shared" si="1"/>
        <v>Adult</v>
      </c>
      <c r="Q30" t="str">
        <f t="shared" si="2"/>
        <v>High Salary</v>
      </c>
    </row>
    <row r="31" spans="1:17" x14ac:dyDescent="0.25">
      <c r="A31">
        <v>140</v>
      </c>
      <c r="B31">
        <v>15640905</v>
      </c>
      <c r="C31" t="s">
        <v>151</v>
      </c>
      <c r="D31" t="s">
        <v>18</v>
      </c>
      <c r="E31" t="s">
        <v>16</v>
      </c>
      <c r="F31">
        <v>579</v>
      </c>
      <c r="G31">
        <v>35</v>
      </c>
      <c r="H31" s="43">
        <v>1</v>
      </c>
      <c r="I31" s="44">
        <v>129490.36</v>
      </c>
      <c r="J31" s="43">
        <v>2</v>
      </c>
      <c r="K31" s="43">
        <v>0</v>
      </c>
      <c r="L31" s="44">
        <v>1</v>
      </c>
      <c r="M31" s="44">
        <v>8590.83</v>
      </c>
      <c r="N31" s="44">
        <v>1</v>
      </c>
      <c r="O31" t="str">
        <f t="shared" si="0"/>
        <v>Poor</v>
      </c>
      <c r="P31" t="str">
        <f t="shared" si="1"/>
        <v>Adult</v>
      </c>
      <c r="Q31" t="str">
        <f t="shared" si="2"/>
        <v>Low Salary</v>
      </c>
    </row>
    <row r="32" spans="1:17" x14ac:dyDescent="0.25">
      <c r="A32">
        <v>144</v>
      </c>
      <c r="B32">
        <v>15713483</v>
      </c>
      <c r="C32" t="s">
        <v>155</v>
      </c>
      <c r="D32" t="s">
        <v>18</v>
      </c>
      <c r="E32" t="s">
        <v>23</v>
      </c>
      <c r="F32">
        <v>793</v>
      </c>
      <c r="G32">
        <v>52</v>
      </c>
      <c r="H32" s="43">
        <v>2</v>
      </c>
      <c r="I32" s="44">
        <v>0</v>
      </c>
      <c r="J32" s="43">
        <v>1</v>
      </c>
      <c r="K32" s="43">
        <v>1</v>
      </c>
      <c r="L32" s="44">
        <v>0</v>
      </c>
      <c r="M32" s="44">
        <v>159123.82</v>
      </c>
      <c r="N32" s="44">
        <v>1</v>
      </c>
      <c r="O32" t="str">
        <f t="shared" si="0"/>
        <v>Good</v>
      </c>
      <c r="P32" t="str">
        <f t="shared" si="1"/>
        <v>Adult</v>
      </c>
      <c r="Q32" t="str">
        <f t="shared" si="2"/>
        <v>High Salary</v>
      </c>
    </row>
    <row r="33" spans="1:17" x14ac:dyDescent="0.25">
      <c r="A33">
        <v>145</v>
      </c>
      <c r="B33">
        <v>15612350</v>
      </c>
      <c r="C33" t="s">
        <v>156</v>
      </c>
      <c r="D33" t="s">
        <v>15</v>
      </c>
      <c r="E33" t="s">
        <v>16</v>
      </c>
      <c r="F33">
        <v>691</v>
      </c>
      <c r="G33">
        <v>31</v>
      </c>
      <c r="H33" s="43">
        <v>5</v>
      </c>
      <c r="I33" s="44">
        <v>40915.550000000003</v>
      </c>
      <c r="J33" s="43">
        <v>1</v>
      </c>
      <c r="K33" s="43">
        <v>1</v>
      </c>
      <c r="L33" s="44">
        <v>0</v>
      </c>
      <c r="M33" s="44">
        <v>126213.84</v>
      </c>
      <c r="N33" s="44">
        <v>1</v>
      </c>
      <c r="O33" t="str">
        <f t="shared" si="0"/>
        <v>Good</v>
      </c>
      <c r="P33" t="str">
        <f t="shared" si="1"/>
        <v>Adult</v>
      </c>
      <c r="Q33" t="str">
        <f t="shared" si="2"/>
        <v>High Salary</v>
      </c>
    </row>
    <row r="34" spans="1:17" x14ac:dyDescent="0.25">
      <c r="A34">
        <v>152</v>
      </c>
      <c r="B34">
        <v>15759618</v>
      </c>
      <c r="C34" t="s">
        <v>163</v>
      </c>
      <c r="D34" t="s">
        <v>15</v>
      </c>
      <c r="E34" t="s">
        <v>16</v>
      </c>
      <c r="F34">
        <v>535</v>
      </c>
      <c r="G34">
        <v>48</v>
      </c>
      <c r="H34" s="43">
        <v>9</v>
      </c>
      <c r="I34" s="44">
        <v>0</v>
      </c>
      <c r="J34" s="43">
        <v>1</v>
      </c>
      <c r="K34" s="43">
        <v>1</v>
      </c>
      <c r="L34" s="44">
        <v>0</v>
      </c>
      <c r="M34" s="44">
        <v>149892.79</v>
      </c>
      <c r="N34" s="44">
        <v>1</v>
      </c>
      <c r="O34" t="str">
        <f t="shared" si="0"/>
        <v>Poor</v>
      </c>
      <c r="P34" t="str">
        <f t="shared" si="1"/>
        <v>Adult</v>
      </c>
      <c r="Q34" t="str">
        <f t="shared" si="2"/>
        <v>High Salary</v>
      </c>
    </row>
    <row r="35" spans="1:17" x14ac:dyDescent="0.25">
      <c r="A35">
        <v>156</v>
      </c>
      <c r="B35">
        <v>15679145</v>
      </c>
      <c r="C35" t="s">
        <v>167</v>
      </c>
      <c r="D35" t="s">
        <v>18</v>
      </c>
      <c r="E35" t="s">
        <v>23</v>
      </c>
      <c r="F35">
        <v>706</v>
      </c>
      <c r="G35">
        <v>57</v>
      </c>
      <c r="H35" s="43">
        <v>7</v>
      </c>
      <c r="I35" s="44">
        <v>0</v>
      </c>
      <c r="J35" s="43">
        <v>1</v>
      </c>
      <c r="K35" s="43">
        <v>1</v>
      </c>
      <c r="L35" s="44">
        <v>0</v>
      </c>
      <c r="M35" s="44">
        <v>17941.16</v>
      </c>
      <c r="N35" s="44">
        <v>1</v>
      </c>
      <c r="O35" t="str">
        <f t="shared" si="0"/>
        <v>Good</v>
      </c>
      <c r="P35" t="str">
        <f t="shared" si="1"/>
        <v>Adult</v>
      </c>
      <c r="Q35" t="str">
        <f t="shared" si="2"/>
        <v>Low Salary</v>
      </c>
    </row>
    <row r="36" spans="1:17" x14ac:dyDescent="0.25">
      <c r="A36">
        <v>165</v>
      </c>
      <c r="B36">
        <v>15658929</v>
      </c>
      <c r="C36" t="s">
        <v>173</v>
      </c>
      <c r="D36" t="s">
        <v>18</v>
      </c>
      <c r="E36" t="s">
        <v>23</v>
      </c>
      <c r="F36">
        <v>683</v>
      </c>
      <c r="G36">
        <v>29</v>
      </c>
      <c r="H36" s="43">
        <v>0</v>
      </c>
      <c r="I36" s="44">
        <v>133702.89000000001</v>
      </c>
      <c r="J36" s="43">
        <v>1</v>
      </c>
      <c r="K36" s="43">
        <v>1</v>
      </c>
      <c r="L36" s="44">
        <v>0</v>
      </c>
      <c r="M36" s="44">
        <v>55582.54</v>
      </c>
      <c r="N36" s="44">
        <v>1</v>
      </c>
      <c r="O36" t="str">
        <f t="shared" si="0"/>
        <v>Good</v>
      </c>
      <c r="P36" t="str">
        <f t="shared" si="1"/>
        <v>Young Adult</v>
      </c>
      <c r="Q36" t="str">
        <f t="shared" si="2"/>
        <v>Medium Salary</v>
      </c>
    </row>
    <row r="37" spans="1:17" x14ac:dyDescent="0.25">
      <c r="A37">
        <v>167</v>
      </c>
      <c r="B37">
        <v>15724623</v>
      </c>
      <c r="C37" t="s">
        <v>175</v>
      </c>
      <c r="D37" t="s">
        <v>26</v>
      </c>
      <c r="E37" t="s">
        <v>16</v>
      </c>
      <c r="F37">
        <v>704</v>
      </c>
      <c r="G37">
        <v>24</v>
      </c>
      <c r="H37" s="43">
        <v>7</v>
      </c>
      <c r="I37" s="44">
        <v>113034.22</v>
      </c>
      <c r="J37" s="43">
        <v>1</v>
      </c>
      <c r="K37" s="43">
        <v>1</v>
      </c>
      <c r="L37" s="44">
        <v>0</v>
      </c>
      <c r="M37" s="44">
        <v>162503.48000000001</v>
      </c>
      <c r="N37" s="44">
        <v>1</v>
      </c>
      <c r="O37" t="str">
        <f t="shared" si="0"/>
        <v>Good</v>
      </c>
      <c r="P37" t="str">
        <f t="shared" si="1"/>
        <v>Young Adult</v>
      </c>
      <c r="Q37" t="str">
        <f t="shared" si="2"/>
        <v>High Salary</v>
      </c>
    </row>
    <row r="38" spans="1:17" x14ac:dyDescent="0.25">
      <c r="A38">
        <v>169</v>
      </c>
      <c r="B38">
        <v>15574692</v>
      </c>
      <c r="C38" t="s">
        <v>177</v>
      </c>
      <c r="D38" t="s">
        <v>18</v>
      </c>
      <c r="E38" t="s">
        <v>16</v>
      </c>
      <c r="F38">
        <v>667</v>
      </c>
      <c r="G38">
        <v>39</v>
      </c>
      <c r="H38" s="43">
        <v>2</v>
      </c>
      <c r="I38" s="44">
        <v>0</v>
      </c>
      <c r="J38" s="43">
        <v>2</v>
      </c>
      <c r="K38" s="43">
        <v>1</v>
      </c>
      <c r="L38" s="44">
        <v>0</v>
      </c>
      <c r="M38" s="44">
        <v>40721.24</v>
      </c>
      <c r="N38" s="44">
        <v>1</v>
      </c>
      <c r="O38" t="str">
        <f t="shared" si="0"/>
        <v>Average</v>
      </c>
      <c r="P38" t="str">
        <f t="shared" si="1"/>
        <v>Adult</v>
      </c>
      <c r="Q38" t="str">
        <f t="shared" si="2"/>
        <v>Medium Salary</v>
      </c>
    </row>
    <row r="39" spans="1:17" x14ac:dyDescent="0.25">
      <c r="A39">
        <v>173</v>
      </c>
      <c r="B39">
        <v>15651022</v>
      </c>
      <c r="C39" t="s">
        <v>181</v>
      </c>
      <c r="D39" t="s">
        <v>26</v>
      </c>
      <c r="E39" t="s">
        <v>23</v>
      </c>
      <c r="F39">
        <v>480</v>
      </c>
      <c r="G39">
        <v>44</v>
      </c>
      <c r="H39" s="43">
        <v>10</v>
      </c>
      <c r="I39" s="44">
        <v>129608.57</v>
      </c>
      <c r="J39" s="43">
        <v>1</v>
      </c>
      <c r="K39" s="43">
        <v>1</v>
      </c>
      <c r="L39" s="44">
        <v>0</v>
      </c>
      <c r="M39" s="44">
        <v>5472.7</v>
      </c>
      <c r="N39" s="44">
        <v>1</v>
      </c>
      <c r="O39" t="str">
        <f t="shared" si="0"/>
        <v>Poor</v>
      </c>
      <c r="P39" t="str">
        <f t="shared" si="1"/>
        <v>Adult</v>
      </c>
      <c r="Q39" t="str">
        <f t="shared" si="2"/>
        <v>Low Salary</v>
      </c>
    </row>
    <row r="40" spans="1:17" x14ac:dyDescent="0.25">
      <c r="A40">
        <v>180</v>
      </c>
      <c r="B40">
        <v>15625426</v>
      </c>
      <c r="C40" t="s">
        <v>187</v>
      </c>
      <c r="D40" t="s">
        <v>26</v>
      </c>
      <c r="E40" t="s">
        <v>16</v>
      </c>
      <c r="F40">
        <v>754</v>
      </c>
      <c r="G40">
        <v>55</v>
      </c>
      <c r="H40" s="43">
        <v>3</v>
      </c>
      <c r="I40" s="44">
        <v>161608.81</v>
      </c>
      <c r="J40" s="43">
        <v>1</v>
      </c>
      <c r="K40" s="43">
        <v>1</v>
      </c>
      <c r="L40" s="44">
        <v>0</v>
      </c>
      <c r="M40" s="44">
        <v>8080.85</v>
      </c>
      <c r="N40" s="44">
        <v>1</v>
      </c>
      <c r="O40" t="str">
        <f t="shared" si="0"/>
        <v>Good</v>
      </c>
      <c r="P40" t="str">
        <f t="shared" si="1"/>
        <v>Adult</v>
      </c>
      <c r="Q40" t="str">
        <f t="shared" si="2"/>
        <v>Low Salary</v>
      </c>
    </row>
    <row r="41" spans="1:17" x14ac:dyDescent="0.25">
      <c r="A41">
        <v>185</v>
      </c>
      <c r="B41">
        <v>15719377</v>
      </c>
      <c r="C41" t="s">
        <v>144</v>
      </c>
      <c r="D41" t="s">
        <v>15</v>
      </c>
      <c r="E41" t="s">
        <v>16</v>
      </c>
      <c r="F41">
        <v>804</v>
      </c>
      <c r="G41">
        <v>50</v>
      </c>
      <c r="H41" s="43">
        <v>4</v>
      </c>
      <c r="I41" s="44">
        <v>0</v>
      </c>
      <c r="J41" s="43">
        <v>1</v>
      </c>
      <c r="K41" s="43">
        <v>1</v>
      </c>
      <c r="L41" s="44">
        <v>1</v>
      </c>
      <c r="M41" s="44">
        <v>8546.8700000000008</v>
      </c>
      <c r="N41" s="44">
        <v>1</v>
      </c>
      <c r="O41" t="str">
        <f t="shared" si="0"/>
        <v>Good</v>
      </c>
      <c r="P41" t="str">
        <f t="shared" si="1"/>
        <v>Adult</v>
      </c>
      <c r="Q41" t="str">
        <f t="shared" si="2"/>
        <v>Low Salary</v>
      </c>
    </row>
    <row r="42" spans="1:17" x14ac:dyDescent="0.25">
      <c r="A42">
        <v>191</v>
      </c>
      <c r="B42">
        <v>15726931</v>
      </c>
      <c r="C42" t="s">
        <v>196</v>
      </c>
      <c r="D42" t="s">
        <v>15</v>
      </c>
      <c r="E42" t="s">
        <v>16</v>
      </c>
      <c r="F42">
        <v>715</v>
      </c>
      <c r="G42">
        <v>41</v>
      </c>
      <c r="H42" s="43">
        <v>8</v>
      </c>
      <c r="I42" s="44">
        <v>56214.85</v>
      </c>
      <c r="J42" s="43">
        <v>2</v>
      </c>
      <c r="K42" s="43">
        <v>0</v>
      </c>
      <c r="L42" s="44">
        <v>0</v>
      </c>
      <c r="M42" s="44">
        <v>92982.61</v>
      </c>
      <c r="N42" s="44">
        <v>1</v>
      </c>
      <c r="O42" t="str">
        <f t="shared" si="0"/>
        <v>Good</v>
      </c>
      <c r="P42" t="str">
        <f t="shared" si="1"/>
        <v>Adult</v>
      </c>
      <c r="Q42" t="str">
        <f t="shared" si="2"/>
        <v>High Salary</v>
      </c>
    </row>
    <row r="43" spans="1:17" x14ac:dyDescent="0.25">
      <c r="A43">
        <v>203</v>
      </c>
      <c r="B43">
        <v>15600974</v>
      </c>
      <c r="C43" t="s">
        <v>27</v>
      </c>
      <c r="D43" t="s">
        <v>18</v>
      </c>
      <c r="E43" t="s">
        <v>23</v>
      </c>
      <c r="F43">
        <v>516</v>
      </c>
      <c r="G43">
        <v>50</v>
      </c>
      <c r="H43" s="43">
        <v>5</v>
      </c>
      <c r="I43" s="44">
        <v>0</v>
      </c>
      <c r="J43" s="43">
        <v>1</v>
      </c>
      <c r="K43" s="43">
        <v>0</v>
      </c>
      <c r="L43" s="44">
        <v>1</v>
      </c>
      <c r="M43" s="44">
        <v>146145.93</v>
      </c>
      <c r="N43" s="44">
        <v>1</v>
      </c>
      <c r="O43" t="str">
        <f t="shared" si="0"/>
        <v>Poor</v>
      </c>
      <c r="P43" t="str">
        <f t="shared" si="1"/>
        <v>Adult</v>
      </c>
      <c r="Q43" t="str">
        <f t="shared" si="2"/>
        <v>High Salary</v>
      </c>
    </row>
    <row r="44" spans="1:17" x14ac:dyDescent="0.25">
      <c r="A44">
        <v>204</v>
      </c>
      <c r="B44">
        <v>15727868</v>
      </c>
      <c r="C44" t="s">
        <v>207</v>
      </c>
      <c r="D44" t="s">
        <v>15</v>
      </c>
      <c r="E44" t="s">
        <v>16</v>
      </c>
      <c r="F44">
        <v>711</v>
      </c>
      <c r="G44">
        <v>38</v>
      </c>
      <c r="H44" s="43">
        <v>2</v>
      </c>
      <c r="I44" s="44">
        <v>129022.06</v>
      </c>
      <c r="J44" s="43">
        <v>2</v>
      </c>
      <c r="K44" s="43">
        <v>1</v>
      </c>
      <c r="L44" s="44">
        <v>1</v>
      </c>
      <c r="M44" s="44">
        <v>14374.86</v>
      </c>
      <c r="N44" s="44">
        <v>1</v>
      </c>
      <c r="O44" t="str">
        <f t="shared" si="0"/>
        <v>Good</v>
      </c>
      <c r="P44" t="str">
        <f t="shared" si="1"/>
        <v>Adult</v>
      </c>
      <c r="Q44" t="str">
        <f t="shared" si="2"/>
        <v>Low Salary</v>
      </c>
    </row>
    <row r="45" spans="1:17" x14ac:dyDescent="0.25">
      <c r="A45">
        <v>207</v>
      </c>
      <c r="B45">
        <v>15755262</v>
      </c>
      <c r="C45" t="s">
        <v>39</v>
      </c>
      <c r="D45" t="s">
        <v>18</v>
      </c>
      <c r="E45" t="s">
        <v>16</v>
      </c>
      <c r="F45">
        <v>608</v>
      </c>
      <c r="G45">
        <v>41</v>
      </c>
      <c r="H45" s="43">
        <v>3</v>
      </c>
      <c r="I45" s="44">
        <v>89763.839999999997</v>
      </c>
      <c r="J45" s="43">
        <v>1</v>
      </c>
      <c r="K45" s="43">
        <v>0</v>
      </c>
      <c r="L45" s="44">
        <v>0</v>
      </c>
      <c r="M45" s="44">
        <v>199304.74</v>
      </c>
      <c r="N45" s="44">
        <v>1</v>
      </c>
      <c r="O45" t="str">
        <f t="shared" si="0"/>
        <v>Average</v>
      </c>
      <c r="P45" t="str">
        <f t="shared" si="1"/>
        <v>Adult</v>
      </c>
      <c r="Q45" t="str">
        <f t="shared" si="2"/>
        <v>High Salary</v>
      </c>
    </row>
    <row r="46" spans="1:17" x14ac:dyDescent="0.25">
      <c r="A46">
        <v>209</v>
      </c>
      <c r="B46">
        <v>15684181</v>
      </c>
      <c r="C46" t="s">
        <v>211</v>
      </c>
      <c r="D46" t="s">
        <v>15</v>
      </c>
      <c r="E46" t="s">
        <v>23</v>
      </c>
      <c r="F46">
        <v>643</v>
      </c>
      <c r="G46">
        <v>45</v>
      </c>
      <c r="H46" s="43">
        <v>5</v>
      </c>
      <c r="I46" s="44">
        <v>0</v>
      </c>
      <c r="J46" s="43">
        <v>1</v>
      </c>
      <c r="K46" s="43">
        <v>1</v>
      </c>
      <c r="L46" s="44">
        <v>0</v>
      </c>
      <c r="M46" s="44">
        <v>142513.5</v>
      </c>
      <c r="N46" s="44">
        <v>1</v>
      </c>
      <c r="O46" t="str">
        <f t="shared" si="0"/>
        <v>Average</v>
      </c>
      <c r="P46" t="str">
        <f t="shared" si="1"/>
        <v>Adult</v>
      </c>
      <c r="Q46" t="str">
        <f t="shared" si="2"/>
        <v>High Salary</v>
      </c>
    </row>
    <row r="47" spans="1:17" x14ac:dyDescent="0.25">
      <c r="A47">
        <v>216</v>
      </c>
      <c r="B47">
        <v>15723488</v>
      </c>
      <c r="C47" t="s">
        <v>55</v>
      </c>
      <c r="D47" t="s">
        <v>26</v>
      </c>
      <c r="E47" t="s">
        <v>23</v>
      </c>
      <c r="F47">
        <v>668</v>
      </c>
      <c r="G47">
        <v>47</v>
      </c>
      <c r="H47" s="43">
        <v>7</v>
      </c>
      <c r="I47" s="44">
        <v>106854.21</v>
      </c>
      <c r="J47" s="43">
        <v>1</v>
      </c>
      <c r="K47" s="43">
        <v>0</v>
      </c>
      <c r="L47" s="44">
        <v>1</v>
      </c>
      <c r="M47" s="44">
        <v>157959.01999999999</v>
      </c>
      <c r="N47" s="44">
        <v>1</v>
      </c>
      <c r="O47" t="str">
        <f t="shared" si="0"/>
        <v>Average</v>
      </c>
      <c r="P47" t="str">
        <f t="shared" si="1"/>
        <v>Adult</v>
      </c>
      <c r="Q47" t="str">
        <f t="shared" si="2"/>
        <v>High Salary</v>
      </c>
    </row>
    <row r="48" spans="1:17" x14ac:dyDescent="0.25">
      <c r="A48">
        <v>219</v>
      </c>
      <c r="B48">
        <v>15659366</v>
      </c>
      <c r="C48" t="s">
        <v>219</v>
      </c>
      <c r="D48" t="s">
        <v>15</v>
      </c>
      <c r="E48" t="s">
        <v>23</v>
      </c>
      <c r="F48">
        <v>807</v>
      </c>
      <c r="G48">
        <v>43</v>
      </c>
      <c r="H48" s="43">
        <v>1</v>
      </c>
      <c r="I48" s="44">
        <v>105799.32</v>
      </c>
      <c r="J48" s="43">
        <v>2</v>
      </c>
      <c r="K48" s="43">
        <v>1</v>
      </c>
      <c r="L48" s="44">
        <v>0</v>
      </c>
      <c r="M48" s="44">
        <v>34888.04</v>
      </c>
      <c r="N48" s="44">
        <v>1</v>
      </c>
      <c r="O48" t="str">
        <f t="shared" si="0"/>
        <v>Good</v>
      </c>
      <c r="P48" t="str">
        <f t="shared" si="1"/>
        <v>Adult</v>
      </c>
      <c r="Q48" t="str">
        <f t="shared" si="2"/>
        <v>Medium Salary</v>
      </c>
    </row>
    <row r="49" spans="1:17" x14ac:dyDescent="0.25">
      <c r="A49">
        <v>220</v>
      </c>
      <c r="B49">
        <v>15774854</v>
      </c>
      <c r="C49" t="s">
        <v>139</v>
      </c>
      <c r="D49" t="s">
        <v>15</v>
      </c>
      <c r="E49" t="s">
        <v>23</v>
      </c>
      <c r="F49">
        <v>592</v>
      </c>
      <c r="G49">
        <v>54</v>
      </c>
      <c r="H49" s="43">
        <v>8</v>
      </c>
      <c r="I49" s="44">
        <v>0</v>
      </c>
      <c r="J49" s="43">
        <v>1</v>
      </c>
      <c r="K49" s="43">
        <v>1</v>
      </c>
      <c r="L49" s="44">
        <v>1</v>
      </c>
      <c r="M49" s="44">
        <v>28737.71</v>
      </c>
      <c r="N49" s="44">
        <v>1</v>
      </c>
      <c r="O49" t="str">
        <f t="shared" si="0"/>
        <v>Average</v>
      </c>
      <c r="P49" t="str">
        <f t="shared" si="1"/>
        <v>Adult</v>
      </c>
      <c r="Q49" t="str">
        <f t="shared" si="2"/>
        <v>Low Salary</v>
      </c>
    </row>
    <row r="50" spans="1:17" x14ac:dyDescent="0.25">
      <c r="A50">
        <v>224</v>
      </c>
      <c r="B50">
        <v>15733247</v>
      </c>
      <c r="C50" t="s">
        <v>223</v>
      </c>
      <c r="D50" t="s">
        <v>15</v>
      </c>
      <c r="E50" t="s">
        <v>23</v>
      </c>
      <c r="F50">
        <v>850</v>
      </c>
      <c r="G50">
        <v>33</v>
      </c>
      <c r="H50" s="43">
        <v>10</v>
      </c>
      <c r="I50" s="44">
        <v>0</v>
      </c>
      <c r="J50" s="43">
        <v>1</v>
      </c>
      <c r="K50" s="43">
        <v>1</v>
      </c>
      <c r="L50" s="44">
        <v>0</v>
      </c>
      <c r="M50" s="44">
        <v>4861.72</v>
      </c>
      <c r="N50" s="44">
        <v>1</v>
      </c>
      <c r="O50" t="str">
        <f t="shared" si="0"/>
        <v>Good</v>
      </c>
      <c r="P50" t="str">
        <f t="shared" si="1"/>
        <v>Adult</v>
      </c>
      <c r="Q50" t="str">
        <f t="shared" si="2"/>
        <v>Low Salary</v>
      </c>
    </row>
    <row r="51" spans="1:17" x14ac:dyDescent="0.25">
      <c r="A51">
        <v>225</v>
      </c>
      <c r="B51">
        <v>15568748</v>
      </c>
      <c r="C51" t="s">
        <v>224</v>
      </c>
      <c r="D51" t="s">
        <v>26</v>
      </c>
      <c r="E51" t="s">
        <v>23</v>
      </c>
      <c r="F51">
        <v>671</v>
      </c>
      <c r="G51">
        <v>45</v>
      </c>
      <c r="H51" s="43">
        <v>6</v>
      </c>
      <c r="I51" s="44">
        <v>99564.22</v>
      </c>
      <c r="J51" s="43">
        <v>1</v>
      </c>
      <c r="K51" s="43">
        <v>1</v>
      </c>
      <c r="L51" s="44">
        <v>1</v>
      </c>
      <c r="M51" s="44">
        <v>108872.45</v>
      </c>
      <c r="N51" s="44">
        <v>1</v>
      </c>
      <c r="O51" t="str">
        <f t="shared" si="0"/>
        <v>Good</v>
      </c>
      <c r="P51" t="str">
        <f t="shared" si="1"/>
        <v>Adult</v>
      </c>
      <c r="Q51" t="str">
        <f t="shared" si="2"/>
        <v>High Salary</v>
      </c>
    </row>
    <row r="52" spans="1:17" x14ac:dyDescent="0.25">
      <c r="A52">
        <v>228</v>
      </c>
      <c r="B52">
        <v>15676895</v>
      </c>
      <c r="C52" t="s">
        <v>227</v>
      </c>
      <c r="D52" t="s">
        <v>26</v>
      </c>
      <c r="E52" t="s">
        <v>16</v>
      </c>
      <c r="F52">
        <v>547</v>
      </c>
      <c r="G52">
        <v>39</v>
      </c>
      <c r="H52" s="43">
        <v>6</v>
      </c>
      <c r="I52" s="44">
        <v>74596.149999999994</v>
      </c>
      <c r="J52" s="43">
        <v>3</v>
      </c>
      <c r="K52" s="43">
        <v>1</v>
      </c>
      <c r="L52" s="44">
        <v>1</v>
      </c>
      <c r="M52" s="44">
        <v>85746.52</v>
      </c>
      <c r="N52" s="44">
        <v>1</v>
      </c>
      <c r="O52" t="str">
        <f t="shared" si="0"/>
        <v>Poor</v>
      </c>
      <c r="P52" t="str">
        <f t="shared" si="1"/>
        <v>Adult</v>
      </c>
      <c r="Q52" t="str">
        <f t="shared" si="2"/>
        <v>High Salary</v>
      </c>
    </row>
    <row r="53" spans="1:17" x14ac:dyDescent="0.25">
      <c r="A53">
        <v>229</v>
      </c>
      <c r="B53">
        <v>15637753</v>
      </c>
      <c r="C53" t="s">
        <v>228</v>
      </c>
      <c r="D53" t="s">
        <v>26</v>
      </c>
      <c r="E53" t="s">
        <v>23</v>
      </c>
      <c r="F53">
        <v>751</v>
      </c>
      <c r="G53">
        <v>50</v>
      </c>
      <c r="H53" s="43">
        <v>2</v>
      </c>
      <c r="I53" s="44">
        <v>96888.39</v>
      </c>
      <c r="J53" s="43">
        <v>1</v>
      </c>
      <c r="K53" s="43">
        <v>1</v>
      </c>
      <c r="L53" s="44">
        <v>0</v>
      </c>
      <c r="M53" s="44">
        <v>77206.25</v>
      </c>
      <c r="N53" s="44">
        <v>1</v>
      </c>
      <c r="O53" t="str">
        <f t="shared" si="0"/>
        <v>Good</v>
      </c>
      <c r="P53" t="str">
        <f t="shared" si="1"/>
        <v>Adult</v>
      </c>
      <c r="Q53" t="str">
        <f t="shared" si="2"/>
        <v>High Salary</v>
      </c>
    </row>
    <row r="54" spans="1:17" x14ac:dyDescent="0.25">
      <c r="A54">
        <v>236</v>
      </c>
      <c r="B54">
        <v>15772896</v>
      </c>
      <c r="C54" t="s">
        <v>235</v>
      </c>
      <c r="D54" t="s">
        <v>26</v>
      </c>
      <c r="E54" t="s">
        <v>23</v>
      </c>
      <c r="F54">
        <v>763</v>
      </c>
      <c r="G54">
        <v>42</v>
      </c>
      <c r="H54" s="43">
        <v>6</v>
      </c>
      <c r="I54" s="44">
        <v>100160.75</v>
      </c>
      <c r="J54" s="43">
        <v>1</v>
      </c>
      <c r="K54" s="43">
        <v>1</v>
      </c>
      <c r="L54" s="44">
        <v>0</v>
      </c>
      <c r="M54" s="44">
        <v>33462.94</v>
      </c>
      <c r="N54" s="44">
        <v>1</v>
      </c>
      <c r="O54" t="str">
        <f t="shared" si="0"/>
        <v>Good</v>
      </c>
      <c r="P54" t="str">
        <f t="shared" si="1"/>
        <v>Adult</v>
      </c>
      <c r="Q54" t="str">
        <f t="shared" si="2"/>
        <v>Medium Salary</v>
      </c>
    </row>
    <row r="55" spans="1:17" x14ac:dyDescent="0.25">
      <c r="A55">
        <v>238</v>
      </c>
      <c r="B55">
        <v>15764866</v>
      </c>
      <c r="C55" t="s">
        <v>237</v>
      </c>
      <c r="D55" t="s">
        <v>26</v>
      </c>
      <c r="E55" t="s">
        <v>16</v>
      </c>
      <c r="F55">
        <v>539</v>
      </c>
      <c r="G55">
        <v>43</v>
      </c>
      <c r="H55" s="43">
        <v>3</v>
      </c>
      <c r="I55" s="44">
        <v>116220.5</v>
      </c>
      <c r="J55" s="43">
        <v>3</v>
      </c>
      <c r="K55" s="43">
        <v>1</v>
      </c>
      <c r="L55" s="44">
        <v>0</v>
      </c>
      <c r="M55" s="44">
        <v>55803.96</v>
      </c>
      <c r="N55" s="44">
        <v>1</v>
      </c>
      <c r="O55" t="str">
        <f t="shared" si="0"/>
        <v>Poor</v>
      </c>
      <c r="P55" t="str">
        <f t="shared" si="1"/>
        <v>Adult</v>
      </c>
      <c r="Q55" t="str">
        <f t="shared" si="2"/>
        <v>Medium Salary</v>
      </c>
    </row>
    <row r="56" spans="1:17" x14ac:dyDescent="0.25">
      <c r="A56">
        <v>239</v>
      </c>
      <c r="B56">
        <v>15794056</v>
      </c>
      <c r="C56" t="s">
        <v>238</v>
      </c>
      <c r="D56" t="s">
        <v>15</v>
      </c>
      <c r="E56" t="s">
        <v>16</v>
      </c>
      <c r="F56">
        <v>668</v>
      </c>
      <c r="G56">
        <v>46</v>
      </c>
      <c r="H56" s="43">
        <v>2</v>
      </c>
      <c r="I56" s="44">
        <v>0</v>
      </c>
      <c r="J56" s="43">
        <v>3</v>
      </c>
      <c r="K56" s="43">
        <v>1</v>
      </c>
      <c r="L56" s="44">
        <v>0</v>
      </c>
      <c r="M56" s="44">
        <v>89048.46</v>
      </c>
      <c r="N56" s="44">
        <v>1</v>
      </c>
      <c r="O56" t="str">
        <f t="shared" si="0"/>
        <v>Average</v>
      </c>
      <c r="P56" t="str">
        <f t="shared" si="1"/>
        <v>Adult</v>
      </c>
      <c r="Q56" t="str">
        <f t="shared" si="2"/>
        <v>High Salary</v>
      </c>
    </row>
    <row r="57" spans="1:17" x14ac:dyDescent="0.25">
      <c r="A57">
        <v>244</v>
      </c>
      <c r="B57">
        <v>15596175</v>
      </c>
      <c r="C57" t="s">
        <v>242</v>
      </c>
      <c r="D57" t="s">
        <v>26</v>
      </c>
      <c r="E57" t="s">
        <v>23</v>
      </c>
      <c r="F57">
        <v>659</v>
      </c>
      <c r="G57">
        <v>67</v>
      </c>
      <c r="H57" s="43">
        <v>6</v>
      </c>
      <c r="I57" s="44">
        <v>117411.6</v>
      </c>
      <c r="J57" s="43">
        <v>1</v>
      </c>
      <c r="K57" s="43">
        <v>1</v>
      </c>
      <c r="L57" s="44">
        <v>1</v>
      </c>
      <c r="M57" s="44">
        <v>45071.09</v>
      </c>
      <c r="N57" s="44">
        <v>1</v>
      </c>
      <c r="O57" t="str">
        <f t="shared" si="0"/>
        <v>Average</v>
      </c>
      <c r="P57" t="str">
        <f t="shared" si="1"/>
        <v>Senior</v>
      </c>
      <c r="Q57" t="str">
        <f t="shared" si="2"/>
        <v>Medium Salary</v>
      </c>
    </row>
    <row r="58" spans="1:17" x14ac:dyDescent="0.25">
      <c r="A58">
        <v>246</v>
      </c>
      <c r="B58">
        <v>15797219</v>
      </c>
      <c r="C58" t="s">
        <v>244</v>
      </c>
      <c r="D58" t="s">
        <v>15</v>
      </c>
      <c r="E58" t="s">
        <v>16</v>
      </c>
      <c r="F58">
        <v>635</v>
      </c>
      <c r="G58">
        <v>40</v>
      </c>
      <c r="H58" s="43">
        <v>10</v>
      </c>
      <c r="I58" s="44">
        <v>123497.58</v>
      </c>
      <c r="J58" s="43">
        <v>1</v>
      </c>
      <c r="K58" s="43">
        <v>1</v>
      </c>
      <c r="L58" s="44">
        <v>0</v>
      </c>
      <c r="M58" s="44">
        <v>131953.23000000001</v>
      </c>
      <c r="N58" s="44">
        <v>1</v>
      </c>
      <c r="O58" t="str">
        <f t="shared" si="0"/>
        <v>Average</v>
      </c>
      <c r="P58" t="str">
        <f t="shared" si="1"/>
        <v>Adult</v>
      </c>
      <c r="Q58" t="str">
        <f t="shared" si="2"/>
        <v>High Salary</v>
      </c>
    </row>
    <row r="59" spans="1:17" x14ac:dyDescent="0.25">
      <c r="A59">
        <v>250</v>
      </c>
      <c r="B59">
        <v>15772423</v>
      </c>
      <c r="C59" t="s">
        <v>248</v>
      </c>
      <c r="D59" t="s">
        <v>26</v>
      </c>
      <c r="E59" t="s">
        <v>23</v>
      </c>
      <c r="F59">
        <v>739</v>
      </c>
      <c r="G59">
        <v>54</v>
      </c>
      <c r="H59" s="43">
        <v>8</v>
      </c>
      <c r="I59" s="44">
        <v>126418.14</v>
      </c>
      <c r="J59" s="43">
        <v>1</v>
      </c>
      <c r="K59" s="43">
        <v>1</v>
      </c>
      <c r="L59" s="44">
        <v>0</v>
      </c>
      <c r="M59" s="44">
        <v>134420.75</v>
      </c>
      <c r="N59" s="44">
        <v>1</v>
      </c>
      <c r="O59" t="str">
        <f t="shared" si="0"/>
        <v>Good</v>
      </c>
      <c r="P59" t="str">
        <f t="shared" si="1"/>
        <v>Adult</v>
      </c>
      <c r="Q59" t="str">
        <f t="shared" si="2"/>
        <v>High Salary</v>
      </c>
    </row>
    <row r="60" spans="1:17" x14ac:dyDescent="0.25">
      <c r="A60">
        <v>269</v>
      </c>
      <c r="B60">
        <v>15717398</v>
      </c>
      <c r="C60" t="s">
        <v>264</v>
      </c>
      <c r="D60" t="s">
        <v>18</v>
      </c>
      <c r="E60" t="s">
        <v>16</v>
      </c>
      <c r="F60">
        <v>549</v>
      </c>
      <c r="G60">
        <v>39</v>
      </c>
      <c r="H60" s="43">
        <v>7</v>
      </c>
      <c r="I60" s="44">
        <v>0</v>
      </c>
      <c r="J60" s="43">
        <v>1</v>
      </c>
      <c r="K60" s="43">
        <v>0</v>
      </c>
      <c r="L60" s="44">
        <v>0</v>
      </c>
      <c r="M60" s="44">
        <v>81259.25</v>
      </c>
      <c r="N60" s="44">
        <v>1</v>
      </c>
      <c r="O60" t="str">
        <f t="shared" si="0"/>
        <v>Poor</v>
      </c>
      <c r="P60" t="str">
        <f t="shared" si="1"/>
        <v>Adult</v>
      </c>
      <c r="Q60" t="str">
        <f t="shared" si="2"/>
        <v>High Salary</v>
      </c>
    </row>
    <row r="61" spans="1:17" x14ac:dyDescent="0.25">
      <c r="A61">
        <v>272</v>
      </c>
      <c r="B61">
        <v>15619955</v>
      </c>
      <c r="C61" t="s">
        <v>266</v>
      </c>
      <c r="D61" t="s">
        <v>26</v>
      </c>
      <c r="E61" t="s">
        <v>23</v>
      </c>
      <c r="F61">
        <v>733</v>
      </c>
      <c r="G61">
        <v>34</v>
      </c>
      <c r="H61" s="43">
        <v>3</v>
      </c>
      <c r="I61" s="44">
        <v>100337.96</v>
      </c>
      <c r="J61" s="43">
        <v>3</v>
      </c>
      <c r="K61" s="43">
        <v>1</v>
      </c>
      <c r="L61" s="44">
        <v>0</v>
      </c>
      <c r="M61" s="44">
        <v>48559.19</v>
      </c>
      <c r="N61" s="44">
        <v>1</v>
      </c>
      <c r="O61" t="str">
        <f t="shared" si="0"/>
        <v>Good</v>
      </c>
      <c r="P61" t="str">
        <f t="shared" si="1"/>
        <v>Adult</v>
      </c>
      <c r="Q61" t="str">
        <f t="shared" si="2"/>
        <v>Medium Salary</v>
      </c>
    </row>
    <row r="62" spans="1:17" x14ac:dyDescent="0.25">
      <c r="A62">
        <v>277</v>
      </c>
      <c r="B62">
        <v>15694456</v>
      </c>
      <c r="C62" t="s">
        <v>271</v>
      </c>
      <c r="D62" t="s">
        <v>15</v>
      </c>
      <c r="E62" t="s">
        <v>23</v>
      </c>
      <c r="F62">
        <v>756</v>
      </c>
      <c r="G62">
        <v>62</v>
      </c>
      <c r="H62" s="43">
        <v>3</v>
      </c>
      <c r="I62" s="44">
        <v>0</v>
      </c>
      <c r="J62" s="43">
        <v>1</v>
      </c>
      <c r="K62" s="43">
        <v>1</v>
      </c>
      <c r="L62" s="44">
        <v>1</v>
      </c>
      <c r="M62" s="44">
        <v>11199.04</v>
      </c>
      <c r="N62" s="44">
        <v>1</v>
      </c>
      <c r="O62" t="str">
        <f t="shared" si="0"/>
        <v>Good</v>
      </c>
      <c r="P62" t="str">
        <f t="shared" si="1"/>
        <v>Senior</v>
      </c>
      <c r="Q62" t="str">
        <f t="shared" si="2"/>
        <v>Low Salary</v>
      </c>
    </row>
    <row r="63" spans="1:17" x14ac:dyDescent="0.25">
      <c r="A63">
        <v>280</v>
      </c>
      <c r="B63">
        <v>15782210</v>
      </c>
      <c r="C63" t="s">
        <v>274</v>
      </c>
      <c r="D63" t="s">
        <v>15</v>
      </c>
      <c r="E63" t="s">
        <v>23</v>
      </c>
      <c r="F63">
        <v>714</v>
      </c>
      <c r="G63">
        <v>46</v>
      </c>
      <c r="H63" s="43">
        <v>1</v>
      </c>
      <c r="I63" s="44">
        <v>0</v>
      </c>
      <c r="J63" s="43">
        <v>1</v>
      </c>
      <c r="K63" s="43">
        <v>1</v>
      </c>
      <c r="L63" s="44">
        <v>0</v>
      </c>
      <c r="M63" s="44">
        <v>152167.79</v>
      </c>
      <c r="N63" s="44">
        <v>1</v>
      </c>
      <c r="O63" t="str">
        <f t="shared" si="0"/>
        <v>Good</v>
      </c>
      <c r="P63" t="str">
        <f t="shared" si="1"/>
        <v>Adult</v>
      </c>
      <c r="Q63" t="str">
        <f t="shared" si="2"/>
        <v>High Salary</v>
      </c>
    </row>
    <row r="64" spans="1:17" x14ac:dyDescent="0.25">
      <c r="A64">
        <v>283</v>
      </c>
      <c r="B64">
        <v>15643024</v>
      </c>
      <c r="C64" t="s">
        <v>277</v>
      </c>
      <c r="D64" t="s">
        <v>26</v>
      </c>
      <c r="E64" t="s">
        <v>23</v>
      </c>
      <c r="F64">
        <v>479</v>
      </c>
      <c r="G64">
        <v>35</v>
      </c>
      <c r="H64" s="43">
        <v>4</v>
      </c>
      <c r="I64" s="44">
        <v>138718.92000000001</v>
      </c>
      <c r="J64" s="43">
        <v>1</v>
      </c>
      <c r="K64" s="43">
        <v>1</v>
      </c>
      <c r="L64" s="44">
        <v>1</v>
      </c>
      <c r="M64" s="44">
        <v>47251.79</v>
      </c>
      <c r="N64" s="44">
        <v>1</v>
      </c>
      <c r="O64" t="str">
        <f t="shared" si="0"/>
        <v>Poor</v>
      </c>
      <c r="P64" t="str">
        <f t="shared" si="1"/>
        <v>Adult</v>
      </c>
      <c r="Q64" t="str">
        <f t="shared" si="2"/>
        <v>Medium Salary</v>
      </c>
    </row>
    <row r="65" spans="1:17" x14ac:dyDescent="0.25">
      <c r="A65">
        <v>294</v>
      </c>
      <c r="B65">
        <v>15590241</v>
      </c>
      <c r="C65" t="s">
        <v>284</v>
      </c>
      <c r="D65" t="s">
        <v>18</v>
      </c>
      <c r="E65" t="s">
        <v>16</v>
      </c>
      <c r="F65">
        <v>750</v>
      </c>
      <c r="G65">
        <v>34</v>
      </c>
      <c r="H65" s="43">
        <v>9</v>
      </c>
      <c r="I65" s="44">
        <v>112822.26</v>
      </c>
      <c r="J65" s="43">
        <v>1</v>
      </c>
      <c r="K65" s="43">
        <v>0</v>
      </c>
      <c r="L65" s="44">
        <v>0</v>
      </c>
      <c r="M65" s="44">
        <v>150401.53</v>
      </c>
      <c r="N65" s="44">
        <v>1</v>
      </c>
      <c r="O65" t="str">
        <f t="shared" si="0"/>
        <v>Good</v>
      </c>
      <c r="P65" t="str">
        <f t="shared" si="1"/>
        <v>Adult</v>
      </c>
      <c r="Q65" t="str">
        <f t="shared" si="2"/>
        <v>High Salary</v>
      </c>
    </row>
    <row r="66" spans="1:17" x14ac:dyDescent="0.25">
      <c r="A66">
        <v>298</v>
      </c>
      <c r="B66">
        <v>15684173</v>
      </c>
      <c r="C66" t="s">
        <v>191</v>
      </c>
      <c r="D66" t="s">
        <v>18</v>
      </c>
      <c r="E66" t="s">
        <v>16</v>
      </c>
      <c r="F66">
        <v>687</v>
      </c>
      <c r="G66">
        <v>44</v>
      </c>
      <c r="H66" s="43">
        <v>7</v>
      </c>
      <c r="I66" s="44">
        <v>0</v>
      </c>
      <c r="J66" s="43">
        <v>3</v>
      </c>
      <c r="K66" s="43">
        <v>1</v>
      </c>
      <c r="L66" s="44">
        <v>0</v>
      </c>
      <c r="M66" s="44">
        <v>155853.51999999999</v>
      </c>
      <c r="N66" s="44">
        <v>1</v>
      </c>
      <c r="O66" t="str">
        <f t="shared" si="0"/>
        <v>Good</v>
      </c>
      <c r="P66" t="str">
        <f t="shared" si="1"/>
        <v>Adult</v>
      </c>
      <c r="Q66" t="str">
        <f t="shared" si="2"/>
        <v>High Salary</v>
      </c>
    </row>
    <row r="67" spans="1:17" x14ac:dyDescent="0.25">
      <c r="A67">
        <v>307</v>
      </c>
      <c r="B67">
        <v>15594898</v>
      </c>
      <c r="C67" t="s">
        <v>294</v>
      </c>
      <c r="D67" t="s">
        <v>15</v>
      </c>
      <c r="E67" t="s">
        <v>23</v>
      </c>
      <c r="F67">
        <v>731</v>
      </c>
      <c r="G67">
        <v>43</v>
      </c>
      <c r="H67" s="43">
        <v>2</v>
      </c>
      <c r="I67" s="44">
        <v>0</v>
      </c>
      <c r="J67" s="43">
        <v>1</v>
      </c>
      <c r="K67" s="43">
        <v>1</v>
      </c>
      <c r="L67" s="44">
        <v>1</v>
      </c>
      <c r="M67" s="44">
        <v>170034.95</v>
      </c>
      <c r="N67" s="44">
        <v>1</v>
      </c>
      <c r="O67" t="str">
        <f t="shared" ref="O67:O130" si="3">IF(F67&lt;580, "Poor", IF(AND(F67&gt;=580, F67&lt;=669), "Average", "Good"))</f>
        <v>Good</v>
      </c>
      <c r="P67" t="str">
        <f t="shared" ref="P67:P130" si="4">IF(G67&lt;=30, "Young Adult", IF(AND(G67&gt;=31, G67&lt;=60), "Adult", "Senior"))</f>
        <v>Adult</v>
      </c>
      <c r="Q67" t="str">
        <f t="shared" ref="Q67:Q130" si="5">IF(M67&lt;30000, "Low Salary", IF(AND(M67&gt;=30000, M67&lt;=70000), "Medium Salary", "High Salary"))</f>
        <v>High Salary</v>
      </c>
    </row>
    <row r="68" spans="1:17" x14ac:dyDescent="0.25">
      <c r="A68">
        <v>309</v>
      </c>
      <c r="B68">
        <v>15773972</v>
      </c>
      <c r="C68" t="s">
        <v>295</v>
      </c>
      <c r="D68" t="s">
        <v>15</v>
      </c>
      <c r="E68" t="s">
        <v>23</v>
      </c>
      <c r="F68">
        <v>614</v>
      </c>
      <c r="G68">
        <v>50</v>
      </c>
      <c r="H68" s="43">
        <v>4</v>
      </c>
      <c r="I68" s="44">
        <v>137104.47</v>
      </c>
      <c r="J68" s="43">
        <v>1</v>
      </c>
      <c r="K68" s="43">
        <v>1</v>
      </c>
      <c r="L68" s="44">
        <v>0</v>
      </c>
      <c r="M68" s="44">
        <v>127166.49</v>
      </c>
      <c r="N68" s="44">
        <v>1</v>
      </c>
      <c r="O68" t="str">
        <f t="shared" si="3"/>
        <v>Average</v>
      </c>
      <c r="P68" t="str">
        <f t="shared" si="4"/>
        <v>Adult</v>
      </c>
      <c r="Q68" t="str">
        <f t="shared" si="5"/>
        <v>High Salary</v>
      </c>
    </row>
    <row r="69" spans="1:17" x14ac:dyDescent="0.25">
      <c r="A69">
        <v>317</v>
      </c>
      <c r="B69">
        <v>15662736</v>
      </c>
      <c r="C69" t="s">
        <v>296</v>
      </c>
      <c r="D69" t="s">
        <v>15</v>
      </c>
      <c r="E69" t="s">
        <v>23</v>
      </c>
      <c r="F69">
        <v>559</v>
      </c>
      <c r="G69">
        <v>49</v>
      </c>
      <c r="H69" s="43">
        <v>2</v>
      </c>
      <c r="I69" s="44">
        <v>147069.78</v>
      </c>
      <c r="J69" s="43">
        <v>1</v>
      </c>
      <c r="K69" s="43">
        <v>1</v>
      </c>
      <c r="L69" s="44">
        <v>0</v>
      </c>
      <c r="M69" s="44">
        <v>120540.83</v>
      </c>
      <c r="N69" s="44">
        <v>1</v>
      </c>
      <c r="O69" t="str">
        <f t="shared" si="3"/>
        <v>Poor</v>
      </c>
      <c r="P69" t="str">
        <f t="shared" si="4"/>
        <v>Adult</v>
      </c>
      <c r="Q69" t="str">
        <f t="shared" si="5"/>
        <v>High Salary</v>
      </c>
    </row>
    <row r="70" spans="1:17" x14ac:dyDescent="0.25">
      <c r="A70">
        <v>323</v>
      </c>
      <c r="B70">
        <v>15694408</v>
      </c>
      <c r="C70" t="s">
        <v>306</v>
      </c>
      <c r="D70" t="s">
        <v>15</v>
      </c>
      <c r="E70" t="s">
        <v>23</v>
      </c>
      <c r="F70">
        <v>749</v>
      </c>
      <c r="G70">
        <v>40</v>
      </c>
      <c r="H70" s="43">
        <v>1</v>
      </c>
      <c r="I70" s="44">
        <v>139290.41</v>
      </c>
      <c r="J70" s="43">
        <v>1</v>
      </c>
      <c r="K70" s="43">
        <v>1</v>
      </c>
      <c r="L70" s="44">
        <v>0</v>
      </c>
      <c r="M70" s="44">
        <v>182855.42</v>
      </c>
      <c r="N70" s="44">
        <v>1</v>
      </c>
      <c r="O70" t="str">
        <f t="shared" si="3"/>
        <v>Good</v>
      </c>
      <c r="P70" t="str">
        <f t="shared" si="4"/>
        <v>Adult</v>
      </c>
      <c r="Q70" t="str">
        <f t="shared" si="5"/>
        <v>High Salary</v>
      </c>
    </row>
    <row r="71" spans="1:17" x14ac:dyDescent="0.25">
      <c r="A71">
        <v>328</v>
      </c>
      <c r="B71">
        <v>15736008</v>
      </c>
      <c r="C71" t="s">
        <v>79</v>
      </c>
      <c r="D71" t="s">
        <v>15</v>
      </c>
      <c r="E71" t="s">
        <v>16</v>
      </c>
      <c r="F71">
        <v>644</v>
      </c>
      <c r="G71">
        <v>46</v>
      </c>
      <c r="H71" s="43">
        <v>9</v>
      </c>
      <c r="I71" s="44">
        <v>95441.27</v>
      </c>
      <c r="J71" s="43">
        <v>1</v>
      </c>
      <c r="K71" s="43">
        <v>1</v>
      </c>
      <c r="L71" s="44">
        <v>0</v>
      </c>
      <c r="M71" s="44">
        <v>108761.05</v>
      </c>
      <c r="N71" s="44">
        <v>1</v>
      </c>
      <c r="O71" t="str">
        <f t="shared" si="3"/>
        <v>Average</v>
      </c>
      <c r="P71" t="str">
        <f t="shared" si="4"/>
        <v>Adult</v>
      </c>
      <c r="Q71" t="str">
        <f t="shared" si="5"/>
        <v>High Salary</v>
      </c>
    </row>
    <row r="72" spans="1:17" x14ac:dyDescent="0.25">
      <c r="A72">
        <v>334</v>
      </c>
      <c r="B72">
        <v>15728669</v>
      </c>
      <c r="C72" t="s">
        <v>315</v>
      </c>
      <c r="D72" t="s">
        <v>26</v>
      </c>
      <c r="E72" t="s">
        <v>16</v>
      </c>
      <c r="F72">
        <v>584</v>
      </c>
      <c r="G72">
        <v>30</v>
      </c>
      <c r="H72" s="43">
        <v>8</v>
      </c>
      <c r="I72" s="44">
        <v>112013.81</v>
      </c>
      <c r="J72" s="43">
        <v>1</v>
      </c>
      <c r="K72" s="43">
        <v>1</v>
      </c>
      <c r="L72" s="44">
        <v>0</v>
      </c>
      <c r="M72" s="44">
        <v>177772.03</v>
      </c>
      <c r="N72" s="44">
        <v>1</v>
      </c>
      <c r="O72" t="str">
        <f t="shared" si="3"/>
        <v>Average</v>
      </c>
      <c r="P72" t="str">
        <f t="shared" si="4"/>
        <v>Young Adult</v>
      </c>
      <c r="Q72" t="str">
        <f t="shared" si="5"/>
        <v>High Salary</v>
      </c>
    </row>
    <row r="73" spans="1:17" x14ac:dyDescent="0.25">
      <c r="A73">
        <v>336</v>
      </c>
      <c r="B73">
        <v>15697441</v>
      </c>
      <c r="C73" t="s">
        <v>317</v>
      </c>
      <c r="D73" t="s">
        <v>15</v>
      </c>
      <c r="E73" t="s">
        <v>23</v>
      </c>
      <c r="F73">
        <v>485</v>
      </c>
      <c r="G73">
        <v>29</v>
      </c>
      <c r="H73" s="43">
        <v>7</v>
      </c>
      <c r="I73" s="44">
        <v>182123.79</v>
      </c>
      <c r="J73" s="43">
        <v>1</v>
      </c>
      <c r="K73" s="43">
        <v>1</v>
      </c>
      <c r="L73" s="44">
        <v>0</v>
      </c>
      <c r="M73" s="44">
        <v>116828.51</v>
      </c>
      <c r="N73" s="44">
        <v>1</v>
      </c>
      <c r="O73" t="str">
        <f t="shared" si="3"/>
        <v>Poor</v>
      </c>
      <c r="P73" t="str">
        <f t="shared" si="4"/>
        <v>Young Adult</v>
      </c>
      <c r="Q73" t="str">
        <f t="shared" si="5"/>
        <v>High Salary</v>
      </c>
    </row>
    <row r="74" spans="1:17" x14ac:dyDescent="0.25">
      <c r="A74">
        <v>339</v>
      </c>
      <c r="B74">
        <v>15636624</v>
      </c>
      <c r="C74" t="s">
        <v>318</v>
      </c>
      <c r="D74" t="s">
        <v>18</v>
      </c>
      <c r="E74" t="s">
        <v>16</v>
      </c>
      <c r="F74">
        <v>805</v>
      </c>
      <c r="G74">
        <v>39</v>
      </c>
      <c r="H74" s="43">
        <v>5</v>
      </c>
      <c r="I74" s="44">
        <v>165272.13</v>
      </c>
      <c r="J74" s="43">
        <v>1</v>
      </c>
      <c r="K74" s="43">
        <v>1</v>
      </c>
      <c r="L74" s="44">
        <v>0</v>
      </c>
      <c r="M74" s="44">
        <v>14109.85</v>
      </c>
      <c r="N74" s="44">
        <v>1</v>
      </c>
      <c r="O74" t="str">
        <f t="shared" si="3"/>
        <v>Good</v>
      </c>
      <c r="P74" t="str">
        <f t="shared" si="4"/>
        <v>Adult</v>
      </c>
      <c r="Q74" t="str">
        <f t="shared" si="5"/>
        <v>Low Salary</v>
      </c>
    </row>
    <row r="75" spans="1:17" x14ac:dyDescent="0.25">
      <c r="A75">
        <v>340</v>
      </c>
      <c r="B75">
        <v>15807923</v>
      </c>
      <c r="C75" t="s">
        <v>45</v>
      </c>
      <c r="D75" t="s">
        <v>26</v>
      </c>
      <c r="E75" t="s">
        <v>16</v>
      </c>
      <c r="F75">
        <v>716</v>
      </c>
      <c r="G75">
        <v>39</v>
      </c>
      <c r="H75" s="43">
        <v>10</v>
      </c>
      <c r="I75" s="44">
        <v>115301.31</v>
      </c>
      <c r="J75" s="43">
        <v>1</v>
      </c>
      <c r="K75" s="43">
        <v>1</v>
      </c>
      <c r="L75" s="44">
        <v>0</v>
      </c>
      <c r="M75" s="44">
        <v>43527.4</v>
      </c>
      <c r="N75" s="44">
        <v>1</v>
      </c>
      <c r="O75" t="str">
        <f t="shared" si="3"/>
        <v>Good</v>
      </c>
      <c r="P75" t="str">
        <f t="shared" si="4"/>
        <v>Adult</v>
      </c>
      <c r="Q75" t="str">
        <f t="shared" si="5"/>
        <v>Medium Salary</v>
      </c>
    </row>
    <row r="76" spans="1:17" x14ac:dyDescent="0.25">
      <c r="A76">
        <v>341</v>
      </c>
      <c r="B76">
        <v>15745844</v>
      </c>
      <c r="C76" t="s">
        <v>319</v>
      </c>
      <c r="D76" t="s">
        <v>26</v>
      </c>
      <c r="E76" t="s">
        <v>16</v>
      </c>
      <c r="F76">
        <v>642</v>
      </c>
      <c r="G76">
        <v>40</v>
      </c>
      <c r="H76" s="43">
        <v>6</v>
      </c>
      <c r="I76" s="44">
        <v>129502.49</v>
      </c>
      <c r="J76" s="43">
        <v>2</v>
      </c>
      <c r="K76" s="43">
        <v>0</v>
      </c>
      <c r="L76" s="44">
        <v>1</v>
      </c>
      <c r="M76" s="44">
        <v>86099.23</v>
      </c>
      <c r="N76" s="44">
        <v>1</v>
      </c>
      <c r="O76" t="str">
        <f t="shared" si="3"/>
        <v>Average</v>
      </c>
      <c r="P76" t="str">
        <f t="shared" si="4"/>
        <v>Adult</v>
      </c>
      <c r="Q76" t="str">
        <f t="shared" si="5"/>
        <v>High Salary</v>
      </c>
    </row>
    <row r="77" spans="1:17" x14ac:dyDescent="0.25">
      <c r="A77">
        <v>358</v>
      </c>
      <c r="B77">
        <v>15661629</v>
      </c>
      <c r="C77" t="s">
        <v>332</v>
      </c>
      <c r="D77" t="s">
        <v>18</v>
      </c>
      <c r="E77" t="s">
        <v>23</v>
      </c>
      <c r="F77">
        <v>522</v>
      </c>
      <c r="G77">
        <v>34</v>
      </c>
      <c r="H77" s="43">
        <v>9</v>
      </c>
      <c r="I77" s="44">
        <v>126436.29</v>
      </c>
      <c r="J77" s="43">
        <v>1</v>
      </c>
      <c r="K77" s="43">
        <v>1</v>
      </c>
      <c r="L77" s="44">
        <v>0</v>
      </c>
      <c r="M77" s="44">
        <v>174248.52</v>
      </c>
      <c r="N77" s="44">
        <v>1</v>
      </c>
      <c r="O77" t="str">
        <f t="shared" si="3"/>
        <v>Poor</v>
      </c>
      <c r="P77" t="str">
        <f t="shared" si="4"/>
        <v>Adult</v>
      </c>
      <c r="Q77" t="str">
        <f t="shared" si="5"/>
        <v>High Salary</v>
      </c>
    </row>
    <row r="78" spans="1:17" x14ac:dyDescent="0.25">
      <c r="A78">
        <v>362</v>
      </c>
      <c r="B78">
        <v>15696674</v>
      </c>
      <c r="C78" t="s">
        <v>176</v>
      </c>
      <c r="D78" t="s">
        <v>26</v>
      </c>
      <c r="E78" t="s">
        <v>16</v>
      </c>
      <c r="F78">
        <v>643</v>
      </c>
      <c r="G78">
        <v>45</v>
      </c>
      <c r="H78" s="43">
        <v>2</v>
      </c>
      <c r="I78" s="44">
        <v>150842.93</v>
      </c>
      <c r="J78" s="43">
        <v>1</v>
      </c>
      <c r="K78" s="43">
        <v>0</v>
      </c>
      <c r="L78" s="44">
        <v>1</v>
      </c>
      <c r="M78" s="44">
        <v>2319.96</v>
      </c>
      <c r="N78" s="44">
        <v>1</v>
      </c>
      <c r="O78" t="str">
        <f t="shared" si="3"/>
        <v>Average</v>
      </c>
      <c r="P78" t="str">
        <f t="shared" si="4"/>
        <v>Adult</v>
      </c>
      <c r="Q78" t="str">
        <f t="shared" si="5"/>
        <v>Low Salary</v>
      </c>
    </row>
    <row r="79" spans="1:17" x14ac:dyDescent="0.25">
      <c r="A79">
        <v>377</v>
      </c>
      <c r="B79">
        <v>15583456</v>
      </c>
      <c r="C79" t="s">
        <v>344</v>
      </c>
      <c r="D79" t="s">
        <v>26</v>
      </c>
      <c r="E79" t="s">
        <v>23</v>
      </c>
      <c r="F79">
        <v>745</v>
      </c>
      <c r="G79">
        <v>45</v>
      </c>
      <c r="H79" s="43">
        <v>10</v>
      </c>
      <c r="I79" s="44">
        <v>117231.63</v>
      </c>
      <c r="J79" s="43">
        <v>3</v>
      </c>
      <c r="K79" s="43">
        <v>1</v>
      </c>
      <c r="L79" s="44">
        <v>1</v>
      </c>
      <c r="M79" s="44">
        <v>122381.02</v>
      </c>
      <c r="N79" s="44">
        <v>1</v>
      </c>
      <c r="O79" t="str">
        <f t="shared" si="3"/>
        <v>Good</v>
      </c>
      <c r="P79" t="str">
        <f t="shared" si="4"/>
        <v>Adult</v>
      </c>
      <c r="Q79" t="str">
        <f t="shared" si="5"/>
        <v>High Salary</v>
      </c>
    </row>
    <row r="80" spans="1:17" x14ac:dyDescent="0.25">
      <c r="A80">
        <v>380</v>
      </c>
      <c r="B80">
        <v>15629677</v>
      </c>
      <c r="C80" t="s">
        <v>345</v>
      </c>
      <c r="D80" t="s">
        <v>18</v>
      </c>
      <c r="E80" t="s">
        <v>16</v>
      </c>
      <c r="F80">
        <v>687</v>
      </c>
      <c r="G80">
        <v>39</v>
      </c>
      <c r="H80" s="43">
        <v>2</v>
      </c>
      <c r="I80" s="44">
        <v>0</v>
      </c>
      <c r="J80" s="43">
        <v>3</v>
      </c>
      <c r="K80" s="43">
        <v>0</v>
      </c>
      <c r="L80" s="44">
        <v>0</v>
      </c>
      <c r="M80" s="44">
        <v>188150.6</v>
      </c>
      <c r="N80" s="44">
        <v>1</v>
      </c>
      <c r="O80" t="str">
        <f t="shared" si="3"/>
        <v>Good</v>
      </c>
      <c r="P80" t="str">
        <f t="shared" si="4"/>
        <v>Adult</v>
      </c>
      <c r="Q80" t="str">
        <f t="shared" si="5"/>
        <v>High Salary</v>
      </c>
    </row>
    <row r="81" spans="1:17" x14ac:dyDescent="0.25">
      <c r="A81">
        <v>393</v>
      </c>
      <c r="B81">
        <v>15573456</v>
      </c>
      <c r="C81" t="s">
        <v>356</v>
      </c>
      <c r="D81" t="s">
        <v>18</v>
      </c>
      <c r="E81" t="s">
        <v>23</v>
      </c>
      <c r="F81">
        <v>648</v>
      </c>
      <c r="G81">
        <v>46</v>
      </c>
      <c r="H81" s="43">
        <v>9</v>
      </c>
      <c r="I81" s="44">
        <v>127209</v>
      </c>
      <c r="J81" s="43">
        <v>2</v>
      </c>
      <c r="K81" s="43">
        <v>1</v>
      </c>
      <c r="L81" s="44">
        <v>0</v>
      </c>
      <c r="M81" s="44">
        <v>77405.95</v>
      </c>
      <c r="N81" s="44">
        <v>1</v>
      </c>
      <c r="O81" t="str">
        <f t="shared" si="3"/>
        <v>Average</v>
      </c>
      <c r="P81" t="str">
        <f t="shared" si="4"/>
        <v>Adult</v>
      </c>
      <c r="Q81" t="str">
        <f t="shared" si="5"/>
        <v>High Salary</v>
      </c>
    </row>
    <row r="82" spans="1:17" x14ac:dyDescent="0.25">
      <c r="A82">
        <v>394</v>
      </c>
      <c r="B82">
        <v>15684548</v>
      </c>
      <c r="C82" t="s">
        <v>357</v>
      </c>
      <c r="D82" t="s">
        <v>18</v>
      </c>
      <c r="E82" t="s">
        <v>23</v>
      </c>
      <c r="F82">
        <v>556</v>
      </c>
      <c r="G82">
        <v>38</v>
      </c>
      <c r="H82" s="43">
        <v>8</v>
      </c>
      <c r="I82" s="44">
        <v>0</v>
      </c>
      <c r="J82" s="43">
        <v>2</v>
      </c>
      <c r="K82" s="43">
        <v>0</v>
      </c>
      <c r="L82" s="44">
        <v>0</v>
      </c>
      <c r="M82" s="44">
        <v>417.41</v>
      </c>
      <c r="N82" s="44">
        <v>1</v>
      </c>
      <c r="O82" t="str">
        <f t="shared" si="3"/>
        <v>Poor</v>
      </c>
      <c r="P82" t="str">
        <f t="shared" si="4"/>
        <v>Adult</v>
      </c>
      <c r="Q82" t="str">
        <f t="shared" si="5"/>
        <v>Low Salary</v>
      </c>
    </row>
    <row r="83" spans="1:17" x14ac:dyDescent="0.25">
      <c r="A83">
        <v>400</v>
      </c>
      <c r="B83">
        <v>15646372</v>
      </c>
      <c r="C83" t="s">
        <v>362</v>
      </c>
      <c r="D83" t="s">
        <v>15</v>
      </c>
      <c r="E83" t="s">
        <v>16</v>
      </c>
      <c r="F83">
        <v>616</v>
      </c>
      <c r="G83">
        <v>66</v>
      </c>
      <c r="H83" s="43">
        <v>1</v>
      </c>
      <c r="I83" s="44">
        <v>135842.41</v>
      </c>
      <c r="J83" s="43">
        <v>1</v>
      </c>
      <c r="K83" s="43">
        <v>1</v>
      </c>
      <c r="L83" s="44">
        <v>0</v>
      </c>
      <c r="M83" s="44">
        <v>183840.51</v>
      </c>
      <c r="N83" s="44">
        <v>1</v>
      </c>
      <c r="O83" t="str">
        <f t="shared" si="3"/>
        <v>Average</v>
      </c>
      <c r="P83" t="str">
        <f t="shared" si="4"/>
        <v>Senior</v>
      </c>
      <c r="Q83" t="str">
        <f t="shared" si="5"/>
        <v>High Salary</v>
      </c>
    </row>
    <row r="84" spans="1:17" x14ac:dyDescent="0.25">
      <c r="A84">
        <v>407</v>
      </c>
      <c r="B84">
        <v>15578045</v>
      </c>
      <c r="C84" t="s">
        <v>21</v>
      </c>
      <c r="D84" t="s">
        <v>18</v>
      </c>
      <c r="E84" t="s">
        <v>16</v>
      </c>
      <c r="F84">
        <v>538</v>
      </c>
      <c r="G84">
        <v>49</v>
      </c>
      <c r="H84" s="43">
        <v>9</v>
      </c>
      <c r="I84" s="44">
        <v>141434.04</v>
      </c>
      <c r="J84" s="43">
        <v>1</v>
      </c>
      <c r="K84" s="43">
        <v>0</v>
      </c>
      <c r="L84" s="44">
        <v>0</v>
      </c>
      <c r="M84" s="44">
        <v>173779.25</v>
      </c>
      <c r="N84" s="44">
        <v>1</v>
      </c>
      <c r="O84" t="str">
        <f t="shared" si="3"/>
        <v>Poor</v>
      </c>
      <c r="P84" t="str">
        <f t="shared" si="4"/>
        <v>Adult</v>
      </c>
      <c r="Q84" t="str">
        <f t="shared" si="5"/>
        <v>High Salary</v>
      </c>
    </row>
    <row r="85" spans="1:17" x14ac:dyDescent="0.25">
      <c r="A85">
        <v>414</v>
      </c>
      <c r="B85">
        <v>15801559</v>
      </c>
      <c r="C85" t="s">
        <v>373</v>
      </c>
      <c r="D85" t="s">
        <v>26</v>
      </c>
      <c r="E85" t="s">
        <v>16</v>
      </c>
      <c r="F85">
        <v>693</v>
      </c>
      <c r="G85">
        <v>41</v>
      </c>
      <c r="H85" s="43">
        <v>9</v>
      </c>
      <c r="I85" s="44">
        <v>181461.48</v>
      </c>
      <c r="J85" s="43">
        <v>3</v>
      </c>
      <c r="K85" s="43">
        <v>1</v>
      </c>
      <c r="L85" s="44">
        <v>1</v>
      </c>
      <c r="M85" s="44">
        <v>187929.43</v>
      </c>
      <c r="N85" s="44">
        <v>1</v>
      </c>
      <c r="O85" t="str">
        <f t="shared" si="3"/>
        <v>Good</v>
      </c>
      <c r="P85" t="str">
        <f t="shared" si="4"/>
        <v>Adult</v>
      </c>
      <c r="Q85" t="str">
        <f t="shared" si="5"/>
        <v>High Salary</v>
      </c>
    </row>
    <row r="86" spans="1:17" x14ac:dyDescent="0.25">
      <c r="A86">
        <v>417</v>
      </c>
      <c r="B86">
        <v>15720559</v>
      </c>
      <c r="C86" t="s">
        <v>376</v>
      </c>
      <c r="D86" t="s">
        <v>26</v>
      </c>
      <c r="E86" t="s">
        <v>16</v>
      </c>
      <c r="F86">
        <v>487</v>
      </c>
      <c r="G86">
        <v>61</v>
      </c>
      <c r="H86" s="43">
        <v>5</v>
      </c>
      <c r="I86" s="44">
        <v>110368.03</v>
      </c>
      <c r="J86" s="43">
        <v>1</v>
      </c>
      <c r="K86" s="43">
        <v>0</v>
      </c>
      <c r="L86" s="44">
        <v>0</v>
      </c>
      <c r="M86" s="44">
        <v>11384.45</v>
      </c>
      <c r="N86" s="44">
        <v>1</v>
      </c>
      <c r="O86" t="str">
        <f t="shared" si="3"/>
        <v>Poor</v>
      </c>
      <c r="P86" t="str">
        <f t="shared" si="4"/>
        <v>Senior</v>
      </c>
      <c r="Q86" t="str">
        <f t="shared" si="5"/>
        <v>Low Salary</v>
      </c>
    </row>
    <row r="87" spans="1:17" x14ac:dyDescent="0.25">
      <c r="A87">
        <v>421</v>
      </c>
      <c r="B87">
        <v>15810418</v>
      </c>
      <c r="C87" t="s">
        <v>125</v>
      </c>
      <c r="D87" t="s">
        <v>26</v>
      </c>
      <c r="E87" t="s">
        <v>16</v>
      </c>
      <c r="F87">
        <v>756</v>
      </c>
      <c r="G87">
        <v>60</v>
      </c>
      <c r="H87" s="43">
        <v>3</v>
      </c>
      <c r="I87" s="44">
        <v>115924.89</v>
      </c>
      <c r="J87" s="43">
        <v>1</v>
      </c>
      <c r="K87" s="43">
        <v>1</v>
      </c>
      <c r="L87" s="44">
        <v>0</v>
      </c>
      <c r="M87" s="44">
        <v>93524.19</v>
      </c>
      <c r="N87" s="44">
        <v>1</v>
      </c>
      <c r="O87" t="str">
        <f t="shared" si="3"/>
        <v>Good</v>
      </c>
      <c r="P87" t="str">
        <f t="shared" si="4"/>
        <v>Adult</v>
      </c>
      <c r="Q87" t="str">
        <f t="shared" si="5"/>
        <v>High Salary</v>
      </c>
    </row>
    <row r="88" spans="1:17" x14ac:dyDescent="0.25">
      <c r="A88">
        <v>423</v>
      </c>
      <c r="B88">
        <v>15674551</v>
      </c>
      <c r="C88" t="s">
        <v>379</v>
      </c>
      <c r="D88" t="s">
        <v>26</v>
      </c>
      <c r="E88" t="s">
        <v>23</v>
      </c>
      <c r="F88">
        <v>535</v>
      </c>
      <c r="G88">
        <v>40</v>
      </c>
      <c r="H88" s="43">
        <v>7</v>
      </c>
      <c r="I88" s="44">
        <v>111756.5</v>
      </c>
      <c r="J88" s="43">
        <v>1</v>
      </c>
      <c r="K88" s="43">
        <v>1</v>
      </c>
      <c r="L88" s="44">
        <v>0</v>
      </c>
      <c r="M88" s="44">
        <v>8128.32</v>
      </c>
      <c r="N88" s="44">
        <v>1</v>
      </c>
      <c r="O88" t="str">
        <f t="shared" si="3"/>
        <v>Poor</v>
      </c>
      <c r="P88" t="str">
        <f t="shared" si="4"/>
        <v>Adult</v>
      </c>
      <c r="Q88" t="str">
        <f t="shared" si="5"/>
        <v>Low Salary</v>
      </c>
    </row>
    <row r="89" spans="1:17" x14ac:dyDescent="0.25">
      <c r="A89">
        <v>430</v>
      </c>
      <c r="B89">
        <v>15806467</v>
      </c>
      <c r="C89" t="s">
        <v>267</v>
      </c>
      <c r="D89" t="s">
        <v>26</v>
      </c>
      <c r="E89" t="s">
        <v>23</v>
      </c>
      <c r="F89">
        <v>568</v>
      </c>
      <c r="G89">
        <v>40</v>
      </c>
      <c r="H89" s="43">
        <v>1</v>
      </c>
      <c r="I89" s="44">
        <v>99282.63</v>
      </c>
      <c r="J89" s="43">
        <v>1</v>
      </c>
      <c r="K89" s="43">
        <v>0</v>
      </c>
      <c r="L89" s="44">
        <v>0</v>
      </c>
      <c r="M89" s="44">
        <v>134600.94</v>
      </c>
      <c r="N89" s="44">
        <v>1</v>
      </c>
      <c r="O89" t="str">
        <f t="shared" si="3"/>
        <v>Poor</v>
      </c>
      <c r="P89" t="str">
        <f t="shared" si="4"/>
        <v>Adult</v>
      </c>
      <c r="Q89" t="str">
        <f t="shared" si="5"/>
        <v>High Salary</v>
      </c>
    </row>
    <row r="90" spans="1:17" x14ac:dyDescent="0.25">
      <c r="A90">
        <v>431</v>
      </c>
      <c r="B90">
        <v>15597602</v>
      </c>
      <c r="C90" t="s">
        <v>384</v>
      </c>
      <c r="D90" t="s">
        <v>26</v>
      </c>
      <c r="E90" t="s">
        <v>23</v>
      </c>
      <c r="F90">
        <v>619</v>
      </c>
      <c r="G90">
        <v>57</v>
      </c>
      <c r="H90" s="43">
        <v>3</v>
      </c>
      <c r="I90" s="44">
        <v>137946.39000000001</v>
      </c>
      <c r="J90" s="43">
        <v>1</v>
      </c>
      <c r="K90" s="43">
        <v>1</v>
      </c>
      <c r="L90" s="44">
        <v>1</v>
      </c>
      <c r="M90" s="44">
        <v>72467.990000000005</v>
      </c>
      <c r="N90" s="44">
        <v>1</v>
      </c>
      <c r="O90" t="str">
        <f t="shared" si="3"/>
        <v>Average</v>
      </c>
      <c r="P90" t="str">
        <f t="shared" si="4"/>
        <v>Adult</v>
      </c>
      <c r="Q90" t="str">
        <f t="shared" si="5"/>
        <v>High Salary</v>
      </c>
    </row>
    <row r="91" spans="1:17" x14ac:dyDescent="0.25">
      <c r="A91">
        <v>434</v>
      </c>
      <c r="B91">
        <v>15595039</v>
      </c>
      <c r="C91" t="s">
        <v>387</v>
      </c>
      <c r="D91" t="s">
        <v>26</v>
      </c>
      <c r="E91" t="s">
        <v>16</v>
      </c>
      <c r="F91">
        <v>545</v>
      </c>
      <c r="G91">
        <v>37</v>
      </c>
      <c r="H91" s="43">
        <v>8</v>
      </c>
      <c r="I91" s="44">
        <v>114754.08</v>
      </c>
      <c r="J91" s="43">
        <v>1</v>
      </c>
      <c r="K91" s="43">
        <v>1</v>
      </c>
      <c r="L91" s="44">
        <v>0</v>
      </c>
      <c r="M91" s="44">
        <v>136050.44</v>
      </c>
      <c r="N91" s="44">
        <v>1</v>
      </c>
      <c r="O91" t="str">
        <f t="shared" si="3"/>
        <v>Poor</v>
      </c>
      <c r="P91" t="str">
        <f t="shared" si="4"/>
        <v>Adult</v>
      </c>
      <c r="Q91" t="str">
        <f t="shared" si="5"/>
        <v>High Salary</v>
      </c>
    </row>
    <row r="92" spans="1:17" x14ac:dyDescent="0.25">
      <c r="A92">
        <v>445</v>
      </c>
      <c r="B92">
        <v>15787470</v>
      </c>
      <c r="C92" t="s">
        <v>396</v>
      </c>
      <c r="D92" t="s">
        <v>18</v>
      </c>
      <c r="E92" t="s">
        <v>23</v>
      </c>
      <c r="F92">
        <v>553</v>
      </c>
      <c r="G92">
        <v>47</v>
      </c>
      <c r="H92" s="43">
        <v>3</v>
      </c>
      <c r="I92" s="44">
        <v>116528.15</v>
      </c>
      <c r="J92" s="43">
        <v>1</v>
      </c>
      <c r="K92" s="43">
        <v>0</v>
      </c>
      <c r="L92" s="44">
        <v>0</v>
      </c>
      <c r="M92" s="44">
        <v>145704.19</v>
      </c>
      <c r="N92" s="44">
        <v>1</v>
      </c>
      <c r="O92" t="str">
        <f t="shared" si="3"/>
        <v>Poor</v>
      </c>
      <c r="P92" t="str">
        <f t="shared" si="4"/>
        <v>Adult</v>
      </c>
      <c r="Q92" t="str">
        <f t="shared" si="5"/>
        <v>High Salary</v>
      </c>
    </row>
    <row r="93" spans="1:17" x14ac:dyDescent="0.25">
      <c r="A93">
        <v>449</v>
      </c>
      <c r="B93">
        <v>15694860</v>
      </c>
      <c r="C93" t="s">
        <v>400</v>
      </c>
      <c r="D93" t="s">
        <v>15</v>
      </c>
      <c r="E93" t="s">
        <v>16</v>
      </c>
      <c r="F93">
        <v>675</v>
      </c>
      <c r="G93">
        <v>38</v>
      </c>
      <c r="H93" s="43">
        <v>6</v>
      </c>
      <c r="I93" s="44">
        <v>68065.8</v>
      </c>
      <c r="J93" s="43">
        <v>1</v>
      </c>
      <c r="K93" s="43">
        <v>0</v>
      </c>
      <c r="L93" s="44">
        <v>0</v>
      </c>
      <c r="M93" s="44">
        <v>138777</v>
      </c>
      <c r="N93" s="44">
        <v>1</v>
      </c>
      <c r="O93" t="str">
        <f t="shared" si="3"/>
        <v>Good</v>
      </c>
      <c r="P93" t="str">
        <f t="shared" si="4"/>
        <v>Adult</v>
      </c>
      <c r="Q93" t="str">
        <f t="shared" si="5"/>
        <v>High Salary</v>
      </c>
    </row>
    <row r="94" spans="1:17" x14ac:dyDescent="0.25">
      <c r="A94">
        <v>459</v>
      </c>
      <c r="B94">
        <v>15707362</v>
      </c>
      <c r="C94" t="s">
        <v>67</v>
      </c>
      <c r="D94" t="s">
        <v>26</v>
      </c>
      <c r="E94" t="s">
        <v>23</v>
      </c>
      <c r="F94">
        <v>514</v>
      </c>
      <c r="G94">
        <v>43</v>
      </c>
      <c r="H94" s="43">
        <v>1</v>
      </c>
      <c r="I94" s="44">
        <v>95556.31</v>
      </c>
      <c r="J94" s="43">
        <v>1</v>
      </c>
      <c r="K94" s="43">
        <v>0</v>
      </c>
      <c r="L94" s="44">
        <v>1</v>
      </c>
      <c r="M94" s="44">
        <v>199273.98</v>
      </c>
      <c r="N94" s="44">
        <v>1</v>
      </c>
      <c r="O94" t="str">
        <f t="shared" si="3"/>
        <v>Poor</v>
      </c>
      <c r="P94" t="str">
        <f t="shared" si="4"/>
        <v>Adult</v>
      </c>
      <c r="Q94" t="str">
        <f t="shared" si="5"/>
        <v>High Salary</v>
      </c>
    </row>
    <row r="95" spans="1:17" x14ac:dyDescent="0.25">
      <c r="A95">
        <v>464</v>
      </c>
      <c r="B95">
        <v>15773792</v>
      </c>
      <c r="C95" t="s">
        <v>412</v>
      </c>
      <c r="D95" t="s">
        <v>15</v>
      </c>
      <c r="E95" t="s">
        <v>16</v>
      </c>
      <c r="F95">
        <v>662</v>
      </c>
      <c r="G95">
        <v>32</v>
      </c>
      <c r="H95" s="43">
        <v>4</v>
      </c>
      <c r="I95" s="44">
        <v>133950.37</v>
      </c>
      <c r="J95" s="43">
        <v>1</v>
      </c>
      <c r="K95" s="43">
        <v>1</v>
      </c>
      <c r="L95" s="44">
        <v>1</v>
      </c>
      <c r="M95" s="44">
        <v>48725.68</v>
      </c>
      <c r="N95" s="44">
        <v>1</v>
      </c>
      <c r="O95" t="str">
        <f t="shared" si="3"/>
        <v>Average</v>
      </c>
      <c r="P95" t="str">
        <f t="shared" si="4"/>
        <v>Adult</v>
      </c>
      <c r="Q95" t="str">
        <f t="shared" si="5"/>
        <v>Medium Salary</v>
      </c>
    </row>
    <row r="96" spans="1:17" x14ac:dyDescent="0.25">
      <c r="A96">
        <v>468</v>
      </c>
      <c r="B96">
        <v>15593782</v>
      </c>
      <c r="C96" t="s">
        <v>414</v>
      </c>
      <c r="D96" t="s">
        <v>26</v>
      </c>
      <c r="E96" t="s">
        <v>16</v>
      </c>
      <c r="F96">
        <v>816</v>
      </c>
      <c r="G96">
        <v>38</v>
      </c>
      <c r="H96" s="43">
        <v>5</v>
      </c>
      <c r="I96" s="44">
        <v>130878.75</v>
      </c>
      <c r="J96" s="43">
        <v>3</v>
      </c>
      <c r="K96" s="43">
        <v>1</v>
      </c>
      <c r="L96" s="44">
        <v>0</v>
      </c>
      <c r="M96" s="44">
        <v>71905.77</v>
      </c>
      <c r="N96" s="44">
        <v>1</v>
      </c>
      <c r="O96" t="str">
        <f t="shared" si="3"/>
        <v>Good</v>
      </c>
      <c r="P96" t="str">
        <f t="shared" si="4"/>
        <v>Adult</v>
      </c>
      <c r="Q96" t="str">
        <f t="shared" si="5"/>
        <v>High Salary</v>
      </c>
    </row>
    <row r="97" spans="1:17" x14ac:dyDescent="0.25">
      <c r="A97">
        <v>472</v>
      </c>
      <c r="B97">
        <v>15683625</v>
      </c>
      <c r="C97" t="s">
        <v>416</v>
      </c>
      <c r="D97" t="s">
        <v>15</v>
      </c>
      <c r="E97" t="s">
        <v>23</v>
      </c>
      <c r="F97">
        <v>703</v>
      </c>
      <c r="G97">
        <v>37</v>
      </c>
      <c r="H97" s="43">
        <v>1</v>
      </c>
      <c r="I97" s="44">
        <v>149762.07999999999</v>
      </c>
      <c r="J97" s="43">
        <v>1</v>
      </c>
      <c r="K97" s="43">
        <v>1</v>
      </c>
      <c r="L97" s="44">
        <v>0</v>
      </c>
      <c r="M97" s="44">
        <v>20629.400000000001</v>
      </c>
      <c r="N97" s="44">
        <v>1</v>
      </c>
      <c r="O97" t="str">
        <f t="shared" si="3"/>
        <v>Good</v>
      </c>
      <c r="P97" t="str">
        <f t="shared" si="4"/>
        <v>Adult</v>
      </c>
      <c r="Q97" t="str">
        <f t="shared" si="5"/>
        <v>Low Salary</v>
      </c>
    </row>
    <row r="98" spans="1:17" x14ac:dyDescent="0.25">
      <c r="A98">
        <v>476</v>
      </c>
      <c r="B98">
        <v>15591986</v>
      </c>
      <c r="C98" t="s">
        <v>238</v>
      </c>
      <c r="D98" t="s">
        <v>26</v>
      </c>
      <c r="E98" t="s">
        <v>23</v>
      </c>
      <c r="F98">
        <v>621</v>
      </c>
      <c r="G98">
        <v>46</v>
      </c>
      <c r="H98" s="43">
        <v>6</v>
      </c>
      <c r="I98" s="44">
        <v>141078.37</v>
      </c>
      <c r="J98" s="43">
        <v>1</v>
      </c>
      <c r="K98" s="43">
        <v>0</v>
      </c>
      <c r="L98" s="44">
        <v>0</v>
      </c>
      <c r="M98" s="44">
        <v>34580.800000000003</v>
      </c>
      <c r="N98" s="44">
        <v>1</v>
      </c>
      <c r="O98" t="str">
        <f t="shared" si="3"/>
        <v>Average</v>
      </c>
      <c r="P98" t="str">
        <f t="shared" si="4"/>
        <v>Adult</v>
      </c>
      <c r="Q98" t="str">
        <f t="shared" si="5"/>
        <v>Medium Salary</v>
      </c>
    </row>
    <row r="99" spans="1:17" x14ac:dyDescent="0.25">
      <c r="A99">
        <v>485</v>
      </c>
      <c r="B99">
        <v>15676519</v>
      </c>
      <c r="C99" t="s">
        <v>424</v>
      </c>
      <c r="D99" t="s">
        <v>18</v>
      </c>
      <c r="E99" t="s">
        <v>23</v>
      </c>
      <c r="F99">
        <v>615</v>
      </c>
      <c r="G99">
        <v>61</v>
      </c>
      <c r="H99" s="43">
        <v>9</v>
      </c>
      <c r="I99" s="44">
        <v>0</v>
      </c>
      <c r="J99" s="43">
        <v>2</v>
      </c>
      <c r="K99" s="43">
        <v>1</v>
      </c>
      <c r="L99" s="44">
        <v>0</v>
      </c>
      <c r="M99" s="44">
        <v>150227.85</v>
      </c>
      <c r="N99" s="44">
        <v>1</v>
      </c>
      <c r="O99" t="str">
        <f t="shared" si="3"/>
        <v>Average</v>
      </c>
      <c r="P99" t="str">
        <f t="shared" si="4"/>
        <v>Senior</v>
      </c>
      <c r="Q99" t="str">
        <f t="shared" si="5"/>
        <v>High Salary</v>
      </c>
    </row>
    <row r="100" spans="1:17" x14ac:dyDescent="0.25">
      <c r="A100">
        <v>488</v>
      </c>
      <c r="B100">
        <v>15613772</v>
      </c>
      <c r="C100" t="s">
        <v>426</v>
      </c>
      <c r="D100" t="s">
        <v>15</v>
      </c>
      <c r="E100" t="s">
        <v>23</v>
      </c>
      <c r="F100">
        <v>542</v>
      </c>
      <c r="G100">
        <v>39</v>
      </c>
      <c r="H100" s="43">
        <v>3</v>
      </c>
      <c r="I100" s="44">
        <v>135096.76999999999</v>
      </c>
      <c r="J100" s="43">
        <v>1</v>
      </c>
      <c r="K100" s="43">
        <v>1</v>
      </c>
      <c r="L100" s="44">
        <v>1</v>
      </c>
      <c r="M100" s="44">
        <v>14353.43</v>
      </c>
      <c r="N100" s="44">
        <v>1</v>
      </c>
      <c r="O100" t="str">
        <f t="shared" si="3"/>
        <v>Poor</v>
      </c>
      <c r="P100" t="str">
        <f t="shared" si="4"/>
        <v>Adult</v>
      </c>
      <c r="Q100" t="str">
        <f t="shared" si="5"/>
        <v>Low Salary</v>
      </c>
    </row>
    <row r="101" spans="1:17" x14ac:dyDescent="0.25">
      <c r="A101">
        <v>494</v>
      </c>
      <c r="B101">
        <v>15725679</v>
      </c>
      <c r="C101" t="s">
        <v>189</v>
      </c>
      <c r="D101" t="s">
        <v>15</v>
      </c>
      <c r="E101" t="s">
        <v>16</v>
      </c>
      <c r="F101">
        <v>531</v>
      </c>
      <c r="G101">
        <v>47</v>
      </c>
      <c r="H101" s="43">
        <v>6</v>
      </c>
      <c r="I101" s="44">
        <v>0</v>
      </c>
      <c r="J101" s="43">
        <v>1</v>
      </c>
      <c r="K101" s="43">
        <v>0</v>
      </c>
      <c r="L101" s="44">
        <v>0</v>
      </c>
      <c r="M101" s="44">
        <v>194998.34</v>
      </c>
      <c r="N101" s="44">
        <v>1</v>
      </c>
      <c r="O101" t="str">
        <f t="shared" si="3"/>
        <v>Poor</v>
      </c>
      <c r="P101" t="str">
        <f t="shared" si="4"/>
        <v>Adult</v>
      </c>
      <c r="Q101" t="str">
        <f t="shared" si="5"/>
        <v>High Salary</v>
      </c>
    </row>
    <row r="102" spans="1:17" x14ac:dyDescent="0.25">
      <c r="A102">
        <v>495</v>
      </c>
      <c r="B102">
        <v>15585865</v>
      </c>
      <c r="C102" t="s">
        <v>430</v>
      </c>
      <c r="D102" t="s">
        <v>15</v>
      </c>
      <c r="E102" t="s">
        <v>16</v>
      </c>
      <c r="F102">
        <v>673</v>
      </c>
      <c r="G102">
        <v>38</v>
      </c>
      <c r="H102" s="43">
        <v>2</v>
      </c>
      <c r="I102" s="44">
        <v>170061.92</v>
      </c>
      <c r="J102" s="43">
        <v>2</v>
      </c>
      <c r="K102" s="43">
        <v>0</v>
      </c>
      <c r="L102" s="44">
        <v>0</v>
      </c>
      <c r="M102" s="44">
        <v>134901.34</v>
      </c>
      <c r="N102" s="44">
        <v>1</v>
      </c>
      <c r="O102" t="str">
        <f t="shared" si="3"/>
        <v>Good</v>
      </c>
      <c r="P102" t="str">
        <f t="shared" si="4"/>
        <v>Adult</v>
      </c>
      <c r="Q102" t="str">
        <f t="shared" si="5"/>
        <v>High Salary</v>
      </c>
    </row>
    <row r="103" spans="1:17" x14ac:dyDescent="0.25">
      <c r="A103">
        <v>500</v>
      </c>
      <c r="B103">
        <v>15677020</v>
      </c>
      <c r="C103" t="s">
        <v>435</v>
      </c>
      <c r="D103" t="s">
        <v>15</v>
      </c>
      <c r="E103" t="s">
        <v>16</v>
      </c>
      <c r="F103">
        <v>570</v>
      </c>
      <c r="G103">
        <v>58</v>
      </c>
      <c r="H103" s="43">
        <v>8</v>
      </c>
      <c r="I103" s="44">
        <v>0</v>
      </c>
      <c r="J103" s="43">
        <v>1</v>
      </c>
      <c r="K103" s="43">
        <v>0</v>
      </c>
      <c r="L103" s="44">
        <v>1</v>
      </c>
      <c r="M103" s="44">
        <v>116503.92</v>
      </c>
      <c r="N103" s="44">
        <v>1</v>
      </c>
      <c r="O103" t="str">
        <f t="shared" si="3"/>
        <v>Poor</v>
      </c>
      <c r="P103" t="str">
        <f t="shared" si="4"/>
        <v>Adult</v>
      </c>
      <c r="Q103" t="str">
        <f t="shared" si="5"/>
        <v>High Salary</v>
      </c>
    </row>
    <row r="104" spans="1:17" x14ac:dyDescent="0.25">
      <c r="A104">
        <v>503</v>
      </c>
      <c r="B104">
        <v>15714485</v>
      </c>
      <c r="C104" t="s">
        <v>438</v>
      </c>
      <c r="D104" t="s">
        <v>15</v>
      </c>
      <c r="E104" t="s">
        <v>23</v>
      </c>
      <c r="F104">
        <v>774</v>
      </c>
      <c r="G104">
        <v>60</v>
      </c>
      <c r="H104" s="43">
        <v>5</v>
      </c>
      <c r="I104" s="44">
        <v>85891.55</v>
      </c>
      <c r="J104" s="43">
        <v>1</v>
      </c>
      <c r="K104" s="43">
        <v>1</v>
      </c>
      <c r="L104" s="44">
        <v>0</v>
      </c>
      <c r="M104" s="44">
        <v>74135.48</v>
      </c>
      <c r="N104" s="44">
        <v>1</v>
      </c>
      <c r="O104" t="str">
        <f t="shared" si="3"/>
        <v>Good</v>
      </c>
      <c r="P104" t="str">
        <f t="shared" si="4"/>
        <v>Adult</v>
      </c>
      <c r="Q104" t="str">
        <f t="shared" si="5"/>
        <v>High Salary</v>
      </c>
    </row>
    <row r="105" spans="1:17" x14ac:dyDescent="0.25">
      <c r="A105">
        <v>515</v>
      </c>
      <c r="B105">
        <v>15682048</v>
      </c>
      <c r="C105" t="s">
        <v>88</v>
      </c>
      <c r="D105" t="s">
        <v>15</v>
      </c>
      <c r="E105" t="s">
        <v>16</v>
      </c>
      <c r="F105">
        <v>605</v>
      </c>
      <c r="G105">
        <v>51</v>
      </c>
      <c r="H105" s="43">
        <v>3</v>
      </c>
      <c r="I105" s="44">
        <v>136188.78</v>
      </c>
      <c r="J105" s="43">
        <v>1</v>
      </c>
      <c r="K105" s="43">
        <v>1</v>
      </c>
      <c r="L105" s="44">
        <v>1</v>
      </c>
      <c r="M105" s="44">
        <v>67110.59</v>
      </c>
      <c r="N105" s="44">
        <v>1</v>
      </c>
      <c r="O105" t="str">
        <f t="shared" si="3"/>
        <v>Average</v>
      </c>
      <c r="P105" t="str">
        <f t="shared" si="4"/>
        <v>Adult</v>
      </c>
      <c r="Q105" t="str">
        <f t="shared" si="5"/>
        <v>Medium Salary</v>
      </c>
    </row>
    <row r="106" spans="1:17" x14ac:dyDescent="0.25">
      <c r="A106">
        <v>517</v>
      </c>
      <c r="B106">
        <v>15752081</v>
      </c>
      <c r="C106" t="s">
        <v>448</v>
      </c>
      <c r="D106" t="s">
        <v>15</v>
      </c>
      <c r="E106" t="s">
        <v>16</v>
      </c>
      <c r="F106">
        <v>468</v>
      </c>
      <c r="G106">
        <v>56</v>
      </c>
      <c r="H106" s="43">
        <v>10</v>
      </c>
      <c r="I106" s="44">
        <v>0</v>
      </c>
      <c r="J106" s="43">
        <v>3</v>
      </c>
      <c r="K106" s="43">
        <v>0</v>
      </c>
      <c r="L106" s="44">
        <v>1</v>
      </c>
      <c r="M106" s="44">
        <v>62256.87</v>
      </c>
      <c r="N106" s="44">
        <v>1</v>
      </c>
      <c r="O106" t="str">
        <f t="shared" si="3"/>
        <v>Poor</v>
      </c>
      <c r="P106" t="str">
        <f t="shared" si="4"/>
        <v>Adult</v>
      </c>
      <c r="Q106" t="str">
        <f t="shared" si="5"/>
        <v>Medium Salary</v>
      </c>
    </row>
    <row r="107" spans="1:17" x14ac:dyDescent="0.25">
      <c r="A107">
        <v>519</v>
      </c>
      <c r="B107">
        <v>15775912</v>
      </c>
      <c r="C107" t="s">
        <v>310</v>
      </c>
      <c r="D107" t="s">
        <v>15</v>
      </c>
      <c r="E107" t="s">
        <v>23</v>
      </c>
      <c r="F107">
        <v>698</v>
      </c>
      <c r="G107">
        <v>48</v>
      </c>
      <c r="H107" s="43">
        <v>4</v>
      </c>
      <c r="I107" s="44">
        <v>101238.24</v>
      </c>
      <c r="J107" s="43">
        <v>2</v>
      </c>
      <c r="K107" s="43">
        <v>0</v>
      </c>
      <c r="L107" s="44">
        <v>1</v>
      </c>
      <c r="M107" s="44">
        <v>177815.87</v>
      </c>
      <c r="N107" s="44">
        <v>1</v>
      </c>
      <c r="O107" t="str">
        <f t="shared" si="3"/>
        <v>Good</v>
      </c>
      <c r="P107" t="str">
        <f t="shared" si="4"/>
        <v>Adult</v>
      </c>
      <c r="Q107" t="str">
        <f t="shared" si="5"/>
        <v>High Salary</v>
      </c>
    </row>
    <row r="108" spans="1:17" x14ac:dyDescent="0.25">
      <c r="A108">
        <v>521</v>
      </c>
      <c r="B108">
        <v>15671256</v>
      </c>
      <c r="C108" t="s">
        <v>451</v>
      </c>
      <c r="D108" t="s">
        <v>15</v>
      </c>
      <c r="E108" t="s">
        <v>16</v>
      </c>
      <c r="F108">
        <v>850</v>
      </c>
      <c r="G108">
        <v>35</v>
      </c>
      <c r="H108" s="43">
        <v>1</v>
      </c>
      <c r="I108" s="44">
        <v>211774.31</v>
      </c>
      <c r="J108" s="43">
        <v>1</v>
      </c>
      <c r="K108" s="43">
        <v>1</v>
      </c>
      <c r="L108" s="44">
        <v>0</v>
      </c>
      <c r="M108" s="44">
        <v>188574.12</v>
      </c>
      <c r="N108" s="44">
        <v>1</v>
      </c>
      <c r="O108" t="str">
        <f t="shared" si="3"/>
        <v>Good</v>
      </c>
      <c r="P108" t="str">
        <f t="shared" si="4"/>
        <v>Adult</v>
      </c>
      <c r="Q108" t="str">
        <f t="shared" si="5"/>
        <v>High Salary</v>
      </c>
    </row>
    <row r="109" spans="1:17" x14ac:dyDescent="0.25">
      <c r="A109">
        <v>529</v>
      </c>
      <c r="B109">
        <v>15653849</v>
      </c>
      <c r="C109" t="s">
        <v>456</v>
      </c>
      <c r="D109" t="s">
        <v>26</v>
      </c>
      <c r="E109" t="s">
        <v>16</v>
      </c>
      <c r="F109">
        <v>572</v>
      </c>
      <c r="G109">
        <v>48</v>
      </c>
      <c r="H109" s="43">
        <v>3</v>
      </c>
      <c r="I109" s="44">
        <v>152827.99</v>
      </c>
      <c r="J109" s="43">
        <v>1</v>
      </c>
      <c r="K109" s="43">
        <v>1</v>
      </c>
      <c r="L109" s="44">
        <v>0</v>
      </c>
      <c r="M109" s="44">
        <v>38411.79</v>
      </c>
      <c r="N109" s="44">
        <v>1</v>
      </c>
      <c r="O109" t="str">
        <f t="shared" si="3"/>
        <v>Poor</v>
      </c>
      <c r="P109" t="str">
        <f t="shared" si="4"/>
        <v>Adult</v>
      </c>
      <c r="Q109" t="str">
        <f t="shared" si="5"/>
        <v>Medium Salary</v>
      </c>
    </row>
    <row r="110" spans="1:17" x14ac:dyDescent="0.25">
      <c r="A110">
        <v>536</v>
      </c>
      <c r="B110">
        <v>15776780</v>
      </c>
      <c r="C110" t="s">
        <v>27</v>
      </c>
      <c r="D110" t="s">
        <v>15</v>
      </c>
      <c r="E110" t="s">
        <v>23</v>
      </c>
      <c r="F110">
        <v>608</v>
      </c>
      <c r="G110">
        <v>59</v>
      </c>
      <c r="H110" s="43">
        <v>1</v>
      </c>
      <c r="I110" s="44">
        <v>0</v>
      </c>
      <c r="J110" s="43">
        <v>1</v>
      </c>
      <c r="K110" s="43">
        <v>1</v>
      </c>
      <c r="L110" s="44">
        <v>0</v>
      </c>
      <c r="M110" s="44">
        <v>70649.64</v>
      </c>
      <c r="N110" s="44">
        <v>1</v>
      </c>
      <c r="O110" t="str">
        <f t="shared" si="3"/>
        <v>Average</v>
      </c>
      <c r="P110" t="str">
        <f t="shared" si="4"/>
        <v>Adult</v>
      </c>
      <c r="Q110" t="str">
        <f t="shared" si="5"/>
        <v>High Salary</v>
      </c>
    </row>
    <row r="111" spans="1:17" x14ac:dyDescent="0.25">
      <c r="A111">
        <v>539</v>
      </c>
      <c r="B111">
        <v>15794142</v>
      </c>
      <c r="C111" t="s">
        <v>461</v>
      </c>
      <c r="D111" t="s">
        <v>26</v>
      </c>
      <c r="E111" t="s">
        <v>16</v>
      </c>
      <c r="F111">
        <v>564</v>
      </c>
      <c r="G111">
        <v>62</v>
      </c>
      <c r="H111" s="43">
        <v>5</v>
      </c>
      <c r="I111" s="44">
        <v>114931.35</v>
      </c>
      <c r="J111" s="43">
        <v>3</v>
      </c>
      <c r="K111" s="43">
        <v>0</v>
      </c>
      <c r="L111" s="44">
        <v>1</v>
      </c>
      <c r="M111" s="44">
        <v>18260.98</v>
      </c>
      <c r="N111" s="44">
        <v>1</v>
      </c>
      <c r="O111" t="str">
        <f t="shared" si="3"/>
        <v>Poor</v>
      </c>
      <c r="P111" t="str">
        <f t="shared" si="4"/>
        <v>Senior</v>
      </c>
      <c r="Q111" t="str">
        <f t="shared" si="5"/>
        <v>Low Salary</v>
      </c>
    </row>
    <row r="112" spans="1:17" x14ac:dyDescent="0.25">
      <c r="A112">
        <v>540</v>
      </c>
      <c r="B112">
        <v>15762729</v>
      </c>
      <c r="C112" t="s">
        <v>462</v>
      </c>
      <c r="D112" t="s">
        <v>26</v>
      </c>
      <c r="E112" t="s">
        <v>16</v>
      </c>
      <c r="F112">
        <v>745</v>
      </c>
      <c r="G112">
        <v>28</v>
      </c>
      <c r="H112" s="43">
        <v>1</v>
      </c>
      <c r="I112" s="44">
        <v>111071.36</v>
      </c>
      <c r="J112" s="43">
        <v>1</v>
      </c>
      <c r="K112" s="43">
        <v>1</v>
      </c>
      <c r="L112" s="44">
        <v>0</v>
      </c>
      <c r="M112" s="44">
        <v>73275.960000000006</v>
      </c>
      <c r="N112" s="44">
        <v>1</v>
      </c>
      <c r="O112" t="str">
        <f t="shared" si="3"/>
        <v>Good</v>
      </c>
      <c r="P112" t="str">
        <f t="shared" si="4"/>
        <v>Young Adult</v>
      </c>
      <c r="Q112" t="str">
        <f t="shared" si="5"/>
        <v>High Salary</v>
      </c>
    </row>
    <row r="113" spans="1:17" x14ac:dyDescent="0.25">
      <c r="A113">
        <v>544</v>
      </c>
      <c r="B113">
        <v>15705953</v>
      </c>
      <c r="C113" t="s">
        <v>465</v>
      </c>
      <c r="D113" t="s">
        <v>18</v>
      </c>
      <c r="E113" t="s">
        <v>23</v>
      </c>
      <c r="F113">
        <v>721</v>
      </c>
      <c r="G113">
        <v>51</v>
      </c>
      <c r="H113" s="43">
        <v>0</v>
      </c>
      <c r="I113" s="44">
        <v>169312.13</v>
      </c>
      <c r="J113" s="43">
        <v>1</v>
      </c>
      <c r="K113" s="43">
        <v>1</v>
      </c>
      <c r="L113" s="44">
        <v>0</v>
      </c>
      <c r="M113" s="44">
        <v>109078.35</v>
      </c>
      <c r="N113" s="44">
        <v>1</v>
      </c>
      <c r="O113" t="str">
        <f t="shared" si="3"/>
        <v>Good</v>
      </c>
      <c r="P113" t="str">
        <f t="shared" si="4"/>
        <v>Adult</v>
      </c>
      <c r="Q113" t="str">
        <f t="shared" si="5"/>
        <v>High Salary</v>
      </c>
    </row>
    <row r="114" spans="1:17" x14ac:dyDescent="0.25">
      <c r="A114">
        <v>545</v>
      </c>
      <c r="B114">
        <v>15802593</v>
      </c>
      <c r="C114" t="s">
        <v>466</v>
      </c>
      <c r="D114" t="s">
        <v>15</v>
      </c>
      <c r="E114" t="s">
        <v>16</v>
      </c>
      <c r="F114">
        <v>504</v>
      </c>
      <c r="G114">
        <v>49</v>
      </c>
      <c r="H114" s="43">
        <v>7</v>
      </c>
      <c r="I114" s="44">
        <v>0</v>
      </c>
      <c r="J114" s="43">
        <v>3</v>
      </c>
      <c r="K114" s="43">
        <v>0</v>
      </c>
      <c r="L114" s="44">
        <v>1</v>
      </c>
      <c r="M114" s="44">
        <v>87822.14</v>
      </c>
      <c r="N114" s="44">
        <v>1</v>
      </c>
      <c r="O114" t="str">
        <f t="shared" si="3"/>
        <v>Poor</v>
      </c>
      <c r="P114" t="str">
        <f t="shared" si="4"/>
        <v>Adult</v>
      </c>
      <c r="Q114" t="str">
        <f t="shared" si="5"/>
        <v>High Salary</v>
      </c>
    </row>
    <row r="115" spans="1:17" x14ac:dyDescent="0.25">
      <c r="A115">
        <v>552</v>
      </c>
      <c r="B115">
        <v>15657284</v>
      </c>
      <c r="C115" t="s">
        <v>316</v>
      </c>
      <c r="D115" t="s">
        <v>26</v>
      </c>
      <c r="E115" t="s">
        <v>23</v>
      </c>
      <c r="F115">
        <v>674</v>
      </c>
      <c r="G115">
        <v>47</v>
      </c>
      <c r="H115" s="43">
        <v>6</v>
      </c>
      <c r="I115" s="44">
        <v>106901.94</v>
      </c>
      <c r="J115" s="43">
        <v>1</v>
      </c>
      <c r="K115" s="43">
        <v>1</v>
      </c>
      <c r="L115" s="44">
        <v>1</v>
      </c>
      <c r="M115" s="44">
        <v>2079.1999999999998</v>
      </c>
      <c r="N115" s="44">
        <v>1</v>
      </c>
      <c r="O115" t="str">
        <f t="shared" si="3"/>
        <v>Good</v>
      </c>
      <c r="P115" t="str">
        <f t="shared" si="4"/>
        <v>Adult</v>
      </c>
      <c r="Q115" t="str">
        <f t="shared" si="5"/>
        <v>Low Salary</v>
      </c>
    </row>
    <row r="116" spans="1:17" x14ac:dyDescent="0.25">
      <c r="A116">
        <v>556</v>
      </c>
      <c r="B116">
        <v>15775318</v>
      </c>
      <c r="C116" t="s">
        <v>456</v>
      </c>
      <c r="D116" t="s">
        <v>18</v>
      </c>
      <c r="E116" t="s">
        <v>16</v>
      </c>
      <c r="F116">
        <v>590</v>
      </c>
      <c r="G116">
        <v>51</v>
      </c>
      <c r="H116" s="43">
        <v>3</v>
      </c>
      <c r="I116" s="44">
        <v>154962.99</v>
      </c>
      <c r="J116" s="43">
        <v>3</v>
      </c>
      <c r="K116" s="43">
        <v>0</v>
      </c>
      <c r="L116" s="44">
        <v>1</v>
      </c>
      <c r="M116" s="44">
        <v>191932.27</v>
      </c>
      <c r="N116" s="44">
        <v>1</v>
      </c>
      <c r="O116" t="str">
        <f t="shared" si="3"/>
        <v>Average</v>
      </c>
      <c r="P116" t="str">
        <f t="shared" si="4"/>
        <v>Adult</v>
      </c>
      <c r="Q116" t="str">
        <f t="shared" si="5"/>
        <v>High Salary</v>
      </c>
    </row>
    <row r="117" spans="1:17" x14ac:dyDescent="0.25">
      <c r="A117">
        <v>558</v>
      </c>
      <c r="B117">
        <v>15634844</v>
      </c>
      <c r="C117" t="s">
        <v>215</v>
      </c>
      <c r="D117" t="s">
        <v>26</v>
      </c>
      <c r="E117" t="s">
        <v>23</v>
      </c>
      <c r="F117">
        <v>598</v>
      </c>
      <c r="G117">
        <v>41</v>
      </c>
      <c r="H117" s="43">
        <v>3</v>
      </c>
      <c r="I117" s="44">
        <v>91536.93</v>
      </c>
      <c r="J117" s="43">
        <v>1</v>
      </c>
      <c r="K117" s="43">
        <v>1</v>
      </c>
      <c r="L117" s="44">
        <v>0</v>
      </c>
      <c r="M117" s="44">
        <v>191468.78</v>
      </c>
      <c r="N117" s="44">
        <v>1</v>
      </c>
      <c r="O117" t="str">
        <f t="shared" si="3"/>
        <v>Average</v>
      </c>
      <c r="P117" t="str">
        <f t="shared" si="4"/>
        <v>Adult</v>
      </c>
      <c r="Q117" t="str">
        <f t="shared" si="5"/>
        <v>High Salary</v>
      </c>
    </row>
    <row r="118" spans="1:17" x14ac:dyDescent="0.25">
      <c r="A118">
        <v>564</v>
      </c>
      <c r="B118">
        <v>15665956</v>
      </c>
      <c r="C118" t="s">
        <v>477</v>
      </c>
      <c r="D118" t="s">
        <v>15</v>
      </c>
      <c r="E118" t="s">
        <v>16</v>
      </c>
      <c r="F118">
        <v>509</v>
      </c>
      <c r="G118">
        <v>46</v>
      </c>
      <c r="H118" s="43">
        <v>1</v>
      </c>
      <c r="I118" s="44">
        <v>0</v>
      </c>
      <c r="J118" s="43">
        <v>1</v>
      </c>
      <c r="K118" s="43">
        <v>1</v>
      </c>
      <c r="L118" s="44">
        <v>0</v>
      </c>
      <c r="M118" s="44">
        <v>71244.59</v>
      </c>
      <c r="N118" s="44">
        <v>1</v>
      </c>
      <c r="O118" t="str">
        <f t="shared" si="3"/>
        <v>Poor</v>
      </c>
      <c r="P118" t="str">
        <f t="shared" si="4"/>
        <v>Adult</v>
      </c>
      <c r="Q118" t="str">
        <f t="shared" si="5"/>
        <v>High Salary</v>
      </c>
    </row>
    <row r="119" spans="1:17" x14ac:dyDescent="0.25">
      <c r="A119">
        <v>567</v>
      </c>
      <c r="B119">
        <v>15651674</v>
      </c>
      <c r="C119" t="s">
        <v>478</v>
      </c>
      <c r="D119" t="s">
        <v>18</v>
      </c>
      <c r="E119" t="s">
        <v>16</v>
      </c>
      <c r="F119">
        <v>438</v>
      </c>
      <c r="G119">
        <v>54</v>
      </c>
      <c r="H119" s="43">
        <v>2</v>
      </c>
      <c r="I119" s="44">
        <v>0</v>
      </c>
      <c r="J119" s="43">
        <v>1</v>
      </c>
      <c r="K119" s="43">
        <v>0</v>
      </c>
      <c r="L119" s="44">
        <v>0</v>
      </c>
      <c r="M119" s="44">
        <v>191763.07</v>
      </c>
      <c r="N119" s="44">
        <v>1</v>
      </c>
      <c r="O119" t="str">
        <f t="shared" si="3"/>
        <v>Poor</v>
      </c>
      <c r="P119" t="str">
        <f t="shared" si="4"/>
        <v>Adult</v>
      </c>
      <c r="Q119" t="str">
        <f t="shared" si="5"/>
        <v>High Salary</v>
      </c>
    </row>
    <row r="120" spans="1:17" x14ac:dyDescent="0.25">
      <c r="A120">
        <v>572</v>
      </c>
      <c r="B120">
        <v>15730076</v>
      </c>
      <c r="C120" t="s">
        <v>61</v>
      </c>
      <c r="D120" t="s">
        <v>15</v>
      </c>
      <c r="E120" t="s">
        <v>23</v>
      </c>
      <c r="F120">
        <v>651</v>
      </c>
      <c r="G120">
        <v>45</v>
      </c>
      <c r="H120" s="43">
        <v>1</v>
      </c>
      <c r="I120" s="44">
        <v>0</v>
      </c>
      <c r="J120" s="43">
        <v>1</v>
      </c>
      <c r="K120" s="43">
        <v>1</v>
      </c>
      <c r="L120" s="44">
        <v>0</v>
      </c>
      <c r="M120" s="44">
        <v>67740.08</v>
      </c>
      <c r="N120" s="44">
        <v>1</v>
      </c>
      <c r="O120" t="str">
        <f t="shared" si="3"/>
        <v>Average</v>
      </c>
      <c r="P120" t="str">
        <f t="shared" si="4"/>
        <v>Adult</v>
      </c>
      <c r="Q120" t="str">
        <f t="shared" si="5"/>
        <v>Medium Salary</v>
      </c>
    </row>
    <row r="121" spans="1:17" x14ac:dyDescent="0.25">
      <c r="A121">
        <v>574</v>
      </c>
      <c r="B121">
        <v>15607312</v>
      </c>
      <c r="C121" t="s">
        <v>483</v>
      </c>
      <c r="D121" t="s">
        <v>18</v>
      </c>
      <c r="E121" t="s">
        <v>16</v>
      </c>
      <c r="F121">
        <v>648</v>
      </c>
      <c r="G121">
        <v>49</v>
      </c>
      <c r="H121" s="43">
        <v>10</v>
      </c>
      <c r="I121" s="44">
        <v>0</v>
      </c>
      <c r="J121" s="43">
        <v>2</v>
      </c>
      <c r="K121" s="43">
        <v>1</v>
      </c>
      <c r="L121" s="44">
        <v>1</v>
      </c>
      <c r="M121" s="44">
        <v>159835.78</v>
      </c>
      <c r="N121" s="44">
        <v>1</v>
      </c>
      <c r="O121" t="str">
        <f t="shared" si="3"/>
        <v>Average</v>
      </c>
      <c r="P121" t="str">
        <f t="shared" si="4"/>
        <v>Adult</v>
      </c>
      <c r="Q121" t="str">
        <f t="shared" si="5"/>
        <v>High Salary</v>
      </c>
    </row>
    <row r="122" spans="1:17" x14ac:dyDescent="0.25">
      <c r="A122">
        <v>582</v>
      </c>
      <c r="B122">
        <v>15737741</v>
      </c>
      <c r="C122" t="s">
        <v>489</v>
      </c>
      <c r="D122" t="s">
        <v>18</v>
      </c>
      <c r="E122" t="s">
        <v>16</v>
      </c>
      <c r="F122">
        <v>607</v>
      </c>
      <c r="G122">
        <v>33</v>
      </c>
      <c r="H122" s="43">
        <v>2</v>
      </c>
      <c r="I122" s="44">
        <v>108431.87</v>
      </c>
      <c r="J122" s="43">
        <v>2</v>
      </c>
      <c r="K122" s="43">
        <v>0</v>
      </c>
      <c r="L122" s="44">
        <v>1</v>
      </c>
      <c r="M122" s="44">
        <v>109291.39</v>
      </c>
      <c r="N122" s="44">
        <v>1</v>
      </c>
      <c r="O122" t="str">
        <f t="shared" si="3"/>
        <v>Average</v>
      </c>
      <c r="P122" t="str">
        <f t="shared" si="4"/>
        <v>Adult</v>
      </c>
      <c r="Q122" t="str">
        <f t="shared" si="5"/>
        <v>High Salary</v>
      </c>
    </row>
    <row r="123" spans="1:17" x14ac:dyDescent="0.25">
      <c r="A123">
        <v>585</v>
      </c>
      <c r="B123">
        <v>15803689</v>
      </c>
      <c r="C123" t="s">
        <v>492</v>
      </c>
      <c r="D123" t="s">
        <v>26</v>
      </c>
      <c r="E123" t="s">
        <v>16</v>
      </c>
      <c r="F123">
        <v>647</v>
      </c>
      <c r="G123">
        <v>51</v>
      </c>
      <c r="H123" s="43">
        <v>1</v>
      </c>
      <c r="I123" s="44">
        <v>119741.77</v>
      </c>
      <c r="J123" s="43">
        <v>2</v>
      </c>
      <c r="K123" s="43">
        <v>0</v>
      </c>
      <c r="L123" s="44">
        <v>0</v>
      </c>
      <c r="M123" s="44">
        <v>54954.51</v>
      </c>
      <c r="N123" s="44">
        <v>1</v>
      </c>
      <c r="O123" t="str">
        <f t="shared" si="3"/>
        <v>Average</v>
      </c>
      <c r="P123" t="str">
        <f t="shared" si="4"/>
        <v>Adult</v>
      </c>
      <c r="Q123" t="str">
        <f t="shared" si="5"/>
        <v>Medium Salary</v>
      </c>
    </row>
    <row r="124" spans="1:17" x14ac:dyDescent="0.25">
      <c r="A124">
        <v>586</v>
      </c>
      <c r="B124">
        <v>15718057</v>
      </c>
      <c r="C124" t="s">
        <v>493</v>
      </c>
      <c r="D124" t="s">
        <v>15</v>
      </c>
      <c r="E124" t="s">
        <v>16</v>
      </c>
      <c r="F124">
        <v>760</v>
      </c>
      <c r="G124">
        <v>51</v>
      </c>
      <c r="H124" s="43">
        <v>2</v>
      </c>
      <c r="I124" s="44">
        <v>100946.71</v>
      </c>
      <c r="J124" s="43">
        <v>1</v>
      </c>
      <c r="K124" s="43">
        <v>0</v>
      </c>
      <c r="L124" s="44">
        <v>0</v>
      </c>
      <c r="M124" s="44">
        <v>179614.8</v>
      </c>
      <c r="N124" s="44">
        <v>1</v>
      </c>
      <c r="O124" t="str">
        <f t="shared" si="3"/>
        <v>Good</v>
      </c>
      <c r="P124" t="str">
        <f t="shared" si="4"/>
        <v>Adult</v>
      </c>
      <c r="Q124" t="str">
        <f t="shared" si="5"/>
        <v>High Salary</v>
      </c>
    </row>
    <row r="125" spans="1:17" x14ac:dyDescent="0.25">
      <c r="A125">
        <v>587</v>
      </c>
      <c r="B125">
        <v>15722010</v>
      </c>
      <c r="C125" t="s">
        <v>494</v>
      </c>
      <c r="D125" t="s">
        <v>18</v>
      </c>
      <c r="E125" t="s">
        <v>23</v>
      </c>
      <c r="F125">
        <v>621</v>
      </c>
      <c r="G125">
        <v>53</v>
      </c>
      <c r="H125" s="43">
        <v>9</v>
      </c>
      <c r="I125" s="44">
        <v>170491.84</v>
      </c>
      <c r="J125" s="43">
        <v>1</v>
      </c>
      <c r="K125" s="43">
        <v>1</v>
      </c>
      <c r="L125" s="44">
        <v>0</v>
      </c>
      <c r="M125" s="44">
        <v>35588.07</v>
      </c>
      <c r="N125" s="44">
        <v>1</v>
      </c>
      <c r="O125" t="str">
        <f t="shared" si="3"/>
        <v>Average</v>
      </c>
      <c r="P125" t="str">
        <f t="shared" si="4"/>
        <v>Adult</v>
      </c>
      <c r="Q125" t="str">
        <f t="shared" si="5"/>
        <v>Medium Salary</v>
      </c>
    </row>
    <row r="126" spans="1:17" x14ac:dyDescent="0.25">
      <c r="A126">
        <v>590</v>
      </c>
      <c r="B126">
        <v>15591047</v>
      </c>
      <c r="C126" t="s">
        <v>149</v>
      </c>
      <c r="D126" t="s">
        <v>18</v>
      </c>
      <c r="E126" t="s">
        <v>16</v>
      </c>
      <c r="F126">
        <v>519</v>
      </c>
      <c r="G126">
        <v>47</v>
      </c>
      <c r="H126" s="43">
        <v>6</v>
      </c>
      <c r="I126" s="44">
        <v>157296.01999999999</v>
      </c>
      <c r="J126" s="43">
        <v>2</v>
      </c>
      <c r="K126" s="43">
        <v>0</v>
      </c>
      <c r="L126" s="44">
        <v>0</v>
      </c>
      <c r="M126" s="44">
        <v>147278.43</v>
      </c>
      <c r="N126" s="44">
        <v>1</v>
      </c>
      <c r="O126" t="str">
        <f t="shared" si="3"/>
        <v>Poor</v>
      </c>
      <c r="P126" t="str">
        <f t="shared" si="4"/>
        <v>Adult</v>
      </c>
      <c r="Q126" t="str">
        <f t="shared" si="5"/>
        <v>High Salary</v>
      </c>
    </row>
    <row r="127" spans="1:17" x14ac:dyDescent="0.25">
      <c r="A127">
        <v>591</v>
      </c>
      <c r="B127">
        <v>15788291</v>
      </c>
      <c r="C127" t="s">
        <v>496</v>
      </c>
      <c r="D127" t="s">
        <v>26</v>
      </c>
      <c r="E127" t="s">
        <v>16</v>
      </c>
      <c r="F127">
        <v>713</v>
      </c>
      <c r="G127">
        <v>38</v>
      </c>
      <c r="H127" s="43">
        <v>7</v>
      </c>
      <c r="I127" s="44">
        <v>144606.22</v>
      </c>
      <c r="J127" s="43">
        <v>1</v>
      </c>
      <c r="K127" s="43">
        <v>1</v>
      </c>
      <c r="L127" s="44">
        <v>1</v>
      </c>
      <c r="M127" s="44">
        <v>56594.36</v>
      </c>
      <c r="N127" s="44">
        <v>1</v>
      </c>
      <c r="O127" t="str">
        <f t="shared" si="3"/>
        <v>Good</v>
      </c>
      <c r="P127" t="str">
        <f t="shared" si="4"/>
        <v>Adult</v>
      </c>
      <c r="Q127" t="str">
        <f t="shared" si="5"/>
        <v>Medium Salary</v>
      </c>
    </row>
    <row r="128" spans="1:17" x14ac:dyDescent="0.25">
      <c r="A128">
        <v>599</v>
      </c>
      <c r="B128">
        <v>15637476</v>
      </c>
      <c r="C128" t="s">
        <v>502</v>
      </c>
      <c r="D128" t="s">
        <v>26</v>
      </c>
      <c r="E128" t="s">
        <v>16</v>
      </c>
      <c r="F128">
        <v>683</v>
      </c>
      <c r="G128">
        <v>57</v>
      </c>
      <c r="H128" s="43">
        <v>5</v>
      </c>
      <c r="I128" s="44">
        <v>162448.69</v>
      </c>
      <c r="J128" s="43">
        <v>1</v>
      </c>
      <c r="K128" s="43">
        <v>0</v>
      </c>
      <c r="L128" s="44">
        <v>0</v>
      </c>
      <c r="M128" s="44">
        <v>9221.7800000000007</v>
      </c>
      <c r="N128" s="44">
        <v>1</v>
      </c>
      <c r="O128" t="str">
        <f t="shared" si="3"/>
        <v>Good</v>
      </c>
      <c r="P128" t="str">
        <f t="shared" si="4"/>
        <v>Adult</v>
      </c>
      <c r="Q128" t="str">
        <f t="shared" si="5"/>
        <v>Low Salary</v>
      </c>
    </row>
    <row r="129" spans="1:17" x14ac:dyDescent="0.25">
      <c r="A129">
        <v>601</v>
      </c>
      <c r="B129">
        <v>15683503</v>
      </c>
      <c r="C129" t="s">
        <v>504</v>
      </c>
      <c r="D129" t="s">
        <v>15</v>
      </c>
      <c r="E129" t="s">
        <v>16</v>
      </c>
      <c r="F129">
        <v>601</v>
      </c>
      <c r="G129">
        <v>43</v>
      </c>
      <c r="H129" s="43">
        <v>8</v>
      </c>
      <c r="I129" s="44">
        <v>0</v>
      </c>
      <c r="J129" s="43">
        <v>3</v>
      </c>
      <c r="K129" s="43">
        <v>0</v>
      </c>
      <c r="L129" s="44">
        <v>1</v>
      </c>
      <c r="M129" s="44">
        <v>110916.15</v>
      </c>
      <c r="N129" s="44">
        <v>1</v>
      </c>
      <c r="O129" t="str">
        <f t="shared" si="3"/>
        <v>Average</v>
      </c>
      <c r="P129" t="str">
        <f t="shared" si="4"/>
        <v>Adult</v>
      </c>
      <c r="Q129" t="str">
        <f t="shared" si="5"/>
        <v>High Salary</v>
      </c>
    </row>
    <row r="130" spans="1:17" x14ac:dyDescent="0.25">
      <c r="A130">
        <v>604</v>
      </c>
      <c r="B130">
        <v>15592387</v>
      </c>
      <c r="C130" t="s">
        <v>506</v>
      </c>
      <c r="D130" t="s">
        <v>15</v>
      </c>
      <c r="E130" t="s">
        <v>23</v>
      </c>
      <c r="F130">
        <v>566</v>
      </c>
      <c r="G130">
        <v>30</v>
      </c>
      <c r="H130" s="43">
        <v>5</v>
      </c>
      <c r="I130" s="44">
        <v>0</v>
      </c>
      <c r="J130" s="43">
        <v>1</v>
      </c>
      <c r="K130" s="43">
        <v>1</v>
      </c>
      <c r="L130" s="44">
        <v>0</v>
      </c>
      <c r="M130" s="44">
        <v>54926.51</v>
      </c>
      <c r="N130" s="44">
        <v>1</v>
      </c>
      <c r="O130" t="str">
        <f t="shared" si="3"/>
        <v>Poor</v>
      </c>
      <c r="P130" t="str">
        <f t="shared" si="4"/>
        <v>Young Adult</v>
      </c>
      <c r="Q130" t="str">
        <f t="shared" si="5"/>
        <v>Medium Salary</v>
      </c>
    </row>
    <row r="131" spans="1:17" x14ac:dyDescent="0.25">
      <c r="A131">
        <v>616</v>
      </c>
      <c r="B131">
        <v>15745295</v>
      </c>
      <c r="C131" t="s">
        <v>514</v>
      </c>
      <c r="D131" t="s">
        <v>18</v>
      </c>
      <c r="E131" t="s">
        <v>16</v>
      </c>
      <c r="F131">
        <v>727</v>
      </c>
      <c r="G131">
        <v>31</v>
      </c>
      <c r="H131" s="43">
        <v>0</v>
      </c>
      <c r="I131" s="44">
        <v>0</v>
      </c>
      <c r="J131" s="43">
        <v>1</v>
      </c>
      <c r="K131" s="43">
        <v>1</v>
      </c>
      <c r="L131" s="44">
        <v>0</v>
      </c>
      <c r="M131" s="44">
        <v>121751.03999999999</v>
      </c>
      <c r="N131" s="44">
        <v>1</v>
      </c>
      <c r="O131" t="str">
        <f t="shared" ref="O131:O194" si="6">IF(F131&lt;580, "Poor", IF(AND(F131&gt;=580, F131&lt;=669), "Average", "Good"))</f>
        <v>Good</v>
      </c>
      <c r="P131" t="str">
        <f t="shared" ref="P131:P194" si="7">IF(G131&lt;=30, "Young Adult", IF(AND(G131&gt;=31, G131&lt;=60), "Adult", "Senior"))</f>
        <v>Adult</v>
      </c>
      <c r="Q131" t="str">
        <f t="shared" ref="Q131:Q194" si="8">IF(M131&lt;30000, "Low Salary", IF(AND(M131&gt;=30000, M131&lt;=70000), "Medium Salary", "High Salary"))</f>
        <v>High Salary</v>
      </c>
    </row>
    <row r="132" spans="1:17" x14ac:dyDescent="0.25">
      <c r="A132">
        <v>618</v>
      </c>
      <c r="B132">
        <v>15766575</v>
      </c>
      <c r="C132" t="s">
        <v>515</v>
      </c>
      <c r="D132" t="s">
        <v>26</v>
      </c>
      <c r="E132" t="s">
        <v>16</v>
      </c>
      <c r="F132">
        <v>612</v>
      </c>
      <c r="G132">
        <v>62</v>
      </c>
      <c r="H132" s="43">
        <v>8</v>
      </c>
      <c r="I132" s="44">
        <v>140745.32999999999</v>
      </c>
      <c r="J132" s="43">
        <v>1</v>
      </c>
      <c r="K132" s="43">
        <v>1</v>
      </c>
      <c r="L132" s="44">
        <v>0</v>
      </c>
      <c r="M132" s="44">
        <v>193437.89</v>
      </c>
      <c r="N132" s="44">
        <v>1</v>
      </c>
      <c r="O132" t="str">
        <f t="shared" si="6"/>
        <v>Average</v>
      </c>
      <c r="P132" t="str">
        <f t="shared" si="7"/>
        <v>Senior</v>
      </c>
      <c r="Q132" t="str">
        <f t="shared" si="8"/>
        <v>High Salary</v>
      </c>
    </row>
    <row r="133" spans="1:17" x14ac:dyDescent="0.25">
      <c r="A133">
        <v>631</v>
      </c>
      <c r="B133">
        <v>15712403</v>
      </c>
      <c r="C133" t="s">
        <v>523</v>
      </c>
      <c r="D133" t="s">
        <v>15</v>
      </c>
      <c r="E133" t="s">
        <v>16</v>
      </c>
      <c r="F133">
        <v>589</v>
      </c>
      <c r="G133">
        <v>61</v>
      </c>
      <c r="H133" s="43">
        <v>1</v>
      </c>
      <c r="I133" s="44">
        <v>0</v>
      </c>
      <c r="J133" s="43">
        <v>1</v>
      </c>
      <c r="K133" s="43">
        <v>1</v>
      </c>
      <c r="L133" s="44">
        <v>0</v>
      </c>
      <c r="M133" s="44">
        <v>61108.56</v>
      </c>
      <c r="N133" s="44">
        <v>1</v>
      </c>
      <c r="O133" t="str">
        <f t="shared" si="6"/>
        <v>Average</v>
      </c>
      <c r="P133" t="str">
        <f t="shared" si="7"/>
        <v>Senior</v>
      </c>
      <c r="Q133" t="str">
        <f t="shared" si="8"/>
        <v>Medium Salary</v>
      </c>
    </row>
    <row r="134" spans="1:17" x14ac:dyDescent="0.25">
      <c r="A134">
        <v>632</v>
      </c>
      <c r="B134">
        <v>15811762</v>
      </c>
      <c r="C134" t="s">
        <v>524</v>
      </c>
      <c r="D134" t="s">
        <v>26</v>
      </c>
      <c r="E134" t="s">
        <v>16</v>
      </c>
      <c r="F134">
        <v>583</v>
      </c>
      <c r="G134">
        <v>54</v>
      </c>
      <c r="H134" s="43">
        <v>6</v>
      </c>
      <c r="I134" s="44">
        <v>115988.86</v>
      </c>
      <c r="J134" s="43">
        <v>1</v>
      </c>
      <c r="K134" s="43">
        <v>1</v>
      </c>
      <c r="L134" s="44">
        <v>0</v>
      </c>
      <c r="M134" s="44">
        <v>57553.98</v>
      </c>
      <c r="N134" s="44">
        <v>1</v>
      </c>
      <c r="O134" t="str">
        <f t="shared" si="6"/>
        <v>Average</v>
      </c>
      <c r="P134" t="str">
        <f t="shared" si="7"/>
        <v>Adult</v>
      </c>
      <c r="Q134" t="str">
        <f t="shared" si="8"/>
        <v>Medium Salary</v>
      </c>
    </row>
    <row r="135" spans="1:17" x14ac:dyDescent="0.25">
      <c r="A135">
        <v>635</v>
      </c>
      <c r="B135">
        <v>15738181</v>
      </c>
      <c r="C135" t="s">
        <v>526</v>
      </c>
      <c r="D135" t="s">
        <v>15</v>
      </c>
      <c r="E135" t="s">
        <v>23</v>
      </c>
      <c r="F135">
        <v>850</v>
      </c>
      <c r="G135">
        <v>31</v>
      </c>
      <c r="H135" s="43">
        <v>6</v>
      </c>
      <c r="I135" s="44">
        <v>67996.23</v>
      </c>
      <c r="J135" s="43">
        <v>2</v>
      </c>
      <c r="K135" s="43">
        <v>0</v>
      </c>
      <c r="L135" s="44">
        <v>0</v>
      </c>
      <c r="M135" s="44">
        <v>50129.87</v>
      </c>
      <c r="N135" s="44">
        <v>1</v>
      </c>
      <c r="O135" t="str">
        <f t="shared" si="6"/>
        <v>Good</v>
      </c>
      <c r="P135" t="str">
        <f t="shared" si="7"/>
        <v>Adult</v>
      </c>
      <c r="Q135" t="str">
        <f t="shared" si="8"/>
        <v>Medium Salary</v>
      </c>
    </row>
    <row r="136" spans="1:17" x14ac:dyDescent="0.25">
      <c r="A136">
        <v>641</v>
      </c>
      <c r="B136">
        <v>15784844</v>
      </c>
      <c r="C136" t="s">
        <v>274</v>
      </c>
      <c r="D136" t="s">
        <v>18</v>
      </c>
      <c r="E136" t="s">
        <v>23</v>
      </c>
      <c r="F136">
        <v>752</v>
      </c>
      <c r="G136">
        <v>48</v>
      </c>
      <c r="H136" s="43">
        <v>5</v>
      </c>
      <c r="I136" s="44">
        <v>116060.08</v>
      </c>
      <c r="J136" s="43">
        <v>1</v>
      </c>
      <c r="K136" s="43">
        <v>1</v>
      </c>
      <c r="L136" s="44">
        <v>0</v>
      </c>
      <c r="M136" s="44">
        <v>156618.38</v>
      </c>
      <c r="N136" s="44">
        <v>1</v>
      </c>
      <c r="O136" t="str">
        <f t="shared" si="6"/>
        <v>Good</v>
      </c>
      <c r="P136" t="str">
        <f t="shared" si="7"/>
        <v>Adult</v>
      </c>
      <c r="Q136" t="str">
        <f t="shared" si="8"/>
        <v>High Salary</v>
      </c>
    </row>
    <row r="137" spans="1:17" x14ac:dyDescent="0.25">
      <c r="A137">
        <v>644</v>
      </c>
      <c r="B137">
        <v>15640078</v>
      </c>
      <c r="C137" t="s">
        <v>533</v>
      </c>
      <c r="D137" t="s">
        <v>26</v>
      </c>
      <c r="E137" t="s">
        <v>16</v>
      </c>
      <c r="F137">
        <v>660</v>
      </c>
      <c r="G137">
        <v>39</v>
      </c>
      <c r="H137" s="43">
        <v>5</v>
      </c>
      <c r="I137" s="44">
        <v>135134.99</v>
      </c>
      <c r="J137" s="43">
        <v>1</v>
      </c>
      <c r="K137" s="43">
        <v>1</v>
      </c>
      <c r="L137" s="44">
        <v>0</v>
      </c>
      <c r="M137" s="44">
        <v>173683</v>
      </c>
      <c r="N137" s="44">
        <v>1</v>
      </c>
      <c r="O137" t="str">
        <f t="shared" si="6"/>
        <v>Average</v>
      </c>
      <c r="P137" t="str">
        <f t="shared" si="7"/>
        <v>Adult</v>
      </c>
      <c r="Q137" t="str">
        <f t="shared" si="8"/>
        <v>High Salary</v>
      </c>
    </row>
    <row r="138" spans="1:17" x14ac:dyDescent="0.25">
      <c r="A138">
        <v>645</v>
      </c>
      <c r="B138">
        <v>15698786</v>
      </c>
      <c r="C138" t="s">
        <v>534</v>
      </c>
      <c r="D138" t="s">
        <v>15</v>
      </c>
      <c r="E138" t="s">
        <v>16</v>
      </c>
      <c r="F138">
        <v>819</v>
      </c>
      <c r="G138">
        <v>39</v>
      </c>
      <c r="H138" s="43">
        <v>9</v>
      </c>
      <c r="I138" s="44">
        <v>133102.92000000001</v>
      </c>
      <c r="J138" s="43">
        <v>1</v>
      </c>
      <c r="K138" s="43">
        <v>1</v>
      </c>
      <c r="L138" s="44">
        <v>0</v>
      </c>
      <c r="M138" s="44">
        <v>27046.46</v>
      </c>
      <c r="N138" s="44">
        <v>1</v>
      </c>
      <c r="O138" t="str">
        <f t="shared" si="6"/>
        <v>Good</v>
      </c>
      <c r="P138" t="str">
        <f t="shared" si="7"/>
        <v>Adult</v>
      </c>
      <c r="Q138" t="str">
        <f t="shared" si="8"/>
        <v>Low Salary</v>
      </c>
    </row>
    <row r="139" spans="1:17" x14ac:dyDescent="0.25">
      <c r="A139">
        <v>646</v>
      </c>
      <c r="B139">
        <v>15569807</v>
      </c>
      <c r="C139" t="s">
        <v>535</v>
      </c>
      <c r="D139" t="s">
        <v>15</v>
      </c>
      <c r="E139" t="s">
        <v>16</v>
      </c>
      <c r="F139">
        <v>673</v>
      </c>
      <c r="G139">
        <v>34</v>
      </c>
      <c r="H139" s="43">
        <v>8</v>
      </c>
      <c r="I139" s="44">
        <v>42157.08</v>
      </c>
      <c r="J139" s="43">
        <v>1</v>
      </c>
      <c r="K139" s="43">
        <v>1</v>
      </c>
      <c r="L139" s="44">
        <v>0</v>
      </c>
      <c r="M139" s="44">
        <v>20598.59</v>
      </c>
      <c r="N139" s="44">
        <v>1</v>
      </c>
      <c r="O139" t="str">
        <f t="shared" si="6"/>
        <v>Good</v>
      </c>
      <c r="P139" t="str">
        <f t="shared" si="7"/>
        <v>Adult</v>
      </c>
      <c r="Q139" t="str">
        <f t="shared" si="8"/>
        <v>Low Salary</v>
      </c>
    </row>
    <row r="140" spans="1:17" x14ac:dyDescent="0.25">
      <c r="A140">
        <v>654</v>
      </c>
      <c r="B140">
        <v>15664610</v>
      </c>
      <c r="C140" t="s">
        <v>186</v>
      </c>
      <c r="D140" t="s">
        <v>26</v>
      </c>
      <c r="E140" t="s">
        <v>23</v>
      </c>
      <c r="F140">
        <v>459</v>
      </c>
      <c r="G140">
        <v>48</v>
      </c>
      <c r="H140" s="43">
        <v>4</v>
      </c>
      <c r="I140" s="44">
        <v>133994.51999999999</v>
      </c>
      <c r="J140" s="43">
        <v>1</v>
      </c>
      <c r="K140" s="43">
        <v>1</v>
      </c>
      <c r="L140" s="44">
        <v>1</v>
      </c>
      <c r="M140" s="44">
        <v>19287.060000000001</v>
      </c>
      <c r="N140" s="44">
        <v>1</v>
      </c>
      <c r="O140" t="str">
        <f t="shared" si="6"/>
        <v>Poor</v>
      </c>
      <c r="P140" t="str">
        <f t="shared" si="7"/>
        <v>Adult</v>
      </c>
      <c r="Q140" t="str">
        <f t="shared" si="8"/>
        <v>Low Salary</v>
      </c>
    </row>
    <row r="141" spans="1:17" x14ac:dyDescent="0.25">
      <c r="A141">
        <v>678</v>
      </c>
      <c r="B141">
        <v>15715142</v>
      </c>
      <c r="C141" t="s">
        <v>560</v>
      </c>
      <c r="D141" t="s">
        <v>26</v>
      </c>
      <c r="E141" t="s">
        <v>23</v>
      </c>
      <c r="F141">
        <v>739</v>
      </c>
      <c r="G141">
        <v>45</v>
      </c>
      <c r="H141" s="43">
        <v>7</v>
      </c>
      <c r="I141" s="44">
        <v>102703.62</v>
      </c>
      <c r="J141" s="43">
        <v>1</v>
      </c>
      <c r="K141" s="43">
        <v>0</v>
      </c>
      <c r="L141" s="44">
        <v>1</v>
      </c>
      <c r="M141" s="44">
        <v>147802.94</v>
      </c>
      <c r="N141" s="44">
        <v>1</v>
      </c>
      <c r="O141" t="str">
        <f t="shared" si="6"/>
        <v>Good</v>
      </c>
      <c r="P141" t="str">
        <f t="shared" si="7"/>
        <v>Adult</v>
      </c>
      <c r="Q141" t="str">
        <f t="shared" si="8"/>
        <v>High Salary</v>
      </c>
    </row>
    <row r="142" spans="1:17" x14ac:dyDescent="0.25">
      <c r="A142">
        <v>686</v>
      </c>
      <c r="B142">
        <v>15600337</v>
      </c>
      <c r="C142" t="s">
        <v>566</v>
      </c>
      <c r="D142" t="s">
        <v>18</v>
      </c>
      <c r="E142" t="s">
        <v>23</v>
      </c>
      <c r="F142">
        <v>661</v>
      </c>
      <c r="G142">
        <v>42</v>
      </c>
      <c r="H142" s="43">
        <v>2</v>
      </c>
      <c r="I142" s="44">
        <v>178820.91</v>
      </c>
      <c r="J142" s="43">
        <v>1</v>
      </c>
      <c r="K142" s="43">
        <v>0</v>
      </c>
      <c r="L142" s="44">
        <v>0</v>
      </c>
      <c r="M142" s="44">
        <v>29358.57</v>
      </c>
      <c r="N142" s="44">
        <v>1</v>
      </c>
      <c r="O142" t="str">
        <f t="shared" si="6"/>
        <v>Average</v>
      </c>
      <c r="P142" t="str">
        <f t="shared" si="7"/>
        <v>Adult</v>
      </c>
      <c r="Q142" t="str">
        <f t="shared" si="8"/>
        <v>Low Salary</v>
      </c>
    </row>
    <row r="143" spans="1:17" x14ac:dyDescent="0.25">
      <c r="A143">
        <v>688</v>
      </c>
      <c r="B143">
        <v>15579334</v>
      </c>
      <c r="C143" t="s">
        <v>568</v>
      </c>
      <c r="D143" t="s">
        <v>26</v>
      </c>
      <c r="E143" t="s">
        <v>16</v>
      </c>
      <c r="F143">
        <v>769</v>
      </c>
      <c r="G143">
        <v>45</v>
      </c>
      <c r="H143" s="43">
        <v>5</v>
      </c>
      <c r="I143" s="44">
        <v>126674.81</v>
      </c>
      <c r="J143" s="43">
        <v>1</v>
      </c>
      <c r="K143" s="43">
        <v>1</v>
      </c>
      <c r="L143" s="44">
        <v>0</v>
      </c>
      <c r="M143" s="44">
        <v>124118.71</v>
      </c>
      <c r="N143" s="44">
        <v>1</v>
      </c>
      <c r="O143" t="str">
        <f t="shared" si="6"/>
        <v>Good</v>
      </c>
      <c r="P143" t="str">
        <f t="shared" si="7"/>
        <v>Adult</v>
      </c>
      <c r="Q143" t="str">
        <f t="shared" si="8"/>
        <v>High Salary</v>
      </c>
    </row>
    <row r="144" spans="1:17" x14ac:dyDescent="0.25">
      <c r="A144">
        <v>689</v>
      </c>
      <c r="B144">
        <v>15802741</v>
      </c>
      <c r="C144" t="s">
        <v>569</v>
      </c>
      <c r="D144" t="s">
        <v>15</v>
      </c>
      <c r="E144" t="s">
        <v>16</v>
      </c>
      <c r="F144">
        <v>625</v>
      </c>
      <c r="G144">
        <v>51</v>
      </c>
      <c r="H144" s="43">
        <v>7</v>
      </c>
      <c r="I144" s="44">
        <v>136294.97</v>
      </c>
      <c r="J144" s="43">
        <v>1</v>
      </c>
      <c r="K144" s="43">
        <v>1</v>
      </c>
      <c r="L144" s="44">
        <v>0</v>
      </c>
      <c r="M144" s="44">
        <v>38867.46</v>
      </c>
      <c r="N144" s="44">
        <v>1</v>
      </c>
      <c r="O144" t="str">
        <f t="shared" si="6"/>
        <v>Average</v>
      </c>
      <c r="P144" t="str">
        <f t="shared" si="7"/>
        <v>Adult</v>
      </c>
      <c r="Q144" t="str">
        <f t="shared" si="8"/>
        <v>Medium Salary</v>
      </c>
    </row>
    <row r="145" spans="1:17" x14ac:dyDescent="0.25">
      <c r="A145">
        <v>697</v>
      </c>
      <c r="B145">
        <v>15727299</v>
      </c>
      <c r="C145" t="s">
        <v>577</v>
      </c>
      <c r="D145" t="s">
        <v>18</v>
      </c>
      <c r="E145" t="s">
        <v>23</v>
      </c>
      <c r="F145">
        <v>445</v>
      </c>
      <c r="G145">
        <v>62</v>
      </c>
      <c r="H145" s="43">
        <v>1</v>
      </c>
      <c r="I145" s="44">
        <v>64119.38</v>
      </c>
      <c r="J145" s="43">
        <v>1</v>
      </c>
      <c r="K145" s="43">
        <v>1</v>
      </c>
      <c r="L145" s="44">
        <v>1</v>
      </c>
      <c r="M145" s="44">
        <v>76569.64</v>
      </c>
      <c r="N145" s="44">
        <v>1</v>
      </c>
      <c r="O145" t="str">
        <f t="shared" si="6"/>
        <v>Poor</v>
      </c>
      <c r="P145" t="str">
        <f t="shared" si="7"/>
        <v>Senior</v>
      </c>
      <c r="Q145" t="str">
        <f t="shared" si="8"/>
        <v>High Salary</v>
      </c>
    </row>
    <row r="146" spans="1:17" x14ac:dyDescent="0.25">
      <c r="A146">
        <v>698</v>
      </c>
      <c r="B146">
        <v>15620204</v>
      </c>
      <c r="C146" t="s">
        <v>578</v>
      </c>
      <c r="D146" t="s">
        <v>26</v>
      </c>
      <c r="E146" t="s">
        <v>16</v>
      </c>
      <c r="F146">
        <v>543</v>
      </c>
      <c r="G146">
        <v>57</v>
      </c>
      <c r="H146" s="43">
        <v>1</v>
      </c>
      <c r="I146" s="44">
        <v>106138.33</v>
      </c>
      <c r="J146" s="43">
        <v>2</v>
      </c>
      <c r="K146" s="43">
        <v>1</v>
      </c>
      <c r="L146" s="44">
        <v>1</v>
      </c>
      <c r="M146" s="44">
        <v>120657.32</v>
      </c>
      <c r="N146" s="44">
        <v>1</v>
      </c>
      <c r="O146" t="str">
        <f t="shared" si="6"/>
        <v>Poor</v>
      </c>
      <c r="P146" t="str">
        <f t="shared" si="7"/>
        <v>Adult</v>
      </c>
      <c r="Q146" t="str">
        <f t="shared" si="8"/>
        <v>High Salary</v>
      </c>
    </row>
    <row r="147" spans="1:17" x14ac:dyDescent="0.25">
      <c r="A147">
        <v>706</v>
      </c>
      <c r="B147">
        <v>15580148</v>
      </c>
      <c r="C147" t="s">
        <v>131</v>
      </c>
      <c r="D147" t="s">
        <v>26</v>
      </c>
      <c r="E147" t="s">
        <v>23</v>
      </c>
      <c r="F147">
        <v>750</v>
      </c>
      <c r="G147">
        <v>40</v>
      </c>
      <c r="H147" s="43">
        <v>5</v>
      </c>
      <c r="I147" s="44">
        <v>168286.81</v>
      </c>
      <c r="J147" s="43">
        <v>3</v>
      </c>
      <c r="K147" s="43">
        <v>1</v>
      </c>
      <c r="L147" s="44">
        <v>0</v>
      </c>
      <c r="M147" s="44">
        <v>20451.990000000002</v>
      </c>
      <c r="N147" s="44">
        <v>1</v>
      </c>
      <c r="O147" t="str">
        <f t="shared" si="6"/>
        <v>Good</v>
      </c>
      <c r="P147" t="str">
        <f t="shared" si="7"/>
        <v>Adult</v>
      </c>
      <c r="Q147" t="str">
        <f t="shared" si="8"/>
        <v>Low Salary</v>
      </c>
    </row>
    <row r="148" spans="1:17" x14ac:dyDescent="0.25">
      <c r="A148">
        <v>715</v>
      </c>
      <c r="B148">
        <v>15807609</v>
      </c>
      <c r="C148" t="s">
        <v>307</v>
      </c>
      <c r="D148" t="s">
        <v>18</v>
      </c>
      <c r="E148" t="s">
        <v>16</v>
      </c>
      <c r="F148">
        <v>650</v>
      </c>
      <c r="G148">
        <v>37</v>
      </c>
      <c r="H148" s="43">
        <v>3</v>
      </c>
      <c r="I148" s="44">
        <v>86605.5</v>
      </c>
      <c r="J148" s="43">
        <v>3</v>
      </c>
      <c r="K148" s="43">
        <v>1</v>
      </c>
      <c r="L148" s="44">
        <v>0</v>
      </c>
      <c r="M148" s="44">
        <v>16649.310000000001</v>
      </c>
      <c r="N148" s="44">
        <v>1</v>
      </c>
      <c r="O148" t="str">
        <f t="shared" si="6"/>
        <v>Average</v>
      </c>
      <c r="P148" t="str">
        <f t="shared" si="7"/>
        <v>Adult</v>
      </c>
      <c r="Q148" t="str">
        <f t="shared" si="8"/>
        <v>Low Salary</v>
      </c>
    </row>
    <row r="149" spans="1:17" x14ac:dyDescent="0.25">
      <c r="A149">
        <v>721</v>
      </c>
      <c r="B149">
        <v>15721658</v>
      </c>
      <c r="C149" t="s">
        <v>544</v>
      </c>
      <c r="D149" t="s">
        <v>18</v>
      </c>
      <c r="E149" t="s">
        <v>16</v>
      </c>
      <c r="F149">
        <v>672</v>
      </c>
      <c r="G149">
        <v>56</v>
      </c>
      <c r="H149" s="43">
        <v>2</v>
      </c>
      <c r="I149" s="44">
        <v>209767.31</v>
      </c>
      <c r="J149" s="43">
        <v>2</v>
      </c>
      <c r="K149" s="43">
        <v>1</v>
      </c>
      <c r="L149" s="44">
        <v>1</v>
      </c>
      <c r="M149" s="44">
        <v>150694.42000000001</v>
      </c>
      <c r="N149" s="44">
        <v>1</v>
      </c>
      <c r="O149" t="str">
        <f t="shared" si="6"/>
        <v>Good</v>
      </c>
      <c r="P149" t="str">
        <f t="shared" si="7"/>
        <v>Adult</v>
      </c>
      <c r="Q149" t="str">
        <f t="shared" si="8"/>
        <v>High Salary</v>
      </c>
    </row>
    <row r="150" spans="1:17" x14ac:dyDescent="0.25">
      <c r="A150">
        <v>722</v>
      </c>
      <c r="B150">
        <v>15578761</v>
      </c>
      <c r="C150" t="s">
        <v>356</v>
      </c>
      <c r="D150" t="s">
        <v>18</v>
      </c>
      <c r="E150" t="s">
        <v>16</v>
      </c>
      <c r="F150">
        <v>459</v>
      </c>
      <c r="G150">
        <v>42</v>
      </c>
      <c r="H150" s="43">
        <v>6</v>
      </c>
      <c r="I150" s="44">
        <v>129634.25</v>
      </c>
      <c r="J150" s="43">
        <v>2</v>
      </c>
      <c r="K150" s="43">
        <v>1</v>
      </c>
      <c r="L150" s="44">
        <v>1</v>
      </c>
      <c r="M150" s="44">
        <v>177683.02</v>
      </c>
      <c r="N150" s="44">
        <v>1</v>
      </c>
      <c r="O150" t="str">
        <f t="shared" si="6"/>
        <v>Poor</v>
      </c>
      <c r="P150" t="str">
        <f t="shared" si="7"/>
        <v>Adult</v>
      </c>
      <c r="Q150" t="str">
        <f t="shared" si="8"/>
        <v>High Salary</v>
      </c>
    </row>
    <row r="151" spans="1:17" x14ac:dyDescent="0.25">
      <c r="A151">
        <v>730</v>
      </c>
      <c r="B151">
        <v>15612525</v>
      </c>
      <c r="C151" t="s">
        <v>597</v>
      </c>
      <c r="D151" t="s">
        <v>15</v>
      </c>
      <c r="E151" t="s">
        <v>16</v>
      </c>
      <c r="F151">
        <v>499</v>
      </c>
      <c r="G151">
        <v>57</v>
      </c>
      <c r="H151" s="43">
        <v>1</v>
      </c>
      <c r="I151" s="44">
        <v>0</v>
      </c>
      <c r="J151" s="43">
        <v>1</v>
      </c>
      <c r="K151" s="43">
        <v>0</v>
      </c>
      <c r="L151" s="44">
        <v>0</v>
      </c>
      <c r="M151" s="44">
        <v>131372.38</v>
      </c>
      <c r="N151" s="44">
        <v>1</v>
      </c>
      <c r="O151" t="str">
        <f t="shared" si="6"/>
        <v>Poor</v>
      </c>
      <c r="P151" t="str">
        <f t="shared" si="7"/>
        <v>Adult</v>
      </c>
      <c r="Q151" t="str">
        <f t="shared" si="8"/>
        <v>High Salary</v>
      </c>
    </row>
    <row r="152" spans="1:17" x14ac:dyDescent="0.25">
      <c r="A152">
        <v>734</v>
      </c>
      <c r="B152">
        <v>15744607</v>
      </c>
      <c r="C152" t="s">
        <v>65</v>
      </c>
      <c r="D152" t="s">
        <v>26</v>
      </c>
      <c r="E152" t="s">
        <v>23</v>
      </c>
      <c r="F152">
        <v>738</v>
      </c>
      <c r="G152">
        <v>43</v>
      </c>
      <c r="H152" s="43">
        <v>9</v>
      </c>
      <c r="I152" s="44">
        <v>121152.05</v>
      </c>
      <c r="J152" s="43">
        <v>2</v>
      </c>
      <c r="K152" s="43">
        <v>1</v>
      </c>
      <c r="L152" s="44">
        <v>0</v>
      </c>
      <c r="M152" s="44">
        <v>64166.7</v>
      </c>
      <c r="N152" s="44">
        <v>1</v>
      </c>
      <c r="O152" t="str">
        <f t="shared" si="6"/>
        <v>Good</v>
      </c>
      <c r="P152" t="str">
        <f t="shared" si="7"/>
        <v>Adult</v>
      </c>
      <c r="Q152" t="str">
        <f t="shared" si="8"/>
        <v>Medium Salary</v>
      </c>
    </row>
    <row r="153" spans="1:17" x14ac:dyDescent="0.25">
      <c r="A153">
        <v>735</v>
      </c>
      <c r="B153">
        <v>15612966</v>
      </c>
      <c r="C153" t="s">
        <v>601</v>
      </c>
      <c r="D153" t="s">
        <v>26</v>
      </c>
      <c r="E153" t="s">
        <v>16</v>
      </c>
      <c r="F153">
        <v>545</v>
      </c>
      <c r="G153">
        <v>60</v>
      </c>
      <c r="H153" s="43">
        <v>7</v>
      </c>
      <c r="I153" s="44">
        <v>128981.07</v>
      </c>
      <c r="J153" s="43">
        <v>1</v>
      </c>
      <c r="K153" s="43">
        <v>0</v>
      </c>
      <c r="L153" s="44">
        <v>1</v>
      </c>
      <c r="M153" s="44">
        <v>176924.21</v>
      </c>
      <c r="N153" s="44">
        <v>1</v>
      </c>
      <c r="O153" t="str">
        <f t="shared" si="6"/>
        <v>Poor</v>
      </c>
      <c r="P153" t="str">
        <f t="shared" si="7"/>
        <v>Adult</v>
      </c>
      <c r="Q153" t="str">
        <f t="shared" si="8"/>
        <v>High Salary</v>
      </c>
    </row>
    <row r="154" spans="1:17" x14ac:dyDescent="0.25">
      <c r="A154">
        <v>744</v>
      </c>
      <c r="B154">
        <v>15641675</v>
      </c>
      <c r="C154" t="s">
        <v>608</v>
      </c>
      <c r="D154" t="s">
        <v>15</v>
      </c>
      <c r="E154" t="s">
        <v>16</v>
      </c>
      <c r="F154">
        <v>611</v>
      </c>
      <c r="G154">
        <v>49</v>
      </c>
      <c r="H154" s="43">
        <v>2</v>
      </c>
      <c r="I154" s="44">
        <v>88915.37</v>
      </c>
      <c r="J154" s="43">
        <v>3</v>
      </c>
      <c r="K154" s="43">
        <v>0</v>
      </c>
      <c r="L154" s="44">
        <v>0</v>
      </c>
      <c r="M154" s="44">
        <v>161435.01999999999</v>
      </c>
      <c r="N154" s="44">
        <v>1</v>
      </c>
      <c r="O154" t="str">
        <f t="shared" si="6"/>
        <v>Average</v>
      </c>
      <c r="P154" t="str">
        <f t="shared" si="7"/>
        <v>Adult</v>
      </c>
      <c r="Q154" t="str">
        <f t="shared" si="8"/>
        <v>High Salary</v>
      </c>
    </row>
    <row r="155" spans="1:17" x14ac:dyDescent="0.25">
      <c r="A155">
        <v>762</v>
      </c>
      <c r="B155">
        <v>15582741</v>
      </c>
      <c r="C155" t="s">
        <v>44</v>
      </c>
      <c r="D155" t="s">
        <v>15</v>
      </c>
      <c r="E155" t="s">
        <v>16</v>
      </c>
      <c r="F155">
        <v>693</v>
      </c>
      <c r="G155">
        <v>35</v>
      </c>
      <c r="H155" s="43">
        <v>5</v>
      </c>
      <c r="I155" s="44">
        <v>124151.09</v>
      </c>
      <c r="J155" s="43">
        <v>1</v>
      </c>
      <c r="K155" s="43">
        <v>1</v>
      </c>
      <c r="L155" s="44">
        <v>0</v>
      </c>
      <c r="M155" s="44">
        <v>88705.14</v>
      </c>
      <c r="N155" s="44">
        <v>1</v>
      </c>
      <c r="O155" t="str">
        <f t="shared" si="6"/>
        <v>Good</v>
      </c>
      <c r="P155" t="str">
        <f t="shared" si="7"/>
        <v>Adult</v>
      </c>
      <c r="Q155" t="str">
        <f t="shared" si="8"/>
        <v>High Salary</v>
      </c>
    </row>
    <row r="156" spans="1:17" x14ac:dyDescent="0.25">
      <c r="A156">
        <v>763</v>
      </c>
      <c r="B156">
        <v>15637876</v>
      </c>
      <c r="C156" t="s">
        <v>422</v>
      </c>
      <c r="D156" t="s">
        <v>26</v>
      </c>
      <c r="E156" t="s">
        <v>16</v>
      </c>
      <c r="F156">
        <v>663</v>
      </c>
      <c r="G156">
        <v>36</v>
      </c>
      <c r="H156" s="43">
        <v>6</v>
      </c>
      <c r="I156" s="44">
        <v>77253.5</v>
      </c>
      <c r="J156" s="43">
        <v>1</v>
      </c>
      <c r="K156" s="43">
        <v>0</v>
      </c>
      <c r="L156" s="44">
        <v>0</v>
      </c>
      <c r="M156" s="44">
        <v>35817.97</v>
      </c>
      <c r="N156" s="44">
        <v>1</v>
      </c>
      <c r="O156" t="str">
        <f t="shared" si="6"/>
        <v>Average</v>
      </c>
      <c r="P156" t="str">
        <f t="shared" si="7"/>
        <v>Adult</v>
      </c>
      <c r="Q156" t="str">
        <f t="shared" si="8"/>
        <v>Medium Salary</v>
      </c>
    </row>
    <row r="157" spans="1:17" x14ac:dyDescent="0.25">
      <c r="A157">
        <v>765</v>
      </c>
      <c r="B157">
        <v>15672056</v>
      </c>
      <c r="C157" t="s">
        <v>617</v>
      </c>
      <c r="D157" t="s">
        <v>26</v>
      </c>
      <c r="E157" t="s">
        <v>23</v>
      </c>
      <c r="F157">
        <v>710</v>
      </c>
      <c r="G157">
        <v>43</v>
      </c>
      <c r="H157" s="43">
        <v>2</v>
      </c>
      <c r="I157" s="44">
        <v>140080.32000000001</v>
      </c>
      <c r="J157" s="43">
        <v>3</v>
      </c>
      <c r="K157" s="43">
        <v>1</v>
      </c>
      <c r="L157" s="44">
        <v>1</v>
      </c>
      <c r="M157" s="44">
        <v>157908.19</v>
      </c>
      <c r="N157" s="44">
        <v>1</v>
      </c>
      <c r="O157" t="str">
        <f t="shared" si="6"/>
        <v>Good</v>
      </c>
      <c r="P157" t="str">
        <f t="shared" si="7"/>
        <v>Adult</v>
      </c>
      <c r="Q157" t="str">
        <f t="shared" si="8"/>
        <v>High Salary</v>
      </c>
    </row>
    <row r="158" spans="1:17" x14ac:dyDescent="0.25">
      <c r="A158">
        <v>768</v>
      </c>
      <c r="B158">
        <v>15677921</v>
      </c>
      <c r="C158" t="s">
        <v>620</v>
      </c>
      <c r="D158" t="s">
        <v>26</v>
      </c>
      <c r="E158" t="s">
        <v>23</v>
      </c>
      <c r="F158">
        <v>720</v>
      </c>
      <c r="G158">
        <v>60</v>
      </c>
      <c r="H158" s="43">
        <v>9</v>
      </c>
      <c r="I158" s="44">
        <v>115920.62</v>
      </c>
      <c r="J158" s="43">
        <v>2</v>
      </c>
      <c r="K158" s="43">
        <v>0</v>
      </c>
      <c r="L158" s="44">
        <v>0</v>
      </c>
      <c r="M158" s="44">
        <v>157552.07999999999</v>
      </c>
      <c r="N158" s="44">
        <v>1</v>
      </c>
      <c r="O158" t="str">
        <f t="shared" si="6"/>
        <v>Good</v>
      </c>
      <c r="P158" t="str">
        <f t="shared" si="7"/>
        <v>Adult</v>
      </c>
      <c r="Q158" t="str">
        <f t="shared" si="8"/>
        <v>High Salary</v>
      </c>
    </row>
    <row r="159" spans="1:17" x14ac:dyDescent="0.25">
      <c r="A159">
        <v>770</v>
      </c>
      <c r="B159">
        <v>15685329</v>
      </c>
      <c r="C159" t="s">
        <v>370</v>
      </c>
      <c r="D159" t="s">
        <v>15</v>
      </c>
      <c r="E159" t="s">
        <v>16</v>
      </c>
      <c r="F159">
        <v>531</v>
      </c>
      <c r="G159">
        <v>63</v>
      </c>
      <c r="H159" s="43">
        <v>1</v>
      </c>
      <c r="I159" s="44">
        <v>114715.71</v>
      </c>
      <c r="J159" s="43">
        <v>1</v>
      </c>
      <c r="K159" s="43">
        <v>0</v>
      </c>
      <c r="L159" s="44">
        <v>1</v>
      </c>
      <c r="M159" s="44">
        <v>24506.95</v>
      </c>
      <c r="N159" s="44">
        <v>1</v>
      </c>
      <c r="O159" t="str">
        <f t="shared" si="6"/>
        <v>Poor</v>
      </c>
      <c r="P159" t="str">
        <f t="shared" si="7"/>
        <v>Senior</v>
      </c>
      <c r="Q159" t="str">
        <f t="shared" si="8"/>
        <v>Low Salary</v>
      </c>
    </row>
    <row r="160" spans="1:17" x14ac:dyDescent="0.25">
      <c r="A160">
        <v>771</v>
      </c>
      <c r="B160">
        <v>15584091</v>
      </c>
      <c r="C160" t="s">
        <v>621</v>
      </c>
      <c r="D160" t="s">
        <v>26</v>
      </c>
      <c r="E160" t="s">
        <v>16</v>
      </c>
      <c r="F160">
        <v>742</v>
      </c>
      <c r="G160">
        <v>36</v>
      </c>
      <c r="H160" s="43">
        <v>2</v>
      </c>
      <c r="I160" s="44">
        <v>129748.54</v>
      </c>
      <c r="J160" s="43">
        <v>2</v>
      </c>
      <c r="K160" s="43">
        <v>0</v>
      </c>
      <c r="L160" s="44">
        <v>0</v>
      </c>
      <c r="M160" s="44">
        <v>47271.61</v>
      </c>
      <c r="N160" s="44">
        <v>1</v>
      </c>
      <c r="O160" t="str">
        <f t="shared" si="6"/>
        <v>Good</v>
      </c>
      <c r="P160" t="str">
        <f t="shared" si="7"/>
        <v>Adult</v>
      </c>
      <c r="Q160" t="str">
        <f t="shared" si="8"/>
        <v>Medium Salary</v>
      </c>
    </row>
    <row r="161" spans="1:17" x14ac:dyDescent="0.25">
      <c r="A161">
        <v>775</v>
      </c>
      <c r="B161">
        <v>15789158</v>
      </c>
      <c r="C161" t="s">
        <v>625</v>
      </c>
      <c r="D161" t="s">
        <v>26</v>
      </c>
      <c r="E161" t="s">
        <v>23</v>
      </c>
      <c r="F161">
        <v>636</v>
      </c>
      <c r="G161">
        <v>49</v>
      </c>
      <c r="H161" s="43">
        <v>6</v>
      </c>
      <c r="I161" s="44">
        <v>113599.74</v>
      </c>
      <c r="J161" s="43">
        <v>2</v>
      </c>
      <c r="K161" s="43">
        <v>1</v>
      </c>
      <c r="L161" s="44">
        <v>0</v>
      </c>
      <c r="M161" s="44">
        <v>158887.09</v>
      </c>
      <c r="N161" s="44">
        <v>1</v>
      </c>
      <c r="O161" t="str">
        <f t="shared" si="6"/>
        <v>Average</v>
      </c>
      <c r="P161" t="str">
        <f t="shared" si="7"/>
        <v>Adult</v>
      </c>
      <c r="Q161" t="str">
        <f t="shared" si="8"/>
        <v>High Salary</v>
      </c>
    </row>
    <row r="162" spans="1:17" x14ac:dyDescent="0.25">
      <c r="A162">
        <v>777</v>
      </c>
      <c r="B162">
        <v>15712551</v>
      </c>
      <c r="C162" t="s">
        <v>627</v>
      </c>
      <c r="D162" t="s">
        <v>26</v>
      </c>
      <c r="E162" t="s">
        <v>16</v>
      </c>
      <c r="F162">
        <v>622</v>
      </c>
      <c r="G162">
        <v>58</v>
      </c>
      <c r="H162" s="43">
        <v>7</v>
      </c>
      <c r="I162" s="44">
        <v>116922.25</v>
      </c>
      <c r="J162" s="43">
        <v>1</v>
      </c>
      <c r="K162" s="43">
        <v>1</v>
      </c>
      <c r="L162" s="44">
        <v>0</v>
      </c>
      <c r="M162" s="44">
        <v>120415.61</v>
      </c>
      <c r="N162" s="44">
        <v>1</v>
      </c>
      <c r="O162" t="str">
        <f t="shared" si="6"/>
        <v>Average</v>
      </c>
      <c r="P162" t="str">
        <f t="shared" si="7"/>
        <v>Adult</v>
      </c>
      <c r="Q162" t="str">
        <f t="shared" si="8"/>
        <v>High Salary</v>
      </c>
    </row>
    <row r="163" spans="1:17" x14ac:dyDescent="0.25">
      <c r="A163">
        <v>778</v>
      </c>
      <c r="B163">
        <v>15628936</v>
      </c>
      <c r="C163" t="s">
        <v>628</v>
      </c>
      <c r="D163" t="s">
        <v>18</v>
      </c>
      <c r="E163" t="s">
        <v>23</v>
      </c>
      <c r="F163">
        <v>692</v>
      </c>
      <c r="G163">
        <v>28</v>
      </c>
      <c r="H163" s="43">
        <v>9</v>
      </c>
      <c r="I163" s="44">
        <v>118945.09</v>
      </c>
      <c r="J163" s="43">
        <v>1</v>
      </c>
      <c r="K163" s="43">
        <v>0</v>
      </c>
      <c r="L163" s="44">
        <v>0</v>
      </c>
      <c r="M163" s="44">
        <v>16064.25</v>
      </c>
      <c r="N163" s="44">
        <v>1</v>
      </c>
      <c r="O163" t="str">
        <f t="shared" si="6"/>
        <v>Good</v>
      </c>
      <c r="P163" t="str">
        <f t="shared" si="7"/>
        <v>Young Adult</v>
      </c>
      <c r="Q163" t="str">
        <f t="shared" si="8"/>
        <v>Low Salary</v>
      </c>
    </row>
    <row r="164" spans="1:17" x14ac:dyDescent="0.25">
      <c r="A164">
        <v>785</v>
      </c>
      <c r="B164">
        <v>15571221</v>
      </c>
      <c r="C164" t="s">
        <v>634</v>
      </c>
      <c r="D164" t="s">
        <v>26</v>
      </c>
      <c r="E164" t="s">
        <v>23</v>
      </c>
      <c r="F164">
        <v>747</v>
      </c>
      <c r="G164">
        <v>58</v>
      </c>
      <c r="H164" s="43">
        <v>7</v>
      </c>
      <c r="I164" s="44">
        <v>116313.57</v>
      </c>
      <c r="J164" s="43">
        <v>1</v>
      </c>
      <c r="K164" s="43">
        <v>1</v>
      </c>
      <c r="L164" s="44">
        <v>1</v>
      </c>
      <c r="M164" s="44">
        <v>190696.35</v>
      </c>
      <c r="N164" s="44">
        <v>1</v>
      </c>
      <c r="O164" t="str">
        <f t="shared" si="6"/>
        <v>Good</v>
      </c>
      <c r="P164" t="str">
        <f t="shared" si="7"/>
        <v>Adult</v>
      </c>
      <c r="Q164" t="str">
        <f t="shared" si="8"/>
        <v>High Salary</v>
      </c>
    </row>
    <row r="165" spans="1:17" x14ac:dyDescent="0.25">
      <c r="A165">
        <v>806</v>
      </c>
      <c r="B165">
        <v>15756026</v>
      </c>
      <c r="C165" t="s">
        <v>646</v>
      </c>
      <c r="D165" t="s">
        <v>18</v>
      </c>
      <c r="E165" t="s">
        <v>16</v>
      </c>
      <c r="F165">
        <v>790</v>
      </c>
      <c r="G165">
        <v>46</v>
      </c>
      <c r="H165" s="43">
        <v>9</v>
      </c>
      <c r="I165" s="44">
        <v>0</v>
      </c>
      <c r="J165" s="43">
        <v>1</v>
      </c>
      <c r="K165" s="43">
        <v>0</v>
      </c>
      <c r="L165" s="44">
        <v>0</v>
      </c>
      <c r="M165" s="44">
        <v>14679.81</v>
      </c>
      <c r="N165" s="44">
        <v>1</v>
      </c>
      <c r="O165" t="str">
        <f t="shared" si="6"/>
        <v>Good</v>
      </c>
      <c r="P165" t="str">
        <f t="shared" si="7"/>
        <v>Adult</v>
      </c>
      <c r="Q165" t="str">
        <f t="shared" si="8"/>
        <v>Low Salary</v>
      </c>
    </row>
    <row r="166" spans="1:17" x14ac:dyDescent="0.25">
      <c r="A166">
        <v>814</v>
      </c>
      <c r="B166">
        <v>15775306</v>
      </c>
      <c r="C166" t="s">
        <v>652</v>
      </c>
      <c r="D166" t="s">
        <v>26</v>
      </c>
      <c r="E166" t="s">
        <v>23</v>
      </c>
      <c r="F166">
        <v>421</v>
      </c>
      <c r="G166">
        <v>28</v>
      </c>
      <c r="H166" s="43">
        <v>8</v>
      </c>
      <c r="I166" s="44">
        <v>122384.22</v>
      </c>
      <c r="J166" s="43">
        <v>3</v>
      </c>
      <c r="K166" s="43">
        <v>1</v>
      </c>
      <c r="L166" s="44">
        <v>1</v>
      </c>
      <c r="M166" s="44">
        <v>89017.38</v>
      </c>
      <c r="N166" s="44">
        <v>1</v>
      </c>
      <c r="O166" t="str">
        <f t="shared" si="6"/>
        <v>Poor</v>
      </c>
      <c r="P166" t="str">
        <f t="shared" si="7"/>
        <v>Young Adult</v>
      </c>
      <c r="Q166" t="str">
        <f t="shared" si="8"/>
        <v>High Salary</v>
      </c>
    </row>
    <row r="167" spans="1:17" x14ac:dyDescent="0.25">
      <c r="A167">
        <v>818</v>
      </c>
      <c r="B167">
        <v>15806438</v>
      </c>
      <c r="C167" t="s">
        <v>654</v>
      </c>
      <c r="D167" t="s">
        <v>26</v>
      </c>
      <c r="E167" t="s">
        <v>16</v>
      </c>
      <c r="F167">
        <v>580</v>
      </c>
      <c r="G167">
        <v>42</v>
      </c>
      <c r="H167" s="43">
        <v>2</v>
      </c>
      <c r="I167" s="44">
        <v>123331.36</v>
      </c>
      <c r="J167" s="43">
        <v>1</v>
      </c>
      <c r="K167" s="43">
        <v>0</v>
      </c>
      <c r="L167" s="44">
        <v>0</v>
      </c>
      <c r="M167" s="44">
        <v>103516.08</v>
      </c>
      <c r="N167" s="44">
        <v>1</v>
      </c>
      <c r="O167" t="str">
        <f t="shared" si="6"/>
        <v>Average</v>
      </c>
      <c r="P167" t="str">
        <f t="shared" si="7"/>
        <v>Adult</v>
      </c>
      <c r="Q167" t="str">
        <f t="shared" si="8"/>
        <v>High Salary</v>
      </c>
    </row>
    <row r="168" spans="1:17" x14ac:dyDescent="0.25">
      <c r="A168">
        <v>824</v>
      </c>
      <c r="B168">
        <v>15757811</v>
      </c>
      <c r="C168" t="s">
        <v>658</v>
      </c>
      <c r="D168" t="s">
        <v>18</v>
      </c>
      <c r="E168" t="s">
        <v>16</v>
      </c>
      <c r="F168">
        <v>732</v>
      </c>
      <c r="G168">
        <v>69</v>
      </c>
      <c r="H168" s="43">
        <v>9</v>
      </c>
      <c r="I168" s="44">
        <v>137453.43</v>
      </c>
      <c r="J168" s="43">
        <v>1</v>
      </c>
      <c r="K168" s="43">
        <v>0</v>
      </c>
      <c r="L168" s="44">
        <v>1</v>
      </c>
      <c r="M168" s="44">
        <v>110932.24</v>
      </c>
      <c r="N168" s="44">
        <v>1</v>
      </c>
      <c r="O168" t="str">
        <f t="shared" si="6"/>
        <v>Good</v>
      </c>
      <c r="P168" t="str">
        <f t="shared" si="7"/>
        <v>Senior</v>
      </c>
      <c r="Q168" t="str">
        <f t="shared" si="8"/>
        <v>High Salary</v>
      </c>
    </row>
    <row r="169" spans="1:17" x14ac:dyDescent="0.25">
      <c r="A169">
        <v>839</v>
      </c>
      <c r="B169">
        <v>15585888</v>
      </c>
      <c r="C169" t="s">
        <v>665</v>
      </c>
      <c r="D169" t="s">
        <v>18</v>
      </c>
      <c r="E169" t="s">
        <v>16</v>
      </c>
      <c r="F169">
        <v>553</v>
      </c>
      <c r="G169">
        <v>48</v>
      </c>
      <c r="H169" s="43">
        <v>3</v>
      </c>
      <c r="I169" s="44">
        <v>0</v>
      </c>
      <c r="J169" s="43">
        <v>1</v>
      </c>
      <c r="K169" s="43">
        <v>0</v>
      </c>
      <c r="L169" s="44">
        <v>1</v>
      </c>
      <c r="M169" s="44">
        <v>30730.95</v>
      </c>
      <c r="N169" s="44">
        <v>1</v>
      </c>
      <c r="O169" t="str">
        <f t="shared" si="6"/>
        <v>Poor</v>
      </c>
      <c r="P169" t="str">
        <f t="shared" si="7"/>
        <v>Adult</v>
      </c>
      <c r="Q169" t="str">
        <f t="shared" si="8"/>
        <v>Medium Salary</v>
      </c>
    </row>
    <row r="170" spans="1:17" x14ac:dyDescent="0.25">
      <c r="A170">
        <v>841</v>
      </c>
      <c r="B170">
        <v>15707567</v>
      </c>
      <c r="C170" t="s">
        <v>667</v>
      </c>
      <c r="D170" t="s">
        <v>26</v>
      </c>
      <c r="E170" t="s">
        <v>23</v>
      </c>
      <c r="F170">
        <v>732</v>
      </c>
      <c r="G170">
        <v>50</v>
      </c>
      <c r="H170" s="43">
        <v>6</v>
      </c>
      <c r="I170" s="44">
        <v>145338.76</v>
      </c>
      <c r="J170" s="43">
        <v>1</v>
      </c>
      <c r="K170" s="43">
        <v>0</v>
      </c>
      <c r="L170" s="44">
        <v>0</v>
      </c>
      <c r="M170" s="44">
        <v>91936.1</v>
      </c>
      <c r="N170" s="44">
        <v>1</v>
      </c>
      <c r="O170" t="str">
        <f t="shared" si="6"/>
        <v>Good</v>
      </c>
      <c r="P170" t="str">
        <f t="shared" si="7"/>
        <v>Adult</v>
      </c>
      <c r="Q170" t="str">
        <f t="shared" si="8"/>
        <v>High Salary</v>
      </c>
    </row>
    <row r="171" spans="1:17" x14ac:dyDescent="0.25">
      <c r="A171">
        <v>844</v>
      </c>
      <c r="B171">
        <v>15672012</v>
      </c>
      <c r="C171" t="s">
        <v>596</v>
      </c>
      <c r="D171" t="s">
        <v>18</v>
      </c>
      <c r="E171" t="s">
        <v>16</v>
      </c>
      <c r="F171">
        <v>773</v>
      </c>
      <c r="G171">
        <v>41</v>
      </c>
      <c r="H171" s="43">
        <v>5</v>
      </c>
      <c r="I171" s="44">
        <v>0</v>
      </c>
      <c r="J171" s="43">
        <v>1</v>
      </c>
      <c r="K171" s="43">
        <v>1</v>
      </c>
      <c r="L171" s="44">
        <v>0</v>
      </c>
      <c r="M171" s="44">
        <v>28266.9</v>
      </c>
      <c r="N171" s="44">
        <v>1</v>
      </c>
      <c r="O171" t="str">
        <f t="shared" si="6"/>
        <v>Good</v>
      </c>
      <c r="P171" t="str">
        <f t="shared" si="7"/>
        <v>Adult</v>
      </c>
      <c r="Q171" t="str">
        <f t="shared" si="8"/>
        <v>Low Salary</v>
      </c>
    </row>
    <row r="172" spans="1:17" x14ac:dyDescent="0.25">
      <c r="A172">
        <v>852</v>
      </c>
      <c r="B172">
        <v>15794048</v>
      </c>
      <c r="C172" t="s">
        <v>673</v>
      </c>
      <c r="D172" t="s">
        <v>26</v>
      </c>
      <c r="E172" t="s">
        <v>16</v>
      </c>
      <c r="F172">
        <v>667</v>
      </c>
      <c r="G172">
        <v>48</v>
      </c>
      <c r="H172" s="43">
        <v>1</v>
      </c>
      <c r="I172" s="44">
        <v>97133.92</v>
      </c>
      <c r="J172" s="43">
        <v>2</v>
      </c>
      <c r="K172" s="43">
        <v>0</v>
      </c>
      <c r="L172" s="44">
        <v>0</v>
      </c>
      <c r="M172" s="44">
        <v>113316.77</v>
      </c>
      <c r="N172" s="44">
        <v>1</v>
      </c>
      <c r="O172" t="str">
        <f t="shared" si="6"/>
        <v>Average</v>
      </c>
      <c r="P172" t="str">
        <f t="shared" si="7"/>
        <v>Adult</v>
      </c>
      <c r="Q172" t="str">
        <f t="shared" si="8"/>
        <v>High Salary</v>
      </c>
    </row>
    <row r="173" spans="1:17" x14ac:dyDescent="0.25">
      <c r="A173">
        <v>857</v>
      </c>
      <c r="B173">
        <v>15693864</v>
      </c>
      <c r="C173" t="s">
        <v>677</v>
      </c>
      <c r="D173" t="s">
        <v>26</v>
      </c>
      <c r="E173" t="s">
        <v>16</v>
      </c>
      <c r="F173">
        <v>567</v>
      </c>
      <c r="G173">
        <v>49</v>
      </c>
      <c r="H173" s="43">
        <v>5</v>
      </c>
      <c r="I173" s="44">
        <v>134956.01999999999</v>
      </c>
      <c r="J173" s="43">
        <v>1</v>
      </c>
      <c r="K173" s="43">
        <v>1</v>
      </c>
      <c r="L173" s="44">
        <v>0</v>
      </c>
      <c r="M173" s="44">
        <v>93953.84</v>
      </c>
      <c r="N173" s="44">
        <v>1</v>
      </c>
      <c r="O173" t="str">
        <f t="shared" si="6"/>
        <v>Poor</v>
      </c>
      <c r="P173" t="str">
        <f t="shared" si="7"/>
        <v>Adult</v>
      </c>
      <c r="Q173" t="str">
        <f t="shared" si="8"/>
        <v>High Salary</v>
      </c>
    </row>
    <row r="174" spans="1:17" x14ac:dyDescent="0.25">
      <c r="A174">
        <v>860</v>
      </c>
      <c r="B174">
        <v>15809087</v>
      </c>
      <c r="C174" t="s">
        <v>678</v>
      </c>
      <c r="D174" t="s">
        <v>15</v>
      </c>
      <c r="E174" t="s">
        <v>23</v>
      </c>
      <c r="F174">
        <v>598</v>
      </c>
      <c r="G174">
        <v>64</v>
      </c>
      <c r="H174" s="43">
        <v>1</v>
      </c>
      <c r="I174" s="44">
        <v>0</v>
      </c>
      <c r="J174" s="43">
        <v>2</v>
      </c>
      <c r="K174" s="43">
        <v>1</v>
      </c>
      <c r="L174" s="44">
        <v>0</v>
      </c>
      <c r="M174" s="44">
        <v>195635.3</v>
      </c>
      <c r="N174" s="44">
        <v>1</v>
      </c>
      <c r="O174" t="str">
        <f t="shared" si="6"/>
        <v>Average</v>
      </c>
      <c r="P174" t="str">
        <f t="shared" si="7"/>
        <v>Senior</v>
      </c>
      <c r="Q174" t="str">
        <f t="shared" si="8"/>
        <v>High Salary</v>
      </c>
    </row>
    <row r="175" spans="1:17" x14ac:dyDescent="0.25">
      <c r="A175">
        <v>861</v>
      </c>
      <c r="B175">
        <v>15807663</v>
      </c>
      <c r="C175" t="s">
        <v>679</v>
      </c>
      <c r="D175" t="s">
        <v>15</v>
      </c>
      <c r="E175" t="s">
        <v>23</v>
      </c>
      <c r="F175">
        <v>667</v>
      </c>
      <c r="G175">
        <v>43</v>
      </c>
      <c r="H175" s="43">
        <v>8</v>
      </c>
      <c r="I175" s="44">
        <v>190227.46</v>
      </c>
      <c r="J175" s="43">
        <v>1</v>
      </c>
      <c r="K175" s="43">
        <v>1</v>
      </c>
      <c r="L175" s="44">
        <v>0</v>
      </c>
      <c r="M175" s="44">
        <v>97508.04</v>
      </c>
      <c r="N175" s="44">
        <v>1</v>
      </c>
      <c r="O175" t="str">
        <f t="shared" si="6"/>
        <v>Average</v>
      </c>
      <c r="P175" t="str">
        <f t="shared" si="7"/>
        <v>Adult</v>
      </c>
      <c r="Q175" t="str">
        <f t="shared" si="8"/>
        <v>High Salary</v>
      </c>
    </row>
    <row r="176" spans="1:17" x14ac:dyDescent="0.25">
      <c r="A176">
        <v>862</v>
      </c>
      <c r="B176">
        <v>15809100</v>
      </c>
      <c r="C176" t="s">
        <v>563</v>
      </c>
      <c r="D176" t="s">
        <v>15</v>
      </c>
      <c r="E176" t="s">
        <v>16</v>
      </c>
      <c r="F176">
        <v>548</v>
      </c>
      <c r="G176">
        <v>32</v>
      </c>
      <c r="H176" s="43">
        <v>2</v>
      </c>
      <c r="I176" s="44">
        <v>172448.77</v>
      </c>
      <c r="J176" s="43">
        <v>1</v>
      </c>
      <c r="K176" s="43">
        <v>1</v>
      </c>
      <c r="L176" s="44">
        <v>0</v>
      </c>
      <c r="M176" s="44">
        <v>188083.77</v>
      </c>
      <c r="N176" s="44">
        <v>1</v>
      </c>
      <c r="O176" t="str">
        <f t="shared" si="6"/>
        <v>Poor</v>
      </c>
      <c r="P176" t="str">
        <f t="shared" si="7"/>
        <v>Adult</v>
      </c>
      <c r="Q176" t="str">
        <f t="shared" si="8"/>
        <v>High Salary</v>
      </c>
    </row>
    <row r="177" spans="1:17" x14ac:dyDescent="0.25">
      <c r="A177">
        <v>868</v>
      </c>
      <c r="B177">
        <v>15756804</v>
      </c>
      <c r="C177" t="s">
        <v>685</v>
      </c>
      <c r="D177" t="s">
        <v>15</v>
      </c>
      <c r="E177" t="s">
        <v>16</v>
      </c>
      <c r="F177">
        <v>636</v>
      </c>
      <c r="G177">
        <v>48</v>
      </c>
      <c r="H177" s="43">
        <v>1</v>
      </c>
      <c r="I177" s="44">
        <v>170833.46</v>
      </c>
      <c r="J177" s="43">
        <v>1</v>
      </c>
      <c r="K177" s="43">
        <v>1</v>
      </c>
      <c r="L177" s="44">
        <v>0</v>
      </c>
      <c r="M177" s="44">
        <v>110510.28</v>
      </c>
      <c r="N177" s="44">
        <v>1</v>
      </c>
      <c r="O177" t="str">
        <f t="shared" si="6"/>
        <v>Average</v>
      </c>
      <c r="P177" t="str">
        <f t="shared" si="7"/>
        <v>Adult</v>
      </c>
      <c r="Q177" t="str">
        <f t="shared" si="8"/>
        <v>High Salary</v>
      </c>
    </row>
    <row r="178" spans="1:17" x14ac:dyDescent="0.25">
      <c r="A178">
        <v>869</v>
      </c>
      <c r="B178">
        <v>15646810</v>
      </c>
      <c r="C178" t="s">
        <v>686</v>
      </c>
      <c r="D178" t="s">
        <v>26</v>
      </c>
      <c r="E178" t="s">
        <v>23</v>
      </c>
      <c r="F178">
        <v>603</v>
      </c>
      <c r="G178">
        <v>44</v>
      </c>
      <c r="H178" s="43">
        <v>6</v>
      </c>
      <c r="I178" s="44">
        <v>108122.39</v>
      </c>
      <c r="J178" s="43">
        <v>2</v>
      </c>
      <c r="K178" s="43">
        <v>1</v>
      </c>
      <c r="L178" s="44">
        <v>0</v>
      </c>
      <c r="M178" s="44">
        <v>108488.33</v>
      </c>
      <c r="N178" s="44">
        <v>1</v>
      </c>
      <c r="O178" t="str">
        <f t="shared" si="6"/>
        <v>Average</v>
      </c>
      <c r="P178" t="str">
        <f t="shared" si="7"/>
        <v>Adult</v>
      </c>
      <c r="Q178" t="str">
        <f t="shared" si="8"/>
        <v>High Salary</v>
      </c>
    </row>
    <row r="179" spans="1:17" x14ac:dyDescent="0.25">
      <c r="A179">
        <v>872</v>
      </c>
      <c r="B179">
        <v>15692750</v>
      </c>
      <c r="C179" t="s">
        <v>679</v>
      </c>
      <c r="D179" t="s">
        <v>26</v>
      </c>
      <c r="E179" t="s">
        <v>16</v>
      </c>
      <c r="F179">
        <v>629</v>
      </c>
      <c r="G179">
        <v>45</v>
      </c>
      <c r="H179" s="43">
        <v>7</v>
      </c>
      <c r="I179" s="44">
        <v>129818.39</v>
      </c>
      <c r="J179" s="43">
        <v>3</v>
      </c>
      <c r="K179" s="43">
        <v>1</v>
      </c>
      <c r="L179" s="44">
        <v>0</v>
      </c>
      <c r="M179" s="44">
        <v>9217.5499999999993</v>
      </c>
      <c r="N179" s="44">
        <v>1</v>
      </c>
      <c r="O179" t="str">
        <f t="shared" si="6"/>
        <v>Average</v>
      </c>
      <c r="P179" t="str">
        <f t="shared" si="7"/>
        <v>Adult</v>
      </c>
      <c r="Q179" t="str">
        <f t="shared" si="8"/>
        <v>Low Salary</v>
      </c>
    </row>
    <row r="180" spans="1:17" x14ac:dyDescent="0.25">
      <c r="A180">
        <v>881</v>
      </c>
      <c r="B180">
        <v>15585362</v>
      </c>
      <c r="C180" t="s">
        <v>331</v>
      </c>
      <c r="D180" t="s">
        <v>15</v>
      </c>
      <c r="E180" t="s">
        <v>16</v>
      </c>
      <c r="F180">
        <v>749</v>
      </c>
      <c r="G180">
        <v>60</v>
      </c>
      <c r="H180" s="43">
        <v>6</v>
      </c>
      <c r="I180" s="44">
        <v>0</v>
      </c>
      <c r="J180" s="43">
        <v>1</v>
      </c>
      <c r="K180" s="43">
        <v>1</v>
      </c>
      <c r="L180" s="44">
        <v>0</v>
      </c>
      <c r="M180" s="44">
        <v>17978.68</v>
      </c>
      <c r="N180" s="44">
        <v>1</v>
      </c>
      <c r="O180" t="str">
        <f t="shared" si="6"/>
        <v>Good</v>
      </c>
      <c r="P180" t="str">
        <f t="shared" si="7"/>
        <v>Adult</v>
      </c>
      <c r="Q180" t="str">
        <f t="shared" si="8"/>
        <v>Low Salary</v>
      </c>
    </row>
    <row r="181" spans="1:17" x14ac:dyDescent="0.25">
      <c r="A181">
        <v>882</v>
      </c>
      <c r="B181">
        <v>15571928</v>
      </c>
      <c r="C181" t="s">
        <v>644</v>
      </c>
      <c r="D181" t="s">
        <v>15</v>
      </c>
      <c r="E181" t="s">
        <v>16</v>
      </c>
      <c r="F181">
        <v>679</v>
      </c>
      <c r="G181">
        <v>43</v>
      </c>
      <c r="H181" s="43">
        <v>4</v>
      </c>
      <c r="I181" s="44">
        <v>0</v>
      </c>
      <c r="J181" s="43">
        <v>3</v>
      </c>
      <c r="K181" s="43">
        <v>1</v>
      </c>
      <c r="L181" s="44">
        <v>0</v>
      </c>
      <c r="M181" s="44">
        <v>115136.51</v>
      </c>
      <c r="N181" s="44">
        <v>1</v>
      </c>
      <c r="O181" t="str">
        <f t="shared" si="6"/>
        <v>Good</v>
      </c>
      <c r="P181" t="str">
        <f t="shared" si="7"/>
        <v>Adult</v>
      </c>
      <c r="Q181" t="str">
        <f t="shared" si="8"/>
        <v>High Salary</v>
      </c>
    </row>
    <row r="182" spans="1:17" x14ac:dyDescent="0.25">
      <c r="A182">
        <v>884</v>
      </c>
      <c r="B182">
        <v>15743007</v>
      </c>
      <c r="C182" t="s">
        <v>692</v>
      </c>
      <c r="D182" t="s">
        <v>15</v>
      </c>
      <c r="E182" t="s">
        <v>16</v>
      </c>
      <c r="F182">
        <v>643</v>
      </c>
      <c r="G182">
        <v>45</v>
      </c>
      <c r="H182" s="43">
        <v>4</v>
      </c>
      <c r="I182" s="44">
        <v>45144.43</v>
      </c>
      <c r="J182" s="43">
        <v>1</v>
      </c>
      <c r="K182" s="43">
        <v>1</v>
      </c>
      <c r="L182" s="44">
        <v>0</v>
      </c>
      <c r="M182" s="44">
        <v>60917.24</v>
      </c>
      <c r="N182" s="44">
        <v>1</v>
      </c>
      <c r="O182" t="str">
        <f t="shared" si="6"/>
        <v>Average</v>
      </c>
      <c r="P182" t="str">
        <f t="shared" si="7"/>
        <v>Adult</v>
      </c>
      <c r="Q182" t="str">
        <f t="shared" si="8"/>
        <v>Medium Salary</v>
      </c>
    </row>
    <row r="183" spans="1:17" x14ac:dyDescent="0.25">
      <c r="A183">
        <v>894</v>
      </c>
      <c r="B183">
        <v>15772781</v>
      </c>
      <c r="C183" t="s">
        <v>640</v>
      </c>
      <c r="D183" t="s">
        <v>15</v>
      </c>
      <c r="E183" t="s">
        <v>16</v>
      </c>
      <c r="F183">
        <v>703</v>
      </c>
      <c r="G183">
        <v>51</v>
      </c>
      <c r="H183" s="43">
        <v>3</v>
      </c>
      <c r="I183" s="44">
        <v>0</v>
      </c>
      <c r="J183" s="43">
        <v>3</v>
      </c>
      <c r="K183" s="43">
        <v>1</v>
      </c>
      <c r="L183" s="44">
        <v>1</v>
      </c>
      <c r="M183" s="44">
        <v>77294.559999999998</v>
      </c>
      <c r="N183" s="44">
        <v>1</v>
      </c>
      <c r="O183" t="str">
        <f t="shared" si="6"/>
        <v>Good</v>
      </c>
      <c r="P183" t="str">
        <f t="shared" si="7"/>
        <v>Adult</v>
      </c>
      <c r="Q183" t="str">
        <f t="shared" si="8"/>
        <v>High Salary</v>
      </c>
    </row>
    <row r="184" spans="1:17" x14ac:dyDescent="0.25">
      <c r="A184">
        <v>895</v>
      </c>
      <c r="B184">
        <v>15669987</v>
      </c>
      <c r="C184" t="s">
        <v>700</v>
      </c>
      <c r="D184" t="s">
        <v>26</v>
      </c>
      <c r="E184" t="s">
        <v>16</v>
      </c>
      <c r="F184">
        <v>728</v>
      </c>
      <c r="G184">
        <v>35</v>
      </c>
      <c r="H184" s="43">
        <v>8</v>
      </c>
      <c r="I184" s="44">
        <v>125884.95</v>
      </c>
      <c r="J184" s="43">
        <v>2</v>
      </c>
      <c r="K184" s="43">
        <v>1</v>
      </c>
      <c r="L184" s="44">
        <v>0</v>
      </c>
      <c r="M184" s="44">
        <v>54359.02</v>
      </c>
      <c r="N184" s="44">
        <v>1</v>
      </c>
      <c r="O184" t="str">
        <f t="shared" si="6"/>
        <v>Good</v>
      </c>
      <c r="P184" t="str">
        <f t="shared" si="7"/>
        <v>Adult</v>
      </c>
      <c r="Q184" t="str">
        <f t="shared" si="8"/>
        <v>Medium Salary</v>
      </c>
    </row>
    <row r="185" spans="1:17" x14ac:dyDescent="0.25">
      <c r="A185">
        <v>899</v>
      </c>
      <c r="B185">
        <v>15654700</v>
      </c>
      <c r="C185" t="s">
        <v>503</v>
      </c>
      <c r="D185" t="s">
        <v>15</v>
      </c>
      <c r="E185" t="s">
        <v>16</v>
      </c>
      <c r="F185">
        <v>523</v>
      </c>
      <c r="G185">
        <v>40</v>
      </c>
      <c r="H185" s="43">
        <v>2</v>
      </c>
      <c r="I185" s="44">
        <v>102967.41</v>
      </c>
      <c r="J185" s="43">
        <v>1</v>
      </c>
      <c r="K185" s="43">
        <v>1</v>
      </c>
      <c r="L185" s="44">
        <v>0</v>
      </c>
      <c r="M185" s="44">
        <v>128702.1</v>
      </c>
      <c r="N185" s="44">
        <v>1</v>
      </c>
      <c r="O185" t="str">
        <f t="shared" si="6"/>
        <v>Poor</v>
      </c>
      <c r="P185" t="str">
        <f t="shared" si="7"/>
        <v>Adult</v>
      </c>
      <c r="Q185" t="str">
        <f t="shared" si="8"/>
        <v>High Salary</v>
      </c>
    </row>
    <row r="186" spans="1:17" x14ac:dyDescent="0.25">
      <c r="A186">
        <v>901</v>
      </c>
      <c r="B186">
        <v>15642041</v>
      </c>
      <c r="C186" t="s">
        <v>422</v>
      </c>
      <c r="D186" t="s">
        <v>26</v>
      </c>
      <c r="E186" t="s">
        <v>23</v>
      </c>
      <c r="F186">
        <v>727</v>
      </c>
      <c r="G186">
        <v>40</v>
      </c>
      <c r="H186" s="43">
        <v>1</v>
      </c>
      <c r="I186" s="44">
        <v>93051.64</v>
      </c>
      <c r="J186" s="43">
        <v>2</v>
      </c>
      <c r="K186" s="43">
        <v>1</v>
      </c>
      <c r="L186" s="44">
        <v>0</v>
      </c>
      <c r="M186" s="44">
        <v>71865.31</v>
      </c>
      <c r="N186" s="44">
        <v>1</v>
      </c>
      <c r="O186" t="str">
        <f t="shared" si="6"/>
        <v>Good</v>
      </c>
      <c r="P186" t="str">
        <f t="shared" si="7"/>
        <v>Adult</v>
      </c>
      <c r="Q186" t="str">
        <f t="shared" si="8"/>
        <v>High Salary</v>
      </c>
    </row>
    <row r="187" spans="1:17" x14ac:dyDescent="0.25">
      <c r="A187">
        <v>905</v>
      </c>
      <c r="B187">
        <v>15794580</v>
      </c>
      <c r="C187" t="s">
        <v>404</v>
      </c>
      <c r="D187" t="s">
        <v>15</v>
      </c>
      <c r="E187" t="s">
        <v>23</v>
      </c>
      <c r="F187">
        <v>599</v>
      </c>
      <c r="G187">
        <v>58</v>
      </c>
      <c r="H187" s="43">
        <v>4</v>
      </c>
      <c r="I187" s="44">
        <v>0</v>
      </c>
      <c r="J187" s="43">
        <v>1</v>
      </c>
      <c r="K187" s="43">
        <v>0</v>
      </c>
      <c r="L187" s="44">
        <v>0</v>
      </c>
      <c r="M187" s="44">
        <v>176407.15</v>
      </c>
      <c r="N187" s="44">
        <v>1</v>
      </c>
      <c r="O187" t="str">
        <f t="shared" si="6"/>
        <v>Average</v>
      </c>
      <c r="P187" t="str">
        <f t="shared" si="7"/>
        <v>Adult</v>
      </c>
      <c r="Q187" t="str">
        <f t="shared" si="8"/>
        <v>High Salary</v>
      </c>
    </row>
    <row r="188" spans="1:17" x14ac:dyDescent="0.25">
      <c r="A188">
        <v>906</v>
      </c>
      <c r="B188">
        <v>15675964</v>
      </c>
      <c r="C188" t="s">
        <v>703</v>
      </c>
      <c r="D188" t="s">
        <v>15</v>
      </c>
      <c r="E188" t="s">
        <v>16</v>
      </c>
      <c r="F188">
        <v>672</v>
      </c>
      <c r="G188">
        <v>45</v>
      </c>
      <c r="H188" s="43">
        <v>9</v>
      </c>
      <c r="I188" s="44">
        <v>0</v>
      </c>
      <c r="J188" s="43">
        <v>1</v>
      </c>
      <c r="K188" s="43">
        <v>1</v>
      </c>
      <c r="L188" s="44">
        <v>1</v>
      </c>
      <c r="M188" s="44">
        <v>92027.69</v>
      </c>
      <c r="N188" s="44">
        <v>1</v>
      </c>
      <c r="O188" t="str">
        <f t="shared" si="6"/>
        <v>Good</v>
      </c>
      <c r="P188" t="str">
        <f t="shared" si="7"/>
        <v>Adult</v>
      </c>
      <c r="Q188" t="str">
        <f t="shared" si="8"/>
        <v>High Salary</v>
      </c>
    </row>
    <row r="189" spans="1:17" x14ac:dyDescent="0.25">
      <c r="A189">
        <v>908</v>
      </c>
      <c r="B189">
        <v>15724848</v>
      </c>
      <c r="C189" t="s">
        <v>705</v>
      </c>
      <c r="D189" t="s">
        <v>15</v>
      </c>
      <c r="E189" t="s">
        <v>16</v>
      </c>
      <c r="F189">
        <v>516</v>
      </c>
      <c r="G189">
        <v>46</v>
      </c>
      <c r="H189" s="43">
        <v>1</v>
      </c>
      <c r="I189" s="44">
        <v>104947.72</v>
      </c>
      <c r="J189" s="43">
        <v>1</v>
      </c>
      <c r="K189" s="43">
        <v>1</v>
      </c>
      <c r="L189" s="44">
        <v>0</v>
      </c>
      <c r="M189" s="44">
        <v>115789.25</v>
      </c>
      <c r="N189" s="44">
        <v>1</v>
      </c>
      <c r="O189" t="str">
        <f t="shared" si="6"/>
        <v>Poor</v>
      </c>
      <c r="P189" t="str">
        <f t="shared" si="7"/>
        <v>Adult</v>
      </c>
      <c r="Q189" t="str">
        <f t="shared" si="8"/>
        <v>High Salary</v>
      </c>
    </row>
    <row r="190" spans="1:17" x14ac:dyDescent="0.25">
      <c r="A190">
        <v>917</v>
      </c>
      <c r="B190">
        <v>15792328</v>
      </c>
      <c r="C190" t="s">
        <v>712</v>
      </c>
      <c r="D190" t="s">
        <v>15</v>
      </c>
      <c r="E190" t="s">
        <v>23</v>
      </c>
      <c r="F190">
        <v>475</v>
      </c>
      <c r="G190">
        <v>39</v>
      </c>
      <c r="H190" s="43">
        <v>6</v>
      </c>
      <c r="I190" s="44">
        <v>0</v>
      </c>
      <c r="J190" s="43">
        <v>1</v>
      </c>
      <c r="K190" s="43">
        <v>1</v>
      </c>
      <c r="L190" s="44">
        <v>1</v>
      </c>
      <c r="M190" s="44">
        <v>56999.9</v>
      </c>
      <c r="N190" s="44">
        <v>1</v>
      </c>
      <c r="O190" t="str">
        <f t="shared" si="6"/>
        <v>Poor</v>
      </c>
      <c r="P190" t="str">
        <f t="shared" si="7"/>
        <v>Adult</v>
      </c>
      <c r="Q190" t="str">
        <f t="shared" si="8"/>
        <v>Medium Salary</v>
      </c>
    </row>
    <row r="191" spans="1:17" x14ac:dyDescent="0.25">
      <c r="A191">
        <v>922</v>
      </c>
      <c r="B191">
        <v>15743411</v>
      </c>
      <c r="C191" t="s">
        <v>715</v>
      </c>
      <c r="D191" t="s">
        <v>18</v>
      </c>
      <c r="E191" t="s">
        <v>23</v>
      </c>
      <c r="F191">
        <v>609</v>
      </c>
      <c r="G191">
        <v>61</v>
      </c>
      <c r="H191" s="43">
        <v>1</v>
      </c>
      <c r="I191" s="44">
        <v>0</v>
      </c>
      <c r="J191" s="43">
        <v>1</v>
      </c>
      <c r="K191" s="43">
        <v>1</v>
      </c>
      <c r="L191" s="44">
        <v>0</v>
      </c>
      <c r="M191" s="44">
        <v>22447.85</v>
      </c>
      <c r="N191" s="44">
        <v>1</v>
      </c>
      <c r="O191" t="str">
        <f t="shared" si="6"/>
        <v>Average</v>
      </c>
      <c r="P191" t="str">
        <f t="shared" si="7"/>
        <v>Senior</v>
      </c>
      <c r="Q191" t="str">
        <f t="shared" si="8"/>
        <v>Low Salary</v>
      </c>
    </row>
    <row r="192" spans="1:17" x14ac:dyDescent="0.25">
      <c r="A192">
        <v>923</v>
      </c>
      <c r="B192">
        <v>15753337</v>
      </c>
      <c r="C192" t="s">
        <v>716</v>
      </c>
      <c r="D192" t="s">
        <v>15</v>
      </c>
      <c r="E192" t="s">
        <v>23</v>
      </c>
      <c r="F192">
        <v>555</v>
      </c>
      <c r="G192">
        <v>51</v>
      </c>
      <c r="H192" s="43">
        <v>5</v>
      </c>
      <c r="I192" s="44">
        <v>0</v>
      </c>
      <c r="J192" s="43">
        <v>3</v>
      </c>
      <c r="K192" s="43">
        <v>1</v>
      </c>
      <c r="L192" s="44">
        <v>0</v>
      </c>
      <c r="M192" s="44">
        <v>189122.89</v>
      </c>
      <c r="N192" s="44">
        <v>1</v>
      </c>
      <c r="O192" t="str">
        <f t="shared" si="6"/>
        <v>Poor</v>
      </c>
      <c r="P192" t="str">
        <f t="shared" si="7"/>
        <v>Adult</v>
      </c>
      <c r="Q192" t="str">
        <f t="shared" si="8"/>
        <v>High Salary</v>
      </c>
    </row>
    <row r="193" spans="1:17" x14ac:dyDescent="0.25">
      <c r="A193">
        <v>934</v>
      </c>
      <c r="B193">
        <v>15737795</v>
      </c>
      <c r="C193" t="s">
        <v>33</v>
      </c>
      <c r="D193" t="s">
        <v>18</v>
      </c>
      <c r="E193" t="s">
        <v>23</v>
      </c>
      <c r="F193">
        <v>512</v>
      </c>
      <c r="G193">
        <v>36</v>
      </c>
      <c r="H193" s="43">
        <v>1</v>
      </c>
      <c r="I193" s="44">
        <v>0</v>
      </c>
      <c r="J193" s="43">
        <v>1</v>
      </c>
      <c r="K193" s="43">
        <v>0</v>
      </c>
      <c r="L193" s="44">
        <v>1</v>
      </c>
      <c r="M193" s="44">
        <v>135482.26</v>
      </c>
      <c r="N193" s="44">
        <v>1</v>
      </c>
      <c r="O193" t="str">
        <f t="shared" si="6"/>
        <v>Poor</v>
      </c>
      <c r="P193" t="str">
        <f t="shared" si="7"/>
        <v>Adult</v>
      </c>
      <c r="Q193" t="str">
        <f t="shared" si="8"/>
        <v>High Salary</v>
      </c>
    </row>
    <row r="194" spans="1:17" x14ac:dyDescent="0.25">
      <c r="A194">
        <v>937</v>
      </c>
      <c r="B194">
        <v>15613630</v>
      </c>
      <c r="C194" t="s">
        <v>602</v>
      </c>
      <c r="D194" t="s">
        <v>15</v>
      </c>
      <c r="E194" t="s">
        <v>23</v>
      </c>
      <c r="F194">
        <v>775</v>
      </c>
      <c r="G194">
        <v>52</v>
      </c>
      <c r="H194" s="43">
        <v>8</v>
      </c>
      <c r="I194" s="44">
        <v>109922.61</v>
      </c>
      <c r="J194" s="43">
        <v>1</v>
      </c>
      <c r="K194" s="43">
        <v>1</v>
      </c>
      <c r="L194" s="44">
        <v>1</v>
      </c>
      <c r="M194" s="44">
        <v>96823.32</v>
      </c>
      <c r="N194" s="44">
        <v>1</v>
      </c>
      <c r="O194" t="str">
        <f t="shared" si="6"/>
        <v>Good</v>
      </c>
      <c r="P194" t="str">
        <f t="shared" si="7"/>
        <v>Adult</v>
      </c>
      <c r="Q194" t="str">
        <f t="shared" si="8"/>
        <v>High Salary</v>
      </c>
    </row>
    <row r="195" spans="1:17" x14ac:dyDescent="0.25">
      <c r="A195">
        <v>943</v>
      </c>
      <c r="B195">
        <v>15804586</v>
      </c>
      <c r="C195" t="s">
        <v>486</v>
      </c>
      <c r="D195" t="s">
        <v>15</v>
      </c>
      <c r="E195" t="s">
        <v>16</v>
      </c>
      <c r="F195">
        <v>376</v>
      </c>
      <c r="G195">
        <v>46</v>
      </c>
      <c r="H195" s="43">
        <v>6</v>
      </c>
      <c r="I195" s="44">
        <v>0</v>
      </c>
      <c r="J195" s="43">
        <v>1</v>
      </c>
      <c r="K195" s="43">
        <v>1</v>
      </c>
      <c r="L195" s="44">
        <v>0</v>
      </c>
      <c r="M195" s="44">
        <v>157333.69</v>
      </c>
      <c r="N195" s="44">
        <v>1</v>
      </c>
      <c r="O195" t="str">
        <f t="shared" ref="O195:O205" si="9">IF(F195&lt;580, "Poor", IF(AND(F195&gt;=580, F195&lt;=669), "Average", "Good"))</f>
        <v>Poor</v>
      </c>
      <c r="P195" t="str">
        <f t="shared" ref="P195:P205" si="10">IF(G195&lt;=30, "Young Adult", IF(AND(G195&gt;=31, G195&lt;=60), "Adult", "Senior"))</f>
        <v>Adult</v>
      </c>
      <c r="Q195" t="str">
        <f t="shared" ref="Q195:Q205" si="11">IF(M195&lt;30000, "Low Salary", IF(AND(M195&gt;=30000, M195&lt;=70000), "Medium Salary", "High Salary"))</f>
        <v>High Salary</v>
      </c>
    </row>
    <row r="196" spans="1:17" x14ac:dyDescent="0.25">
      <c r="A196">
        <v>947</v>
      </c>
      <c r="B196">
        <v>15745324</v>
      </c>
      <c r="C196" t="s">
        <v>601</v>
      </c>
      <c r="D196" t="s">
        <v>18</v>
      </c>
      <c r="E196" t="s">
        <v>16</v>
      </c>
      <c r="F196">
        <v>599</v>
      </c>
      <c r="G196">
        <v>39</v>
      </c>
      <c r="H196" s="43">
        <v>4</v>
      </c>
      <c r="I196" s="44">
        <v>0</v>
      </c>
      <c r="J196" s="43">
        <v>1</v>
      </c>
      <c r="K196" s="43">
        <v>1</v>
      </c>
      <c r="L196" s="44">
        <v>0</v>
      </c>
      <c r="M196" s="44">
        <v>194273.2</v>
      </c>
      <c r="N196" s="44">
        <v>1</v>
      </c>
      <c r="O196" t="str">
        <f t="shared" si="9"/>
        <v>Average</v>
      </c>
      <c r="P196" t="str">
        <f t="shared" si="10"/>
        <v>Adult</v>
      </c>
      <c r="Q196" t="str">
        <f t="shared" si="11"/>
        <v>High Salary</v>
      </c>
    </row>
    <row r="197" spans="1:17" x14ac:dyDescent="0.25">
      <c r="A197">
        <v>948</v>
      </c>
      <c r="B197">
        <v>15741336</v>
      </c>
      <c r="C197" t="s">
        <v>535</v>
      </c>
      <c r="D197" t="s">
        <v>15</v>
      </c>
      <c r="E197" t="s">
        <v>16</v>
      </c>
      <c r="F197">
        <v>715</v>
      </c>
      <c r="G197">
        <v>38</v>
      </c>
      <c r="H197" s="43">
        <v>5</v>
      </c>
      <c r="I197" s="44">
        <v>118590.41</v>
      </c>
      <c r="J197" s="43">
        <v>1</v>
      </c>
      <c r="K197" s="43">
        <v>1</v>
      </c>
      <c r="L197" s="44">
        <v>1</v>
      </c>
      <c r="M197" s="44">
        <v>5684.17</v>
      </c>
      <c r="N197" s="44">
        <v>1</v>
      </c>
      <c r="O197" t="str">
        <f t="shared" si="9"/>
        <v>Good</v>
      </c>
      <c r="P197" t="str">
        <f t="shared" si="10"/>
        <v>Adult</v>
      </c>
      <c r="Q197" t="str">
        <f t="shared" si="11"/>
        <v>Low Salary</v>
      </c>
    </row>
    <row r="198" spans="1:17" x14ac:dyDescent="0.25">
      <c r="A198">
        <v>950</v>
      </c>
      <c r="B198">
        <v>15620981</v>
      </c>
      <c r="C198" t="s">
        <v>730</v>
      </c>
      <c r="D198" t="s">
        <v>15</v>
      </c>
      <c r="E198" t="s">
        <v>16</v>
      </c>
      <c r="F198">
        <v>684</v>
      </c>
      <c r="G198">
        <v>48</v>
      </c>
      <c r="H198" s="43">
        <v>3</v>
      </c>
      <c r="I198" s="44">
        <v>73309.38</v>
      </c>
      <c r="J198" s="43">
        <v>1</v>
      </c>
      <c r="K198" s="43">
        <v>0</v>
      </c>
      <c r="L198" s="44">
        <v>0</v>
      </c>
      <c r="M198" s="44">
        <v>21228.34</v>
      </c>
      <c r="N198" s="44">
        <v>1</v>
      </c>
      <c r="O198" t="str">
        <f t="shared" si="9"/>
        <v>Good</v>
      </c>
      <c r="P198" t="str">
        <f t="shared" si="10"/>
        <v>Adult</v>
      </c>
      <c r="Q198" t="str">
        <f t="shared" si="11"/>
        <v>Low Salary</v>
      </c>
    </row>
    <row r="199" spans="1:17" x14ac:dyDescent="0.25">
      <c r="A199">
        <v>955</v>
      </c>
      <c r="B199">
        <v>15660429</v>
      </c>
      <c r="C199" t="s">
        <v>733</v>
      </c>
      <c r="D199" t="s">
        <v>18</v>
      </c>
      <c r="E199" t="s">
        <v>16</v>
      </c>
      <c r="F199">
        <v>665</v>
      </c>
      <c r="G199">
        <v>42</v>
      </c>
      <c r="H199" s="43">
        <v>2</v>
      </c>
      <c r="I199" s="44">
        <v>156371.60999999999</v>
      </c>
      <c r="J199" s="43">
        <v>2</v>
      </c>
      <c r="K199" s="43">
        <v>0</v>
      </c>
      <c r="L199" s="44">
        <v>1</v>
      </c>
      <c r="M199" s="44">
        <v>156774.94</v>
      </c>
      <c r="N199" s="44">
        <v>1</v>
      </c>
      <c r="O199" t="str">
        <f t="shared" si="9"/>
        <v>Average</v>
      </c>
      <c r="P199" t="str">
        <f t="shared" si="10"/>
        <v>Adult</v>
      </c>
      <c r="Q199" t="str">
        <f t="shared" si="11"/>
        <v>High Salary</v>
      </c>
    </row>
    <row r="200" spans="1:17" x14ac:dyDescent="0.25">
      <c r="A200">
        <v>964</v>
      </c>
      <c r="B200">
        <v>15731815</v>
      </c>
      <c r="C200" t="s">
        <v>737</v>
      </c>
      <c r="D200" t="s">
        <v>18</v>
      </c>
      <c r="E200" t="s">
        <v>23</v>
      </c>
      <c r="F200">
        <v>529</v>
      </c>
      <c r="G200">
        <v>63</v>
      </c>
      <c r="H200" s="43">
        <v>4</v>
      </c>
      <c r="I200" s="44">
        <v>96134.11</v>
      </c>
      <c r="J200" s="43">
        <v>3</v>
      </c>
      <c r="K200" s="43">
        <v>1</v>
      </c>
      <c r="L200" s="44">
        <v>0</v>
      </c>
      <c r="M200" s="44">
        <v>108732.96</v>
      </c>
      <c r="N200" s="44">
        <v>1</v>
      </c>
      <c r="O200" t="str">
        <f t="shared" si="9"/>
        <v>Poor</v>
      </c>
      <c r="P200" t="str">
        <f t="shared" si="10"/>
        <v>Senior</v>
      </c>
      <c r="Q200" t="str">
        <f t="shared" si="11"/>
        <v>High Salary</v>
      </c>
    </row>
    <row r="201" spans="1:17" x14ac:dyDescent="0.25">
      <c r="A201">
        <v>965</v>
      </c>
      <c r="B201">
        <v>15580956</v>
      </c>
      <c r="C201" t="s">
        <v>738</v>
      </c>
      <c r="D201" t="s">
        <v>26</v>
      </c>
      <c r="E201" t="s">
        <v>16</v>
      </c>
      <c r="F201">
        <v>683</v>
      </c>
      <c r="G201">
        <v>43</v>
      </c>
      <c r="H201" s="43">
        <v>4</v>
      </c>
      <c r="I201" s="44">
        <v>115888.04</v>
      </c>
      <c r="J201" s="43">
        <v>1</v>
      </c>
      <c r="K201" s="43">
        <v>1</v>
      </c>
      <c r="L201" s="44">
        <v>1</v>
      </c>
      <c r="M201" s="44">
        <v>117349.19</v>
      </c>
      <c r="N201" s="44">
        <v>1</v>
      </c>
      <c r="O201" t="str">
        <f t="shared" si="9"/>
        <v>Good</v>
      </c>
      <c r="P201" t="str">
        <f t="shared" si="10"/>
        <v>Adult</v>
      </c>
      <c r="Q201" t="str">
        <f t="shared" si="11"/>
        <v>High Salary</v>
      </c>
    </row>
    <row r="202" spans="1:17" x14ac:dyDescent="0.25">
      <c r="A202">
        <v>977</v>
      </c>
      <c r="B202">
        <v>15570060</v>
      </c>
      <c r="C202" t="s">
        <v>746</v>
      </c>
      <c r="D202" t="s">
        <v>15</v>
      </c>
      <c r="E202" t="s">
        <v>16</v>
      </c>
      <c r="F202">
        <v>653.5</v>
      </c>
      <c r="G202">
        <v>43</v>
      </c>
      <c r="H202" s="43">
        <v>8</v>
      </c>
      <c r="I202" s="44">
        <v>132558.26</v>
      </c>
      <c r="J202" s="43">
        <v>1</v>
      </c>
      <c r="K202" s="43">
        <v>1</v>
      </c>
      <c r="L202" s="44">
        <v>0</v>
      </c>
      <c r="M202" s="44">
        <v>67046.83</v>
      </c>
      <c r="N202" s="44">
        <v>1</v>
      </c>
      <c r="O202" t="str">
        <f t="shared" si="9"/>
        <v>Average</v>
      </c>
      <c r="P202" t="str">
        <f t="shared" si="10"/>
        <v>Adult</v>
      </c>
      <c r="Q202" t="str">
        <f t="shared" si="11"/>
        <v>Medium Salary</v>
      </c>
    </row>
    <row r="203" spans="1:17" x14ac:dyDescent="0.25">
      <c r="A203">
        <v>984</v>
      </c>
      <c r="B203">
        <v>15807008</v>
      </c>
      <c r="C203" t="s">
        <v>679</v>
      </c>
      <c r="D203" t="s">
        <v>26</v>
      </c>
      <c r="E203" t="s">
        <v>16</v>
      </c>
      <c r="F203">
        <v>614</v>
      </c>
      <c r="G203">
        <v>35</v>
      </c>
      <c r="H203" s="43">
        <v>6</v>
      </c>
      <c r="I203" s="44">
        <v>128100.28</v>
      </c>
      <c r="J203" s="43">
        <v>1</v>
      </c>
      <c r="K203" s="43">
        <v>0</v>
      </c>
      <c r="L203" s="44">
        <v>0</v>
      </c>
      <c r="M203" s="44">
        <v>69454.240000000005</v>
      </c>
      <c r="N203" s="44">
        <v>1</v>
      </c>
      <c r="O203" t="str">
        <f t="shared" si="9"/>
        <v>Average</v>
      </c>
      <c r="P203" t="str">
        <f t="shared" si="10"/>
        <v>Adult</v>
      </c>
      <c r="Q203" t="str">
        <f t="shared" si="11"/>
        <v>Medium Salary</v>
      </c>
    </row>
    <row r="204" spans="1:17" x14ac:dyDescent="0.25">
      <c r="A204">
        <v>988</v>
      </c>
      <c r="B204">
        <v>15613749</v>
      </c>
      <c r="C204" t="s">
        <v>750</v>
      </c>
      <c r="D204" t="s">
        <v>18</v>
      </c>
      <c r="E204" t="s">
        <v>23</v>
      </c>
      <c r="F204">
        <v>569</v>
      </c>
      <c r="G204">
        <v>34</v>
      </c>
      <c r="H204" s="43">
        <v>0</v>
      </c>
      <c r="I204" s="44">
        <v>151839.26</v>
      </c>
      <c r="J204" s="43">
        <v>1</v>
      </c>
      <c r="K204" s="43">
        <v>1</v>
      </c>
      <c r="L204" s="44">
        <v>0</v>
      </c>
      <c r="M204" s="44">
        <v>102299.81</v>
      </c>
      <c r="N204" s="44">
        <v>1</v>
      </c>
      <c r="O204" t="str">
        <f t="shared" si="9"/>
        <v>Poor</v>
      </c>
      <c r="P204" t="str">
        <f t="shared" si="10"/>
        <v>Adult</v>
      </c>
      <c r="Q204" t="str">
        <f t="shared" si="11"/>
        <v>High Salary</v>
      </c>
    </row>
    <row r="205" spans="1:17" x14ac:dyDescent="0.25">
      <c r="A205">
        <v>990</v>
      </c>
      <c r="B205">
        <v>15681206</v>
      </c>
      <c r="C205" t="s">
        <v>752</v>
      </c>
      <c r="D205" t="s">
        <v>15</v>
      </c>
      <c r="E205" t="s">
        <v>16</v>
      </c>
      <c r="F205">
        <v>722</v>
      </c>
      <c r="G205">
        <v>49</v>
      </c>
      <c r="H205" s="43">
        <v>3</v>
      </c>
      <c r="I205" s="44">
        <v>168197.66</v>
      </c>
      <c r="J205" s="43">
        <v>1</v>
      </c>
      <c r="K205" s="43">
        <v>1</v>
      </c>
      <c r="L205" s="44">
        <v>0</v>
      </c>
      <c r="M205" s="44">
        <v>140765.57</v>
      </c>
      <c r="N205" s="44">
        <v>1</v>
      </c>
      <c r="O205" t="str">
        <f t="shared" si="9"/>
        <v>Good</v>
      </c>
      <c r="P205" t="str">
        <f t="shared" si="10"/>
        <v>Adult</v>
      </c>
      <c r="Q205" t="str">
        <f t="shared" si="11"/>
        <v>High Salary</v>
      </c>
    </row>
  </sheetData>
  <autoFilter ref="A1:N205" xr:uid="{DEFCE48C-B84C-4E97-86DA-798E5A3AF61E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679EC-08BB-44F6-93B4-FA59B99D9562}">
  <dimension ref="A1:S788"/>
  <sheetViews>
    <sheetView workbookViewId="0">
      <selection activeCell="S51" sqref="S51"/>
    </sheetView>
  </sheetViews>
  <sheetFormatPr defaultRowHeight="15" x14ac:dyDescent="0.25"/>
  <cols>
    <col min="1" max="1" width="13.28515625" bestFit="1" customWidth="1"/>
    <col min="2" max="2" width="12.42578125" bestFit="1" customWidth="1"/>
    <col min="3" max="3" width="19.85546875" bestFit="1" customWidth="1"/>
    <col min="4" max="4" width="9" bestFit="1" customWidth="1"/>
    <col min="5" max="5" width="7.7109375" bestFit="1" customWidth="1"/>
    <col min="6" max="6" width="11.7109375" bestFit="1" customWidth="1"/>
    <col min="7" max="7" width="4.42578125" bestFit="1" customWidth="1"/>
    <col min="8" max="8" width="7.28515625" bestFit="1" customWidth="1"/>
    <col min="9" max="9" width="10" bestFit="1" customWidth="1"/>
    <col min="10" max="10" width="15.28515625" bestFit="1" customWidth="1"/>
    <col min="11" max="11" width="11" bestFit="1" customWidth="1"/>
    <col min="12" max="12" width="15.85546875" bestFit="1" customWidth="1"/>
    <col min="13" max="13" width="15.7109375" bestFit="1" customWidth="1"/>
    <col min="14" max="14" width="16.5703125" bestFit="1" customWidth="1"/>
    <col min="15" max="17" width="16.5703125" customWidth="1"/>
    <col min="19" max="19" width="13.140625" bestFit="1" customWidth="1"/>
    <col min="20" max="20" width="16.140625" bestFit="1" customWidth="1"/>
    <col min="21" max="79" width="16.28515625" bestFit="1" customWidth="1"/>
    <col min="80" max="80" width="11.28515625" bestFit="1" customWidth="1"/>
  </cols>
  <sheetData>
    <row r="1" spans="1:19" s="11" customFormat="1" x14ac:dyDescent="0.25">
      <c r="A1" s="10" t="s">
        <v>0</v>
      </c>
      <c r="B1" s="10" t="s">
        <v>1</v>
      </c>
      <c r="C1" s="10" t="s">
        <v>2</v>
      </c>
      <c r="D1" s="10" t="s">
        <v>4</v>
      </c>
      <c r="E1" s="10" t="s">
        <v>5</v>
      </c>
      <c r="F1" s="10" t="s">
        <v>3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77" t="s">
        <v>826</v>
      </c>
      <c r="P1" s="77" t="s">
        <v>832</v>
      </c>
      <c r="Q1" s="77" t="s">
        <v>840</v>
      </c>
    </row>
    <row r="2" spans="1:19" x14ac:dyDescent="0.25">
      <c r="A2">
        <v>2</v>
      </c>
      <c r="B2">
        <v>15647311</v>
      </c>
      <c r="C2" t="s">
        <v>17</v>
      </c>
      <c r="D2" t="s">
        <v>18</v>
      </c>
      <c r="E2" t="s">
        <v>16</v>
      </c>
      <c r="F2">
        <v>608</v>
      </c>
      <c r="G2">
        <v>41</v>
      </c>
      <c r="H2">
        <v>1</v>
      </c>
      <c r="I2">
        <v>83807.86</v>
      </c>
      <c r="J2">
        <v>1</v>
      </c>
      <c r="K2">
        <v>0</v>
      </c>
      <c r="L2">
        <v>1</v>
      </c>
      <c r="M2">
        <v>112542.58</v>
      </c>
      <c r="N2">
        <v>0</v>
      </c>
      <c r="O2" t="str">
        <f>IF(F2&lt;580, "Poor", IF(AND(F2&gt;=580, F2&lt;=669), "Average", "Good"))</f>
        <v>Average</v>
      </c>
      <c r="P2" t="str">
        <f>IF(G2&lt;=30, "Young Adult", IF(AND(G2&gt;=31, G2&lt;=60), "Adult", "Senior"))</f>
        <v>Adult</v>
      </c>
      <c r="Q2" t="str">
        <f>IF(M2&lt;30000, "Low Salary", IF(AND(M2&gt;=30000, M2&lt;=70000), "Medium Salary", "High Salary"))</f>
        <v>High Salary</v>
      </c>
    </row>
    <row r="3" spans="1:19" x14ac:dyDescent="0.25">
      <c r="A3">
        <v>4</v>
      </c>
      <c r="B3">
        <v>15701354</v>
      </c>
      <c r="C3" t="s">
        <v>20</v>
      </c>
      <c r="D3" t="s">
        <v>15</v>
      </c>
      <c r="E3" t="s">
        <v>16</v>
      </c>
      <c r="F3">
        <v>699</v>
      </c>
      <c r="G3">
        <v>39</v>
      </c>
      <c r="H3">
        <v>1</v>
      </c>
      <c r="I3">
        <v>0</v>
      </c>
      <c r="J3">
        <v>2</v>
      </c>
      <c r="K3">
        <v>0</v>
      </c>
      <c r="L3">
        <v>0</v>
      </c>
      <c r="M3">
        <v>93826.63</v>
      </c>
      <c r="N3">
        <v>0</v>
      </c>
      <c r="O3" t="str">
        <f t="shared" ref="O3:O66" si="0">IF(F3&lt;580, "Poor", IF(AND(F3&gt;=580, F3&lt;=669), "Average", "Good"))</f>
        <v>Good</v>
      </c>
      <c r="P3" t="str">
        <f t="shared" ref="P3:P66" si="1">IF(G3&lt;=30, "Young Adult", IF(AND(G3&gt;=31, G3&lt;=60), "Adult", "Senior"))</f>
        <v>Adult</v>
      </c>
      <c r="Q3" t="str">
        <f t="shared" ref="Q3:Q66" si="2">IF(M3&lt;30000, "Low Salary", IF(AND(M3&gt;=30000, M3&lt;=70000), "Medium Salary", "High Salary"))</f>
        <v>High Salary</v>
      </c>
      <c r="S3" s="76"/>
    </row>
    <row r="4" spans="1:19" x14ac:dyDescent="0.25">
      <c r="A4">
        <v>5</v>
      </c>
      <c r="B4">
        <v>15737888</v>
      </c>
      <c r="C4" t="s">
        <v>21</v>
      </c>
      <c r="D4" t="s">
        <v>18</v>
      </c>
      <c r="E4" t="s">
        <v>16</v>
      </c>
      <c r="F4">
        <v>850</v>
      </c>
      <c r="G4">
        <v>43</v>
      </c>
      <c r="H4">
        <v>2</v>
      </c>
      <c r="I4">
        <v>125510.82</v>
      </c>
      <c r="J4">
        <v>1</v>
      </c>
      <c r="K4">
        <v>1</v>
      </c>
      <c r="L4">
        <v>1</v>
      </c>
      <c r="M4">
        <v>79084.100000000006</v>
      </c>
      <c r="N4">
        <v>0</v>
      </c>
      <c r="O4" t="str">
        <f t="shared" si="0"/>
        <v>Good</v>
      </c>
      <c r="P4" t="str">
        <f t="shared" si="1"/>
        <v>Adult</v>
      </c>
      <c r="Q4" t="str">
        <f t="shared" si="2"/>
        <v>High Salary</v>
      </c>
    </row>
    <row r="5" spans="1:19" x14ac:dyDescent="0.25">
      <c r="A5">
        <v>7</v>
      </c>
      <c r="B5">
        <v>15592531</v>
      </c>
      <c r="C5" t="s">
        <v>24</v>
      </c>
      <c r="D5" t="s">
        <v>15</v>
      </c>
      <c r="E5" t="s">
        <v>23</v>
      </c>
      <c r="F5">
        <v>822</v>
      </c>
      <c r="G5">
        <v>50</v>
      </c>
      <c r="H5">
        <v>7</v>
      </c>
      <c r="I5">
        <v>0</v>
      </c>
      <c r="J5">
        <v>2</v>
      </c>
      <c r="K5">
        <v>1</v>
      </c>
      <c r="L5">
        <v>1</v>
      </c>
      <c r="M5">
        <v>10062.799999999999</v>
      </c>
      <c r="N5">
        <v>0</v>
      </c>
      <c r="O5" t="str">
        <f t="shared" si="0"/>
        <v>Good</v>
      </c>
      <c r="P5" t="str">
        <f t="shared" si="1"/>
        <v>Adult</v>
      </c>
      <c r="Q5" t="str">
        <f t="shared" si="2"/>
        <v>Low Salary</v>
      </c>
    </row>
    <row r="6" spans="1:19" x14ac:dyDescent="0.25">
      <c r="A6">
        <v>9</v>
      </c>
      <c r="B6">
        <v>15792365</v>
      </c>
      <c r="C6" t="s">
        <v>27</v>
      </c>
      <c r="D6" t="s">
        <v>15</v>
      </c>
      <c r="E6" t="s">
        <v>23</v>
      </c>
      <c r="F6">
        <v>501</v>
      </c>
      <c r="G6">
        <v>44</v>
      </c>
      <c r="H6">
        <v>4</v>
      </c>
      <c r="I6">
        <v>142051.07</v>
      </c>
      <c r="J6">
        <v>2</v>
      </c>
      <c r="K6">
        <v>0</v>
      </c>
      <c r="L6">
        <v>1</v>
      </c>
      <c r="M6">
        <v>74940.5</v>
      </c>
      <c r="N6">
        <v>0</v>
      </c>
      <c r="O6" t="str">
        <f t="shared" si="0"/>
        <v>Poor</v>
      </c>
      <c r="P6" t="str">
        <f t="shared" si="1"/>
        <v>Adult</v>
      </c>
      <c r="Q6" t="str">
        <f t="shared" si="2"/>
        <v>High Salary</v>
      </c>
    </row>
    <row r="7" spans="1:19" x14ac:dyDescent="0.25">
      <c r="A7">
        <v>10</v>
      </c>
      <c r="B7">
        <v>15592389</v>
      </c>
      <c r="C7" t="s">
        <v>28</v>
      </c>
      <c r="D7" t="s">
        <v>15</v>
      </c>
      <c r="E7" t="s">
        <v>23</v>
      </c>
      <c r="F7">
        <v>684</v>
      </c>
      <c r="G7">
        <v>27</v>
      </c>
      <c r="H7">
        <v>2</v>
      </c>
      <c r="I7">
        <v>134603.88</v>
      </c>
      <c r="J7">
        <v>1</v>
      </c>
      <c r="K7">
        <v>1</v>
      </c>
      <c r="L7">
        <v>1</v>
      </c>
      <c r="M7">
        <v>71725.73</v>
      </c>
      <c r="N7">
        <v>0</v>
      </c>
      <c r="O7" t="str">
        <f t="shared" si="0"/>
        <v>Good</v>
      </c>
      <c r="P7" t="str">
        <f t="shared" si="1"/>
        <v>Young Adult</v>
      </c>
      <c r="Q7" t="str">
        <f t="shared" si="2"/>
        <v>High Salary</v>
      </c>
    </row>
    <row r="8" spans="1:19" x14ac:dyDescent="0.25">
      <c r="A8">
        <v>11</v>
      </c>
      <c r="B8">
        <v>15767821</v>
      </c>
      <c r="C8" t="s">
        <v>29</v>
      </c>
      <c r="D8" t="s">
        <v>15</v>
      </c>
      <c r="E8" t="s">
        <v>23</v>
      </c>
      <c r="F8">
        <v>528</v>
      </c>
      <c r="G8">
        <v>31</v>
      </c>
      <c r="H8">
        <v>6</v>
      </c>
      <c r="I8">
        <v>102016.72</v>
      </c>
      <c r="J8">
        <v>2</v>
      </c>
      <c r="K8">
        <v>0</v>
      </c>
      <c r="L8">
        <v>0</v>
      </c>
      <c r="M8">
        <v>80181.119999999995</v>
      </c>
      <c r="N8">
        <v>0</v>
      </c>
      <c r="O8" t="str">
        <f t="shared" si="0"/>
        <v>Poor</v>
      </c>
      <c r="P8" t="str">
        <f t="shared" si="1"/>
        <v>Adult</v>
      </c>
      <c r="Q8" t="str">
        <f t="shared" si="2"/>
        <v>High Salary</v>
      </c>
    </row>
    <row r="9" spans="1:19" x14ac:dyDescent="0.25">
      <c r="A9">
        <v>12</v>
      </c>
      <c r="B9">
        <v>15737173</v>
      </c>
      <c r="C9" t="s">
        <v>30</v>
      </c>
      <c r="D9" t="s">
        <v>18</v>
      </c>
      <c r="E9" t="s">
        <v>23</v>
      </c>
      <c r="F9">
        <v>497</v>
      </c>
      <c r="G9">
        <v>24</v>
      </c>
      <c r="H9">
        <v>3</v>
      </c>
      <c r="I9">
        <v>0</v>
      </c>
      <c r="J9">
        <v>2</v>
      </c>
      <c r="K9">
        <v>1</v>
      </c>
      <c r="L9">
        <v>0</v>
      </c>
      <c r="M9">
        <v>76390.009999999995</v>
      </c>
      <c r="N9">
        <v>0</v>
      </c>
      <c r="O9" t="str">
        <f t="shared" si="0"/>
        <v>Poor</v>
      </c>
      <c r="P9" t="str">
        <f t="shared" si="1"/>
        <v>Young Adult</v>
      </c>
      <c r="Q9" t="str">
        <f t="shared" si="2"/>
        <v>High Salary</v>
      </c>
    </row>
    <row r="10" spans="1:19" x14ac:dyDescent="0.25">
      <c r="A10">
        <v>13</v>
      </c>
      <c r="B10">
        <v>15632264</v>
      </c>
      <c r="C10" t="s">
        <v>31</v>
      </c>
      <c r="D10" t="s">
        <v>15</v>
      </c>
      <c r="E10" t="s">
        <v>16</v>
      </c>
      <c r="F10">
        <v>476</v>
      </c>
      <c r="G10">
        <v>34</v>
      </c>
      <c r="H10">
        <v>10</v>
      </c>
      <c r="I10">
        <v>0</v>
      </c>
      <c r="J10">
        <v>2</v>
      </c>
      <c r="K10">
        <v>1</v>
      </c>
      <c r="L10">
        <v>0</v>
      </c>
      <c r="M10">
        <v>26260.98</v>
      </c>
      <c r="N10">
        <v>0</v>
      </c>
      <c r="O10" t="str">
        <f t="shared" si="0"/>
        <v>Poor</v>
      </c>
      <c r="P10" t="str">
        <f t="shared" si="1"/>
        <v>Adult</v>
      </c>
      <c r="Q10" t="str">
        <f t="shared" si="2"/>
        <v>Low Salary</v>
      </c>
      <c r="S10" s="78"/>
    </row>
    <row r="11" spans="1:19" x14ac:dyDescent="0.25">
      <c r="A11">
        <v>14</v>
      </c>
      <c r="B11">
        <v>15691483</v>
      </c>
      <c r="C11" t="s">
        <v>32</v>
      </c>
      <c r="D11" t="s">
        <v>15</v>
      </c>
      <c r="E11" t="s">
        <v>16</v>
      </c>
      <c r="F11">
        <v>549</v>
      </c>
      <c r="G11">
        <v>25</v>
      </c>
      <c r="H11">
        <v>5</v>
      </c>
      <c r="I11">
        <v>0</v>
      </c>
      <c r="J11">
        <v>2</v>
      </c>
      <c r="K11">
        <v>0</v>
      </c>
      <c r="L11">
        <v>0</v>
      </c>
      <c r="M11">
        <v>190857.79</v>
      </c>
      <c r="N11">
        <v>0</v>
      </c>
      <c r="O11" t="str">
        <f t="shared" si="0"/>
        <v>Poor</v>
      </c>
      <c r="P11" t="str">
        <f t="shared" si="1"/>
        <v>Young Adult</v>
      </c>
      <c r="Q11" t="str">
        <f t="shared" si="2"/>
        <v>High Salary</v>
      </c>
    </row>
    <row r="12" spans="1:19" x14ac:dyDescent="0.25">
      <c r="A12">
        <v>15</v>
      </c>
      <c r="B12">
        <v>15600882</v>
      </c>
      <c r="C12" t="s">
        <v>33</v>
      </c>
      <c r="D12" t="s">
        <v>18</v>
      </c>
      <c r="E12" t="s">
        <v>16</v>
      </c>
      <c r="F12">
        <v>635</v>
      </c>
      <c r="G12">
        <v>35</v>
      </c>
      <c r="H12">
        <v>7</v>
      </c>
      <c r="I12">
        <v>0</v>
      </c>
      <c r="J12">
        <v>2</v>
      </c>
      <c r="K12">
        <v>1</v>
      </c>
      <c r="L12">
        <v>1</v>
      </c>
      <c r="M12">
        <v>65951.649999999994</v>
      </c>
      <c r="N12">
        <v>0</v>
      </c>
      <c r="O12" t="str">
        <f t="shared" si="0"/>
        <v>Average</v>
      </c>
      <c r="P12" t="str">
        <f t="shared" si="1"/>
        <v>Adult</v>
      </c>
      <c r="Q12" t="str">
        <f t="shared" si="2"/>
        <v>Medium Salary</v>
      </c>
    </row>
    <row r="13" spans="1:19" x14ac:dyDescent="0.25">
      <c r="A13">
        <v>16</v>
      </c>
      <c r="B13">
        <v>15643966</v>
      </c>
      <c r="C13" t="s">
        <v>34</v>
      </c>
      <c r="D13" t="s">
        <v>26</v>
      </c>
      <c r="E13" t="s">
        <v>23</v>
      </c>
      <c r="F13">
        <v>616</v>
      </c>
      <c r="G13">
        <v>45</v>
      </c>
      <c r="H13">
        <v>3</v>
      </c>
      <c r="I13">
        <v>143129.41</v>
      </c>
      <c r="J13">
        <v>2</v>
      </c>
      <c r="K13">
        <v>0</v>
      </c>
      <c r="L13">
        <v>1</v>
      </c>
      <c r="M13">
        <v>64327.26</v>
      </c>
      <c r="N13">
        <v>0</v>
      </c>
      <c r="O13" t="str">
        <f t="shared" si="0"/>
        <v>Average</v>
      </c>
      <c r="P13" t="str">
        <f t="shared" si="1"/>
        <v>Adult</v>
      </c>
      <c r="Q13" t="str">
        <f t="shared" si="2"/>
        <v>Medium Salary</v>
      </c>
    </row>
    <row r="14" spans="1:19" x14ac:dyDescent="0.25">
      <c r="A14">
        <v>18</v>
      </c>
      <c r="B14">
        <v>15788218</v>
      </c>
      <c r="C14" t="s">
        <v>36</v>
      </c>
      <c r="D14" t="s">
        <v>18</v>
      </c>
      <c r="E14" t="s">
        <v>16</v>
      </c>
      <c r="F14">
        <v>549</v>
      </c>
      <c r="G14">
        <v>24</v>
      </c>
      <c r="H14">
        <v>9</v>
      </c>
      <c r="I14">
        <v>0</v>
      </c>
      <c r="J14">
        <v>2</v>
      </c>
      <c r="K14">
        <v>1</v>
      </c>
      <c r="L14">
        <v>1</v>
      </c>
      <c r="M14">
        <v>14406.41</v>
      </c>
      <c r="N14">
        <v>0</v>
      </c>
      <c r="O14" t="str">
        <f t="shared" si="0"/>
        <v>Poor</v>
      </c>
      <c r="P14" t="str">
        <f t="shared" si="1"/>
        <v>Young Adult</v>
      </c>
      <c r="Q14" t="str">
        <f t="shared" si="2"/>
        <v>Low Salary</v>
      </c>
    </row>
    <row r="15" spans="1:19" x14ac:dyDescent="0.25">
      <c r="A15">
        <v>19</v>
      </c>
      <c r="B15">
        <v>15661507</v>
      </c>
      <c r="C15" t="s">
        <v>37</v>
      </c>
      <c r="D15" t="s">
        <v>18</v>
      </c>
      <c r="E15" t="s">
        <v>23</v>
      </c>
      <c r="F15">
        <v>587</v>
      </c>
      <c r="G15">
        <v>45</v>
      </c>
      <c r="H15">
        <v>6</v>
      </c>
      <c r="I15">
        <v>0</v>
      </c>
      <c r="J15">
        <v>1</v>
      </c>
      <c r="K15">
        <v>0</v>
      </c>
      <c r="L15">
        <v>0</v>
      </c>
      <c r="M15">
        <v>158684.81</v>
      </c>
      <c r="N15">
        <v>0</v>
      </c>
      <c r="O15" t="str">
        <f t="shared" si="0"/>
        <v>Average</v>
      </c>
      <c r="P15" t="str">
        <f t="shared" si="1"/>
        <v>Adult</v>
      </c>
      <c r="Q15" t="str">
        <f t="shared" si="2"/>
        <v>High Salary</v>
      </c>
    </row>
    <row r="16" spans="1:19" x14ac:dyDescent="0.25">
      <c r="A16">
        <v>20</v>
      </c>
      <c r="B16">
        <v>15568982</v>
      </c>
      <c r="C16" t="s">
        <v>38</v>
      </c>
      <c r="D16" t="s">
        <v>15</v>
      </c>
      <c r="E16" t="s">
        <v>16</v>
      </c>
      <c r="F16">
        <v>726</v>
      </c>
      <c r="G16">
        <v>24</v>
      </c>
      <c r="H16">
        <v>6</v>
      </c>
      <c r="I16">
        <v>0</v>
      </c>
      <c r="J16">
        <v>2</v>
      </c>
      <c r="K16">
        <v>1</v>
      </c>
      <c r="L16">
        <v>1</v>
      </c>
      <c r="M16">
        <v>54724.03</v>
      </c>
      <c r="N16">
        <v>0</v>
      </c>
      <c r="O16" t="str">
        <f t="shared" si="0"/>
        <v>Good</v>
      </c>
      <c r="P16" t="str">
        <f t="shared" si="1"/>
        <v>Young Adult</v>
      </c>
      <c r="Q16" t="str">
        <f t="shared" si="2"/>
        <v>Medium Salary</v>
      </c>
      <c r="S16" s="76"/>
    </row>
    <row r="17" spans="1:17" x14ac:dyDescent="0.25">
      <c r="A17">
        <v>21</v>
      </c>
      <c r="B17">
        <v>15577657</v>
      </c>
      <c r="C17" t="s">
        <v>39</v>
      </c>
      <c r="D17" t="s">
        <v>15</v>
      </c>
      <c r="E17" t="s">
        <v>23</v>
      </c>
      <c r="F17">
        <v>732</v>
      </c>
      <c r="G17">
        <v>41</v>
      </c>
      <c r="H17">
        <v>8</v>
      </c>
      <c r="I17">
        <v>0</v>
      </c>
      <c r="J17">
        <v>2</v>
      </c>
      <c r="K17">
        <v>1</v>
      </c>
      <c r="L17">
        <v>1</v>
      </c>
      <c r="M17">
        <v>170886.17</v>
      </c>
      <c r="N17">
        <v>0</v>
      </c>
      <c r="O17" t="str">
        <f t="shared" si="0"/>
        <v>Good</v>
      </c>
      <c r="P17" t="str">
        <f t="shared" si="1"/>
        <v>Adult</v>
      </c>
      <c r="Q17" t="str">
        <f t="shared" si="2"/>
        <v>High Salary</v>
      </c>
    </row>
    <row r="18" spans="1:17" x14ac:dyDescent="0.25">
      <c r="A18">
        <v>22</v>
      </c>
      <c r="B18">
        <v>15597945</v>
      </c>
      <c r="C18" t="s">
        <v>40</v>
      </c>
      <c r="D18" t="s">
        <v>18</v>
      </c>
      <c r="E18" t="s">
        <v>16</v>
      </c>
      <c r="F18">
        <v>636</v>
      </c>
      <c r="G18">
        <v>32</v>
      </c>
      <c r="H18">
        <v>8</v>
      </c>
      <c r="I18">
        <v>0</v>
      </c>
      <c r="J18">
        <v>2</v>
      </c>
      <c r="K18">
        <v>1</v>
      </c>
      <c r="L18">
        <v>0</v>
      </c>
      <c r="M18">
        <v>98368.24</v>
      </c>
      <c r="N18">
        <v>0</v>
      </c>
      <c r="O18" t="str">
        <f t="shared" si="0"/>
        <v>Average</v>
      </c>
      <c r="P18" t="str">
        <f t="shared" si="1"/>
        <v>Adult</v>
      </c>
      <c r="Q18" t="str">
        <f t="shared" si="2"/>
        <v>High Salary</v>
      </c>
    </row>
    <row r="19" spans="1:17" x14ac:dyDescent="0.25">
      <c r="A19">
        <v>24</v>
      </c>
      <c r="B19">
        <v>15725737</v>
      </c>
      <c r="C19" t="s">
        <v>42</v>
      </c>
      <c r="D19" t="s">
        <v>15</v>
      </c>
      <c r="E19" t="s">
        <v>23</v>
      </c>
      <c r="F19">
        <v>669</v>
      </c>
      <c r="G19">
        <v>46</v>
      </c>
      <c r="H19">
        <v>3</v>
      </c>
      <c r="I19">
        <v>0</v>
      </c>
      <c r="J19">
        <v>2</v>
      </c>
      <c r="K19">
        <v>0</v>
      </c>
      <c r="L19">
        <v>1</v>
      </c>
      <c r="M19">
        <v>8487.75</v>
      </c>
      <c r="N19">
        <v>0</v>
      </c>
      <c r="O19" t="str">
        <f t="shared" si="0"/>
        <v>Average</v>
      </c>
      <c r="P19" t="str">
        <f t="shared" si="1"/>
        <v>Adult</v>
      </c>
      <c r="Q19" t="str">
        <f t="shared" si="2"/>
        <v>Low Salary</v>
      </c>
    </row>
    <row r="20" spans="1:17" x14ac:dyDescent="0.25">
      <c r="A20">
        <v>25</v>
      </c>
      <c r="B20">
        <v>15625047</v>
      </c>
      <c r="C20" t="s">
        <v>43</v>
      </c>
      <c r="D20" t="s">
        <v>15</v>
      </c>
      <c r="E20" t="s">
        <v>16</v>
      </c>
      <c r="F20">
        <v>846</v>
      </c>
      <c r="G20">
        <v>38</v>
      </c>
      <c r="H20">
        <v>5</v>
      </c>
      <c r="I20">
        <v>0</v>
      </c>
      <c r="J20">
        <v>1</v>
      </c>
      <c r="K20">
        <v>1</v>
      </c>
      <c r="L20">
        <v>1</v>
      </c>
      <c r="M20">
        <v>187616.16</v>
      </c>
      <c r="N20">
        <v>0</v>
      </c>
      <c r="O20" t="str">
        <f t="shared" si="0"/>
        <v>Good</v>
      </c>
      <c r="P20" t="str">
        <f t="shared" si="1"/>
        <v>Adult</v>
      </c>
      <c r="Q20" t="str">
        <f t="shared" si="2"/>
        <v>High Salary</v>
      </c>
    </row>
    <row r="21" spans="1:17" x14ac:dyDescent="0.25">
      <c r="A21">
        <v>26</v>
      </c>
      <c r="B21">
        <v>15738191</v>
      </c>
      <c r="C21" t="s">
        <v>44</v>
      </c>
      <c r="D21" t="s">
        <v>15</v>
      </c>
      <c r="E21" t="s">
        <v>23</v>
      </c>
      <c r="F21">
        <v>577</v>
      </c>
      <c r="G21">
        <v>25</v>
      </c>
      <c r="H21">
        <v>3</v>
      </c>
      <c r="I21">
        <v>0</v>
      </c>
      <c r="J21">
        <v>2</v>
      </c>
      <c r="K21">
        <v>0</v>
      </c>
      <c r="L21">
        <v>1</v>
      </c>
      <c r="M21">
        <v>124508.29</v>
      </c>
      <c r="N21">
        <v>0</v>
      </c>
      <c r="O21" t="str">
        <f t="shared" si="0"/>
        <v>Poor</v>
      </c>
      <c r="P21" t="str">
        <f t="shared" si="1"/>
        <v>Young Adult</v>
      </c>
      <c r="Q21" t="str">
        <f t="shared" si="2"/>
        <v>High Salary</v>
      </c>
    </row>
    <row r="22" spans="1:17" x14ac:dyDescent="0.25">
      <c r="A22">
        <v>27</v>
      </c>
      <c r="B22">
        <v>15736816</v>
      </c>
      <c r="C22" t="s">
        <v>45</v>
      </c>
      <c r="D22" t="s">
        <v>26</v>
      </c>
      <c r="E22" t="s">
        <v>23</v>
      </c>
      <c r="F22">
        <v>756</v>
      </c>
      <c r="G22">
        <v>36</v>
      </c>
      <c r="H22">
        <v>2</v>
      </c>
      <c r="I22">
        <v>136815.64000000001</v>
      </c>
      <c r="J22">
        <v>1</v>
      </c>
      <c r="K22">
        <v>1</v>
      </c>
      <c r="L22">
        <v>1</v>
      </c>
      <c r="M22">
        <v>170041.95</v>
      </c>
      <c r="N22">
        <v>0</v>
      </c>
      <c r="O22" t="str">
        <f t="shared" si="0"/>
        <v>Good</v>
      </c>
      <c r="P22" t="str">
        <f t="shared" si="1"/>
        <v>Adult</v>
      </c>
      <c r="Q22" t="str">
        <f t="shared" si="2"/>
        <v>High Salary</v>
      </c>
    </row>
    <row r="23" spans="1:17" x14ac:dyDescent="0.25">
      <c r="A23">
        <v>28</v>
      </c>
      <c r="B23">
        <v>15700772</v>
      </c>
      <c r="C23" t="s">
        <v>46</v>
      </c>
      <c r="D23" t="s">
        <v>15</v>
      </c>
      <c r="E23" t="s">
        <v>23</v>
      </c>
      <c r="F23">
        <v>571</v>
      </c>
      <c r="G23">
        <v>44</v>
      </c>
      <c r="H23">
        <v>9</v>
      </c>
      <c r="I23">
        <v>0</v>
      </c>
      <c r="J23">
        <v>2</v>
      </c>
      <c r="K23">
        <v>0</v>
      </c>
      <c r="L23">
        <v>0</v>
      </c>
      <c r="M23">
        <v>38433.35</v>
      </c>
      <c r="N23">
        <v>0</v>
      </c>
      <c r="O23" t="str">
        <f t="shared" si="0"/>
        <v>Poor</v>
      </c>
      <c r="P23" t="str">
        <f t="shared" si="1"/>
        <v>Adult</v>
      </c>
      <c r="Q23" t="str">
        <f t="shared" si="2"/>
        <v>Medium Salary</v>
      </c>
    </row>
    <row r="24" spans="1:17" x14ac:dyDescent="0.25">
      <c r="A24">
        <v>29</v>
      </c>
      <c r="B24">
        <v>15728693</v>
      </c>
      <c r="C24" t="s">
        <v>47</v>
      </c>
      <c r="D24" t="s">
        <v>26</v>
      </c>
      <c r="E24" t="s">
        <v>16</v>
      </c>
      <c r="F24">
        <v>574</v>
      </c>
      <c r="G24">
        <v>43</v>
      </c>
      <c r="H24">
        <v>3</v>
      </c>
      <c r="I24">
        <v>141349.43</v>
      </c>
      <c r="J24">
        <v>1</v>
      </c>
      <c r="K24">
        <v>1</v>
      </c>
      <c r="L24">
        <v>1</v>
      </c>
      <c r="M24">
        <v>100187.43</v>
      </c>
      <c r="N24">
        <v>0</v>
      </c>
      <c r="O24" t="str">
        <f t="shared" si="0"/>
        <v>Poor</v>
      </c>
      <c r="P24" t="str">
        <f t="shared" si="1"/>
        <v>Adult</v>
      </c>
      <c r="Q24" t="str">
        <f t="shared" si="2"/>
        <v>High Salary</v>
      </c>
    </row>
    <row r="25" spans="1:17" x14ac:dyDescent="0.25">
      <c r="A25">
        <v>30</v>
      </c>
      <c r="B25">
        <v>15656300</v>
      </c>
      <c r="C25" t="s">
        <v>48</v>
      </c>
      <c r="D25" t="s">
        <v>15</v>
      </c>
      <c r="E25" t="s">
        <v>23</v>
      </c>
      <c r="F25">
        <v>411</v>
      </c>
      <c r="G25">
        <v>29</v>
      </c>
      <c r="H25">
        <v>0</v>
      </c>
      <c r="I25">
        <v>59697.17</v>
      </c>
      <c r="J25">
        <v>2</v>
      </c>
      <c r="K25">
        <v>1</v>
      </c>
      <c r="L25">
        <v>1</v>
      </c>
      <c r="M25">
        <v>53483.21</v>
      </c>
      <c r="N25">
        <v>0</v>
      </c>
      <c r="O25" t="str">
        <f t="shared" si="0"/>
        <v>Poor</v>
      </c>
      <c r="P25" t="str">
        <f t="shared" si="1"/>
        <v>Young Adult</v>
      </c>
      <c r="Q25" t="str">
        <f t="shared" si="2"/>
        <v>Medium Salary</v>
      </c>
    </row>
    <row r="26" spans="1:17" x14ac:dyDescent="0.25">
      <c r="A26">
        <v>32</v>
      </c>
      <c r="B26">
        <v>15706552</v>
      </c>
      <c r="C26" t="s">
        <v>50</v>
      </c>
      <c r="D26" t="s">
        <v>15</v>
      </c>
      <c r="E26" t="s">
        <v>23</v>
      </c>
      <c r="F26">
        <v>533</v>
      </c>
      <c r="G26">
        <v>36</v>
      </c>
      <c r="H26">
        <v>7</v>
      </c>
      <c r="I26">
        <v>85311.7</v>
      </c>
      <c r="J26">
        <v>1</v>
      </c>
      <c r="K26">
        <v>0</v>
      </c>
      <c r="L26">
        <v>1</v>
      </c>
      <c r="M26">
        <v>156731.91</v>
      </c>
      <c r="N26">
        <v>0</v>
      </c>
      <c r="O26" t="str">
        <f t="shared" si="0"/>
        <v>Poor</v>
      </c>
      <c r="P26" t="str">
        <f t="shared" si="1"/>
        <v>Adult</v>
      </c>
      <c r="Q26" t="str">
        <f t="shared" si="2"/>
        <v>High Salary</v>
      </c>
    </row>
    <row r="27" spans="1:17" x14ac:dyDescent="0.25">
      <c r="A27">
        <v>33</v>
      </c>
      <c r="B27">
        <v>15750181</v>
      </c>
      <c r="C27" t="s">
        <v>51</v>
      </c>
      <c r="D27" t="s">
        <v>26</v>
      </c>
      <c r="E27" t="s">
        <v>23</v>
      </c>
      <c r="F27">
        <v>553</v>
      </c>
      <c r="G27">
        <v>41</v>
      </c>
      <c r="H27">
        <v>9</v>
      </c>
      <c r="I27">
        <v>110112.54</v>
      </c>
      <c r="J27">
        <v>2</v>
      </c>
      <c r="K27">
        <v>0</v>
      </c>
      <c r="L27">
        <v>0</v>
      </c>
      <c r="M27">
        <v>81898.81</v>
      </c>
      <c r="N27">
        <v>0</v>
      </c>
      <c r="O27" t="str">
        <f t="shared" si="0"/>
        <v>Poor</v>
      </c>
      <c r="P27" t="str">
        <f t="shared" si="1"/>
        <v>Adult</v>
      </c>
      <c r="Q27" t="str">
        <f t="shared" si="2"/>
        <v>High Salary</v>
      </c>
    </row>
    <row r="28" spans="1:17" x14ac:dyDescent="0.25">
      <c r="A28">
        <v>34</v>
      </c>
      <c r="B28">
        <v>15659428</v>
      </c>
      <c r="C28" t="s">
        <v>52</v>
      </c>
      <c r="D28" t="s">
        <v>18</v>
      </c>
      <c r="E28" t="s">
        <v>16</v>
      </c>
      <c r="F28">
        <v>520</v>
      </c>
      <c r="G28">
        <v>42</v>
      </c>
      <c r="H28">
        <v>6</v>
      </c>
      <c r="I28">
        <v>0</v>
      </c>
      <c r="J28">
        <v>2</v>
      </c>
      <c r="K28">
        <v>1</v>
      </c>
      <c r="L28">
        <v>1</v>
      </c>
      <c r="M28">
        <v>34410.550000000003</v>
      </c>
      <c r="N28">
        <v>0</v>
      </c>
      <c r="O28" t="str">
        <f t="shared" si="0"/>
        <v>Poor</v>
      </c>
      <c r="P28" t="str">
        <f t="shared" si="1"/>
        <v>Adult</v>
      </c>
      <c r="Q28" t="str">
        <f t="shared" si="2"/>
        <v>Medium Salary</v>
      </c>
    </row>
    <row r="29" spans="1:17" x14ac:dyDescent="0.25">
      <c r="A29">
        <v>35</v>
      </c>
      <c r="B29">
        <v>15732963</v>
      </c>
      <c r="C29" t="s">
        <v>53</v>
      </c>
      <c r="D29" t="s">
        <v>18</v>
      </c>
      <c r="E29" t="s">
        <v>16</v>
      </c>
      <c r="F29">
        <v>722</v>
      </c>
      <c r="G29">
        <v>29</v>
      </c>
      <c r="H29">
        <v>9</v>
      </c>
      <c r="I29">
        <v>0</v>
      </c>
      <c r="J29">
        <v>2</v>
      </c>
      <c r="K29">
        <v>1</v>
      </c>
      <c r="L29">
        <v>1</v>
      </c>
      <c r="M29">
        <v>142033.07</v>
      </c>
      <c r="N29">
        <v>0</v>
      </c>
      <c r="O29" t="str">
        <f t="shared" si="0"/>
        <v>Good</v>
      </c>
      <c r="P29" t="str">
        <f t="shared" si="1"/>
        <v>Young Adult</v>
      </c>
      <c r="Q29" t="str">
        <f t="shared" si="2"/>
        <v>High Salary</v>
      </c>
    </row>
    <row r="30" spans="1:17" x14ac:dyDescent="0.25">
      <c r="A30">
        <v>37</v>
      </c>
      <c r="B30">
        <v>15788448</v>
      </c>
      <c r="C30" t="s">
        <v>55</v>
      </c>
      <c r="D30" t="s">
        <v>18</v>
      </c>
      <c r="E30" t="s">
        <v>23</v>
      </c>
      <c r="F30">
        <v>490</v>
      </c>
      <c r="G30">
        <v>31</v>
      </c>
      <c r="H30">
        <v>3</v>
      </c>
      <c r="I30">
        <v>145260.23000000001</v>
      </c>
      <c r="J30">
        <v>1</v>
      </c>
      <c r="K30">
        <v>0</v>
      </c>
      <c r="L30">
        <v>1</v>
      </c>
      <c r="M30">
        <v>114066.77</v>
      </c>
      <c r="N30">
        <v>0</v>
      </c>
      <c r="O30" t="str">
        <f t="shared" si="0"/>
        <v>Poor</v>
      </c>
      <c r="P30" t="str">
        <f t="shared" si="1"/>
        <v>Adult</v>
      </c>
      <c r="Q30" t="str">
        <f t="shared" si="2"/>
        <v>High Salary</v>
      </c>
    </row>
    <row r="31" spans="1:17" x14ac:dyDescent="0.25">
      <c r="A31">
        <v>38</v>
      </c>
      <c r="B31">
        <v>15729599</v>
      </c>
      <c r="C31" t="s">
        <v>56</v>
      </c>
      <c r="D31" t="s">
        <v>18</v>
      </c>
      <c r="E31" t="s">
        <v>23</v>
      </c>
      <c r="F31">
        <v>804</v>
      </c>
      <c r="G31">
        <v>33</v>
      </c>
      <c r="H31">
        <v>7</v>
      </c>
      <c r="I31">
        <v>76548.600000000006</v>
      </c>
      <c r="J31">
        <v>1</v>
      </c>
      <c r="K31">
        <v>0</v>
      </c>
      <c r="L31">
        <v>1</v>
      </c>
      <c r="M31">
        <v>98453.45</v>
      </c>
      <c r="N31">
        <v>0</v>
      </c>
      <c r="O31" t="str">
        <f t="shared" si="0"/>
        <v>Good</v>
      </c>
      <c r="P31" t="str">
        <f t="shared" si="1"/>
        <v>Adult</v>
      </c>
      <c r="Q31" t="str">
        <f t="shared" si="2"/>
        <v>High Salary</v>
      </c>
    </row>
    <row r="32" spans="1:17" x14ac:dyDescent="0.25">
      <c r="A32">
        <v>39</v>
      </c>
      <c r="B32">
        <v>15717426</v>
      </c>
      <c r="C32" t="s">
        <v>57</v>
      </c>
      <c r="D32" t="s">
        <v>15</v>
      </c>
      <c r="E32" t="s">
        <v>23</v>
      </c>
      <c r="F32">
        <v>850</v>
      </c>
      <c r="G32">
        <v>36</v>
      </c>
      <c r="H32">
        <v>7</v>
      </c>
      <c r="I32">
        <v>0</v>
      </c>
      <c r="J32">
        <v>1</v>
      </c>
      <c r="K32">
        <v>1</v>
      </c>
      <c r="L32">
        <v>1</v>
      </c>
      <c r="M32">
        <v>40812.9</v>
      </c>
      <c r="N32">
        <v>0</v>
      </c>
      <c r="O32" t="str">
        <f t="shared" si="0"/>
        <v>Good</v>
      </c>
      <c r="P32" t="str">
        <f t="shared" si="1"/>
        <v>Adult</v>
      </c>
      <c r="Q32" t="str">
        <f t="shared" si="2"/>
        <v>Medium Salary</v>
      </c>
    </row>
    <row r="33" spans="1:17" x14ac:dyDescent="0.25">
      <c r="A33">
        <v>40</v>
      </c>
      <c r="B33">
        <v>15585768</v>
      </c>
      <c r="C33" t="s">
        <v>58</v>
      </c>
      <c r="D33" t="s">
        <v>26</v>
      </c>
      <c r="E33" t="s">
        <v>23</v>
      </c>
      <c r="F33">
        <v>582</v>
      </c>
      <c r="G33">
        <v>41</v>
      </c>
      <c r="H33">
        <v>6</v>
      </c>
      <c r="I33">
        <v>70349.48</v>
      </c>
      <c r="J33">
        <v>2</v>
      </c>
      <c r="K33">
        <v>0</v>
      </c>
      <c r="L33">
        <v>1</v>
      </c>
      <c r="M33">
        <v>178074.04</v>
      </c>
      <c r="N33">
        <v>0</v>
      </c>
      <c r="O33" t="str">
        <f t="shared" si="0"/>
        <v>Average</v>
      </c>
      <c r="P33" t="str">
        <f t="shared" si="1"/>
        <v>Adult</v>
      </c>
      <c r="Q33" t="str">
        <f t="shared" si="2"/>
        <v>High Salary</v>
      </c>
    </row>
    <row r="34" spans="1:17" x14ac:dyDescent="0.25">
      <c r="A34">
        <v>41</v>
      </c>
      <c r="B34">
        <v>15619360</v>
      </c>
      <c r="C34" t="s">
        <v>59</v>
      </c>
      <c r="D34" t="s">
        <v>18</v>
      </c>
      <c r="E34" t="s">
        <v>23</v>
      </c>
      <c r="F34">
        <v>472</v>
      </c>
      <c r="G34">
        <v>40</v>
      </c>
      <c r="H34">
        <v>4</v>
      </c>
      <c r="I34">
        <v>0</v>
      </c>
      <c r="J34">
        <v>1</v>
      </c>
      <c r="K34">
        <v>1</v>
      </c>
      <c r="L34">
        <v>0</v>
      </c>
      <c r="M34">
        <v>70154.22</v>
      </c>
      <c r="N34">
        <v>0</v>
      </c>
      <c r="O34" t="str">
        <f t="shared" si="0"/>
        <v>Poor</v>
      </c>
      <c r="P34" t="str">
        <f t="shared" si="1"/>
        <v>Adult</v>
      </c>
      <c r="Q34" t="str">
        <f t="shared" si="2"/>
        <v>High Salary</v>
      </c>
    </row>
    <row r="35" spans="1:17" x14ac:dyDescent="0.25">
      <c r="A35">
        <v>43</v>
      </c>
      <c r="B35">
        <v>15687946</v>
      </c>
      <c r="C35" t="s">
        <v>61</v>
      </c>
      <c r="D35" t="s">
        <v>15</v>
      </c>
      <c r="E35" t="s">
        <v>16</v>
      </c>
      <c r="F35">
        <v>556</v>
      </c>
      <c r="G35">
        <v>61</v>
      </c>
      <c r="H35">
        <v>2</v>
      </c>
      <c r="I35">
        <v>117419.35</v>
      </c>
      <c r="J35">
        <v>1</v>
      </c>
      <c r="K35">
        <v>1</v>
      </c>
      <c r="L35">
        <v>1</v>
      </c>
      <c r="M35">
        <v>94153.83</v>
      </c>
      <c r="N35">
        <v>0</v>
      </c>
      <c r="O35" t="str">
        <f t="shared" si="0"/>
        <v>Poor</v>
      </c>
      <c r="P35" t="str">
        <f t="shared" si="1"/>
        <v>Senior</v>
      </c>
      <c r="Q35" t="str">
        <f t="shared" si="2"/>
        <v>High Salary</v>
      </c>
    </row>
    <row r="36" spans="1:17" x14ac:dyDescent="0.25">
      <c r="A36">
        <v>45</v>
      </c>
      <c r="B36">
        <v>15684171</v>
      </c>
      <c r="C36" t="s">
        <v>63</v>
      </c>
      <c r="D36" t="s">
        <v>18</v>
      </c>
      <c r="E36" t="s">
        <v>16</v>
      </c>
      <c r="F36">
        <v>660</v>
      </c>
      <c r="G36">
        <v>61</v>
      </c>
      <c r="H36">
        <v>5</v>
      </c>
      <c r="I36">
        <v>155931.10999999999</v>
      </c>
      <c r="J36">
        <v>1</v>
      </c>
      <c r="K36">
        <v>1</v>
      </c>
      <c r="L36">
        <v>1</v>
      </c>
      <c r="M36">
        <v>158338.39000000001</v>
      </c>
      <c r="N36">
        <v>0</v>
      </c>
      <c r="O36" t="str">
        <f t="shared" si="0"/>
        <v>Average</v>
      </c>
      <c r="P36" t="str">
        <f t="shared" si="1"/>
        <v>Senior</v>
      </c>
      <c r="Q36" t="str">
        <f t="shared" si="2"/>
        <v>High Salary</v>
      </c>
    </row>
    <row r="37" spans="1:17" x14ac:dyDescent="0.25">
      <c r="A37">
        <v>46</v>
      </c>
      <c r="B37">
        <v>15754849</v>
      </c>
      <c r="C37" t="s">
        <v>64</v>
      </c>
      <c r="D37" t="s">
        <v>26</v>
      </c>
      <c r="E37" t="s">
        <v>16</v>
      </c>
      <c r="F37">
        <v>776</v>
      </c>
      <c r="G37">
        <v>32</v>
      </c>
      <c r="H37">
        <v>4</v>
      </c>
      <c r="I37">
        <v>109421.13</v>
      </c>
      <c r="J37">
        <v>2</v>
      </c>
      <c r="K37">
        <v>1</v>
      </c>
      <c r="L37">
        <v>1</v>
      </c>
      <c r="M37">
        <v>126517.46</v>
      </c>
      <c r="N37">
        <v>0</v>
      </c>
      <c r="O37" t="str">
        <f t="shared" si="0"/>
        <v>Good</v>
      </c>
      <c r="P37" t="str">
        <f t="shared" si="1"/>
        <v>Adult</v>
      </c>
      <c r="Q37" t="str">
        <f t="shared" si="2"/>
        <v>High Salary</v>
      </c>
    </row>
    <row r="38" spans="1:17" x14ac:dyDescent="0.25">
      <c r="A38">
        <v>49</v>
      </c>
      <c r="B38">
        <v>15766205</v>
      </c>
      <c r="C38" t="s">
        <v>67</v>
      </c>
      <c r="D38" t="s">
        <v>26</v>
      </c>
      <c r="E38" t="s">
        <v>23</v>
      </c>
      <c r="F38">
        <v>550</v>
      </c>
      <c r="G38">
        <v>38</v>
      </c>
      <c r="H38">
        <v>2</v>
      </c>
      <c r="I38">
        <v>103391.38</v>
      </c>
      <c r="J38">
        <v>1</v>
      </c>
      <c r="K38">
        <v>0</v>
      </c>
      <c r="L38">
        <v>1</v>
      </c>
      <c r="M38">
        <v>90878.13</v>
      </c>
      <c r="N38">
        <v>0</v>
      </c>
      <c r="O38" t="str">
        <f t="shared" si="0"/>
        <v>Poor</v>
      </c>
      <c r="P38" t="str">
        <f t="shared" si="1"/>
        <v>Adult</v>
      </c>
      <c r="Q38" t="str">
        <f t="shared" si="2"/>
        <v>High Salary</v>
      </c>
    </row>
    <row r="39" spans="1:17" x14ac:dyDescent="0.25">
      <c r="A39">
        <v>50</v>
      </c>
      <c r="B39">
        <v>15771873</v>
      </c>
      <c r="C39" t="s">
        <v>68</v>
      </c>
      <c r="D39" t="s">
        <v>26</v>
      </c>
      <c r="E39" t="s">
        <v>16</v>
      </c>
      <c r="F39">
        <v>776</v>
      </c>
      <c r="G39">
        <v>37</v>
      </c>
      <c r="H39">
        <v>2</v>
      </c>
      <c r="I39">
        <v>103769.22</v>
      </c>
      <c r="J39">
        <v>2</v>
      </c>
      <c r="K39">
        <v>1</v>
      </c>
      <c r="L39">
        <v>0</v>
      </c>
      <c r="M39">
        <v>194099.12</v>
      </c>
      <c r="N39">
        <v>0</v>
      </c>
      <c r="O39" t="str">
        <f t="shared" si="0"/>
        <v>Good</v>
      </c>
      <c r="P39" t="str">
        <f t="shared" si="1"/>
        <v>Adult</v>
      </c>
      <c r="Q39" t="str">
        <f t="shared" si="2"/>
        <v>High Salary</v>
      </c>
    </row>
    <row r="40" spans="1:17" x14ac:dyDescent="0.25">
      <c r="A40">
        <v>51</v>
      </c>
      <c r="B40">
        <v>15616550</v>
      </c>
      <c r="C40" t="s">
        <v>69</v>
      </c>
      <c r="D40" t="s">
        <v>26</v>
      </c>
      <c r="E40" t="s">
        <v>23</v>
      </c>
      <c r="F40">
        <v>698</v>
      </c>
      <c r="G40">
        <v>44</v>
      </c>
      <c r="H40">
        <v>10</v>
      </c>
      <c r="I40">
        <v>116363.37</v>
      </c>
      <c r="J40">
        <v>2</v>
      </c>
      <c r="K40">
        <v>1</v>
      </c>
      <c r="L40">
        <v>0</v>
      </c>
      <c r="M40">
        <v>198059.16</v>
      </c>
      <c r="N40">
        <v>0</v>
      </c>
      <c r="O40" t="str">
        <f t="shared" si="0"/>
        <v>Good</v>
      </c>
      <c r="P40" t="str">
        <f t="shared" si="1"/>
        <v>Adult</v>
      </c>
      <c r="Q40" t="str">
        <f t="shared" si="2"/>
        <v>High Salary</v>
      </c>
    </row>
    <row r="41" spans="1:17" x14ac:dyDescent="0.25">
      <c r="A41">
        <v>52</v>
      </c>
      <c r="B41">
        <v>15768193</v>
      </c>
      <c r="C41" t="s">
        <v>70</v>
      </c>
      <c r="D41" t="s">
        <v>26</v>
      </c>
      <c r="E41" t="s">
        <v>23</v>
      </c>
      <c r="F41">
        <v>585</v>
      </c>
      <c r="G41">
        <v>36</v>
      </c>
      <c r="H41">
        <v>5</v>
      </c>
      <c r="I41">
        <v>146050.97</v>
      </c>
      <c r="J41">
        <v>2</v>
      </c>
      <c r="K41">
        <v>0</v>
      </c>
      <c r="L41">
        <v>0</v>
      </c>
      <c r="M41">
        <v>86424.57</v>
      </c>
      <c r="N41">
        <v>0</v>
      </c>
      <c r="O41" t="str">
        <f t="shared" si="0"/>
        <v>Average</v>
      </c>
      <c r="P41" t="str">
        <f t="shared" si="1"/>
        <v>Adult</v>
      </c>
      <c r="Q41" t="str">
        <f t="shared" si="2"/>
        <v>High Salary</v>
      </c>
    </row>
    <row r="42" spans="1:17" x14ac:dyDescent="0.25">
      <c r="A42">
        <v>53</v>
      </c>
      <c r="B42">
        <v>15683553</v>
      </c>
      <c r="C42" t="s">
        <v>71</v>
      </c>
      <c r="D42" t="s">
        <v>15</v>
      </c>
      <c r="E42" t="s">
        <v>16</v>
      </c>
      <c r="F42">
        <v>788</v>
      </c>
      <c r="G42">
        <v>33</v>
      </c>
      <c r="H42">
        <v>5</v>
      </c>
      <c r="I42">
        <v>0</v>
      </c>
      <c r="J42">
        <v>2</v>
      </c>
      <c r="K42">
        <v>0</v>
      </c>
      <c r="L42">
        <v>0</v>
      </c>
      <c r="M42">
        <v>116978.19</v>
      </c>
      <c r="N42">
        <v>0</v>
      </c>
      <c r="O42" t="str">
        <f t="shared" si="0"/>
        <v>Good</v>
      </c>
      <c r="P42" t="str">
        <f t="shared" si="1"/>
        <v>Adult</v>
      </c>
      <c r="Q42" t="str">
        <f t="shared" si="2"/>
        <v>High Salary</v>
      </c>
    </row>
    <row r="43" spans="1:17" x14ac:dyDescent="0.25">
      <c r="A43">
        <v>56</v>
      </c>
      <c r="B43">
        <v>15760861</v>
      </c>
      <c r="C43" t="s">
        <v>74</v>
      </c>
      <c r="D43" t="s">
        <v>15</v>
      </c>
      <c r="E43" t="s">
        <v>23</v>
      </c>
      <c r="F43">
        <v>619</v>
      </c>
      <c r="G43">
        <v>43</v>
      </c>
      <c r="H43">
        <v>1</v>
      </c>
      <c r="I43">
        <v>125211.92</v>
      </c>
      <c r="J43">
        <v>1</v>
      </c>
      <c r="K43">
        <v>1</v>
      </c>
      <c r="L43">
        <v>1</v>
      </c>
      <c r="M43">
        <v>113410.49</v>
      </c>
      <c r="N43">
        <v>0</v>
      </c>
      <c r="O43" t="str">
        <f t="shared" si="0"/>
        <v>Average</v>
      </c>
      <c r="P43" t="str">
        <f t="shared" si="1"/>
        <v>Adult</v>
      </c>
      <c r="Q43" t="str">
        <f t="shared" si="2"/>
        <v>High Salary</v>
      </c>
    </row>
    <row r="44" spans="1:17" x14ac:dyDescent="0.25">
      <c r="A44">
        <v>57</v>
      </c>
      <c r="B44">
        <v>15630053</v>
      </c>
      <c r="C44" t="s">
        <v>75</v>
      </c>
      <c r="D44" t="s">
        <v>15</v>
      </c>
      <c r="E44" t="s">
        <v>23</v>
      </c>
      <c r="F44">
        <v>656</v>
      </c>
      <c r="G44">
        <v>45</v>
      </c>
      <c r="H44">
        <v>5</v>
      </c>
      <c r="I44">
        <v>127864.4</v>
      </c>
      <c r="J44">
        <v>1</v>
      </c>
      <c r="K44">
        <v>1</v>
      </c>
      <c r="L44">
        <v>0</v>
      </c>
      <c r="M44">
        <v>87107.57</v>
      </c>
      <c r="N44">
        <v>0</v>
      </c>
      <c r="O44" t="str">
        <f t="shared" si="0"/>
        <v>Average</v>
      </c>
      <c r="P44" t="str">
        <f t="shared" si="1"/>
        <v>Adult</v>
      </c>
      <c r="Q44" t="str">
        <f t="shared" si="2"/>
        <v>High Salary</v>
      </c>
    </row>
    <row r="45" spans="1:17" x14ac:dyDescent="0.25">
      <c r="A45">
        <v>58</v>
      </c>
      <c r="B45">
        <v>15647091</v>
      </c>
      <c r="C45" t="s">
        <v>76</v>
      </c>
      <c r="D45" t="s">
        <v>26</v>
      </c>
      <c r="E45" t="s">
        <v>23</v>
      </c>
      <c r="F45">
        <v>725</v>
      </c>
      <c r="G45">
        <v>19</v>
      </c>
      <c r="H45">
        <v>0</v>
      </c>
      <c r="I45">
        <v>75888.2</v>
      </c>
      <c r="J45">
        <v>1</v>
      </c>
      <c r="K45">
        <v>0</v>
      </c>
      <c r="L45">
        <v>0</v>
      </c>
      <c r="M45">
        <v>45613.75</v>
      </c>
      <c r="N45">
        <v>0</v>
      </c>
      <c r="O45" t="str">
        <f t="shared" si="0"/>
        <v>Good</v>
      </c>
      <c r="P45" t="str">
        <f t="shared" si="1"/>
        <v>Young Adult</v>
      </c>
      <c r="Q45" t="str">
        <f t="shared" si="2"/>
        <v>Medium Salary</v>
      </c>
    </row>
    <row r="46" spans="1:17" x14ac:dyDescent="0.25">
      <c r="A46">
        <v>60</v>
      </c>
      <c r="B46">
        <v>15804771</v>
      </c>
      <c r="C46" t="s">
        <v>78</v>
      </c>
      <c r="D46" t="s">
        <v>15</v>
      </c>
      <c r="E46" t="s">
        <v>23</v>
      </c>
      <c r="F46">
        <v>614</v>
      </c>
      <c r="G46">
        <v>51</v>
      </c>
      <c r="H46">
        <v>4</v>
      </c>
      <c r="I46">
        <v>40685.919999999998</v>
      </c>
      <c r="J46">
        <v>1</v>
      </c>
      <c r="K46">
        <v>1</v>
      </c>
      <c r="L46">
        <v>1</v>
      </c>
      <c r="M46">
        <v>46775.28</v>
      </c>
      <c r="N46">
        <v>0</v>
      </c>
      <c r="O46" t="str">
        <f t="shared" si="0"/>
        <v>Average</v>
      </c>
      <c r="P46" t="str">
        <f t="shared" si="1"/>
        <v>Adult</v>
      </c>
      <c r="Q46" t="str">
        <f t="shared" si="2"/>
        <v>Medium Salary</v>
      </c>
    </row>
    <row r="47" spans="1:17" x14ac:dyDescent="0.25">
      <c r="A47">
        <v>61</v>
      </c>
      <c r="B47">
        <v>15651280</v>
      </c>
      <c r="C47" t="s">
        <v>79</v>
      </c>
      <c r="D47" t="s">
        <v>26</v>
      </c>
      <c r="E47" t="s">
        <v>23</v>
      </c>
      <c r="F47">
        <v>742</v>
      </c>
      <c r="G47">
        <v>35</v>
      </c>
      <c r="H47">
        <v>5</v>
      </c>
      <c r="I47">
        <v>136857</v>
      </c>
      <c r="J47">
        <v>1</v>
      </c>
      <c r="K47">
        <v>0</v>
      </c>
      <c r="L47">
        <v>0</v>
      </c>
      <c r="M47">
        <v>84509.57</v>
      </c>
      <c r="N47">
        <v>0</v>
      </c>
      <c r="O47" t="str">
        <f t="shared" si="0"/>
        <v>Good</v>
      </c>
      <c r="P47" t="str">
        <f t="shared" si="1"/>
        <v>Adult</v>
      </c>
      <c r="Q47" t="str">
        <f t="shared" si="2"/>
        <v>High Salary</v>
      </c>
    </row>
    <row r="48" spans="1:17" x14ac:dyDescent="0.25">
      <c r="A48">
        <v>62</v>
      </c>
      <c r="B48">
        <v>15773469</v>
      </c>
      <c r="C48" t="s">
        <v>80</v>
      </c>
      <c r="D48" t="s">
        <v>26</v>
      </c>
      <c r="E48" t="s">
        <v>16</v>
      </c>
      <c r="F48">
        <v>687</v>
      </c>
      <c r="G48">
        <v>27</v>
      </c>
      <c r="H48">
        <v>9</v>
      </c>
      <c r="I48">
        <v>152328.88</v>
      </c>
      <c r="J48">
        <v>2</v>
      </c>
      <c r="K48">
        <v>0</v>
      </c>
      <c r="L48">
        <v>0</v>
      </c>
      <c r="M48">
        <v>126494.82</v>
      </c>
      <c r="N48">
        <v>0</v>
      </c>
      <c r="O48" t="str">
        <f t="shared" si="0"/>
        <v>Good</v>
      </c>
      <c r="P48" t="str">
        <f t="shared" si="1"/>
        <v>Young Adult</v>
      </c>
      <c r="Q48" t="str">
        <f t="shared" si="2"/>
        <v>High Salary</v>
      </c>
    </row>
    <row r="49" spans="1:19" x14ac:dyDescent="0.25">
      <c r="A49">
        <v>63</v>
      </c>
      <c r="B49">
        <v>15702014</v>
      </c>
      <c r="C49" t="s">
        <v>81</v>
      </c>
      <c r="D49" t="s">
        <v>18</v>
      </c>
      <c r="E49" t="s">
        <v>23</v>
      </c>
      <c r="F49">
        <v>555</v>
      </c>
      <c r="G49">
        <v>33</v>
      </c>
      <c r="H49">
        <v>1</v>
      </c>
      <c r="I49">
        <v>56084.69</v>
      </c>
      <c r="J49">
        <v>2</v>
      </c>
      <c r="K49">
        <v>0</v>
      </c>
      <c r="L49">
        <v>0</v>
      </c>
      <c r="M49">
        <v>178798.13</v>
      </c>
      <c r="N49">
        <v>0</v>
      </c>
      <c r="O49" t="str">
        <f t="shared" si="0"/>
        <v>Poor</v>
      </c>
      <c r="P49" t="str">
        <f t="shared" si="1"/>
        <v>Adult</v>
      </c>
      <c r="Q49" t="str">
        <f t="shared" si="2"/>
        <v>High Salary</v>
      </c>
    </row>
    <row r="50" spans="1:19" x14ac:dyDescent="0.25">
      <c r="A50">
        <v>64</v>
      </c>
      <c r="B50">
        <v>15751208</v>
      </c>
      <c r="C50" t="s">
        <v>82</v>
      </c>
      <c r="D50" t="s">
        <v>18</v>
      </c>
      <c r="E50" t="s">
        <v>23</v>
      </c>
      <c r="F50">
        <v>684</v>
      </c>
      <c r="G50">
        <v>56</v>
      </c>
      <c r="H50">
        <v>8</v>
      </c>
      <c r="I50">
        <v>78707.16</v>
      </c>
      <c r="J50">
        <v>1</v>
      </c>
      <c r="K50">
        <v>1</v>
      </c>
      <c r="L50">
        <v>1</v>
      </c>
      <c r="M50">
        <v>99398.36</v>
      </c>
      <c r="N50">
        <v>0</v>
      </c>
      <c r="O50" t="str">
        <f t="shared" si="0"/>
        <v>Good</v>
      </c>
      <c r="P50" t="str">
        <f t="shared" si="1"/>
        <v>Adult</v>
      </c>
      <c r="Q50" t="str">
        <f t="shared" si="2"/>
        <v>High Salary</v>
      </c>
    </row>
    <row r="51" spans="1:19" x14ac:dyDescent="0.25">
      <c r="A51">
        <v>65</v>
      </c>
      <c r="B51">
        <v>15592461</v>
      </c>
      <c r="C51" t="s">
        <v>83</v>
      </c>
      <c r="D51" t="s">
        <v>26</v>
      </c>
      <c r="E51" t="s">
        <v>23</v>
      </c>
      <c r="F51">
        <v>603</v>
      </c>
      <c r="G51">
        <v>26</v>
      </c>
      <c r="H51">
        <v>4</v>
      </c>
      <c r="I51">
        <v>109166.37</v>
      </c>
      <c r="J51">
        <v>1</v>
      </c>
      <c r="K51">
        <v>1</v>
      </c>
      <c r="L51">
        <v>1</v>
      </c>
      <c r="M51">
        <v>92840.67</v>
      </c>
      <c r="N51">
        <v>0</v>
      </c>
      <c r="O51" t="str">
        <f t="shared" si="0"/>
        <v>Average</v>
      </c>
      <c r="P51" t="str">
        <f t="shared" si="1"/>
        <v>Young Adult</v>
      </c>
      <c r="Q51" t="str">
        <f t="shared" si="2"/>
        <v>High Salary</v>
      </c>
      <c r="S51" s="76"/>
    </row>
    <row r="52" spans="1:19" x14ac:dyDescent="0.25">
      <c r="A52">
        <v>66</v>
      </c>
      <c r="B52">
        <v>15789484</v>
      </c>
      <c r="C52" t="s">
        <v>84</v>
      </c>
      <c r="D52" t="s">
        <v>26</v>
      </c>
      <c r="E52" t="s">
        <v>16</v>
      </c>
      <c r="F52">
        <v>751</v>
      </c>
      <c r="G52">
        <v>36</v>
      </c>
      <c r="H52">
        <v>6</v>
      </c>
      <c r="I52">
        <v>169831.46</v>
      </c>
      <c r="J52">
        <v>2</v>
      </c>
      <c r="K52">
        <v>1</v>
      </c>
      <c r="L52">
        <v>1</v>
      </c>
      <c r="M52">
        <v>27758.36</v>
      </c>
      <c r="N52">
        <v>0</v>
      </c>
      <c r="O52" t="str">
        <f t="shared" si="0"/>
        <v>Good</v>
      </c>
      <c r="P52" t="str">
        <f t="shared" si="1"/>
        <v>Adult</v>
      </c>
      <c r="Q52" t="str">
        <f t="shared" si="2"/>
        <v>Low Salary</v>
      </c>
    </row>
    <row r="53" spans="1:19" x14ac:dyDescent="0.25">
      <c r="A53">
        <v>67</v>
      </c>
      <c r="B53">
        <v>15696061</v>
      </c>
      <c r="C53" t="s">
        <v>85</v>
      </c>
      <c r="D53" t="s">
        <v>26</v>
      </c>
      <c r="E53" t="s">
        <v>16</v>
      </c>
      <c r="F53">
        <v>581</v>
      </c>
      <c r="G53">
        <v>34</v>
      </c>
      <c r="H53">
        <v>1</v>
      </c>
      <c r="I53">
        <v>101633.04</v>
      </c>
      <c r="J53">
        <v>1</v>
      </c>
      <c r="K53">
        <v>1</v>
      </c>
      <c r="L53">
        <v>0</v>
      </c>
      <c r="M53">
        <v>110431.51</v>
      </c>
      <c r="N53">
        <v>0</v>
      </c>
      <c r="O53" t="str">
        <f t="shared" si="0"/>
        <v>Average</v>
      </c>
      <c r="P53" t="str">
        <f t="shared" si="1"/>
        <v>Adult</v>
      </c>
      <c r="Q53" t="str">
        <f t="shared" si="2"/>
        <v>High Salary</v>
      </c>
    </row>
    <row r="54" spans="1:19" x14ac:dyDescent="0.25">
      <c r="A54">
        <v>68</v>
      </c>
      <c r="B54">
        <v>15641582</v>
      </c>
      <c r="C54" t="s">
        <v>86</v>
      </c>
      <c r="D54" t="s">
        <v>26</v>
      </c>
      <c r="E54" t="s">
        <v>23</v>
      </c>
      <c r="F54">
        <v>735</v>
      </c>
      <c r="G54">
        <v>43</v>
      </c>
      <c r="H54">
        <v>10</v>
      </c>
      <c r="I54">
        <v>123180.01</v>
      </c>
      <c r="J54">
        <v>2</v>
      </c>
      <c r="K54">
        <v>1</v>
      </c>
      <c r="L54">
        <v>1</v>
      </c>
      <c r="M54">
        <v>196673.28</v>
      </c>
      <c r="N54">
        <v>0</v>
      </c>
      <c r="O54" t="str">
        <f t="shared" si="0"/>
        <v>Good</v>
      </c>
      <c r="P54" t="str">
        <f t="shared" si="1"/>
        <v>Adult</v>
      </c>
      <c r="Q54" t="str">
        <f t="shared" si="2"/>
        <v>High Salary</v>
      </c>
    </row>
    <row r="55" spans="1:19" x14ac:dyDescent="0.25">
      <c r="A55">
        <v>69</v>
      </c>
      <c r="B55">
        <v>15638424</v>
      </c>
      <c r="C55" t="s">
        <v>87</v>
      </c>
      <c r="D55" t="s">
        <v>26</v>
      </c>
      <c r="E55" t="s">
        <v>16</v>
      </c>
      <c r="F55">
        <v>661</v>
      </c>
      <c r="G55">
        <v>35</v>
      </c>
      <c r="H55">
        <v>5</v>
      </c>
      <c r="I55">
        <v>150725.53</v>
      </c>
      <c r="J55">
        <v>2</v>
      </c>
      <c r="K55">
        <v>0</v>
      </c>
      <c r="L55">
        <v>1</v>
      </c>
      <c r="M55">
        <v>113656.85</v>
      </c>
      <c r="N55">
        <v>0</v>
      </c>
      <c r="O55" t="str">
        <f t="shared" si="0"/>
        <v>Average</v>
      </c>
      <c r="P55" t="str">
        <f t="shared" si="1"/>
        <v>Adult</v>
      </c>
      <c r="Q55" t="str">
        <f t="shared" si="2"/>
        <v>High Salary</v>
      </c>
    </row>
    <row r="56" spans="1:19" x14ac:dyDescent="0.25">
      <c r="A56">
        <v>70</v>
      </c>
      <c r="B56">
        <v>15755648</v>
      </c>
      <c r="C56" t="s">
        <v>88</v>
      </c>
      <c r="D56" t="s">
        <v>15</v>
      </c>
      <c r="E56" t="s">
        <v>16</v>
      </c>
      <c r="F56">
        <v>675</v>
      </c>
      <c r="G56">
        <v>21</v>
      </c>
      <c r="H56">
        <v>8</v>
      </c>
      <c r="I56">
        <v>98373.26</v>
      </c>
      <c r="J56">
        <v>1</v>
      </c>
      <c r="K56">
        <v>1</v>
      </c>
      <c r="L56">
        <v>0</v>
      </c>
      <c r="M56">
        <v>18203</v>
      </c>
      <c r="N56">
        <v>0</v>
      </c>
      <c r="O56" t="str">
        <f t="shared" si="0"/>
        <v>Good</v>
      </c>
      <c r="P56" t="str">
        <f t="shared" si="1"/>
        <v>Young Adult</v>
      </c>
      <c r="Q56" t="str">
        <f t="shared" si="2"/>
        <v>Low Salary</v>
      </c>
    </row>
    <row r="57" spans="1:19" x14ac:dyDescent="0.25">
      <c r="A57">
        <v>72</v>
      </c>
      <c r="B57">
        <v>15620344</v>
      </c>
      <c r="C57" t="s">
        <v>90</v>
      </c>
      <c r="D57" t="s">
        <v>15</v>
      </c>
      <c r="E57" t="s">
        <v>23</v>
      </c>
      <c r="F57">
        <v>813</v>
      </c>
      <c r="G57">
        <v>29</v>
      </c>
      <c r="H57">
        <v>6</v>
      </c>
      <c r="I57">
        <v>0</v>
      </c>
      <c r="J57">
        <v>1</v>
      </c>
      <c r="K57">
        <v>1</v>
      </c>
      <c r="L57">
        <v>0</v>
      </c>
      <c r="M57">
        <v>33953.870000000003</v>
      </c>
      <c r="N57">
        <v>0</v>
      </c>
      <c r="O57" t="str">
        <f t="shared" si="0"/>
        <v>Good</v>
      </c>
      <c r="P57" t="str">
        <f t="shared" si="1"/>
        <v>Young Adult</v>
      </c>
      <c r="Q57" t="str">
        <f t="shared" si="2"/>
        <v>Medium Salary</v>
      </c>
    </row>
    <row r="58" spans="1:19" x14ac:dyDescent="0.25">
      <c r="A58">
        <v>73</v>
      </c>
      <c r="B58">
        <v>15812518</v>
      </c>
      <c r="C58" t="s">
        <v>91</v>
      </c>
      <c r="D58" t="s">
        <v>18</v>
      </c>
      <c r="E58" t="s">
        <v>16</v>
      </c>
      <c r="F58">
        <v>657</v>
      </c>
      <c r="G58">
        <v>37</v>
      </c>
      <c r="H58">
        <v>0</v>
      </c>
      <c r="I58">
        <v>163607.18</v>
      </c>
      <c r="J58">
        <v>1</v>
      </c>
      <c r="K58">
        <v>0</v>
      </c>
      <c r="L58">
        <v>1</v>
      </c>
      <c r="M58">
        <v>44203.55</v>
      </c>
      <c r="N58">
        <v>0</v>
      </c>
      <c r="O58" t="str">
        <f t="shared" si="0"/>
        <v>Average</v>
      </c>
      <c r="P58" t="str">
        <f t="shared" si="1"/>
        <v>Adult</v>
      </c>
      <c r="Q58" t="str">
        <f t="shared" si="2"/>
        <v>Medium Salary</v>
      </c>
    </row>
    <row r="59" spans="1:19" x14ac:dyDescent="0.25">
      <c r="A59">
        <v>74</v>
      </c>
      <c r="B59">
        <v>15779052</v>
      </c>
      <c r="C59" t="s">
        <v>92</v>
      </c>
      <c r="D59" t="s">
        <v>26</v>
      </c>
      <c r="E59" t="s">
        <v>16</v>
      </c>
      <c r="F59">
        <v>604</v>
      </c>
      <c r="G59">
        <v>25</v>
      </c>
      <c r="H59">
        <v>5</v>
      </c>
      <c r="I59">
        <v>157780.84</v>
      </c>
      <c r="J59">
        <v>2</v>
      </c>
      <c r="K59">
        <v>1</v>
      </c>
      <c r="L59">
        <v>1</v>
      </c>
      <c r="M59">
        <v>58426.81</v>
      </c>
      <c r="N59">
        <v>0</v>
      </c>
      <c r="O59" t="str">
        <f t="shared" si="0"/>
        <v>Average</v>
      </c>
      <c r="P59" t="str">
        <f t="shared" si="1"/>
        <v>Young Adult</v>
      </c>
      <c r="Q59" t="str">
        <f t="shared" si="2"/>
        <v>Medium Salary</v>
      </c>
      <c r="S59" s="76" t="s">
        <v>822</v>
      </c>
    </row>
    <row r="60" spans="1:19" x14ac:dyDescent="0.25">
      <c r="A60">
        <v>75</v>
      </c>
      <c r="B60">
        <v>15770811</v>
      </c>
      <c r="C60" t="s">
        <v>93</v>
      </c>
      <c r="D60" t="s">
        <v>15</v>
      </c>
      <c r="E60" t="s">
        <v>23</v>
      </c>
      <c r="F60">
        <v>519</v>
      </c>
      <c r="G60">
        <v>36</v>
      </c>
      <c r="H60">
        <v>9</v>
      </c>
      <c r="I60">
        <v>0</v>
      </c>
      <c r="J60">
        <v>2</v>
      </c>
      <c r="K60">
        <v>0</v>
      </c>
      <c r="L60">
        <v>1</v>
      </c>
      <c r="M60">
        <v>145562.4</v>
      </c>
      <c r="N60">
        <v>0</v>
      </c>
      <c r="O60" t="str">
        <f t="shared" si="0"/>
        <v>Poor</v>
      </c>
      <c r="P60" t="str">
        <f t="shared" si="1"/>
        <v>Adult</v>
      </c>
      <c r="Q60" t="str">
        <f t="shared" si="2"/>
        <v>High Salary</v>
      </c>
    </row>
    <row r="61" spans="1:19" x14ac:dyDescent="0.25">
      <c r="A61">
        <v>76</v>
      </c>
      <c r="B61">
        <v>15780961</v>
      </c>
      <c r="C61" t="s">
        <v>94</v>
      </c>
      <c r="D61" t="s">
        <v>15</v>
      </c>
      <c r="E61" t="s">
        <v>16</v>
      </c>
      <c r="F61">
        <v>735</v>
      </c>
      <c r="G61">
        <v>21</v>
      </c>
      <c r="H61">
        <v>1</v>
      </c>
      <c r="I61">
        <v>178718.19</v>
      </c>
      <c r="J61">
        <v>2</v>
      </c>
      <c r="K61">
        <v>1</v>
      </c>
      <c r="L61">
        <v>0</v>
      </c>
      <c r="M61">
        <v>22388</v>
      </c>
      <c r="N61">
        <v>0</v>
      </c>
      <c r="O61" t="str">
        <f t="shared" si="0"/>
        <v>Good</v>
      </c>
      <c r="P61" t="str">
        <f t="shared" si="1"/>
        <v>Young Adult</v>
      </c>
      <c r="Q61" t="str">
        <f t="shared" si="2"/>
        <v>Low Salary</v>
      </c>
    </row>
    <row r="62" spans="1:19" x14ac:dyDescent="0.25">
      <c r="A62">
        <v>77</v>
      </c>
      <c r="B62">
        <v>15614049</v>
      </c>
      <c r="C62" t="s">
        <v>95</v>
      </c>
      <c r="D62" t="s">
        <v>15</v>
      </c>
      <c r="E62" t="s">
        <v>23</v>
      </c>
      <c r="F62">
        <v>664</v>
      </c>
      <c r="G62">
        <v>55</v>
      </c>
      <c r="H62">
        <v>8</v>
      </c>
      <c r="I62">
        <v>0</v>
      </c>
      <c r="J62">
        <v>2</v>
      </c>
      <c r="K62">
        <v>1</v>
      </c>
      <c r="L62">
        <v>1</v>
      </c>
      <c r="M62">
        <v>139161.64000000001</v>
      </c>
      <c r="N62">
        <v>0</v>
      </c>
      <c r="O62" t="str">
        <f t="shared" si="0"/>
        <v>Average</v>
      </c>
      <c r="P62" t="str">
        <f t="shared" si="1"/>
        <v>Adult</v>
      </c>
      <c r="Q62" t="str">
        <f t="shared" si="2"/>
        <v>High Salary</v>
      </c>
    </row>
    <row r="63" spans="1:19" x14ac:dyDescent="0.25">
      <c r="A63">
        <v>78</v>
      </c>
      <c r="B63">
        <v>15662085</v>
      </c>
      <c r="C63" t="s">
        <v>96</v>
      </c>
      <c r="D63" t="s">
        <v>15</v>
      </c>
      <c r="E63" t="s">
        <v>16</v>
      </c>
      <c r="F63">
        <v>678</v>
      </c>
      <c r="G63">
        <v>32</v>
      </c>
      <c r="H63">
        <v>9</v>
      </c>
      <c r="I63">
        <v>0</v>
      </c>
      <c r="J63">
        <v>1</v>
      </c>
      <c r="K63">
        <v>1</v>
      </c>
      <c r="L63">
        <v>1</v>
      </c>
      <c r="M63">
        <v>148210.64000000001</v>
      </c>
      <c r="N63">
        <v>0</v>
      </c>
      <c r="O63" t="str">
        <f t="shared" si="0"/>
        <v>Good</v>
      </c>
      <c r="P63" t="str">
        <f t="shared" si="1"/>
        <v>Adult</v>
      </c>
      <c r="Q63" t="str">
        <f t="shared" si="2"/>
        <v>High Salary</v>
      </c>
    </row>
    <row r="64" spans="1:19" x14ac:dyDescent="0.25">
      <c r="A64">
        <v>79</v>
      </c>
      <c r="B64">
        <v>15575185</v>
      </c>
      <c r="C64" t="s">
        <v>97</v>
      </c>
      <c r="D64" t="s">
        <v>18</v>
      </c>
      <c r="E64" t="s">
        <v>23</v>
      </c>
      <c r="F64">
        <v>757</v>
      </c>
      <c r="G64">
        <v>33</v>
      </c>
      <c r="H64">
        <v>5</v>
      </c>
      <c r="I64">
        <v>77253.22</v>
      </c>
      <c r="J64">
        <v>1</v>
      </c>
      <c r="K64">
        <v>0</v>
      </c>
      <c r="L64">
        <v>1</v>
      </c>
      <c r="M64">
        <v>194239.63</v>
      </c>
      <c r="N64">
        <v>0</v>
      </c>
      <c r="O64" t="str">
        <f t="shared" si="0"/>
        <v>Good</v>
      </c>
      <c r="P64" t="str">
        <f t="shared" si="1"/>
        <v>Adult</v>
      </c>
      <c r="Q64" t="str">
        <f t="shared" si="2"/>
        <v>High Salary</v>
      </c>
    </row>
    <row r="65" spans="1:17" x14ac:dyDescent="0.25">
      <c r="A65">
        <v>80</v>
      </c>
      <c r="B65">
        <v>15803136</v>
      </c>
      <c r="C65" t="s">
        <v>98</v>
      </c>
      <c r="D65" t="s">
        <v>26</v>
      </c>
      <c r="E65" t="s">
        <v>16</v>
      </c>
      <c r="F65">
        <v>416</v>
      </c>
      <c r="G65">
        <v>41</v>
      </c>
      <c r="H65">
        <v>10</v>
      </c>
      <c r="I65">
        <v>122189.66</v>
      </c>
      <c r="J65">
        <v>2</v>
      </c>
      <c r="K65">
        <v>1</v>
      </c>
      <c r="L65">
        <v>0</v>
      </c>
      <c r="M65">
        <v>98301.61</v>
      </c>
      <c r="N65">
        <v>0</v>
      </c>
      <c r="O65" t="str">
        <f t="shared" si="0"/>
        <v>Poor</v>
      </c>
      <c r="P65" t="str">
        <f t="shared" si="1"/>
        <v>Adult</v>
      </c>
      <c r="Q65" t="str">
        <f t="shared" si="2"/>
        <v>High Salary</v>
      </c>
    </row>
    <row r="66" spans="1:17" x14ac:dyDescent="0.25">
      <c r="A66">
        <v>81</v>
      </c>
      <c r="B66">
        <v>15706021</v>
      </c>
      <c r="C66" t="s">
        <v>99</v>
      </c>
      <c r="D66" t="s">
        <v>15</v>
      </c>
      <c r="E66" t="s">
        <v>16</v>
      </c>
      <c r="F66">
        <v>665</v>
      </c>
      <c r="G66">
        <v>34</v>
      </c>
      <c r="H66">
        <v>1</v>
      </c>
      <c r="I66">
        <v>96645.54</v>
      </c>
      <c r="J66">
        <v>2</v>
      </c>
      <c r="K66">
        <v>0</v>
      </c>
      <c r="L66">
        <v>0</v>
      </c>
      <c r="M66">
        <v>171413.66</v>
      </c>
      <c r="N66">
        <v>0</v>
      </c>
      <c r="O66" t="str">
        <f t="shared" si="0"/>
        <v>Average</v>
      </c>
      <c r="P66" t="str">
        <f t="shared" si="1"/>
        <v>Adult</v>
      </c>
      <c r="Q66" t="str">
        <f t="shared" si="2"/>
        <v>High Salary</v>
      </c>
    </row>
    <row r="67" spans="1:17" x14ac:dyDescent="0.25">
      <c r="A67">
        <v>83</v>
      </c>
      <c r="B67">
        <v>15641732</v>
      </c>
      <c r="C67" t="s">
        <v>101</v>
      </c>
      <c r="D67" t="s">
        <v>15</v>
      </c>
      <c r="E67" t="s">
        <v>16</v>
      </c>
      <c r="F67">
        <v>543</v>
      </c>
      <c r="G67">
        <v>36</v>
      </c>
      <c r="H67">
        <v>3</v>
      </c>
      <c r="I67">
        <v>0</v>
      </c>
      <c r="J67">
        <v>2</v>
      </c>
      <c r="K67">
        <v>0</v>
      </c>
      <c r="L67">
        <v>0</v>
      </c>
      <c r="M67">
        <v>26019.59</v>
      </c>
      <c r="N67">
        <v>0</v>
      </c>
      <c r="O67" t="str">
        <f t="shared" ref="O67:O130" si="3">IF(F67&lt;580, "Poor", IF(AND(F67&gt;=580, F67&lt;=669), "Average", "Good"))</f>
        <v>Poor</v>
      </c>
      <c r="P67" t="str">
        <f t="shared" ref="P67:P130" si="4">IF(G67&lt;=30, "Young Adult", IF(AND(G67&gt;=31, G67&lt;=60), "Adult", "Senior"))</f>
        <v>Adult</v>
      </c>
      <c r="Q67" t="str">
        <f t="shared" ref="Q67:Q130" si="5">IF(M67&lt;30000, "Low Salary", IF(AND(M67&gt;=30000, M67&lt;=70000), "Medium Salary", "High Salary"))</f>
        <v>Low Salary</v>
      </c>
    </row>
    <row r="68" spans="1:17" x14ac:dyDescent="0.25">
      <c r="A68">
        <v>84</v>
      </c>
      <c r="B68">
        <v>15701164</v>
      </c>
      <c r="C68" t="s">
        <v>102</v>
      </c>
      <c r="D68" t="s">
        <v>15</v>
      </c>
      <c r="E68" t="s">
        <v>16</v>
      </c>
      <c r="F68">
        <v>506</v>
      </c>
      <c r="G68">
        <v>34</v>
      </c>
      <c r="H68">
        <v>4</v>
      </c>
      <c r="I68">
        <v>90307.62</v>
      </c>
      <c r="J68">
        <v>1</v>
      </c>
      <c r="K68">
        <v>1</v>
      </c>
      <c r="L68">
        <v>1</v>
      </c>
      <c r="M68">
        <v>159235.29</v>
      </c>
      <c r="N68">
        <v>0</v>
      </c>
      <c r="O68" t="str">
        <f t="shared" si="3"/>
        <v>Poor</v>
      </c>
      <c r="P68" t="str">
        <f t="shared" si="4"/>
        <v>Adult</v>
      </c>
      <c r="Q68" t="str">
        <f t="shared" si="5"/>
        <v>High Salary</v>
      </c>
    </row>
    <row r="69" spans="1:17" x14ac:dyDescent="0.25">
      <c r="A69">
        <v>85</v>
      </c>
      <c r="B69">
        <v>15738751</v>
      </c>
      <c r="C69" t="s">
        <v>103</v>
      </c>
      <c r="D69" t="s">
        <v>15</v>
      </c>
      <c r="E69" t="s">
        <v>16</v>
      </c>
      <c r="F69">
        <v>493</v>
      </c>
      <c r="G69">
        <v>46</v>
      </c>
      <c r="H69">
        <v>4</v>
      </c>
      <c r="I69">
        <v>0</v>
      </c>
      <c r="J69">
        <v>2</v>
      </c>
      <c r="K69">
        <v>1</v>
      </c>
      <c r="L69">
        <v>0</v>
      </c>
      <c r="M69">
        <v>1907.66</v>
      </c>
      <c r="N69">
        <v>0</v>
      </c>
      <c r="O69" t="str">
        <f t="shared" si="3"/>
        <v>Poor</v>
      </c>
      <c r="P69" t="str">
        <f t="shared" si="4"/>
        <v>Adult</v>
      </c>
      <c r="Q69" t="str">
        <f t="shared" si="5"/>
        <v>Low Salary</v>
      </c>
    </row>
    <row r="70" spans="1:17" x14ac:dyDescent="0.25">
      <c r="A70">
        <v>86</v>
      </c>
      <c r="B70">
        <v>15805254</v>
      </c>
      <c r="C70" t="s">
        <v>104</v>
      </c>
      <c r="D70" t="s">
        <v>18</v>
      </c>
      <c r="E70" t="s">
        <v>16</v>
      </c>
      <c r="F70">
        <v>652</v>
      </c>
      <c r="G70">
        <v>75</v>
      </c>
      <c r="H70">
        <v>10</v>
      </c>
      <c r="I70">
        <v>0</v>
      </c>
      <c r="J70">
        <v>2</v>
      </c>
      <c r="K70">
        <v>1</v>
      </c>
      <c r="L70">
        <v>1</v>
      </c>
      <c r="M70">
        <v>114675.75</v>
      </c>
      <c r="N70">
        <v>0</v>
      </c>
      <c r="O70" t="str">
        <f t="shared" si="3"/>
        <v>Average</v>
      </c>
      <c r="P70" t="str">
        <f t="shared" si="4"/>
        <v>Senior</v>
      </c>
      <c r="Q70" t="str">
        <f t="shared" si="5"/>
        <v>High Salary</v>
      </c>
    </row>
    <row r="71" spans="1:17" x14ac:dyDescent="0.25">
      <c r="A71">
        <v>88</v>
      </c>
      <c r="B71">
        <v>15625759</v>
      </c>
      <c r="C71" t="s">
        <v>106</v>
      </c>
      <c r="D71" t="s">
        <v>15</v>
      </c>
      <c r="E71" t="s">
        <v>23</v>
      </c>
      <c r="F71">
        <v>729</v>
      </c>
      <c r="G71">
        <v>30</v>
      </c>
      <c r="H71">
        <v>9</v>
      </c>
      <c r="I71">
        <v>0</v>
      </c>
      <c r="J71">
        <v>2</v>
      </c>
      <c r="K71">
        <v>1</v>
      </c>
      <c r="L71">
        <v>0</v>
      </c>
      <c r="M71">
        <v>151869.35</v>
      </c>
      <c r="N71">
        <v>0</v>
      </c>
      <c r="O71" t="str">
        <f t="shared" si="3"/>
        <v>Good</v>
      </c>
      <c r="P71" t="str">
        <f t="shared" si="4"/>
        <v>Young Adult</v>
      </c>
      <c r="Q71" t="str">
        <f t="shared" si="5"/>
        <v>High Salary</v>
      </c>
    </row>
    <row r="72" spans="1:17" x14ac:dyDescent="0.25">
      <c r="A72">
        <v>90</v>
      </c>
      <c r="B72">
        <v>15767954</v>
      </c>
      <c r="C72" t="s">
        <v>61</v>
      </c>
      <c r="D72" t="s">
        <v>26</v>
      </c>
      <c r="E72" t="s">
        <v>16</v>
      </c>
      <c r="F72">
        <v>635</v>
      </c>
      <c r="G72">
        <v>28</v>
      </c>
      <c r="H72">
        <v>3</v>
      </c>
      <c r="I72">
        <v>81623.67</v>
      </c>
      <c r="J72">
        <v>2</v>
      </c>
      <c r="K72">
        <v>1</v>
      </c>
      <c r="L72">
        <v>1</v>
      </c>
      <c r="M72">
        <v>156791.35999999999</v>
      </c>
      <c r="N72">
        <v>0</v>
      </c>
      <c r="O72" t="str">
        <f t="shared" si="3"/>
        <v>Average</v>
      </c>
      <c r="P72" t="str">
        <f t="shared" si="4"/>
        <v>Young Adult</v>
      </c>
      <c r="Q72" t="str">
        <f t="shared" si="5"/>
        <v>High Salary</v>
      </c>
    </row>
    <row r="73" spans="1:17" x14ac:dyDescent="0.25">
      <c r="A73">
        <v>92</v>
      </c>
      <c r="B73">
        <v>15731511</v>
      </c>
      <c r="C73" t="s">
        <v>109</v>
      </c>
      <c r="D73" t="s">
        <v>15</v>
      </c>
      <c r="E73" t="s">
        <v>23</v>
      </c>
      <c r="F73">
        <v>808</v>
      </c>
      <c r="G73">
        <v>45</v>
      </c>
      <c r="H73">
        <v>7</v>
      </c>
      <c r="I73">
        <v>118626.55</v>
      </c>
      <c r="J73">
        <v>2</v>
      </c>
      <c r="K73">
        <v>1</v>
      </c>
      <c r="L73">
        <v>0</v>
      </c>
      <c r="M73">
        <v>147132.46</v>
      </c>
      <c r="N73">
        <v>0</v>
      </c>
      <c r="O73" t="str">
        <f t="shared" si="3"/>
        <v>Good</v>
      </c>
      <c r="P73" t="str">
        <f t="shared" si="4"/>
        <v>Adult</v>
      </c>
      <c r="Q73" t="str">
        <f t="shared" si="5"/>
        <v>High Salary</v>
      </c>
    </row>
    <row r="74" spans="1:17" x14ac:dyDescent="0.25">
      <c r="A74">
        <v>93</v>
      </c>
      <c r="B74">
        <v>15809248</v>
      </c>
      <c r="C74" t="s">
        <v>110</v>
      </c>
      <c r="D74" t="s">
        <v>15</v>
      </c>
      <c r="E74" t="s">
        <v>16</v>
      </c>
      <c r="F74">
        <v>524</v>
      </c>
      <c r="G74">
        <v>36</v>
      </c>
      <c r="H74">
        <v>10</v>
      </c>
      <c r="I74">
        <v>0</v>
      </c>
      <c r="J74">
        <v>2</v>
      </c>
      <c r="K74">
        <v>1</v>
      </c>
      <c r="L74">
        <v>0</v>
      </c>
      <c r="M74">
        <v>109614.57</v>
      </c>
      <c r="N74">
        <v>0</v>
      </c>
      <c r="O74" t="str">
        <f t="shared" si="3"/>
        <v>Poor</v>
      </c>
      <c r="P74" t="str">
        <f t="shared" si="4"/>
        <v>Adult</v>
      </c>
      <c r="Q74" t="str">
        <f t="shared" si="5"/>
        <v>High Salary</v>
      </c>
    </row>
    <row r="75" spans="1:17" x14ac:dyDescent="0.25">
      <c r="A75">
        <v>94</v>
      </c>
      <c r="B75">
        <v>15640635</v>
      </c>
      <c r="C75" t="s">
        <v>111</v>
      </c>
      <c r="D75" t="s">
        <v>15</v>
      </c>
      <c r="E75" t="s">
        <v>23</v>
      </c>
      <c r="F75">
        <v>769</v>
      </c>
      <c r="G75">
        <v>29</v>
      </c>
      <c r="H75">
        <v>8</v>
      </c>
      <c r="I75">
        <v>0</v>
      </c>
      <c r="J75">
        <v>2</v>
      </c>
      <c r="K75">
        <v>1</v>
      </c>
      <c r="L75">
        <v>1</v>
      </c>
      <c r="M75">
        <v>172290.61</v>
      </c>
      <c r="N75">
        <v>0</v>
      </c>
      <c r="O75" t="str">
        <f t="shared" si="3"/>
        <v>Good</v>
      </c>
      <c r="P75" t="str">
        <f t="shared" si="4"/>
        <v>Young Adult</v>
      </c>
      <c r="Q75" t="str">
        <f t="shared" si="5"/>
        <v>High Salary</v>
      </c>
    </row>
    <row r="76" spans="1:17" x14ac:dyDescent="0.25">
      <c r="A76">
        <v>95</v>
      </c>
      <c r="B76">
        <v>15676966</v>
      </c>
      <c r="C76" t="s">
        <v>111</v>
      </c>
      <c r="D76" t="s">
        <v>18</v>
      </c>
      <c r="E76" t="s">
        <v>23</v>
      </c>
      <c r="F76">
        <v>730</v>
      </c>
      <c r="G76">
        <v>42</v>
      </c>
      <c r="H76">
        <v>4</v>
      </c>
      <c r="I76">
        <v>0</v>
      </c>
      <c r="J76">
        <v>2</v>
      </c>
      <c r="K76">
        <v>0</v>
      </c>
      <c r="L76">
        <v>1</v>
      </c>
      <c r="M76">
        <v>85982.47</v>
      </c>
      <c r="N76">
        <v>0</v>
      </c>
      <c r="O76" t="str">
        <f t="shared" si="3"/>
        <v>Good</v>
      </c>
      <c r="P76" t="str">
        <f t="shared" si="4"/>
        <v>Adult</v>
      </c>
      <c r="Q76" t="str">
        <f t="shared" si="5"/>
        <v>High Salary</v>
      </c>
    </row>
    <row r="77" spans="1:17" x14ac:dyDescent="0.25">
      <c r="A77">
        <v>96</v>
      </c>
      <c r="B77">
        <v>15699461</v>
      </c>
      <c r="C77" t="s">
        <v>112</v>
      </c>
      <c r="D77" t="s">
        <v>18</v>
      </c>
      <c r="E77" t="s">
        <v>23</v>
      </c>
      <c r="F77">
        <v>515</v>
      </c>
      <c r="G77">
        <v>35</v>
      </c>
      <c r="H77">
        <v>10</v>
      </c>
      <c r="I77">
        <v>176273.95</v>
      </c>
      <c r="J77">
        <v>1</v>
      </c>
      <c r="K77">
        <v>0</v>
      </c>
      <c r="L77">
        <v>1</v>
      </c>
      <c r="M77">
        <v>121277.78</v>
      </c>
      <c r="N77">
        <v>0</v>
      </c>
      <c r="O77" t="str">
        <f t="shared" si="3"/>
        <v>Poor</v>
      </c>
      <c r="P77" t="str">
        <f t="shared" si="4"/>
        <v>Adult</v>
      </c>
      <c r="Q77" t="str">
        <f t="shared" si="5"/>
        <v>High Salary</v>
      </c>
    </row>
    <row r="78" spans="1:17" x14ac:dyDescent="0.25">
      <c r="A78">
        <v>97</v>
      </c>
      <c r="B78">
        <v>15738721</v>
      </c>
      <c r="C78" t="s">
        <v>113</v>
      </c>
      <c r="D78" t="s">
        <v>18</v>
      </c>
      <c r="E78" t="s">
        <v>23</v>
      </c>
      <c r="F78">
        <v>773</v>
      </c>
      <c r="G78">
        <v>41</v>
      </c>
      <c r="H78">
        <v>9</v>
      </c>
      <c r="I78">
        <v>102827.44</v>
      </c>
      <c r="J78">
        <v>1</v>
      </c>
      <c r="K78">
        <v>0</v>
      </c>
      <c r="L78">
        <v>1</v>
      </c>
      <c r="M78">
        <v>64595.25</v>
      </c>
      <c r="N78">
        <v>0</v>
      </c>
      <c r="O78" t="str">
        <f t="shared" si="3"/>
        <v>Good</v>
      </c>
      <c r="P78" t="str">
        <f t="shared" si="4"/>
        <v>Adult</v>
      </c>
      <c r="Q78" t="str">
        <f t="shared" si="5"/>
        <v>Medium Salary</v>
      </c>
    </row>
    <row r="79" spans="1:17" x14ac:dyDescent="0.25">
      <c r="A79">
        <v>98</v>
      </c>
      <c r="B79">
        <v>15693683</v>
      </c>
      <c r="C79" t="s">
        <v>114</v>
      </c>
      <c r="D79" t="s">
        <v>26</v>
      </c>
      <c r="E79" t="s">
        <v>23</v>
      </c>
      <c r="F79">
        <v>814</v>
      </c>
      <c r="G79">
        <v>29</v>
      </c>
      <c r="H79">
        <v>8</v>
      </c>
      <c r="I79">
        <v>97086.399999999994</v>
      </c>
      <c r="J79">
        <v>2</v>
      </c>
      <c r="K79">
        <v>1</v>
      </c>
      <c r="L79">
        <v>1</v>
      </c>
      <c r="M79">
        <v>197276.13</v>
      </c>
      <c r="N79">
        <v>0</v>
      </c>
      <c r="O79" t="str">
        <f t="shared" si="3"/>
        <v>Good</v>
      </c>
      <c r="P79" t="str">
        <f t="shared" si="4"/>
        <v>Young Adult</v>
      </c>
      <c r="Q79" t="str">
        <f t="shared" si="5"/>
        <v>High Salary</v>
      </c>
    </row>
    <row r="80" spans="1:17" x14ac:dyDescent="0.25">
      <c r="A80">
        <v>99</v>
      </c>
      <c r="B80">
        <v>15604348</v>
      </c>
      <c r="C80" t="s">
        <v>115</v>
      </c>
      <c r="D80" t="s">
        <v>18</v>
      </c>
      <c r="E80" t="s">
        <v>23</v>
      </c>
      <c r="F80">
        <v>710</v>
      </c>
      <c r="G80">
        <v>22</v>
      </c>
      <c r="H80">
        <v>8</v>
      </c>
      <c r="I80">
        <v>0</v>
      </c>
      <c r="J80">
        <v>2</v>
      </c>
      <c r="K80">
        <v>0</v>
      </c>
      <c r="L80">
        <v>0</v>
      </c>
      <c r="M80">
        <v>99645.04</v>
      </c>
      <c r="N80">
        <v>0</v>
      </c>
      <c r="O80" t="str">
        <f t="shared" si="3"/>
        <v>Good</v>
      </c>
      <c r="P80" t="str">
        <f t="shared" si="4"/>
        <v>Young Adult</v>
      </c>
      <c r="Q80" t="str">
        <f t="shared" si="5"/>
        <v>High Salary</v>
      </c>
    </row>
    <row r="81" spans="1:17" x14ac:dyDescent="0.25">
      <c r="A81">
        <v>100</v>
      </c>
      <c r="B81">
        <v>15633059</v>
      </c>
      <c r="C81" t="s">
        <v>116</v>
      </c>
      <c r="D81" t="s">
        <v>15</v>
      </c>
      <c r="E81" t="s">
        <v>23</v>
      </c>
      <c r="F81">
        <v>413</v>
      </c>
      <c r="G81">
        <v>34</v>
      </c>
      <c r="H81">
        <v>9</v>
      </c>
      <c r="I81">
        <v>0</v>
      </c>
      <c r="J81">
        <v>2</v>
      </c>
      <c r="K81">
        <v>0</v>
      </c>
      <c r="L81">
        <v>0</v>
      </c>
      <c r="M81">
        <v>6534.18</v>
      </c>
      <c r="N81">
        <v>0</v>
      </c>
      <c r="O81" t="str">
        <f t="shared" si="3"/>
        <v>Poor</v>
      </c>
      <c r="P81" t="str">
        <f t="shared" si="4"/>
        <v>Adult</v>
      </c>
      <c r="Q81" t="str">
        <f t="shared" si="5"/>
        <v>Low Salary</v>
      </c>
    </row>
    <row r="82" spans="1:17" x14ac:dyDescent="0.25">
      <c r="A82">
        <v>101</v>
      </c>
      <c r="B82">
        <v>15808582</v>
      </c>
      <c r="C82" t="s">
        <v>117</v>
      </c>
      <c r="D82" t="s">
        <v>15</v>
      </c>
      <c r="E82" t="s">
        <v>16</v>
      </c>
      <c r="F82">
        <v>665</v>
      </c>
      <c r="G82">
        <v>40</v>
      </c>
      <c r="H82">
        <v>6</v>
      </c>
      <c r="I82">
        <v>0</v>
      </c>
      <c r="J82">
        <v>1</v>
      </c>
      <c r="K82">
        <v>1</v>
      </c>
      <c r="L82">
        <v>1</v>
      </c>
      <c r="M82">
        <v>161848.03</v>
      </c>
      <c r="N82">
        <v>0</v>
      </c>
      <c r="O82" t="str">
        <f t="shared" si="3"/>
        <v>Average</v>
      </c>
      <c r="P82" t="str">
        <f t="shared" si="4"/>
        <v>Adult</v>
      </c>
      <c r="Q82" t="str">
        <f t="shared" si="5"/>
        <v>High Salary</v>
      </c>
    </row>
    <row r="83" spans="1:17" x14ac:dyDescent="0.25">
      <c r="A83">
        <v>102</v>
      </c>
      <c r="B83">
        <v>15743192</v>
      </c>
      <c r="C83" t="s">
        <v>118</v>
      </c>
      <c r="D83" t="s">
        <v>15</v>
      </c>
      <c r="E83" t="s">
        <v>16</v>
      </c>
      <c r="F83">
        <v>623</v>
      </c>
      <c r="G83">
        <v>44</v>
      </c>
      <c r="H83">
        <v>6</v>
      </c>
      <c r="I83">
        <v>0</v>
      </c>
      <c r="J83">
        <v>2</v>
      </c>
      <c r="K83">
        <v>0</v>
      </c>
      <c r="L83">
        <v>0</v>
      </c>
      <c r="M83">
        <v>167162.43</v>
      </c>
      <c r="N83">
        <v>0</v>
      </c>
      <c r="O83" t="str">
        <f t="shared" si="3"/>
        <v>Average</v>
      </c>
      <c r="P83" t="str">
        <f t="shared" si="4"/>
        <v>Adult</v>
      </c>
      <c r="Q83" t="str">
        <f t="shared" si="5"/>
        <v>High Salary</v>
      </c>
    </row>
    <row r="84" spans="1:17" x14ac:dyDescent="0.25">
      <c r="A84">
        <v>103</v>
      </c>
      <c r="B84">
        <v>15580146</v>
      </c>
      <c r="C84" t="s">
        <v>118</v>
      </c>
      <c r="D84" t="s">
        <v>15</v>
      </c>
      <c r="E84" t="s">
        <v>23</v>
      </c>
      <c r="F84">
        <v>738</v>
      </c>
      <c r="G84">
        <v>31</v>
      </c>
      <c r="H84">
        <v>9</v>
      </c>
      <c r="I84">
        <v>82674.149999999994</v>
      </c>
      <c r="J84">
        <v>1</v>
      </c>
      <c r="K84">
        <v>1</v>
      </c>
      <c r="L84">
        <v>0</v>
      </c>
      <c r="M84">
        <v>41970.720000000001</v>
      </c>
      <c r="N84">
        <v>0</v>
      </c>
      <c r="O84" t="str">
        <f t="shared" si="3"/>
        <v>Good</v>
      </c>
      <c r="P84" t="str">
        <f t="shared" si="4"/>
        <v>Adult</v>
      </c>
      <c r="Q84" t="str">
        <f t="shared" si="5"/>
        <v>Medium Salary</v>
      </c>
    </row>
    <row r="85" spans="1:17" x14ac:dyDescent="0.25">
      <c r="A85">
        <v>104</v>
      </c>
      <c r="B85">
        <v>15776605</v>
      </c>
      <c r="C85" t="s">
        <v>119</v>
      </c>
      <c r="D85" t="s">
        <v>18</v>
      </c>
      <c r="E85" t="s">
        <v>23</v>
      </c>
      <c r="F85">
        <v>528</v>
      </c>
      <c r="G85">
        <v>36</v>
      </c>
      <c r="H85">
        <v>7</v>
      </c>
      <c r="I85">
        <v>0</v>
      </c>
      <c r="J85">
        <v>2</v>
      </c>
      <c r="K85">
        <v>1</v>
      </c>
      <c r="L85">
        <v>0</v>
      </c>
      <c r="M85">
        <v>60536.56</v>
      </c>
      <c r="N85">
        <v>0</v>
      </c>
      <c r="O85" t="str">
        <f t="shared" si="3"/>
        <v>Poor</v>
      </c>
      <c r="P85" t="str">
        <f t="shared" si="4"/>
        <v>Adult</v>
      </c>
      <c r="Q85" t="str">
        <f t="shared" si="5"/>
        <v>Medium Salary</v>
      </c>
    </row>
    <row r="86" spans="1:17" x14ac:dyDescent="0.25">
      <c r="A86">
        <v>107</v>
      </c>
      <c r="B86">
        <v>15599195</v>
      </c>
      <c r="C86" t="s">
        <v>122</v>
      </c>
      <c r="D86" t="s">
        <v>26</v>
      </c>
      <c r="E86" t="s">
        <v>23</v>
      </c>
      <c r="F86">
        <v>582</v>
      </c>
      <c r="G86">
        <v>32</v>
      </c>
      <c r="H86">
        <v>1</v>
      </c>
      <c r="I86">
        <v>88938.62</v>
      </c>
      <c r="J86">
        <v>1</v>
      </c>
      <c r="K86">
        <v>1</v>
      </c>
      <c r="L86">
        <v>1</v>
      </c>
      <c r="M86">
        <v>10054.530000000001</v>
      </c>
      <c r="N86">
        <v>0</v>
      </c>
      <c r="O86" t="str">
        <f t="shared" si="3"/>
        <v>Average</v>
      </c>
      <c r="P86" t="str">
        <f t="shared" si="4"/>
        <v>Adult</v>
      </c>
      <c r="Q86" t="str">
        <f t="shared" si="5"/>
        <v>Low Salary</v>
      </c>
    </row>
    <row r="87" spans="1:17" x14ac:dyDescent="0.25">
      <c r="A87">
        <v>108</v>
      </c>
      <c r="B87">
        <v>15812878</v>
      </c>
      <c r="C87" t="s">
        <v>123</v>
      </c>
      <c r="D87" t="s">
        <v>26</v>
      </c>
      <c r="E87" t="s">
        <v>16</v>
      </c>
      <c r="F87">
        <v>785</v>
      </c>
      <c r="G87">
        <v>36</v>
      </c>
      <c r="H87">
        <v>2</v>
      </c>
      <c r="I87">
        <v>99806.85</v>
      </c>
      <c r="J87">
        <v>1</v>
      </c>
      <c r="K87">
        <v>0</v>
      </c>
      <c r="L87">
        <v>1</v>
      </c>
      <c r="M87">
        <v>36976.519999999997</v>
      </c>
      <c r="N87">
        <v>0</v>
      </c>
      <c r="O87" t="str">
        <f t="shared" si="3"/>
        <v>Good</v>
      </c>
      <c r="P87" t="str">
        <f t="shared" si="4"/>
        <v>Adult</v>
      </c>
      <c r="Q87" t="str">
        <f t="shared" si="5"/>
        <v>Medium Salary</v>
      </c>
    </row>
    <row r="88" spans="1:17" x14ac:dyDescent="0.25">
      <c r="A88">
        <v>109</v>
      </c>
      <c r="B88">
        <v>15602312</v>
      </c>
      <c r="C88" t="s">
        <v>124</v>
      </c>
      <c r="D88" t="s">
        <v>18</v>
      </c>
      <c r="E88" t="s">
        <v>23</v>
      </c>
      <c r="F88">
        <v>605</v>
      </c>
      <c r="G88">
        <v>33</v>
      </c>
      <c r="H88">
        <v>5</v>
      </c>
      <c r="I88">
        <v>150092.79999999999</v>
      </c>
      <c r="J88">
        <v>1</v>
      </c>
      <c r="K88">
        <v>0</v>
      </c>
      <c r="L88">
        <v>0</v>
      </c>
      <c r="M88">
        <v>71862.789999999994</v>
      </c>
      <c r="N88">
        <v>0</v>
      </c>
      <c r="O88" t="str">
        <f t="shared" si="3"/>
        <v>Average</v>
      </c>
      <c r="P88" t="str">
        <f t="shared" si="4"/>
        <v>Adult</v>
      </c>
      <c r="Q88" t="str">
        <f t="shared" si="5"/>
        <v>High Salary</v>
      </c>
    </row>
    <row r="89" spans="1:17" x14ac:dyDescent="0.25">
      <c r="A89">
        <v>111</v>
      </c>
      <c r="B89">
        <v>15803526</v>
      </c>
      <c r="C89" t="s">
        <v>126</v>
      </c>
      <c r="D89" t="s">
        <v>26</v>
      </c>
      <c r="E89" t="s">
        <v>23</v>
      </c>
      <c r="F89">
        <v>685</v>
      </c>
      <c r="G89">
        <v>30</v>
      </c>
      <c r="H89">
        <v>3</v>
      </c>
      <c r="I89">
        <v>90536.81</v>
      </c>
      <c r="J89">
        <v>1</v>
      </c>
      <c r="K89">
        <v>0</v>
      </c>
      <c r="L89">
        <v>1</v>
      </c>
      <c r="M89">
        <v>63082.879999999997</v>
      </c>
      <c r="N89">
        <v>0</v>
      </c>
      <c r="O89" t="str">
        <f t="shared" si="3"/>
        <v>Good</v>
      </c>
      <c r="P89" t="str">
        <f t="shared" si="4"/>
        <v>Young Adult</v>
      </c>
      <c r="Q89" t="str">
        <f t="shared" si="5"/>
        <v>Medium Salary</v>
      </c>
    </row>
    <row r="90" spans="1:17" x14ac:dyDescent="0.25">
      <c r="A90">
        <v>112</v>
      </c>
      <c r="B90">
        <v>15665790</v>
      </c>
      <c r="C90" t="s">
        <v>127</v>
      </c>
      <c r="D90" t="s">
        <v>26</v>
      </c>
      <c r="E90" t="s">
        <v>23</v>
      </c>
      <c r="F90">
        <v>538</v>
      </c>
      <c r="G90">
        <v>39</v>
      </c>
      <c r="H90">
        <v>7</v>
      </c>
      <c r="I90">
        <v>108055.1</v>
      </c>
      <c r="J90">
        <v>2</v>
      </c>
      <c r="K90">
        <v>1</v>
      </c>
      <c r="L90">
        <v>0</v>
      </c>
      <c r="M90">
        <v>27231.26</v>
      </c>
      <c r="N90">
        <v>0</v>
      </c>
      <c r="O90" t="str">
        <f t="shared" si="3"/>
        <v>Poor</v>
      </c>
      <c r="P90" t="str">
        <f t="shared" si="4"/>
        <v>Adult</v>
      </c>
      <c r="Q90" t="str">
        <f t="shared" si="5"/>
        <v>Low Salary</v>
      </c>
    </row>
    <row r="91" spans="1:17" x14ac:dyDescent="0.25">
      <c r="A91">
        <v>113</v>
      </c>
      <c r="B91">
        <v>15715951</v>
      </c>
      <c r="C91" t="s">
        <v>128</v>
      </c>
      <c r="D91" t="s">
        <v>15</v>
      </c>
      <c r="E91" t="s">
        <v>23</v>
      </c>
      <c r="F91">
        <v>562</v>
      </c>
      <c r="G91">
        <v>42</v>
      </c>
      <c r="H91">
        <v>2</v>
      </c>
      <c r="I91">
        <v>100238.35</v>
      </c>
      <c r="J91">
        <v>1</v>
      </c>
      <c r="K91">
        <v>0</v>
      </c>
      <c r="L91">
        <v>0</v>
      </c>
      <c r="M91">
        <v>86797.41</v>
      </c>
      <c r="N91">
        <v>0</v>
      </c>
      <c r="O91" t="str">
        <f t="shared" si="3"/>
        <v>Poor</v>
      </c>
      <c r="P91" t="str">
        <f t="shared" si="4"/>
        <v>Adult</v>
      </c>
      <c r="Q91" t="str">
        <f t="shared" si="5"/>
        <v>High Salary</v>
      </c>
    </row>
    <row r="92" spans="1:17" x14ac:dyDescent="0.25">
      <c r="A92">
        <v>114</v>
      </c>
      <c r="B92">
        <v>15591100</v>
      </c>
      <c r="C92" t="s">
        <v>129</v>
      </c>
      <c r="D92" t="s">
        <v>18</v>
      </c>
      <c r="E92" t="s">
        <v>23</v>
      </c>
      <c r="F92">
        <v>675</v>
      </c>
      <c r="G92">
        <v>36</v>
      </c>
      <c r="H92">
        <v>9</v>
      </c>
      <c r="I92">
        <v>106190.55</v>
      </c>
      <c r="J92">
        <v>1</v>
      </c>
      <c r="K92">
        <v>0</v>
      </c>
      <c r="L92">
        <v>1</v>
      </c>
      <c r="M92">
        <v>22994.32</v>
      </c>
      <c r="N92">
        <v>0</v>
      </c>
      <c r="O92" t="str">
        <f t="shared" si="3"/>
        <v>Good</v>
      </c>
      <c r="P92" t="str">
        <f t="shared" si="4"/>
        <v>Adult</v>
      </c>
      <c r="Q92" t="str">
        <f t="shared" si="5"/>
        <v>Low Salary</v>
      </c>
    </row>
    <row r="93" spans="1:17" x14ac:dyDescent="0.25">
      <c r="A93">
        <v>116</v>
      </c>
      <c r="B93">
        <v>15675522</v>
      </c>
      <c r="C93" t="s">
        <v>130</v>
      </c>
      <c r="D93" t="s">
        <v>26</v>
      </c>
      <c r="E93" t="s">
        <v>16</v>
      </c>
      <c r="F93">
        <v>628</v>
      </c>
      <c r="G93">
        <v>30</v>
      </c>
      <c r="H93">
        <v>9</v>
      </c>
      <c r="I93">
        <v>132351.29</v>
      </c>
      <c r="J93">
        <v>2</v>
      </c>
      <c r="K93">
        <v>1</v>
      </c>
      <c r="L93">
        <v>1</v>
      </c>
      <c r="M93">
        <v>74169.13</v>
      </c>
      <c r="N93">
        <v>0</v>
      </c>
      <c r="O93" t="str">
        <f t="shared" si="3"/>
        <v>Average</v>
      </c>
      <c r="P93" t="str">
        <f t="shared" si="4"/>
        <v>Young Adult</v>
      </c>
      <c r="Q93" t="str">
        <f t="shared" si="5"/>
        <v>High Salary</v>
      </c>
    </row>
    <row r="94" spans="1:17" x14ac:dyDescent="0.25">
      <c r="A94">
        <v>117</v>
      </c>
      <c r="B94">
        <v>15705512</v>
      </c>
      <c r="C94" t="s">
        <v>131</v>
      </c>
      <c r="D94" t="s">
        <v>26</v>
      </c>
      <c r="E94" t="s">
        <v>16</v>
      </c>
      <c r="F94">
        <v>668</v>
      </c>
      <c r="G94">
        <v>37</v>
      </c>
      <c r="H94">
        <v>6</v>
      </c>
      <c r="I94">
        <v>167864.4</v>
      </c>
      <c r="J94">
        <v>1</v>
      </c>
      <c r="K94">
        <v>1</v>
      </c>
      <c r="L94">
        <v>0</v>
      </c>
      <c r="M94">
        <v>115638.29</v>
      </c>
      <c r="N94">
        <v>0</v>
      </c>
      <c r="O94" t="str">
        <f t="shared" si="3"/>
        <v>Average</v>
      </c>
      <c r="P94" t="str">
        <f t="shared" si="4"/>
        <v>Adult</v>
      </c>
      <c r="Q94" t="str">
        <f t="shared" si="5"/>
        <v>High Salary</v>
      </c>
    </row>
    <row r="95" spans="1:17" x14ac:dyDescent="0.25">
      <c r="A95">
        <v>118</v>
      </c>
      <c r="B95">
        <v>15698028</v>
      </c>
      <c r="C95" t="s">
        <v>132</v>
      </c>
      <c r="D95" t="s">
        <v>15</v>
      </c>
      <c r="E95" t="s">
        <v>16</v>
      </c>
      <c r="F95">
        <v>506</v>
      </c>
      <c r="G95">
        <v>41</v>
      </c>
      <c r="H95">
        <v>1</v>
      </c>
      <c r="I95">
        <v>0</v>
      </c>
      <c r="J95">
        <v>2</v>
      </c>
      <c r="K95">
        <v>1</v>
      </c>
      <c r="L95">
        <v>0</v>
      </c>
      <c r="M95">
        <v>31766.3</v>
      </c>
      <c r="N95">
        <v>0</v>
      </c>
      <c r="O95" t="str">
        <f t="shared" si="3"/>
        <v>Poor</v>
      </c>
      <c r="P95" t="str">
        <f t="shared" si="4"/>
        <v>Adult</v>
      </c>
      <c r="Q95" t="str">
        <f t="shared" si="5"/>
        <v>Medium Salary</v>
      </c>
    </row>
    <row r="96" spans="1:17" x14ac:dyDescent="0.25">
      <c r="A96">
        <v>120</v>
      </c>
      <c r="B96">
        <v>15600781</v>
      </c>
      <c r="C96" t="s">
        <v>134</v>
      </c>
      <c r="D96" t="s">
        <v>26</v>
      </c>
      <c r="E96" t="s">
        <v>23</v>
      </c>
      <c r="F96">
        <v>699</v>
      </c>
      <c r="G96">
        <v>34</v>
      </c>
      <c r="H96">
        <v>4</v>
      </c>
      <c r="I96">
        <v>185173.81</v>
      </c>
      <c r="J96">
        <v>2</v>
      </c>
      <c r="K96">
        <v>1</v>
      </c>
      <c r="L96">
        <v>0</v>
      </c>
      <c r="M96">
        <v>120834.48</v>
      </c>
      <c r="N96">
        <v>0</v>
      </c>
      <c r="O96" t="str">
        <f t="shared" si="3"/>
        <v>Good</v>
      </c>
      <c r="P96" t="str">
        <f t="shared" si="4"/>
        <v>Adult</v>
      </c>
      <c r="Q96" t="str">
        <f t="shared" si="5"/>
        <v>High Salary</v>
      </c>
    </row>
    <row r="97" spans="1:17" x14ac:dyDescent="0.25">
      <c r="A97">
        <v>121</v>
      </c>
      <c r="B97">
        <v>15682472</v>
      </c>
      <c r="C97" t="s">
        <v>135</v>
      </c>
      <c r="D97" t="s">
        <v>15</v>
      </c>
      <c r="E97" t="s">
        <v>23</v>
      </c>
      <c r="F97">
        <v>828</v>
      </c>
      <c r="G97">
        <v>34</v>
      </c>
      <c r="H97">
        <v>8</v>
      </c>
      <c r="I97">
        <v>129433.34</v>
      </c>
      <c r="J97">
        <v>2</v>
      </c>
      <c r="K97">
        <v>0</v>
      </c>
      <c r="L97">
        <v>0</v>
      </c>
      <c r="M97">
        <v>38131.769999999997</v>
      </c>
      <c r="N97">
        <v>0</v>
      </c>
      <c r="O97" t="str">
        <f t="shared" si="3"/>
        <v>Good</v>
      </c>
      <c r="P97" t="str">
        <f t="shared" si="4"/>
        <v>Adult</v>
      </c>
      <c r="Q97" t="str">
        <f t="shared" si="5"/>
        <v>Medium Salary</v>
      </c>
    </row>
    <row r="98" spans="1:17" x14ac:dyDescent="0.25">
      <c r="A98">
        <v>122</v>
      </c>
      <c r="B98">
        <v>15580203</v>
      </c>
      <c r="C98" t="s">
        <v>136</v>
      </c>
      <c r="D98" t="s">
        <v>18</v>
      </c>
      <c r="E98" t="s">
        <v>23</v>
      </c>
      <c r="F98">
        <v>674</v>
      </c>
      <c r="G98">
        <v>39</v>
      </c>
      <c r="H98">
        <v>6</v>
      </c>
      <c r="I98">
        <v>120193.42</v>
      </c>
      <c r="J98">
        <v>1</v>
      </c>
      <c r="K98">
        <v>0</v>
      </c>
      <c r="L98">
        <v>0</v>
      </c>
      <c r="M98">
        <v>100130.95</v>
      </c>
      <c r="N98">
        <v>0</v>
      </c>
      <c r="O98" t="str">
        <f t="shared" si="3"/>
        <v>Good</v>
      </c>
      <c r="P98" t="str">
        <f t="shared" si="4"/>
        <v>Adult</v>
      </c>
      <c r="Q98" t="str">
        <f t="shared" si="5"/>
        <v>High Salary</v>
      </c>
    </row>
    <row r="99" spans="1:17" x14ac:dyDescent="0.25">
      <c r="A99">
        <v>123</v>
      </c>
      <c r="B99">
        <v>15690673</v>
      </c>
      <c r="C99" t="s">
        <v>58</v>
      </c>
      <c r="D99" t="s">
        <v>15</v>
      </c>
      <c r="E99" t="s">
        <v>16</v>
      </c>
      <c r="F99">
        <v>656</v>
      </c>
      <c r="G99">
        <v>39</v>
      </c>
      <c r="H99">
        <v>6</v>
      </c>
      <c r="I99">
        <v>0</v>
      </c>
      <c r="J99">
        <v>2</v>
      </c>
      <c r="K99">
        <v>1</v>
      </c>
      <c r="L99">
        <v>0</v>
      </c>
      <c r="M99">
        <v>141069.88</v>
      </c>
      <c r="N99">
        <v>0</v>
      </c>
      <c r="O99" t="str">
        <f t="shared" si="3"/>
        <v>Average</v>
      </c>
      <c r="P99" t="str">
        <f t="shared" si="4"/>
        <v>Adult</v>
      </c>
      <c r="Q99" t="str">
        <f t="shared" si="5"/>
        <v>High Salary</v>
      </c>
    </row>
    <row r="100" spans="1:17" x14ac:dyDescent="0.25">
      <c r="A100">
        <v>124</v>
      </c>
      <c r="B100">
        <v>15760085</v>
      </c>
      <c r="C100" t="s">
        <v>137</v>
      </c>
      <c r="D100" t="s">
        <v>26</v>
      </c>
      <c r="E100" t="s">
        <v>16</v>
      </c>
      <c r="F100">
        <v>684</v>
      </c>
      <c r="G100">
        <v>48</v>
      </c>
      <c r="H100">
        <v>10</v>
      </c>
      <c r="I100">
        <v>126384.42</v>
      </c>
      <c r="J100">
        <v>1</v>
      </c>
      <c r="K100">
        <v>1</v>
      </c>
      <c r="L100">
        <v>1</v>
      </c>
      <c r="M100">
        <v>198129.36</v>
      </c>
      <c r="N100">
        <v>0</v>
      </c>
      <c r="O100" t="str">
        <f t="shared" si="3"/>
        <v>Good</v>
      </c>
      <c r="P100" t="str">
        <f t="shared" si="4"/>
        <v>Adult</v>
      </c>
      <c r="Q100" t="str">
        <f t="shared" si="5"/>
        <v>High Salary</v>
      </c>
    </row>
    <row r="101" spans="1:17" x14ac:dyDescent="0.25">
      <c r="A101">
        <v>125</v>
      </c>
      <c r="B101">
        <v>15779659</v>
      </c>
      <c r="C101" t="s">
        <v>138</v>
      </c>
      <c r="D101" t="s">
        <v>15</v>
      </c>
      <c r="E101" t="s">
        <v>16</v>
      </c>
      <c r="F101">
        <v>625</v>
      </c>
      <c r="G101">
        <v>28</v>
      </c>
      <c r="H101">
        <v>3</v>
      </c>
      <c r="I101">
        <v>0</v>
      </c>
      <c r="J101">
        <v>1</v>
      </c>
      <c r="K101">
        <v>0</v>
      </c>
      <c r="L101">
        <v>0</v>
      </c>
      <c r="M101">
        <v>183646.41</v>
      </c>
      <c r="N101">
        <v>0</v>
      </c>
      <c r="O101" t="str">
        <f t="shared" si="3"/>
        <v>Average</v>
      </c>
      <c r="P101" t="str">
        <f t="shared" si="4"/>
        <v>Young Adult</v>
      </c>
      <c r="Q101" t="str">
        <f t="shared" si="5"/>
        <v>High Salary</v>
      </c>
    </row>
    <row r="102" spans="1:17" x14ac:dyDescent="0.25">
      <c r="A102">
        <v>129</v>
      </c>
      <c r="B102">
        <v>15575492</v>
      </c>
      <c r="C102" t="s">
        <v>136</v>
      </c>
      <c r="D102" t="s">
        <v>15</v>
      </c>
      <c r="E102" t="s">
        <v>16</v>
      </c>
      <c r="F102">
        <v>828</v>
      </c>
      <c r="G102">
        <v>41</v>
      </c>
      <c r="H102">
        <v>7</v>
      </c>
      <c r="I102">
        <v>0</v>
      </c>
      <c r="J102">
        <v>2</v>
      </c>
      <c r="K102">
        <v>1</v>
      </c>
      <c r="L102">
        <v>0</v>
      </c>
      <c r="M102">
        <v>171378.77</v>
      </c>
      <c r="N102">
        <v>0</v>
      </c>
      <c r="O102" t="str">
        <f t="shared" si="3"/>
        <v>Good</v>
      </c>
      <c r="P102" t="str">
        <f t="shared" si="4"/>
        <v>Adult</v>
      </c>
      <c r="Q102" t="str">
        <f t="shared" si="5"/>
        <v>High Salary</v>
      </c>
    </row>
    <row r="103" spans="1:17" x14ac:dyDescent="0.25">
      <c r="A103">
        <v>130</v>
      </c>
      <c r="B103">
        <v>15591607</v>
      </c>
      <c r="C103" t="s">
        <v>142</v>
      </c>
      <c r="D103" t="s">
        <v>15</v>
      </c>
      <c r="E103" t="s">
        <v>23</v>
      </c>
      <c r="F103">
        <v>770</v>
      </c>
      <c r="G103">
        <v>24</v>
      </c>
      <c r="H103">
        <v>9</v>
      </c>
      <c r="I103">
        <v>101827.07</v>
      </c>
      <c r="J103">
        <v>1</v>
      </c>
      <c r="K103">
        <v>1</v>
      </c>
      <c r="L103">
        <v>0</v>
      </c>
      <c r="M103">
        <v>167256.35</v>
      </c>
      <c r="N103">
        <v>0</v>
      </c>
      <c r="O103" t="str">
        <f t="shared" si="3"/>
        <v>Good</v>
      </c>
      <c r="P103" t="str">
        <f t="shared" si="4"/>
        <v>Young Adult</v>
      </c>
      <c r="Q103" t="str">
        <f t="shared" si="5"/>
        <v>High Salary</v>
      </c>
    </row>
    <row r="104" spans="1:17" x14ac:dyDescent="0.25">
      <c r="A104">
        <v>131</v>
      </c>
      <c r="B104">
        <v>15740404</v>
      </c>
      <c r="C104" t="s">
        <v>27</v>
      </c>
      <c r="D104" t="s">
        <v>15</v>
      </c>
      <c r="E104" t="s">
        <v>16</v>
      </c>
      <c r="F104">
        <v>758</v>
      </c>
      <c r="G104">
        <v>34</v>
      </c>
      <c r="H104">
        <v>3</v>
      </c>
      <c r="I104">
        <v>0</v>
      </c>
      <c r="J104">
        <v>2</v>
      </c>
      <c r="K104">
        <v>1</v>
      </c>
      <c r="L104">
        <v>1</v>
      </c>
      <c r="M104">
        <v>124226.16</v>
      </c>
      <c r="N104">
        <v>0</v>
      </c>
      <c r="O104" t="str">
        <f t="shared" si="3"/>
        <v>Good</v>
      </c>
      <c r="P104" t="str">
        <f t="shared" si="4"/>
        <v>Adult</v>
      </c>
      <c r="Q104" t="str">
        <f t="shared" si="5"/>
        <v>High Salary</v>
      </c>
    </row>
    <row r="105" spans="1:17" x14ac:dyDescent="0.25">
      <c r="A105">
        <v>132</v>
      </c>
      <c r="B105">
        <v>15718369</v>
      </c>
      <c r="C105" t="s">
        <v>143</v>
      </c>
      <c r="D105" t="s">
        <v>26</v>
      </c>
      <c r="E105" t="s">
        <v>16</v>
      </c>
      <c r="F105">
        <v>795</v>
      </c>
      <c r="G105">
        <v>33</v>
      </c>
      <c r="H105">
        <v>9</v>
      </c>
      <c r="I105">
        <v>130862.43</v>
      </c>
      <c r="J105">
        <v>1</v>
      </c>
      <c r="K105">
        <v>1</v>
      </c>
      <c r="L105">
        <v>1</v>
      </c>
      <c r="M105">
        <v>114935.21</v>
      </c>
      <c r="N105">
        <v>0</v>
      </c>
      <c r="O105" t="str">
        <f t="shared" si="3"/>
        <v>Good</v>
      </c>
      <c r="P105" t="str">
        <f t="shared" si="4"/>
        <v>Adult</v>
      </c>
      <c r="Q105" t="str">
        <f t="shared" si="5"/>
        <v>High Salary</v>
      </c>
    </row>
    <row r="106" spans="1:17" x14ac:dyDescent="0.25">
      <c r="A106">
        <v>133</v>
      </c>
      <c r="B106">
        <v>15677871</v>
      </c>
      <c r="C106" t="s">
        <v>144</v>
      </c>
      <c r="D106" t="s">
        <v>15</v>
      </c>
      <c r="E106" t="s">
        <v>23</v>
      </c>
      <c r="F106">
        <v>687</v>
      </c>
      <c r="G106">
        <v>38</v>
      </c>
      <c r="H106">
        <v>9</v>
      </c>
      <c r="I106">
        <v>122570.87</v>
      </c>
      <c r="J106">
        <v>1</v>
      </c>
      <c r="K106">
        <v>1</v>
      </c>
      <c r="L106">
        <v>1</v>
      </c>
      <c r="M106">
        <v>35608.879999999997</v>
      </c>
      <c r="N106">
        <v>0</v>
      </c>
      <c r="O106" t="str">
        <f t="shared" si="3"/>
        <v>Good</v>
      </c>
      <c r="P106" t="str">
        <f t="shared" si="4"/>
        <v>Adult</v>
      </c>
      <c r="Q106" t="str">
        <f t="shared" si="5"/>
        <v>Medium Salary</v>
      </c>
    </row>
    <row r="107" spans="1:17" x14ac:dyDescent="0.25">
      <c r="A107">
        <v>134</v>
      </c>
      <c r="B107">
        <v>15642004</v>
      </c>
      <c r="C107" t="s">
        <v>145</v>
      </c>
      <c r="D107" t="s">
        <v>15</v>
      </c>
      <c r="E107" t="s">
        <v>23</v>
      </c>
      <c r="F107">
        <v>686</v>
      </c>
      <c r="G107">
        <v>25</v>
      </c>
      <c r="H107">
        <v>1</v>
      </c>
      <c r="I107">
        <v>0</v>
      </c>
      <c r="J107">
        <v>2</v>
      </c>
      <c r="K107">
        <v>0</v>
      </c>
      <c r="L107">
        <v>1</v>
      </c>
      <c r="M107">
        <v>16459.37</v>
      </c>
      <c r="N107">
        <v>0</v>
      </c>
      <c r="O107" t="str">
        <f t="shared" si="3"/>
        <v>Good</v>
      </c>
      <c r="P107" t="str">
        <f t="shared" si="4"/>
        <v>Young Adult</v>
      </c>
      <c r="Q107" t="str">
        <f t="shared" si="5"/>
        <v>Low Salary</v>
      </c>
    </row>
    <row r="108" spans="1:17" x14ac:dyDescent="0.25">
      <c r="A108">
        <v>135</v>
      </c>
      <c r="B108">
        <v>15712543</v>
      </c>
      <c r="C108" t="s">
        <v>146</v>
      </c>
      <c r="D108" t="s">
        <v>26</v>
      </c>
      <c r="E108" t="s">
        <v>23</v>
      </c>
      <c r="F108">
        <v>789</v>
      </c>
      <c r="G108">
        <v>39</v>
      </c>
      <c r="H108">
        <v>7</v>
      </c>
      <c r="I108">
        <v>124828.46</v>
      </c>
      <c r="J108">
        <v>2</v>
      </c>
      <c r="K108">
        <v>1</v>
      </c>
      <c r="L108">
        <v>1</v>
      </c>
      <c r="M108">
        <v>124411.08</v>
      </c>
      <c r="N108">
        <v>0</v>
      </c>
      <c r="O108" t="str">
        <f t="shared" si="3"/>
        <v>Good</v>
      </c>
      <c r="P108" t="str">
        <f t="shared" si="4"/>
        <v>Adult</v>
      </c>
      <c r="Q108" t="str">
        <f t="shared" si="5"/>
        <v>High Salary</v>
      </c>
    </row>
    <row r="109" spans="1:17" x14ac:dyDescent="0.25">
      <c r="A109">
        <v>136</v>
      </c>
      <c r="B109">
        <v>15584518</v>
      </c>
      <c r="C109" t="s">
        <v>147</v>
      </c>
      <c r="D109" t="s">
        <v>26</v>
      </c>
      <c r="E109" t="s">
        <v>16</v>
      </c>
      <c r="F109">
        <v>589</v>
      </c>
      <c r="G109">
        <v>50</v>
      </c>
      <c r="H109">
        <v>5</v>
      </c>
      <c r="I109">
        <v>144895.04999999999</v>
      </c>
      <c r="J109">
        <v>2</v>
      </c>
      <c r="K109">
        <v>1</v>
      </c>
      <c r="L109">
        <v>1</v>
      </c>
      <c r="M109">
        <v>34941.230000000003</v>
      </c>
      <c r="N109">
        <v>0</v>
      </c>
      <c r="O109" t="str">
        <f t="shared" si="3"/>
        <v>Average</v>
      </c>
      <c r="P109" t="str">
        <f t="shared" si="4"/>
        <v>Adult</v>
      </c>
      <c r="Q109" t="str">
        <f t="shared" si="5"/>
        <v>Medium Salary</v>
      </c>
    </row>
    <row r="110" spans="1:17" x14ac:dyDescent="0.25">
      <c r="A110">
        <v>137</v>
      </c>
      <c r="B110">
        <v>15802381</v>
      </c>
      <c r="C110" t="s">
        <v>148</v>
      </c>
      <c r="D110" t="s">
        <v>26</v>
      </c>
      <c r="E110" t="s">
        <v>16</v>
      </c>
      <c r="F110">
        <v>461</v>
      </c>
      <c r="G110">
        <v>34</v>
      </c>
      <c r="H110">
        <v>5</v>
      </c>
      <c r="I110">
        <v>63663.93</v>
      </c>
      <c r="J110">
        <v>1</v>
      </c>
      <c r="K110">
        <v>0</v>
      </c>
      <c r="L110">
        <v>1</v>
      </c>
      <c r="M110">
        <v>167784.28</v>
      </c>
      <c r="N110">
        <v>0</v>
      </c>
      <c r="O110" t="str">
        <f t="shared" si="3"/>
        <v>Poor</v>
      </c>
      <c r="P110" t="str">
        <f t="shared" si="4"/>
        <v>Adult</v>
      </c>
      <c r="Q110" t="str">
        <f t="shared" si="5"/>
        <v>High Salary</v>
      </c>
    </row>
    <row r="111" spans="1:17" x14ac:dyDescent="0.25">
      <c r="A111">
        <v>138</v>
      </c>
      <c r="B111">
        <v>15610156</v>
      </c>
      <c r="C111" t="s">
        <v>149</v>
      </c>
      <c r="D111" t="s">
        <v>15</v>
      </c>
      <c r="E111" t="s">
        <v>23</v>
      </c>
      <c r="F111">
        <v>637</v>
      </c>
      <c r="G111">
        <v>40</v>
      </c>
      <c r="H111">
        <v>2</v>
      </c>
      <c r="I111">
        <v>133463.1</v>
      </c>
      <c r="J111">
        <v>1</v>
      </c>
      <c r="K111">
        <v>0</v>
      </c>
      <c r="L111">
        <v>1</v>
      </c>
      <c r="M111">
        <v>93165.34</v>
      </c>
      <c r="N111">
        <v>0</v>
      </c>
      <c r="O111" t="str">
        <f t="shared" si="3"/>
        <v>Average</v>
      </c>
      <c r="P111" t="str">
        <f t="shared" si="4"/>
        <v>Adult</v>
      </c>
      <c r="Q111" t="str">
        <f t="shared" si="5"/>
        <v>High Salary</v>
      </c>
    </row>
    <row r="112" spans="1:17" x14ac:dyDescent="0.25">
      <c r="A112">
        <v>141</v>
      </c>
      <c r="B112">
        <v>15698932</v>
      </c>
      <c r="C112" t="s">
        <v>152</v>
      </c>
      <c r="D112" t="s">
        <v>26</v>
      </c>
      <c r="E112" t="s">
        <v>23</v>
      </c>
      <c r="F112">
        <v>756</v>
      </c>
      <c r="G112">
        <v>44</v>
      </c>
      <c r="H112">
        <v>10</v>
      </c>
      <c r="I112">
        <v>137452.09</v>
      </c>
      <c r="J112">
        <v>1</v>
      </c>
      <c r="K112">
        <v>1</v>
      </c>
      <c r="L112">
        <v>0</v>
      </c>
      <c r="M112">
        <v>189543.9</v>
      </c>
      <c r="N112">
        <v>0</v>
      </c>
      <c r="O112" t="str">
        <f t="shared" si="3"/>
        <v>Good</v>
      </c>
      <c r="P112" t="str">
        <f t="shared" si="4"/>
        <v>Adult</v>
      </c>
      <c r="Q112" t="str">
        <f t="shared" si="5"/>
        <v>High Salary</v>
      </c>
    </row>
    <row r="113" spans="1:17" x14ac:dyDescent="0.25">
      <c r="A113">
        <v>142</v>
      </c>
      <c r="B113">
        <v>15724944</v>
      </c>
      <c r="C113" t="s">
        <v>153</v>
      </c>
      <c r="D113" t="s">
        <v>15</v>
      </c>
      <c r="E113" t="s">
        <v>23</v>
      </c>
      <c r="F113">
        <v>663</v>
      </c>
      <c r="G113">
        <v>34</v>
      </c>
      <c r="H113">
        <v>7</v>
      </c>
      <c r="I113">
        <v>0</v>
      </c>
      <c r="J113">
        <v>2</v>
      </c>
      <c r="K113">
        <v>1</v>
      </c>
      <c r="L113">
        <v>1</v>
      </c>
      <c r="M113">
        <v>180427.24</v>
      </c>
      <c r="N113">
        <v>0</v>
      </c>
      <c r="O113" t="str">
        <f t="shared" si="3"/>
        <v>Average</v>
      </c>
      <c r="P113" t="str">
        <f t="shared" si="4"/>
        <v>Adult</v>
      </c>
      <c r="Q113" t="str">
        <f t="shared" si="5"/>
        <v>High Salary</v>
      </c>
    </row>
    <row r="114" spans="1:17" x14ac:dyDescent="0.25">
      <c r="A114">
        <v>143</v>
      </c>
      <c r="B114">
        <v>15628145</v>
      </c>
      <c r="C114" t="s">
        <v>154</v>
      </c>
      <c r="D114" t="s">
        <v>15</v>
      </c>
      <c r="E114" t="s">
        <v>16</v>
      </c>
      <c r="F114">
        <v>682</v>
      </c>
      <c r="G114">
        <v>43</v>
      </c>
      <c r="H114">
        <v>5</v>
      </c>
      <c r="I114">
        <v>125851.93</v>
      </c>
      <c r="J114">
        <v>1</v>
      </c>
      <c r="K114">
        <v>1</v>
      </c>
      <c r="L114">
        <v>1</v>
      </c>
      <c r="M114">
        <v>193318.33</v>
      </c>
      <c r="N114">
        <v>0</v>
      </c>
      <c r="O114" t="str">
        <f t="shared" si="3"/>
        <v>Good</v>
      </c>
      <c r="P114" t="str">
        <f t="shared" si="4"/>
        <v>Adult</v>
      </c>
      <c r="Q114" t="str">
        <f t="shared" si="5"/>
        <v>High Salary</v>
      </c>
    </row>
    <row r="115" spans="1:17" x14ac:dyDescent="0.25">
      <c r="A115">
        <v>146</v>
      </c>
      <c r="B115">
        <v>15800703</v>
      </c>
      <c r="C115" t="s">
        <v>157</v>
      </c>
      <c r="D115" t="s">
        <v>18</v>
      </c>
      <c r="E115" t="s">
        <v>16</v>
      </c>
      <c r="F115">
        <v>485</v>
      </c>
      <c r="G115">
        <v>21</v>
      </c>
      <c r="H115">
        <v>5</v>
      </c>
      <c r="I115">
        <v>113157.22</v>
      </c>
      <c r="J115">
        <v>1</v>
      </c>
      <c r="K115">
        <v>1</v>
      </c>
      <c r="L115">
        <v>1</v>
      </c>
      <c r="M115">
        <v>54141.5</v>
      </c>
      <c r="N115">
        <v>0</v>
      </c>
      <c r="O115" t="str">
        <f t="shared" si="3"/>
        <v>Poor</v>
      </c>
      <c r="P115" t="str">
        <f t="shared" si="4"/>
        <v>Young Adult</v>
      </c>
      <c r="Q115" t="str">
        <f t="shared" si="5"/>
        <v>Medium Salary</v>
      </c>
    </row>
    <row r="116" spans="1:17" x14ac:dyDescent="0.25">
      <c r="A116">
        <v>147</v>
      </c>
      <c r="B116">
        <v>15705707</v>
      </c>
      <c r="C116" t="s">
        <v>158</v>
      </c>
      <c r="D116" t="s">
        <v>18</v>
      </c>
      <c r="E116" t="s">
        <v>16</v>
      </c>
      <c r="F116">
        <v>635</v>
      </c>
      <c r="G116">
        <v>29</v>
      </c>
      <c r="H116">
        <v>8</v>
      </c>
      <c r="I116">
        <v>138296.94</v>
      </c>
      <c r="J116">
        <v>2</v>
      </c>
      <c r="K116">
        <v>1</v>
      </c>
      <c r="L116">
        <v>0</v>
      </c>
      <c r="M116">
        <v>141075.51</v>
      </c>
      <c r="N116">
        <v>0</v>
      </c>
      <c r="O116" t="str">
        <f t="shared" si="3"/>
        <v>Average</v>
      </c>
      <c r="P116" t="str">
        <f t="shared" si="4"/>
        <v>Young Adult</v>
      </c>
      <c r="Q116" t="str">
        <f t="shared" si="5"/>
        <v>High Salary</v>
      </c>
    </row>
    <row r="117" spans="1:17" x14ac:dyDescent="0.25">
      <c r="A117">
        <v>148</v>
      </c>
      <c r="B117">
        <v>15754105</v>
      </c>
      <c r="C117" t="s">
        <v>159</v>
      </c>
      <c r="D117" t="s">
        <v>15</v>
      </c>
      <c r="E117" t="s">
        <v>23</v>
      </c>
      <c r="F117">
        <v>650</v>
      </c>
      <c r="G117">
        <v>37</v>
      </c>
      <c r="H117">
        <v>5</v>
      </c>
      <c r="I117">
        <v>106967.18</v>
      </c>
      <c r="J117">
        <v>1</v>
      </c>
      <c r="K117">
        <v>0</v>
      </c>
      <c r="L117">
        <v>0</v>
      </c>
      <c r="M117">
        <v>24495.03</v>
      </c>
      <c r="N117">
        <v>0</v>
      </c>
      <c r="O117" t="str">
        <f t="shared" si="3"/>
        <v>Average</v>
      </c>
      <c r="P117" t="str">
        <f t="shared" si="4"/>
        <v>Adult</v>
      </c>
      <c r="Q117" t="str">
        <f t="shared" si="5"/>
        <v>Low Salary</v>
      </c>
    </row>
    <row r="118" spans="1:17" x14ac:dyDescent="0.25">
      <c r="A118">
        <v>149</v>
      </c>
      <c r="B118">
        <v>15703264</v>
      </c>
      <c r="C118" t="s">
        <v>160</v>
      </c>
      <c r="D118" t="s">
        <v>15</v>
      </c>
      <c r="E118" t="s">
        <v>23</v>
      </c>
      <c r="F118">
        <v>735</v>
      </c>
      <c r="G118">
        <v>44</v>
      </c>
      <c r="H118">
        <v>9</v>
      </c>
      <c r="I118">
        <v>120681.63</v>
      </c>
      <c r="J118">
        <v>1</v>
      </c>
      <c r="K118">
        <v>1</v>
      </c>
      <c r="L118">
        <v>0</v>
      </c>
      <c r="M118">
        <v>74836.34</v>
      </c>
      <c r="N118">
        <v>0</v>
      </c>
      <c r="O118" t="str">
        <f t="shared" si="3"/>
        <v>Good</v>
      </c>
      <c r="P118" t="str">
        <f t="shared" si="4"/>
        <v>Adult</v>
      </c>
      <c r="Q118" t="str">
        <f t="shared" si="5"/>
        <v>High Salary</v>
      </c>
    </row>
    <row r="119" spans="1:17" x14ac:dyDescent="0.25">
      <c r="A119">
        <v>150</v>
      </c>
      <c r="B119">
        <v>15794413</v>
      </c>
      <c r="C119" t="s">
        <v>161</v>
      </c>
      <c r="D119" t="s">
        <v>15</v>
      </c>
      <c r="E119" t="s">
        <v>23</v>
      </c>
      <c r="F119">
        <v>416</v>
      </c>
      <c r="G119">
        <v>32</v>
      </c>
      <c r="H119">
        <v>0</v>
      </c>
      <c r="I119">
        <v>0</v>
      </c>
      <c r="J119">
        <v>2</v>
      </c>
      <c r="K119">
        <v>0</v>
      </c>
      <c r="L119">
        <v>1</v>
      </c>
      <c r="M119">
        <v>878.87</v>
      </c>
      <c r="N119">
        <v>0</v>
      </c>
      <c r="O119" t="str">
        <f t="shared" si="3"/>
        <v>Poor</v>
      </c>
      <c r="P119" t="str">
        <f t="shared" si="4"/>
        <v>Adult</v>
      </c>
      <c r="Q119" t="str">
        <f t="shared" si="5"/>
        <v>Low Salary</v>
      </c>
    </row>
    <row r="120" spans="1:17" x14ac:dyDescent="0.25">
      <c r="A120">
        <v>151</v>
      </c>
      <c r="B120">
        <v>15650237</v>
      </c>
      <c r="C120" t="s">
        <v>162</v>
      </c>
      <c r="D120" t="s">
        <v>18</v>
      </c>
      <c r="E120" t="s">
        <v>16</v>
      </c>
      <c r="F120">
        <v>754</v>
      </c>
      <c r="G120">
        <v>32</v>
      </c>
      <c r="H120">
        <v>7</v>
      </c>
      <c r="I120">
        <v>0</v>
      </c>
      <c r="J120">
        <v>2</v>
      </c>
      <c r="K120">
        <v>1</v>
      </c>
      <c r="L120">
        <v>0</v>
      </c>
      <c r="M120">
        <v>89520.75</v>
      </c>
      <c r="N120">
        <v>0</v>
      </c>
      <c r="O120" t="str">
        <f t="shared" si="3"/>
        <v>Good</v>
      </c>
      <c r="P120" t="str">
        <f t="shared" si="4"/>
        <v>Adult</v>
      </c>
      <c r="Q120" t="str">
        <f t="shared" si="5"/>
        <v>High Salary</v>
      </c>
    </row>
    <row r="121" spans="1:17" x14ac:dyDescent="0.25">
      <c r="A121">
        <v>153</v>
      </c>
      <c r="B121">
        <v>15811589</v>
      </c>
      <c r="C121" t="s">
        <v>164</v>
      </c>
      <c r="D121" t="s">
        <v>18</v>
      </c>
      <c r="E121" t="s">
        <v>23</v>
      </c>
      <c r="F121">
        <v>716</v>
      </c>
      <c r="G121">
        <v>42</v>
      </c>
      <c r="H121">
        <v>8</v>
      </c>
      <c r="I121">
        <v>0</v>
      </c>
      <c r="J121">
        <v>2</v>
      </c>
      <c r="K121">
        <v>1</v>
      </c>
      <c r="L121">
        <v>0</v>
      </c>
      <c r="M121">
        <v>180800.42</v>
      </c>
      <c r="N121">
        <v>0</v>
      </c>
      <c r="O121" t="str">
        <f t="shared" si="3"/>
        <v>Good</v>
      </c>
      <c r="P121" t="str">
        <f t="shared" si="4"/>
        <v>Adult</v>
      </c>
      <c r="Q121" t="str">
        <f t="shared" si="5"/>
        <v>High Salary</v>
      </c>
    </row>
    <row r="122" spans="1:17" x14ac:dyDescent="0.25">
      <c r="A122">
        <v>154</v>
      </c>
      <c r="B122">
        <v>15689044</v>
      </c>
      <c r="C122" t="s">
        <v>165</v>
      </c>
      <c r="D122" t="s">
        <v>15</v>
      </c>
      <c r="E122" t="s">
        <v>23</v>
      </c>
      <c r="F122">
        <v>539</v>
      </c>
      <c r="G122">
        <v>37</v>
      </c>
      <c r="H122">
        <v>2</v>
      </c>
      <c r="I122">
        <v>127609.59</v>
      </c>
      <c r="J122">
        <v>1</v>
      </c>
      <c r="K122">
        <v>1</v>
      </c>
      <c r="L122">
        <v>0</v>
      </c>
      <c r="M122">
        <v>98646.22</v>
      </c>
      <c r="N122">
        <v>0</v>
      </c>
      <c r="O122" t="str">
        <f t="shared" si="3"/>
        <v>Poor</v>
      </c>
      <c r="P122" t="str">
        <f t="shared" si="4"/>
        <v>Adult</v>
      </c>
      <c r="Q122" t="str">
        <f t="shared" si="5"/>
        <v>High Salary</v>
      </c>
    </row>
    <row r="123" spans="1:17" x14ac:dyDescent="0.25">
      <c r="A123">
        <v>155</v>
      </c>
      <c r="B123">
        <v>15709368</v>
      </c>
      <c r="C123" t="s">
        <v>166</v>
      </c>
      <c r="D123" t="s">
        <v>15</v>
      </c>
      <c r="E123" t="s">
        <v>16</v>
      </c>
      <c r="F123">
        <v>614</v>
      </c>
      <c r="G123">
        <v>43</v>
      </c>
      <c r="H123">
        <v>6</v>
      </c>
      <c r="I123">
        <v>0</v>
      </c>
      <c r="J123">
        <v>2</v>
      </c>
      <c r="K123">
        <v>1</v>
      </c>
      <c r="L123">
        <v>1</v>
      </c>
      <c r="M123">
        <v>109041.53</v>
      </c>
      <c r="N123">
        <v>0</v>
      </c>
      <c r="O123" t="str">
        <f t="shared" si="3"/>
        <v>Average</v>
      </c>
      <c r="P123" t="str">
        <f t="shared" si="4"/>
        <v>Adult</v>
      </c>
      <c r="Q123" t="str">
        <f t="shared" si="5"/>
        <v>High Salary</v>
      </c>
    </row>
    <row r="124" spans="1:17" x14ac:dyDescent="0.25">
      <c r="A124">
        <v>157</v>
      </c>
      <c r="B124">
        <v>15655007</v>
      </c>
      <c r="C124" t="s">
        <v>148</v>
      </c>
      <c r="D124" t="s">
        <v>15</v>
      </c>
      <c r="E124" t="s">
        <v>16</v>
      </c>
      <c r="F124">
        <v>758</v>
      </c>
      <c r="G124">
        <v>33</v>
      </c>
      <c r="H124">
        <v>7</v>
      </c>
      <c r="I124">
        <v>0</v>
      </c>
      <c r="J124">
        <v>2</v>
      </c>
      <c r="K124">
        <v>0</v>
      </c>
      <c r="L124">
        <v>0</v>
      </c>
      <c r="M124">
        <v>82996.47</v>
      </c>
      <c r="N124">
        <v>0</v>
      </c>
      <c r="O124" t="str">
        <f t="shared" si="3"/>
        <v>Good</v>
      </c>
      <c r="P124" t="str">
        <f t="shared" si="4"/>
        <v>Adult</v>
      </c>
      <c r="Q124" t="str">
        <f t="shared" si="5"/>
        <v>High Salary</v>
      </c>
    </row>
    <row r="125" spans="1:17" x14ac:dyDescent="0.25">
      <c r="A125">
        <v>158</v>
      </c>
      <c r="B125">
        <v>15623595</v>
      </c>
      <c r="C125" t="s">
        <v>168</v>
      </c>
      <c r="D125" t="s">
        <v>18</v>
      </c>
      <c r="E125" t="s">
        <v>16</v>
      </c>
      <c r="F125">
        <v>586</v>
      </c>
      <c r="G125">
        <v>28</v>
      </c>
      <c r="H125">
        <v>2</v>
      </c>
      <c r="I125">
        <v>0</v>
      </c>
      <c r="J125">
        <v>2</v>
      </c>
      <c r="K125">
        <v>1</v>
      </c>
      <c r="L125">
        <v>1</v>
      </c>
      <c r="M125">
        <v>92067.35</v>
      </c>
      <c r="N125">
        <v>0</v>
      </c>
      <c r="O125" t="str">
        <f t="shared" si="3"/>
        <v>Average</v>
      </c>
      <c r="P125" t="str">
        <f t="shared" si="4"/>
        <v>Young Adult</v>
      </c>
      <c r="Q125" t="str">
        <f t="shared" si="5"/>
        <v>High Salary</v>
      </c>
    </row>
    <row r="126" spans="1:17" x14ac:dyDescent="0.25">
      <c r="A126">
        <v>159</v>
      </c>
      <c r="B126">
        <v>15589975</v>
      </c>
      <c r="C126" t="s">
        <v>44</v>
      </c>
      <c r="D126" t="s">
        <v>15</v>
      </c>
      <c r="E126" t="s">
        <v>16</v>
      </c>
      <c r="F126">
        <v>646</v>
      </c>
      <c r="G126">
        <v>73</v>
      </c>
      <c r="H126">
        <v>6</v>
      </c>
      <c r="I126">
        <v>97259.25</v>
      </c>
      <c r="J126">
        <v>1</v>
      </c>
      <c r="K126">
        <v>0</v>
      </c>
      <c r="L126">
        <v>1</v>
      </c>
      <c r="M126">
        <v>104719.66</v>
      </c>
      <c r="N126">
        <v>0</v>
      </c>
      <c r="O126" t="str">
        <f t="shared" si="3"/>
        <v>Average</v>
      </c>
      <c r="P126" t="str">
        <f t="shared" si="4"/>
        <v>Senior</v>
      </c>
      <c r="Q126" t="str">
        <f t="shared" si="5"/>
        <v>High Salary</v>
      </c>
    </row>
    <row r="127" spans="1:17" x14ac:dyDescent="0.25">
      <c r="A127">
        <v>160</v>
      </c>
      <c r="B127">
        <v>15804017</v>
      </c>
      <c r="C127" t="s">
        <v>169</v>
      </c>
      <c r="D127" t="s">
        <v>26</v>
      </c>
      <c r="E127" t="s">
        <v>16</v>
      </c>
      <c r="F127">
        <v>631</v>
      </c>
      <c r="G127">
        <v>33</v>
      </c>
      <c r="H127">
        <v>4</v>
      </c>
      <c r="I127">
        <v>123246.7</v>
      </c>
      <c r="J127">
        <v>1</v>
      </c>
      <c r="K127">
        <v>0</v>
      </c>
      <c r="L127">
        <v>0</v>
      </c>
      <c r="M127">
        <v>112687.57</v>
      </c>
      <c r="N127">
        <v>0</v>
      </c>
      <c r="O127" t="str">
        <f t="shared" si="3"/>
        <v>Average</v>
      </c>
      <c r="P127" t="str">
        <f t="shared" si="4"/>
        <v>Adult</v>
      </c>
      <c r="Q127" t="str">
        <f t="shared" si="5"/>
        <v>High Salary</v>
      </c>
    </row>
    <row r="128" spans="1:17" x14ac:dyDescent="0.25">
      <c r="A128">
        <v>161</v>
      </c>
      <c r="B128">
        <v>15692132</v>
      </c>
      <c r="C128" t="s">
        <v>170</v>
      </c>
      <c r="D128" t="s">
        <v>18</v>
      </c>
      <c r="E128" t="s">
        <v>16</v>
      </c>
      <c r="F128">
        <v>717</v>
      </c>
      <c r="G128">
        <v>22</v>
      </c>
      <c r="H128">
        <v>6</v>
      </c>
      <c r="I128">
        <v>101060.25</v>
      </c>
      <c r="J128">
        <v>1</v>
      </c>
      <c r="K128">
        <v>0</v>
      </c>
      <c r="L128">
        <v>1</v>
      </c>
      <c r="M128">
        <v>84699.56</v>
      </c>
      <c r="N128">
        <v>0</v>
      </c>
      <c r="O128" t="str">
        <f t="shared" si="3"/>
        <v>Good</v>
      </c>
      <c r="P128" t="str">
        <f t="shared" si="4"/>
        <v>Young Adult</v>
      </c>
      <c r="Q128" t="str">
        <f t="shared" si="5"/>
        <v>High Salary</v>
      </c>
    </row>
    <row r="129" spans="1:17" x14ac:dyDescent="0.25">
      <c r="A129">
        <v>162</v>
      </c>
      <c r="B129">
        <v>15641122</v>
      </c>
      <c r="C129" t="s">
        <v>171</v>
      </c>
      <c r="D129" t="s">
        <v>15</v>
      </c>
      <c r="E129" t="s">
        <v>23</v>
      </c>
      <c r="F129">
        <v>684</v>
      </c>
      <c r="G129">
        <v>30</v>
      </c>
      <c r="H129">
        <v>2</v>
      </c>
      <c r="I129">
        <v>0</v>
      </c>
      <c r="J129">
        <v>2</v>
      </c>
      <c r="K129">
        <v>1</v>
      </c>
      <c r="L129">
        <v>0</v>
      </c>
      <c r="M129">
        <v>83473.820000000007</v>
      </c>
      <c r="N129">
        <v>0</v>
      </c>
      <c r="O129" t="str">
        <f t="shared" si="3"/>
        <v>Good</v>
      </c>
      <c r="P129" t="str">
        <f t="shared" si="4"/>
        <v>Young Adult</v>
      </c>
      <c r="Q129" t="str">
        <f t="shared" si="5"/>
        <v>High Salary</v>
      </c>
    </row>
    <row r="130" spans="1:17" x14ac:dyDescent="0.25">
      <c r="A130">
        <v>163</v>
      </c>
      <c r="B130">
        <v>15630910</v>
      </c>
      <c r="C130" t="s">
        <v>172</v>
      </c>
      <c r="D130" t="s">
        <v>15</v>
      </c>
      <c r="E130" t="s">
        <v>16</v>
      </c>
      <c r="F130">
        <v>800</v>
      </c>
      <c r="G130">
        <v>49</v>
      </c>
      <c r="H130">
        <v>7</v>
      </c>
      <c r="I130">
        <v>108007.36</v>
      </c>
      <c r="J130">
        <v>1</v>
      </c>
      <c r="K130">
        <v>0</v>
      </c>
      <c r="L130">
        <v>0</v>
      </c>
      <c r="M130">
        <v>47125.11</v>
      </c>
      <c r="N130">
        <v>0</v>
      </c>
      <c r="O130" t="str">
        <f t="shared" si="3"/>
        <v>Good</v>
      </c>
      <c r="P130" t="str">
        <f t="shared" si="4"/>
        <v>Adult</v>
      </c>
      <c r="Q130" t="str">
        <f t="shared" si="5"/>
        <v>Medium Salary</v>
      </c>
    </row>
    <row r="131" spans="1:17" x14ac:dyDescent="0.25">
      <c r="A131">
        <v>164</v>
      </c>
      <c r="B131">
        <v>15680772</v>
      </c>
      <c r="C131" t="s">
        <v>95</v>
      </c>
      <c r="D131" t="s">
        <v>18</v>
      </c>
      <c r="E131" t="s">
        <v>16</v>
      </c>
      <c r="F131">
        <v>721</v>
      </c>
      <c r="G131">
        <v>36</v>
      </c>
      <c r="H131">
        <v>2</v>
      </c>
      <c r="I131">
        <v>0</v>
      </c>
      <c r="J131">
        <v>2</v>
      </c>
      <c r="K131">
        <v>1</v>
      </c>
      <c r="L131">
        <v>1</v>
      </c>
      <c r="M131">
        <v>106977.8</v>
      </c>
      <c r="N131">
        <v>0</v>
      </c>
      <c r="O131" t="str">
        <f t="shared" ref="O131:O194" si="6">IF(F131&lt;580, "Poor", IF(AND(F131&gt;=580, F131&lt;=669), "Average", "Good"))</f>
        <v>Good</v>
      </c>
      <c r="P131" t="str">
        <f t="shared" ref="P131:P194" si="7">IF(G131&lt;=30, "Young Adult", IF(AND(G131&gt;=31, G131&lt;=60), "Adult", "Senior"))</f>
        <v>Adult</v>
      </c>
      <c r="Q131" t="str">
        <f t="shared" ref="Q131:Q194" si="8">IF(M131&lt;30000, "Low Salary", IF(AND(M131&gt;=30000, M131&lt;=70000), "Medium Salary", "High Salary"))</f>
        <v>High Salary</v>
      </c>
    </row>
    <row r="132" spans="1:17" x14ac:dyDescent="0.25">
      <c r="A132">
        <v>166</v>
      </c>
      <c r="B132">
        <v>15585388</v>
      </c>
      <c r="C132" t="s">
        <v>174</v>
      </c>
      <c r="D132" t="s">
        <v>26</v>
      </c>
      <c r="E132" t="s">
        <v>23</v>
      </c>
      <c r="F132">
        <v>660</v>
      </c>
      <c r="G132">
        <v>31</v>
      </c>
      <c r="H132">
        <v>9</v>
      </c>
      <c r="I132">
        <v>125189.75</v>
      </c>
      <c r="J132">
        <v>2</v>
      </c>
      <c r="K132">
        <v>1</v>
      </c>
      <c r="L132">
        <v>1</v>
      </c>
      <c r="M132">
        <v>139874.43</v>
      </c>
      <c r="N132">
        <v>0</v>
      </c>
      <c r="O132" t="str">
        <f t="shared" si="6"/>
        <v>Average</v>
      </c>
      <c r="P132" t="str">
        <f t="shared" si="7"/>
        <v>Adult</v>
      </c>
      <c r="Q132" t="str">
        <f t="shared" si="8"/>
        <v>High Salary</v>
      </c>
    </row>
    <row r="133" spans="1:17" x14ac:dyDescent="0.25">
      <c r="A133">
        <v>168</v>
      </c>
      <c r="B133">
        <v>15588537</v>
      </c>
      <c r="C133" t="s">
        <v>176</v>
      </c>
      <c r="D133" t="s">
        <v>18</v>
      </c>
      <c r="E133" t="s">
        <v>16</v>
      </c>
      <c r="F133">
        <v>615</v>
      </c>
      <c r="G133">
        <v>41</v>
      </c>
      <c r="H133">
        <v>9</v>
      </c>
      <c r="I133">
        <v>109013.23</v>
      </c>
      <c r="J133">
        <v>1</v>
      </c>
      <c r="K133">
        <v>1</v>
      </c>
      <c r="L133">
        <v>0</v>
      </c>
      <c r="M133">
        <v>196499.96</v>
      </c>
      <c r="N133">
        <v>0</v>
      </c>
      <c r="O133" t="str">
        <f t="shared" si="6"/>
        <v>Average</v>
      </c>
      <c r="P133" t="str">
        <f t="shared" si="7"/>
        <v>Adult</v>
      </c>
      <c r="Q133" t="str">
        <f t="shared" si="8"/>
        <v>High Salary</v>
      </c>
    </row>
    <row r="134" spans="1:17" x14ac:dyDescent="0.25">
      <c r="A134">
        <v>170</v>
      </c>
      <c r="B134">
        <v>15611325</v>
      </c>
      <c r="C134" t="s">
        <v>178</v>
      </c>
      <c r="D134" t="s">
        <v>26</v>
      </c>
      <c r="E134" t="s">
        <v>23</v>
      </c>
      <c r="F134">
        <v>682</v>
      </c>
      <c r="G134">
        <v>24</v>
      </c>
      <c r="H134">
        <v>9</v>
      </c>
      <c r="I134">
        <v>57929.81</v>
      </c>
      <c r="J134">
        <v>2</v>
      </c>
      <c r="K134">
        <v>0</v>
      </c>
      <c r="L134">
        <v>0</v>
      </c>
      <c r="M134">
        <v>53134.3</v>
      </c>
      <c r="N134">
        <v>0</v>
      </c>
      <c r="O134" t="str">
        <f t="shared" si="6"/>
        <v>Good</v>
      </c>
      <c r="P134" t="str">
        <f t="shared" si="7"/>
        <v>Young Adult</v>
      </c>
      <c r="Q134" t="str">
        <f t="shared" si="8"/>
        <v>Medium Salary</v>
      </c>
    </row>
    <row r="135" spans="1:17" x14ac:dyDescent="0.25">
      <c r="A135">
        <v>171</v>
      </c>
      <c r="B135">
        <v>15587562</v>
      </c>
      <c r="C135" t="s">
        <v>179</v>
      </c>
      <c r="D135" t="s">
        <v>15</v>
      </c>
      <c r="E135" t="s">
        <v>16</v>
      </c>
      <c r="F135">
        <v>484</v>
      </c>
      <c r="G135">
        <v>29</v>
      </c>
      <c r="H135">
        <v>4</v>
      </c>
      <c r="I135">
        <v>130114.39</v>
      </c>
      <c r="J135">
        <v>1</v>
      </c>
      <c r="K135">
        <v>1</v>
      </c>
      <c r="L135">
        <v>0</v>
      </c>
      <c r="M135">
        <v>164017.89000000001</v>
      </c>
      <c r="N135">
        <v>0</v>
      </c>
      <c r="O135" t="str">
        <f t="shared" si="6"/>
        <v>Poor</v>
      </c>
      <c r="P135" t="str">
        <f t="shared" si="7"/>
        <v>Young Adult</v>
      </c>
      <c r="Q135" t="str">
        <f t="shared" si="8"/>
        <v>High Salary</v>
      </c>
    </row>
    <row r="136" spans="1:17" x14ac:dyDescent="0.25">
      <c r="A136">
        <v>172</v>
      </c>
      <c r="B136">
        <v>15613172</v>
      </c>
      <c r="C136" t="s">
        <v>180</v>
      </c>
      <c r="D136" t="s">
        <v>26</v>
      </c>
      <c r="E136" t="s">
        <v>23</v>
      </c>
      <c r="F136">
        <v>628</v>
      </c>
      <c r="G136">
        <v>27</v>
      </c>
      <c r="H136">
        <v>5</v>
      </c>
      <c r="I136">
        <v>95826.49</v>
      </c>
      <c r="J136">
        <v>2</v>
      </c>
      <c r="K136">
        <v>1</v>
      </c>
      <c r="L136">
        <v>0</v>
      </c>
      <c r="M136">
        <v>155996.96</v>
      </c>
      <c r="N136">
        <v>0</v>
      </c>
      <c r="O136" t="str">
        <f t="shared" si="6"/>
        <v>Average</v>
      </c>
      <c r="P136" t="str">
        <f t="shared" si="7"/>
        <v>Young Adult</v>
      </c>
      <c r="Q136" t="str">
        <f t="shared" si="8"/>
        <v>High Salary</v>
      </c>
    </row>
    <row r="137" spans="1:17" x14ac:dyDescent="0.25">
      <c r="A137">
        <v>174</v>
      </c>
      <c r="B137">
        <v>15586310</v>
      </c>
      <c r="C137" t="s">
        <v>182</v>
      </c>
      <c r="D137" t="s">
        <v>15</v>
      </c>
      <c r="E137" t="s">
        <v>23</v>
      </c>
      <c r="F137">
        <v>578</v>
      </c>
      <c r="G137">
        <v>30</v>
      </c>
      <c r="H137">
        <v>4</v>
      </c>
      <c r="I137">
        <v>169462.09</v>
      </c>
      <c r="J137">
        <v>1</v>
      </c>
      <c r="K137">
        <v>1</v>
      </c>
      <c r="L137">
        <v>0</v>
      </c>
      <c r="M137">
        <v>112187.11</v>
      </c>
      <c r="N137">
        <v>0</v>
      </c>
      <c r="O137" t="str">
        <f t="shared" si="6"/>
        <v>Poor</v>
      </c>
      <c r="P137" t="str">
        <f t="shared" si="7"/>
        <v>Young Adult</v>
      </c>
      <c r="Q137" t="str">
        <f t="shared" si="8"/>
        <v>High Salary</v>
      </c>
    </row>
    <row r="138" spans="1:17" x14ac:dyDescent="0.25">
      <c r="A138">
        <v>175</v>
      </c>
      <c r="B138">
        <v>15625524</v>
      </c>
      <c r="C138" t="s">
        <v>183</v>
      </c>
      <c r="D138" t="s">
        <v>15</v>
      </c>
      <c r="E138" t="s">
        <v>23</v>
      </c>
      <c r="F138">
        <v>512</v>
      </c>
      <c r="G138">
        <v>40</v>
      </c>
      <c r="H138">
        <v>5</v>
      </c>
      <c r="I138">
        <v>0</v>
      </c>
      <c r="J138">
        <v>2</v>
      </c>
      <c r="K138">
        <v>1</v>
      </c>
      <c r="L138">
        <v>1</v>
      </c>
      <c r="M138">
        <v>146457.82999999999</v>
      </c>
      <c r="N138">
        <v>0</v>
      </c>
      <c r="O138" t="str">
        <f t="shared" si="6"/>
        <v>Poor</v>
      </c>
      <c r="P138" t="str">
        <f t="shared" si="7"/>
        <v>Adult</v>
      </c>
      <c r="Q138" t="str">
        <f t="shared" si="8"/>
        <v>High Salary</v>
      </c>
    </row>
    <row r="139" spans="1:17" x14ac:dyDescent="0.25">
      <c r="A139">
        <v>176</v>
      </c>
      <c r="B139">
        <v>15755209</v>
      </c>
      <c r="C139" t="s">
        <v>117</v>
      </c>
      <c r="D139" t="s">
        <v>18</v>
      </c>
      <c r="E139" t="s">
        <v>16</v>
      </c>
      <c r="F139">
        <v>484</v>
      </c>
      <c r="G139">
        <v>35</v>
      </c>
      <c r="H139">
        <v>7</v>
      </c>
      <c r="I139">
        <v>133868.21</v>
      </c>
      <c r="J139">
        <v>1</v>
      </c>
      <c r="K139">
        <v>1</v>
      </c>
      <c r="L139">
        <v>1</v>
      </c>
      <c r="M139">
        <v>27286.1</v>
      </c>
      <c r="N139">
        <v>0</v>
      </c>
      <c r="O139" t="str">
        <f t="shared" si="6"/>
        <v>Poor</v>
      </c>
      <c r="P139" t="str">
        <f t="shared" si="7"/>
        <v>Adult</v>
      </c>
      <c r="Q139" t="str">
        <f t="shared" si="8"/>
        <v>Low Salary</v>
      </c>
    </row>
    <row r="140" spans="1:17" x14ac:dyDescent="0.25">
      <c r="A140">
        <v>177</v>
      </c>
      <c r="B140">
        <v>15645248</v>
      </c>
      <c r="C140" t="s">
        <v>184</v>
      </c>
      <c r="D140" t="s">
        <v>15</v>
      </c>
      <c r="E140" t="s">
        <v>16</v>
      </c>
      <c r="F140">
        <v>510</v>
      </c>
      <c r="G140">
        <v>30</v>
      </c>
      <c r="H140">
        <v>0</v>
      </c>
      <c r="I140">
        <v>0</v>
      </c>
      <c r="J140">
        <v>2</v>
      </c>
      <c r="K140">
        <v>1</v>
      </c>
      <c r="L140">
        <v>1</v>
      </c>
      <c r="M140">
        <v>130553.47</v>
      </c>
      <c r="N140">
        <v>0</v>
      </c>
      <c r="O140" t="str">
        <f t="shared" si="6"/>
        <v>Poor</v>
      </c>
      <c r="P140" t="str">
        <f t="shared" si="7"/>
        <v>Young Adult</v>
      </c>
      <c r="Q140" t="str">
        <f t="shared" si="8"/>
        <v>High Salary</v>
      </c>
    </row>
    <row r="141" spans="1:17" x14ac:dyDescent="0.25">
      <c r="A141">
        <v>178</v>
      </c>
      <c r="B141">
        <v>15790355</v>
      </c>
      <c r="C141" t="s">
        <v>185</v>
      </c>
      <c r="D141" t="s">
        <v>26</v>
      </c>
      <c r="E141" t="s">
        <v>23</v>
      </c>
      <c r="F141">
        <v>606</v>
      </c>
      <c r="G141">
        <v>36</v>
      </c>
      <c r="H141">
        <v>5</v>
      </c>
      <c r="I141">
        <v>190479.48</v>
      </c>
      <c r="J141">
        <v>2</v>
      </c>
      <c r="K141">
        <v>0</v>
      </c>
      <c r="L141">
        <v>0</v>
      </c>
      <c r="M141">
        <v>179351.89</v>
      </c>
      <c r="N141">
        <v>0</v>
      </c>
      <c r="O141" t="str">
        <f t="shared" si="6"/>
        <v>Average</v>
      </c>
      <c r="P141" t="str">
        <f t="shared" si="7"/>
        <v>Adult</v>
      </c>
      <c r="Q141" t="str">
        <f t="shared" si="8"/>
        <v>High Salary</v>
      </c>
    </row>
    <row r="142" spans="1:17" x14ac:dyDescent="0.25">
      <c r="A142">
        <v>179</v>
      </c>
      <c r="B142">
        <v>15762615</v>
      </c>
      <c r="C142" t="s">
        <v>186</v>
      </c>
      <c r="D142" t="s">
        <v>18</v>
      </c>
      <c r="E142" t="s">
        <v>16</v>
      </c>
      <c r="F142">
        <v>597</v>
      </c>
      <c r="G142">
        <v>40</v>
      </c>
      <c r="H142">
        <v>8</v>
      </c>
      <c r="I142">
        <v>101993.12</v>
      </c>
      <c r="J142">
        <v>1</v>
      </c>
      <c r="K142">
        <v>0</v>
      </c>
      <c r="L142">
        <v>1</v>
      </c>
      <c r="M142">
        <v>94774.12</v>
      </c>
      <c r="N142">
        <v>0</v>
      </c>
      <c r="O142" t="str">
        <f t="shared" si="6"/>
        <v>Average</v>
      </c>
      <c r="P142" t="str">
        <f t="shared" si="7"/>
        <v>Adult</v>
      </c>
      <c r="Q142" t="str">
        <f t="shared" si="8"/>
        <v>High Salary</v>
      </c>
    </row>
    <row r="143" spans="1:17" x14ac:dyDescent="0.25">
      <c r="A143">
        <v>181</v>
      </c>
      <c r="B143">
        <v>15716334</v>
      </c>
      <c r="C143" t="s">
        <v>188</v>
      </c>
      <c r="D143" t="s">
        <v>18</v>
      </c>
      <c r="E143" t="s">
        <v>16</v>
      </c>
      <c r="F143">
        <v>850</v>
      </c>
      <c r="G143">
        <v>45</v>
      </c>
      <c r="H143">
        <v>2</v>
      </c>
      <c r="I143">
        <v>122311.21</v>
      </c>
      <c r="J143">
        <v>1</v>
      </c>
      <c r="K143">
        <v>1</v>
      </c>
      <c r="L143">
        <v>1</v>
      </c>
      <c r="M143">
        <v>19482.5</v>
      </c>
      <c r="N143">
        <v>0</v>
      </c>
      <c r="O143" t="str">
        <f t="shared" si="6"/>
        <v>Good</v>
      </c>
      <c r="P143" t="str">
        <f t="shared" si="7"/>
        <v>Adult</v>
      </c>
      <c r="Q143" t="str">
        <f t="shared" si="8"/>
        <v>Low Salary</v>
      </c>
    </row>
    <row r="144" spans="1:17" x14ac:dyDescent="0.25">
      <c r="A144">
        <v>182</v>
      </c>
      <c r="B144">
        <v>15789669</v>
      </c>
      <c r="C144" t="s">
        <v>189</v>
      </c>
      <c r="D144" t="s">
        <v>15</v>
      </c>
      <c r="E144" t="s">
        <v>23</v>
      </c>
      <c r="F144">
        <v>510</v>
      </c>
      <c r="G144">
        <v>65</v>
      </c>
      <c r="H144">
        <v>2</v>
      </c>
      <c r="I144">
        <v>0</v>
      </c>
      <c r="J144">
        <v>2</v>
      </c>
      <c r="K144">
        <v>1</v>
      </c>
      <c r="L144">
        <v>1</v>
      </c>
      <c r="M144">
        <v>48071.61</v>
      </c>
      <c r="N144">
        <v>0</v>
      </c>
      <c r="O144" t="str">
        <f t="shared" si="6"/>
        <v>Poor</v>
      </c>
      <c r="P144" t="str">
        <f t="shared" si="7"/>
        <v>Senior</v>
      </c>
      <c r="Q144" t="str">
        <f t="shared" si="8"/>
        <v>Medium Salary</v>
      </c>
    </row>
    <row r="145" spans="1:17" x14ac:dyDescent="0.25">
      <c r="A145">
        <v>183</v>
      </c>
      <c r="B145">
        <v>15621075</v>
      </c>
      <c r="C145" t="s">
        <v>190</v>
      </c>
      <c r="D145" t="s">
        <v>26</v>
      </c>
      <c r="E145" t="s">
        <v>16</v>
      </c>
      <c r="F145">
        <v>778</v>
      </c>
      <c r="G145">
        <v>45</v>
      </c>
      <c r="H145">
        <v>1</v>
      </c>
      <c r="I145">
        <v>162150.42000000001</v>
      </c>
      <c r="J145">
        <v>2</v>
      </c>
      <c r="K145">
        <v>1</v>
      </c>
      <c r="L145">
        <v>0</v>
      </c>
      <c r="M145">
        <v>174531.27</v>
      </c>
      <c r="N145">
        <v>0</v>
      </c>
      <c r="O145" t="str">
        <f t="shared" si="6"/>
        <v>Good</v>
      </c>
      <c r="P145" t="str">
        <f t="shared" si="7"/>
        <v>Adult</v>
      </c>
      <c r="Q145" t="str">
        <f t="shared" si="8"/>
        <v>High Salary</v>
      </c>
    </row>
    <row r="146" spans="1:17" x14ac:dyDescent="0.25">
      <c r="A146">
        <v>184</v>
      </c>
      <c r="B146">
        <v>15810845</v>
      </c>
      <c r="C146" t="s">
        <v>125</v>
      </c>
      <c r="D146" t="s">
        <v>15</v>
      </c>
      <c r="E146" t="s">
        <v>23</v>
      </c>
      <c r="F146">
        <v>636</v>
      </c>
      <c r="G146">
        <v>42</v>
      </c>
      <c r="H146">
        <v>2</v>
      </c>
      <c r="I146">
        <v>0</v>
      </c>
      <c r="J146">
        <v>2</v>
      </c>
      <c r="K146">
        <v>1</v>
      </c>
      <c r="L146">
        <v>1</v>
      </c>
      <c r="M146">
        <v>55470.78</v>
      </c>
      <c r="N146">
        <v>0</v>
      </c>
      <c r="O146" t="str">
        <f t="shared" si="6"/>
        <v>Average</v>
      </c>
      <c r="P146" t="str">
        <f t="shared" si="7"/>
        <v>Adult</v>
      </c>
      <c r="Q146" t="str">
        <f t="shared" si="8"/>
        <v>Medium Salary</v>
      </c>
    </row>
    <row r="147" spans="1:17" x14ac:dyDescent="0.25">
      <c r="A147">
        <v>186</v>
      </c>
      <c r="B147">
        <v>15654506</v>
      </c>
      <c r="C147" t="s">
        <v>191</v>
      </c>
      <c r="D147" t="s">
        <v>15</v>
      </c>
      <c r="E147" t="s">
        <v>23</v>
      </c>
      <c r="F147">
        <v>514</v>
      </c>
      <c r="G147">
        <v>32</v>
      </c>
      <c r="H147">
        <v>8</v>
      </c>
      <c r="I147">
        <v>0</v>
      </c>
      <c r="J147">
        <v>2</v>
      </c>
      <c r="K147">
        <v>1</v>
      </c>
      <c r="L147">
        <v>0</v>
      </c>
      <c r="M147">
        <v>95857.18</v>
      </c>
      <c r="N147">
        <v>0</v>
      </c>
      <c r="O147" t="str">
        <f t="shared" si="6"/>
        <v>Poor</v>
      </c>
      <c r="P147" t="str">
        <f t="shared" si="7"/>
        <v>Adult</v>
      </c>
      <c r="Q147" t="str">
        <f t="shared" si="8"/>
        <v>High Salary</v>
      </c>
    </row>
    <row r="148" spans="1:17" x14ac:dyDescent="0.25">
      <c r="A148">
        <v>187</v>
      </c>
      <c r="B148">
        <v>15771977</v>
      </c>
      <c r="C148" t="s">
        <v>192</v>
      </c>
      <c r="D148" t="s">
        <v>15</v>
      </c>
      <c r="E148" t="s">
        <v>16</v>
      </c>
      <c r="F148">
        <v>730</v>
      </c>
      <c r="G148">
        <v>39</v>
      </c>
      <c r="H148">
        <v>1</v>
      </c>
      <c r="I148">
        <v>99010.67</v>
      </c>
      <c r="J148">
        <v>1</v>
      </c>
      <c r="K148">
        <v>1</v>
      </c>
      <c r="L148">
        <v>0</v>
      </c>
      <c r="M148">
        <v>194945.8</v>
      </c>
      <c r="N148">
        <v>0</v>
      </c>
      <c r="O148" t="str">
        <f t="shared" si="6"/>
        <v>Good</v>
      </c>
      <c r="P148" t="str">
        <f t="shared" si="7"/>
        <v>Adult</v>
      </c>
      <c r="Q148" t="str">
        <f t="shared" si="8"/>
        <v>High Salary</v>
      </c>
    </row>
    <row r="149" spans="1:17" x14ac:dyDescent="0.25">
      <c r="A149">
        <v>188</v>
      </c>
      <c r="B149">
        <v>15708710</v>
      </c>
      <c r="C149" t="s">
        <v>193</v>
      </c>
      <c r="D149" t="s">
        <v>18</v>
      </c>
      <c r="E149" t="s">
        <v>16</v>
      </c>
      <c r="F149">
        <v>525</v>
      </c>
      <c r="G149">
        <v>37</v>
      </c>
      <c r="H149">
        <v>0</v>
      </c>
      <c r="I149">
        <v>0</v>
      </c>
      <c r="J149">
        <v>1</v>
      </c>
      <c r="K149">
        <v>0</v>
      </c>
      <c r="L149">
        <v>1</v>
      </c>
      <c r="M149">
        <v>131521.72</v>
      </c>
      <c r="N149">
        <v>0</v>
      </c>
      <c r="O149" t="str">
        <f t="shared" si="6"/>
        <v>Poor</v>
      </c>
      <c r="P149" t="str">
        <f t="shared" si="7"/>
        <v>Adult</v>
      </c>
      <c r="Q149" t="str">
        <f t="shared" si="8"/>
        <v>High Salary</v>
      </c>
    </row>
    <row r="150" spans="1:17" x14ac:dyDescent="0.25">
      <c r="A150">
        <v>189</v>
      </c>
      <c r="B150">
        <v>15726676</v>
      </c>
      <c r="C150" t="s">
        <v>194</v>
      </c>
      <c r="D150" t="s">
        <v>18</v>
      </c>
      <c r="E150" t="s">
        <v>23</v>
      </c>
      <c r="F150">
        <v>616</v>
      </c>
      <c r="G150">
        <v>30</v>
      </c>
      <c r="H150">
        <v>5</v>
      </c>
      <c r="I150">
        <v>0</v>
      </c>
      <c r="J150">
        <v>2</v>
      </c>
      <c r="K150">
        <v>0</v>
      </c>
      <c r="L150">
        <v>1</v>
      </c>
      <c r="M150">
        <v>196108.51</v>
      </c>
      <c r="N150">
        <v>0</v>
      </c>
      <c r="O150" t="str">
        <f t="shared" si="6"/>
        <v>Average</v>
      </c>
      <c r="P150" t="str">
        <f t="shared" si="7"/>
        <v>Young Adult</v>
      </c>
      <c r="Q150" t="str">
        <f t="shared" si="8"/>
        <v>High Salary</v>
      </c>
    </row>
    <row r="151" spans="1:17" x14ac:dyDescent="0.25">
      <c r="A151">
        <v>190</v>
      </c>
      <c r="B151">
        <v>15587421</v>
      </c>
      <c r="C151" t="s">
        <v>195</v>
      </c>
      <c r="D151" t="s">
        <v>26</v>
      </c>
      <c r="E151" t="s">
        <v>16</v>
      </c>
      <c r="F151">
        <v>687</v>
      </c>
      <c r="G151">
        <v>34</v>
      </c>
      <c r="H151">
        <v>7</v>
      </c>
      <c r="I151">
        <v>111388.18</v>
      </c>
      <c r="J151">
        <v>2</v>
      </c>
      <c r="K151">
        <v>1</v>
      </c>
      <c r="L151">
        <v>0</v>
      </c>
      <c r="M151">
        <v>148564.76</v>
      </c>
      <c r="N151">
        <v>0</v>
      </c>
      <c r="O151" t="str">
        <f t="shared" si="6"/>
        <v>Good</v>
      </c>
      <c r="P151" t="str">
        <f t="shared" si="7"/>
        <v>Adult</v>
      </c>
      <c r="Q151" t="str">
        <f t="shared" si="8"/>
        <v>High Salary</v>
      </c>
    </row>
    <row r="152" spans="1:17" x14ac:dyDescent="0.25">
      <c r="A152">
        <v>192</v>
      </c>
      <c r="B152">
        <v>15771086</v>
      </c>
      <c r="C152" t="s">
        <v>113</v>
      </c>
      <c r="D152" t="s">
        <v>15</v>
      </c>
      <c r="E152" t="s">
        <v>16</v>
      </c>
      <c r="F152">
        <v>512</v>
      </c>
      <c r="G152">
        <v>36</v>
      </c>
      <c r="H152">
        <v>3</v>
      </c>
      <c r="I152">
        <v>84327.77</v>
      </c>
      <c r="J152">
        <v>2</v>
      </c>
      <c r="K152">
        <v>1</v>
      </c>
      <c r="L152">
        <v>0</v>
      </c>
      <c r="M152">
        <v>17675.36</v>
      </c>
      <c r="N152">
        <v>0</v>
      </c>
      <c r="O152" t="str">
        <f t="shared" si="6"/>
        <v>Poor</v>
      </c>
      <c r="P152" t="str">
        <f t="shared" si="7"/>
        <v>Adult</v>
      </c>
      <c r="Q152" t="str">
        <f t="shared" si="8"/>
        <v>Low Salary</v>
      </c>
    </row>
    <row r="153" spans="1:17" x14ac:dyDescent="0.25">
      <c r="A153">
        <v>193</v>
      </c>
      <c r="B153">
        <v>15756850</v>
      </c>
      <c r="C153" t="s">
        <v>197</v>
      </c>
      <c r="D153" t="s">
        <v>15</v>
      </c>
      <c r="E153" t="s">
        <v>23</v>
      </c>
      <c r="F153">
        <v>479</v>
      </c>
      <c r="G153">
        <v>40</v>
      </c>
      <c r="H153">
        <v>1</v>
      </c>
      <c r="I153">
        <v>0</v>
      </c>
      <c r="J153">
        <v>2</v>
      </c>
      <c r="K153">
        <v>0</v>
      </c>
      <c r="L153">
        <v>0</v>
      </c>
      <c r="M153">
        <v>114996.43</v>
      </c>
      <c r="N153">
        <v>0</v>
      </c>
      <c r="O153" t="str">
        <f t="shared" si="6"/>
        <v>Poor</v>
      </c>
      <c r="P153" t="str">
        <f t="shared" si="7"/>
        <v>Adult</v>
      </c>
      <c r="Q153" t="str">
        <f t="shared" si="8"/>
        <v>High Salary</v>
      </c>
    </row>
    <row r="154" spans="1:17" x14ac:dyDescent="0.25">
      <c r="A154">
        <v>194</v>
      </c>
      <c r="B154">
        <v>15702741</v>
      </c>
      <c r="C154" t="s">
        <v>198</v>
      </c>
      <c r="D154" t="s">
        <v>15</v>
      </c>
      <c r="E154" t="s">
        <v>23</v>
      </c>
      <c r="F154">
        <v>601</v>
      </c>
      <c r="G154">
        <v>32</v>
      </c>
      <c r="H154">
        <v>8</v>
      </c>
      <c r="I154">
        <v>93012.89</v>
      </c>
      <c r="J154">
        <v>1</v>
      </c>
      <c r="K154">
        <v>1</v>
      </c>
      <c r="L154">
        <v>0</v>
      </c>
      <c r="M154">
        <v>86957.42</v>
      </c>
      <c r="N154">
        <v>0</v>
      </c>
      <c r="O154" t="str">
        <f t="shared" si="6"/>
        <v>Average</v>
      </c>
      <c r="P154" t="str">
        <f t="shared" si="7"/>
        <v>Adult</v>
      </c>
      <c r="Q154" t="str">
        <f t="shared" si="8"/>
        <v>High Salary</v>
      </c>
    </row>
    <row r="155" spans="1:17" x14ac:dyDescent="0.25">
      <c r="A155">
        <v>195</v>
      </c>
      <c r="B155">
        <v>15679200</v>
      </c>
      <c r="C155" t="s">
        <v>199</v>
      </c>
      <c r="D155" t="s">
        <v>18</v>
      </c>
      <c r="E155" t="s">
        <v>23</v>
      </c>
      <c r="F155">
        <v>580</v>
      </c>
      <c r="G155">
        <v>29</v>
      </c>
      <c r="H155">
        <v>9</v>
      </c>
      <c r="I155">
        <v>61710.44</v>
      </c>
      <c r="J155">
        <v>2</v>
      </c>
      <c r="K155">
        <v>1</v>
      </c>
      <c r="L155">
        <v>0</v>
      </c>
      <c r="M155">
        <v>128077.8</v>
      </c>
      <c r="N155">
        <v>0</v>
      </c>
      <c r="O155" t="str">
        <f t="shared" si="6"/>
        <v>Average</v>
      </c>
      <c r="P155" t="str">
        <f t="shared" si="7"/>
        <v>Young Adult</v>
      </c>
      <c r="Q155" t="str">
        <f t="shared" si="8"/>
        <v>High Salary</v>
      </c>
    </row>
    <row r="156" spans="1:17" x14ac:dyDescent="0.25">
      <c r="A156">
        <v>196</v>
      </c>
      <c r="B156">
        <v>15594815</v>
      </c>
      <c r="C156" t="s">
        <v>200</v>
      </c>
      <c r="D156" t="s">
        <v>15</v>
      </c>
      <c r="E156" t="s">
        <v>23</v>
      </c>
      <c r="F156">
        <v>807</v>
      </c>
      <c r="G156">
        <v>35</v>
      </c>
      <c r="H156">
        <v>3</v>
      </c>
      <c r="I156">
        <v>174790.15</v>
      </c>
      <c r="J156">
        <v>1</v>
      </c>
      <c r="K156">
        <v>1</v>
      </c>
      <c r="L156">
        <v>1</v>
      </c>
      <c r="M156">
        <v>600.36</v>
      </c>
      <c r="N156">
        <v>0</v>
      </c>
      <c r="O156" t="str">
        <f t="shared" si="6"/>
        <v>Good</v>
      </c>
      <c r="P156" t="str">
        <f t="shared" si="7"/>
        <v>Adult</v>
      </c>
      <c r="Q156" t="str">
        <f t="shared" si="8"/>
        <v>Low Salary</v>
      </c>
    </row>
    <row r="157" spans="1:17" x14ac:dyDescent="0.25">
      <c r="A157">
        <v>197</v>
      </c>
      <c r="B157">
        <v>15635905</v>
      </c>
      <c r="C157" t="s">
        <v>201</v>
      </c>
      <c r="D157" t="s">
        <v>18</v>
      </c>
      <c r="E157" t="s">
        <v>16</v>
      </c>
      <c r="F157">
        <v>616</v>
      </c>
      <c r="G157">
        <v>32</v>
      </c>
      <c r="H157">
        <v>6</v>
      </c>
      <c r="I157">
        <v>0</v>
      </c>
      <c r="J157">
        <v>2</v>
      </c>
      <c r="K157">
        <v>1</v>
      </c>
      <c r="L157">
        <v>1</v>
      </c>
      <c r="M157">
        <v>43001.46</v>
      </c>
      <c r="N157">
        <v>0</v>
      </c>
      <c r="O157" t="str">
        <f t="shared" si="6"/>
        <v>Average</v>
      </c>
      <c r="P157" t="str">
        <f t="shared" si="7"/>
        <v>Adult</v>
      </c>
      <c r="Q157" t="str">
        <f t="shared" si="8"/>
        <v>Medium Salary</v>
      </c>
    </row>
    <row r="158" spans="1:17" x14ac:dyDescent="0.25">
      <c r="A158">
        <v>198</v>
      </c>
      <c r="B158">
        <v>15777892</v>
      </c>
      <c r="C158" t="s">
        <v>202</v>
      </c>
      <c r="D158" t="s">
        <v>26</v>
      </c>
      <c r="E158" t="s">
        <v>23</v>
      </c>
      <c r="F158">
        <v>721</v>
      </c>
      <c r="G158">
        <v>37</v>
      </c>
      <c r="H158">
        <v>3</v>
      </c>
      <c r="I158">
        <v>107720.64</v>
      </c>
      <c r="J158">
        <v>1</v>
      </c>
      <c r="K158">
        <v>1</v>
      </c>
      <c r="L158">
        <v>1</v>
      </c>
      <c r="M158">
        <v>158591.12</v>
      </c>
      <c r="N158">
        <v>0</v>
      </c>
      <c r="O158" t="str">
        <f t="shared" si="6"/>
        <v>Good</v>
      </c>
      <c r="P158" t="str">
        <f t="shared" si="7"/>
        <v>Adult</v>
      </c>
      <c r="Q158" t="str">
        <f t="shared" si="8"/>
        <v>High Salary</v>
      </c>
    </row>
    <row r="159" spans="1:17" x14ac:dyDescent="0.25">
      <c r="A159">
        <v>199</v>
      </c>
      <c r="B159">
        <v>15656176</v>
      </c>
      <c r="C159" t="s">
        <v>203</v>
      </c>
      <c r="D159" t="s">
        <v>15</v>
      </c>
      <c r="E159" t="s">
        <v>23</v>
      </c>
      <c r="F159">
        <v>501</v>
      </c>
      <c r="G159">
        <v>57</v>
      </c>
      <c r="H159">
        <v>10</v>
      </c>
      <c r="I159">
        <v>0</v>
      </c>
      <c r="J159">
        <v>2</v>
      </c>
      <c r="K159">
        <v>1</v>
      </c>
      <c r="L159">
        <v>1</v>
      </c>
      <c r="M159">
        <v>47847.19</v>
      </c>
      <c r="N159">
        <v>0</v>
      </c>
      <c r="O159" t="str">
        <f t="shared" si="6"/>
        <v>Poor</v>
      </c>
      <c r="P159" t="str">
        <f t="shared" si="7"/>
        <v>Adult</v>
      </c>
      <c r="Q159" t="str">
        <f t="shared" si="8"/>
        <v>Medium Salary</v>
      </c>
    </row>
    <row r="160" spans="1:17" x14ac:dyDescent="0.25">
      <c r="A160">
        <v>200</v>
      </c>
      <c r="B160">
        <v>15811127</v>
      </c>
      <c r="C160" t="s">
        <v>204</v>
      </c>
      <c r="D160" t="s">
        <v>15</v>
      </c>
      <c r="E160" t="s">
        <v>23</v>
      </c>
      <c r="F160">
        <v>521</v>
      </c>
      <c r="G160">
        <v>35</v>
      </c>
      <c r="H160">
        <v>6</v>
      </c>
      <c r="I160">
        <v>96423.84</v>
      </c>
      <c r="J160">
        <v>1</v>
      </c>
      <c r="K160">
        <v>1</v>
      </c>
      <c r="L160">
        <v>0</v>
      </c>
      <c r="M160">
        <v>10488.44</v>
      </c>
      <c r="N160">
        <v>0</v>
      </c>
      <c r="O160" t="str">
        <f t="shared" si="6"/>
        <v>Poor</v>
      </c>
      <c r="P160" t="str">
        <f t="shared" si="7"/>
        <v>Adult</v>
      </c>
      <c r="Q160" t="str">
        <f t="shared" si="8"/>
        <v>Low Salary</v>
      </c>
    </row>
    <row r="161" spans="1:17" x14ac:dyDescent="0.25">
      <c r="A161">
        <v>201</v>
      </c>
      <c r="B161">
        <v>15604482</v>
      </c>
      <c r="C161" t="s">
        <v>205</v>
      </c>
      <c r="D161" t="s">
        <v>18</v>
      </c>
      <c r="E161" t="s">
        <v>23</v>
      </c>
      <c r="F161">
        <v>850</v>
      </c>
      <c r="G161">
        <v>30</v>
      </c>
      <c r="H161">
        <v>2</v>
      </c>
      <c r="I161">
        <v>141040.01</v>
      </c>
      <c r="J161">
        <v>1</v>
      </c>
      <c r="K161">
        <v>1</v>
      </c>
      <c r="L161">
        <v>1</v>
      </c>
      <c r="M161">
        <v>5978.2</v>
      </c>
      <c r="N161">
        <v>0</v>
      </c>
      <c r="O161" t="str">
        <f t="shared" si="6"/>
        <v>Good</v>
      </c>
      <c r="P161" t="str">
        <f t="shared" si="7"/>
        <v>Young Adult</v>
      </c>
      <c r="Q161" t="str">
        <f t="shared" si="8"/>
        <v>Low Salary</v>
      </c>
    </row>
    <row r="162" spans="1:17" x14ac:dyDescent="0.25">
      <c r="A162">
        <v>202</v>
      </c>
      <c r="B162">
        <v>15622911</v>
      </c>
      <c r="C162" t="s">
        <v>206</v>
      </c>
      <c r="D162" t="s">
        <v>15</v>
      </c>
      <c r="E162" t="s">
        <v>23</v>
      </c>
      <c r="F162">
        <v>759</v>
      </c>
      <c r="G162">
        <v>42</v>
      </c>
      <c r="H162">
        <v>4</v>
      </c>
      <c r="I162">
        <v>105420.18</v>
      </c>
      <c r="J162">
        <v>1</v>
      </c>
      <c r="K162">
        <v>0</v>
      </c>
      <c r="L162">
        <v>1</v>
      </c>
      <c r="M162">
        <v>121409.06</v>
      </c>
      <c r="N162">
        <v>0</v>
      </c>
      <c r="O162" t="str">
        <f t="shared" si="6"/>
        <v>Good</v>
      </c>
      <c r="P162" t="str">
        <f t="shared" si="7"/>
        <v>Adult</v>
      </c>
      <c r="Q162" t="str">
        <f t="shared" si="8"/>
        <v>High Salary</v>
      </c>
    </row>
    <row r="163" spans="1:17" x14ac:dyDescent="0.25">
      <c r="A163">
        <v>205</v>
      </c>
      <c r="B163">
        <v>15627801</v>
      </c>
      <c r="C163" t="s">
        <v>208</v>
      </c>
      <c r="D163" t="s">
        <v>18</v>
      </c>
      <c r="E163" t="s">
        <v>23</v>
      </c>
      <c r="F163">
        <v>653.5</v>
      </c>
      <c r="G163">
        <v>33</v>
      </c>
      <c r="H163">
        <v>3</v>
      </c>
      <c r="I163">
        <v>176666.62</v>
      </c>
      <c r="J163">
        <v>1</v>
      </c>
      <c r="K163">
        <v>1</v>
      </c>
      <c r="L163">
        <v>0</v>
      </c>
      <c r="M163">
        <v>94670.77</v>
      </c>
      <c r="N163">
        <v>0</v>
      </c>
      <c r="O163" t="str">
        <f t="shared" si="6"/>
        <v>Average</v>
      </c>
      <c r="P163" t="str">
        <f t="shared" si="7"/>
        <v>Adult</v>
      </c>
      <c r="Q163" t="str">
        <f t="shared" si="8"/>
        <v>High Salary</v>
      </c>
    </row>
    <row r="164" spans="1:17" x14ac:dyDescent="0.25">
      <c r="A164">
        <v>206</v>
      </c>
      <c r="B164">
        <v>15773039</v>
      </c>
      <c r="C164" t="s">
        <v>209</v>
      </c>
      <c r="D164" t="s">
        <v>15</v>
      </c>
      <c r="E164" t="s">
        <v>23</v>
      </c>
      <c r="F164">
        <v>550</v>
      </c>
      <c r="G164">
        <v>37</v>
      </c>
      <c r="H164">
        <v>3</v>
      </c>
      <c r="I164">
        <v>0</v>
      </c>
      <c r="J164">
        <v>1</v>
      </c>
      <c r="K164">
        <v>1</v>
      </c>
      <c r="L164">
        <v>1</v>
      </c>
      <c r="M164">
        <v>179670.31</v>
      </c>
      <c r="N164">
        <v>0</v>
      </c>
      <c r="O164" t="str">
        <f t="shared" si="6"/>
        <v>Poor</v>
      </c>
      <c r="P164" t="str">
        <f t="shared" si="7"/>
        <v>Adult</v>
      </c>
      <c r="Q164" t="str">
        <f t="shared" si="8"/>
        <v>High Salary</v>
      </c>
    </row>
    <row r="165" spans="1:17" x14ac:dyDescent="0.25">
      <c r="A165">
        <v>208</v>
      </c>
      <c r="B165">
        <v>15679531</v>
      </c>
      <c r="C165" t="s">
        <v>210</v>
      </c>
      <c r="D165" t="s">
        <v>15</v>
      </c>
      <c r="E165" t="s">
        <v>23</v>
      </c>
      <c r="F165">
        <v>618</v>
      </c>
      <c r="G165">
        <v>34</v>
      </c>
      <c r="H165">
        <v>5</v>
      </c>
      <c r="I165">
        <v>134954.53</v>
      </c>
      <c r="J165">
        <v>1</v>
      </c>
      <c r="K165">
        <v>1</v>
      </c>
      <c r="L165">
        <v>1</v>
      </c>
      <c r="M165">
        <v>151954.39000000001</v>
      </c>
      <c r="N165">
        <v>0</v>
      </c>
      <c r="O165" t="str">
        <f t="shared" si="6"/>
        <v>Average</v>
      </c>
      <c r="P165" t="str">
        <f t="shared" si="7"/>
        <v>Adult</v>
      </c>
      <c r="Q165" t="str">
        <f t="shared" si="8"/>
        <v>High Salary</v>
      </c>
    </row>
    <row r="166" spans="1:17" x14ac:dyDescent="0.25">
      <c r="A166">
        <v>210</v>
      </c>
      <c r="B166">
        <v>15612087</v>
      </c>
      <c r="C166" t="s">
        <v>212</v>
      </c>
      <c r="D166" t="s">
        <v>15</v>
      </c>
      <c r="E166" t="s">
        <v>23</v>
      </c>
      <c r="F166">
        <v>671</v>
      </c>
      <c r="G166">
        <v>45</v>
      </c>
      <c r="H166">
        <v>2</v>
      </c>
      <c r="I166">
        <v>106376.85</v>
      </c>
      <c r="J166">
        <v>1</v>
      </c>
      <c r="K166">
        <v>0</v>
      </c>
      <c r="L166">
        <v>1</v>
      </c>
      <c r="M166">
        <v>158264.62</v>
      </c>
      <c r="N166">
        <v>0</v>
      </c>
      <c r="O166" t="str">
        <f t="shared" si="6"/>
        <v>Good</v>
      </c>
      <c r="P166" t="str">
        <f t="shared" si="7"/>
        <v>Adult</v>
      </c>
      <c r="Q166" t="str">
        <f t="shared" si="8"/>
        <v>High Salary</v>
      </c>
    </row>
    <row r="167" spans="1:17" x14ac:dyDescent="0.25">
      <c r="A167">
        <v>211</v>
      </c>
      <c r="B167">
        <v>15752047</v>
      </c>
      <c r="C167" t="s">
        <v>27</v>
      </c>
      <c r="D167" t="s">
        <v>26</v>
      </c>
      <c r="E167" t="s">
        <v>23</v>
      </c>
      <c r="F167">
        <v>689</v>
      </c>
      <c r="G167">
        <v>33</v>
      </c>
      <c r="H167">
        <v>2</v>
      </c>
      <c r="I167">
        <v>161814.64000000001</v>
      </c>
      <c r="J167">
        <v>2</v>
      </c>
      <c r="K167">
        <v>1</v>
      </c>
      <c r="L167">
        <v>0</v>
      </c>
      <c r="M167">
        <v>169381.9</v>
      </c>
      <c r="N167">
        <v>0</v>
      </c>
      <c r="O167" t="str">
        <f t="shared" si="6"/>
        <v>Good</v>
      </c>
      <c r="P167" t="str">
        <f t="shared" si="7"/>
        <v>Adult</v>
      </c>
      <c r="Q167" t="str">
        <f t="shared" si="8"/>
        <v>High Salary</v>
      </c>
    </row>
    <row r="168" spans="1:17" x14ac:dyDescent="0.25">
      <c r="A168">
        <v>212</v>
      </c>
      <c r="B168">
        <v>15624592</v>
      </c>
      <c r="C168" t="s">
        <v>213</v>
      </c>
      <c r="D168" t="s">
        <v>15</v>
      </c>
      <c r="E168" t="s">
        <v>23</v>
      </c>
      <c r="F168">
        <v>603</v>
      </c>
      <c r="G168">
        <v>31</v>
      </c>
      <c r="H168">
        <v>8</v>
      </c>
      <c r="I168">
        <v>0</v>
      </c>
      <c r="J168">
        <v>2</v>
      </c>
      <c r="K168">
        <v>1</v>
      </c>
      <c r="L168">
        <v>1</v>
      </c>
      <c r="M168">
        <v>169915.02</v>
      </c>
      <c r="N168">
        <v>0</v>
      </c>
      <c r="O168" t="str">
        <f t="shared" si="6"/>
        <v>Average</v>
      </c>
      <c r="P168" t="str">
        <f t="shared" si="7"/>
        <v>Adult</v>
      </c>
      <c r="Q168" t="str">
        <f t="shared" si="8"/>
        <v>High Salary</v>
      </c>
    </row>
    <row r="169" spans="1:17" x14ac:dyDescent="0.25">
      <c r="A169">
        <v>213</v>
      </c>
      <c r="B169">
        <v>15573152</v>
      </c>
      <c r="C169" t="s">
        <v>214</v>
      </c>
      <c r="D169" t="s">
        <v>15</v>
      </c>
      <c r="E169" t="s">
        <v>16</v>
      </c>
      <c r="F169">
        <v>620</v>
      </c>
      <c r="G169">
        <v>41</v>
      </c>
      <c r="H169">
        <v>9</v>
      </c>
      <c r="I169">
        <v>0</v>
      </c>
      <c r="J169">
        <v>2</v>
      </c>
      <c r="K169">
        <v>0</v>
      </c>
      <c r="L169">
        <v>0</v>
      </c>
      <c r="M169">
        <v>88852.47</v>
      </c>
      <c r="N169">
        <v>0</v>
      </c>
      <c r="O169" t="str">
        <f t="shared" si="6"/>
        <v>Average</v>
      </c>
      <c r="P169" t="str">
        <f t="shared" si="7"/>
        <v>Adult</v>
      </c>
      <c r="Q169" t="str">
        <f t="shared" si="8"/>
        <v>High Salary</v>
      </c>
    </row>
    <row r="170" spans="1:17" x14ac:dyDescent="0.25">
      <c r="A170">
        <v>214</v>
      </c>
      <c r="B170">
        <v>15594917</v>
      </c>
      <c r="C170" t="s">
        <v>215</v>
      </c>
      <c r="D170" t="s">
        <v>15</v>
      </c>
      <c r="E170" t="s">
        <v>16</v>
      </c>
      <c r="F170">
        <v>676</v>
      </c>
      <c r="G170">
        <v>34</v>
      </c>
      <c r="H170">
        <v>1</v>
      </c>
      <c r="I170">
        <v>63095.01</v>
      </c>
      <c r="J170">
        <v>1</v>
      </c>
      <c r="K170">
        <v>1</v>
      </c>
      <c r="L170">
        <v>1</v>
      </c>
      <c r="M170">
        <v>40645.81</v>
      </c>
      <c r="N170">
        <v>0</v>
      </c>
      <c r="O170" t="str">
        <f t="shared" si="6"/>
        <v>Good</v>
      </c>
      <c r="P170" t="str">
        <f t="shared" si="7"/>
        <v>Adult</v>
      </c>
      <c r="Q170" t="str">
        <f t="shared" si="8"/>
        <v>Medium Salary</v>
      </c>
    </row>
    <row r="171" spans="1:17" x14ac:dyDescent="0.25">
      <c r="A171">
        <v>215</v>
      </c>
      <c r="B171">
        <v>15785542</v>
      </c>
      <c r="C171" t="s">
        <v>216</v>
      </c>
      <c r="D171" t="s">
        <v>26</v>
      </c>
      <c r="E171" t="s">
        <v>23</v>
      </c>
      <c r="F171">
        <v>653.5</v>
      </c>
      <c r="G171">
        <v>26</v>
      </c>
      <c r="H171">
        <v>4</v>
      </c>
      <c r="I171">
        <v>118287.01</v>
      </c>
      <c r="J171">
        <v>2</v>
      </c>
      <c r="K171">
        <v>0</v>
      </c>
      <c r="L171">
        <v>0</v>
      </c>
      <c r="M171">
        <v>98368.24</v>
      </c>
      <c r="N171">
        <v>0</v>
      </c>
      <c r="O171" t="str">
        <f t="shared" si="6"/>
        <v>Average</v>
      </c>
      <c r="P171" t="str">
        <f t="shared" si="7"/>
        <v>Young Adult</v>
      </c>
      <c r="Q171" t="str">
        <f t="shared" si="8"/>
        <v>High Salary</v>
      </c>
    </row>
    <row r="172" spans="1:17" x14ac:dyDescent="0.25">
      <c r="A172">
        <v>217</v>
      </c>
      <c r="B172">
        <v>15680920</v>
      </c>
      <c r="C172" t="s">
        <v>217</v>
      </c>
      <c r="D172" t="s">
        <v>15</v>
      </c>
      <c r="E172" t="s">
        <v>23</v>
      </c>
      <c r="F172">
        <v>695</v>
      </c>
      <c r="G172">
        <v>46</v>
      </c>
      <c r="H172">
        <v>7</v>
      </c>
      <c r="I172">
        <v>49512.55</v>
      </c>
      <c r="J172">
        <v>1</v>
      </c>
      <c r="K172">
        <v>1</v>
      </c>
      <c r="L172">
        <v>0</v>
      </c>
      <c r="M172">
        <v>133007.34</v>
      </c>
      <c r="N172">
        <v>0</v>
      </c>
      <c r="O172" t="str">
        <f t="shared" si="6"/>
        <v>Good</v>
      </c>
      <c r="P172" t="str">
        <f t="shared" si="7"/>
        <v>Adult</v>
      </c>
      <c r="Q172" t="str">
        <f t="shared" si="8"/>
        <v>High Salary</v>
      </c>
    </row>
    <row r="173" spans="1:17" x14ac:dyDescent="0.25">
      <c r="A173">
        <v>218</v>
      </c>
      <c r="B173">
        <v>15786308</v>
      </c>
      <c r="C173" t="s">
        <v>218</v>
      </c>
      <c r="D173" t="s">
        <v>18</v>
      </c>
      <c r="E173" t="s">
        <v>16</v>
      </c>
      <c r="F173">
        <v>730</v>
      </c>
      <c r="G173">
        <v>33</v>
      </c>
      <c r="H173">
        <v>9</v>
      </c>
      <c r="I173">
        <v>0</v>
      </c>
      <c r="J173">
        <v>2</v>
      </c>
      <c r="K173">
        <v>0</v>
      </c>
      <c r="L173">
        <v>0</v>
      </c>
      <c r="M173">
        <v>176576.62</v>
      </c>
      <c r="N173">
        <v>0</v>
      </c>
      <c r="O173" t="str">
        <f t="shared" si="6"/>
        <v>Good</v>
      </c>
      <c r="P173" t="str">
        <f t="shared" si="7"/>
        <v>Adult</v>
      </c>
      <c r="Q173" t="str">
        <f t="shared" si="8"/>
        <v>High Salary</v>
      </c>
    </row>
    <row r="174" spans="1:17" x14ac:dyDescent="0.25">
      <c r="A174">
        <v>221</v>
      </c>
      <c r="B174">
        <v>15725311</v>
      </c>
      <c r="C174" t="s">
        <v>220</v>
      </c>
      <c r="D174" t="s">
        <v>15</v>
      </c>
      <c r="E174" t="s">
        <v>16</v>
      </c>
      <c r="F174">
        <v>726</v>
      </c>
      <c r="G174">
        <v>31</v>
      </c>
      <c r="H174">
        <v>9</v>
      </c>
      <c r="I174">
        <v>114722.05</v>
      </c>
      <c r="J174">
        <v>2</v>
      </c>
      <c r="K174">
        <v>1</v>
      </c>
      <c r="L174">
        <v>1</v>
      </c>
      <c r="M174">
        <v>98178.57</v>
      </c>
      <c r="N174">
        <v>0</v>
      </c>
      <c r="O174" t="str">
        <f t="shared" si="6"/>
        <v>Good</v>
      </c>
      <c r="P174" t="str">
        <f t="shared" si="7"/>
        <v>Adult</v>
      </c>
      <c r="Q174" t="str">
        <f t="shared" si="8"/>
        <v>High Salary</v>
      </c>
    </row>
    <row r="175" spans="1:17" x14ac:dyDescent="0.25">
      <c r="A175">
        <v>222</v>
      </c>
      <c r="B175">
        <v>15787155</v>
      </c>
      <c r="C175" t="s">
        <v>221</v>
      </c>
      <c r="D175" t="s">
        <v>18</v>
      </c>
      <c r="E175" t="s">
        <v>23</v>
      </c>
      <c r="F175">
        <v>514</v>
      </c>
      <c r="G175">
        <v>30</v>
      </c>
      <c r="H175">
        <v>7</v>
      </c>
      <c r="I175">
        <v>0</v>
      </c>
      <c r="J175">
        <v>1</v>
      </c>
      <c r="K175">
        <v>0</v>
      </c>
      <c r="L175">
        <v>1</v>
      </c>
      <c r="M175">
        <v>125010.24000000001</v>
      </c>
      <c r="N175">
        <v>0</v>
      </c>
      <c r="O175" t="str">
        <f t="shared" si="6"/>
        <v>Poor</v>
      </c>
      <c r="P175" t="str">
        <f t="shared" si="7"/>
        <v>Young Adult</v>
      </c>
      <c r="Q175" t="str">
        <f t="shared" si="8"/>
        <v>High Salary</v>
      </c>
    </row>
    <row r="176" spans="1:17" x14ac:dyDescent="0.25">
      <c r="A176">
        <v>223</v>
      </c>
      <c r="B176">
        <v>15727829</v>
      </c>
      <c r="C176" t="s">
        <v>222</v>
      </c>
      <c r="D176" t="s">
        <v>15</v>
      </c>
      <c r="E176" t="s">
        <v>23</v>
      </c>
      <c r="F176">
        <v>567</v>
      </c>
      <c r="G176">
        <v>42</v>
      </c>
      <c r="H176">
        <v>2</v>
      </c>
      <c r="I176">
        <v>0</v>
      </c>
      <c r="J176">
        <v>2</v>
      </c>
      <c r="K176">
        <v>1</v>
      </c>
      <c r="L176">
        <v>1</v>
      </c>
      <c r="M176">
        <v>167984.61</v>
      </c>
      <c r="N176">
        <v>0</v>
      </c>
      <c r="O176" t="str">
        <f t="shared" si="6"/>
        <v>Poor</v>
      </c>
      <c r="P176" t="str">
        <f t="shared" si="7"/>
        <v>Adult</v>
      </c>
      <c r="Q176" t="str">
        <f t="shared" si="8"/>
        <v>High Salary</v>
      </c>
    </row>
    <row r="177" spans="1:17" x14ac:dyDescent="0.25">
      <c r="A177">
        <v>226</v>
      </c>
      <c r="B177">
        <v>15699029</v>
      </c>
      <c r="C177" t="s">
        <v>225</v>
      </c>
      <c r="D177" t="s">
        <v>15</v>
      </c>
      <c r="E177" t="s">
        <v>23</v>
      </c>
      <c r="F177">
        <v>670</v>
      </c>
      <c r="G177">
        <v>37</v>
      </c>
      <c r="H177">
        <v>4</v>
      </c>
      <c r="I177">
        <v>170557.91</v>
      </c>
      <c r="J177">
        <v>2</v>
      </c>
      <c r="K177">
        <v>1</v>
      </c>
      <c r="L177">
        <v>0</v>
      </c>
      <c r="M177">
        <v>198252.88</v>
      </c>
      <c r="N177">
        <v>0</v>
      </c>
      <c r="O177" t="str">
        <f t="shared" si="6"/>
        <v>Good</v>
      </c>
      <c r="P177" t="str">
        <f t="shared" si="7"/>
        <v>Adult</v>
      </c>
      <c r="Q177" t="str">
        <f t="shared" si="8"/>
        <v>High Salary</v>
      </c>
    </row>
    <row r="178" spans="1:17" x14ac:dyDescent="0.25">
      <c r="A178">
        <v>227</v>
      </c>
      <c r="B178">
        <v>15774393</v>
      </c>
      <c r="C178" t="s">
        <v>226</v>
      </c>
      <c r="D178" t="s">
        <v>15</v>
      </c>
      <c r="E178" t="s">
        <v>16</v>
      </c>
      <c r="F178">
        <v>694</v>
      </c>
      <c r="G178">
        <v>30</v>
      </c>
      <c r="H178">
        <v>9</v>
      </c>
      <c r="I178">
        <v>0</v>
      </c>
      <c r="J178">
        <v>2</v>
      </c>
      <c r="K178">
        <v>1</v>
      </c>
      <c r="L178">
        <v>1</v>
      </c>
      <c r="M178">
        <v>26960.31</v>
      </c>
      <c r="N178">
        <v>0</v>
      </c>
      <c r="O178" t="str">
        <f t="shared" si="6"/>
        <v>Good</v>
      </c>
      <c r="P178" t="str">
        <f t="shared" si="7"/>
        <v>Young Adult</v>
      </c>
      <c r="Q178" t="str">
        <f t="shared" si="8"/>
        <v>Low Salary</v>
      </c>
    </row>
    <row r="179" spans="1:17" x14ac:dyDescent="0.25">
      <c r="A179">
        <v>230</v>
      </c>
      <c r="B179">
        <v>15605461</v>
      </c>
      <c r="C179" t="s">
        <v>229</v>
      </c>
      <c r="D179" t="s">
        <v>26</v>
      </c>
      <c r="E179" t="s">
        <v>16</v>
      </c>
      <c r="F179">
        <v>594</v>
      </c>
      <c r="G179">
        <v>29</v>
      </c>
      <c r="H179">
        <v>3</v>
      </c>
      <c r="I179">
        <v>130830.22</v>
      </c>
      <c r="J179">
        <v>1</v>
      </c>
      <c r="K179">
        <v>1</v>
      </c>
      <c r="L179">
        <v>0</v>
      </c>
      <c r="M179">
        <v>61048.53</v>
      </c>
      <c r="N179">
        <v>0</v>
      </c>
      <c r="O179" t="str">
        <f t="shared" si="6"/>
        <v>Average</v>
      </c>
      <c r="P179" t="str">
        <f t="shared" si="7"/>
        <v>Young Adult</v>
      </c>
      <c r="Q179" t="str">
        <f t="shared" si="8"/>
        <v>Medium Salary</v>
      </c>
    </row>
    <row r="180" spans="1:17" x14ac:dyDescent="0.25">
      <c r="A180">
        <v>231</v>
      </c>
      <c r="B180">
        <v>15808473</v>
      </c>
      <c r="C180" t="s">
        <v>230</v>
      </c>
      <c r="D180" t="s">
        <v>15</v>
      </c>
      <c r="E180" t="s">
        <v>23</v>
      </c>
      <c r="F180">
        <v>673</v>
      </c>
      <c r="G180">
        <v>72</v>
      </c>
      <c r="H180">
        <v>1</v>
      </c>
      <c r="I180">
        <v>0</v>
      </c>
      <c r="J180">
        <v>2</v>
      </c>
      <c r="K180">
        <v>0</v>
      </c>
      <c r="L180">
        <v>1</v>
      </c>
      <c r="M180">
        <v>111981.19</v>
      </c>
      <c r="N180">
        <v>0</v>
      </c>
      <c r="O180" t="str">
        <f t="shared" si="6"/>
        <v>Good</v>
      </c>
      <c r="P180" t="str">
        <f t="shared" si="7"/>
        <v>Senior</v>
      </c>
      <c r="Q180" t="str">
        <f t="shared" si="8"/>
        <v>High Salary</v>
      </c>
    </row>
    <row r="181" spans="1:17" x14ac:dyDescent="0.25">
      <c r="A181">
        <v>232</v>
      </c>
      <c r="B181">
        <v>15627000</v>
      </c>
      <c r="C181" t="s">
        <v>231</v>
      </c>
      <c r="D181" t="s">
        <v>15</v>
      </c>
      <c r="E181" t="s">
        <v>23</v>
      </c>
      <c r="F181">
        <v>610</v>
      </c>
      <c r="G181">
        <v>40</v>
      </c>
      <c r="H181">
        <v>0</v>
      </c>
      <c r="I181">
        <v>0</v>
      </c>
      <c r="J181">
        <v>2</v>
      </c>
      <c r="K181">
        <v>1</v>
      </c>
      <c r="L181">
        <v>0</v>
      </c>
      <c r="M181">
        <v>62232.6</v>
      </c>
      <c r="N181">
        <v>0</v>
      </c>
      <c r="O181" t="str">
        <f t="shared" si="6"/>
        <v>Average</v>
      </c>
      <c r="P181" t="str">
        <f t="shared" si="7"/>
        <v>Adult</v>
      </c>
      <c r="Q181" t="str">
        <f t="shared" si="8"/>
        <v>Medium Salary</v>
      </c>
    </row>
    <row r="182" spans="1:17" x14ac:dyDescent="0.25">
      <c r="A182">
        <v>233</v>
      </c>
      <c r="B182">
        <v>15787174</v>
      </c>
      <c r="C182" t="s">
        <v>232</v>
      </c>
      <c r="D182" t="s">
        <v>15</v>
      </c>
      <c r="E182" t="s">
        <v>16</v>
      </c>
      <c r="F182">
        <v>512</v>
      </c>
      <c r="G182">
        <v>37</v>
      </c>
      <c r="H182">
        <v>1</v>
      </c>
      <c r="I182">
        <v>0</v>
      </c>
      <c r="J182">
        <v>2</v>
      </c>
      <c r="K182">
        <v>0</v>
      </c>
      <c r="L182">
        <v>1</v>
      </c>
      <c r="M182">
        <v>156105.03</v>
      </c>
      <c r="N182">
        <v>0</v>
      </c>
      <c r="O182" t="str">
        <f t="shared" si="6"/>
        <v>Poor</v>
      </c>
      <c r="P182" t="str">
        <f t="shared" si="7"/>
        <v>Adult</v>
      </c>
      <c r="Q182" t="str">
        <f t="shared" si="8"/>
        <v>High Salary</v>
      </c>
    </row>
    <row r="183" spans="1:17" x14ac:dyDescent="0.25">
      <c r="A183">
        <v>234</v>
      </c>
      <c r="B183">
        <v>15723886</v>
      </c>
      <c r="C183" t="s">
        <v>233</v>
      </c>
      <c r="D183" t="s">
        <v>26</v>
      </c>
      <c r="E183" t="s">
        <v>23</v>
      </c>
      <c r="F183">
        <v>767</v>
      </c>
      <c r="G183">
        <v>20</v>
      </c>
      <c r="H183">
        <v>3</v>
      </c>
      <c r="I183">
        <v>119714.25</v>
      </c>
      <c r="J183">
        <v>2</v>
      </c>
      <c r="K183">
        <v>0</v>
      </c>
      <c r="L183">
        <v>1</v>
      </c>
      <c r="M183">
        <v>150135.38</v>
      </c>
      <c r="N183">
        <v>0</v>
      </c>
      <c r="O183" t="str">
        <f t="shared" si="6"/>
        <v>Good</v>
      </c>
      <c r="P183" t="str">
        <f t="shared" si="7"/>
        <v>Young Adult</v>
      </c>
      <c r="Q183" t="str">
        <f t="shared" si="8"/>
        <v>High Salary</v>
      </c>
    </row>
    <row r="184" spans="1:17" x14ac:dyDescent="0.25">
      <c r="A184">
        <v>235</v>
      </c>
      <c r="B184">
        <v>15704769</v>
      </c>
      <c r="C184" t="s">
        <v>234</v>
      </c>
      <c r="D184" t="s">
        <v>15</v>
      </c>
      <c r="E184" t="s">
        <v>16</v>
      </c>
      <c r="F184">
        <v>585</v>
      </c>
      <c r="G184">
        <v>67</v>
      </c>
      <c r="H184">
        <v>5</v>
      </c>
      <c r="I184">
        <v>113978.97</v>
      </c>
      <c r="J184">
        <v>2</v>
      </c>
      <c r="K184">
        <v>0</v>
      </c>
      <c r="L184">
        <v>1</v>
      </c>
      <c r="M184">
        <v>93146.11</v>
      </c>
      <c r="N184">
        <v>0</v>
      </c>
      <c r="O184" t="str">
        <f t="shared" si="6"/>
        <v>Average</v>
      </c>
      <c r="P184" t="str">
        <f t="shared" si="7"/>
        <v>Senior</v>
      </c>
      <c r="Q184" t="str">
        <f t="shared" si="8"/>
        <v>High Salary</v>
      </c>
    </row>
    <row r="185" spans="1:17" x14ac:dyDescent="0.25">
      <c r="A185">
        <v>237</v>
      </c>
      <c r="B185">
        <v>15711540</v>
      </c>
      <c r="C185" t="s">
        <v>236</v>
      </c>
      <c r="D185" t="s">
        <v>15</v>
      </c>
      <c r="E185" t="s">
        <v>16</v>
      </c>
      <c r="F185">
        <v>712</v>
      </c>
      <c r="G185">
        <v>29</v>
      </c>
      <c r="H185">
        <v>2</v>
      </c>
      <c r="I185">
        <v>0</v>
      </c>
      <c r="J185">
        <v>1</v>
      </c>
      <c r="K185">
        <v>1</v>
      </c>
      <c r="L185">
        <v>1</v>
      </c>
      <c r="M185">
        <v>144375</v>
      </c>
      <c r="N185">
        <v>0</v>
      </c>
      <c r="O185" t="str">
        <f t="shared" si="6"/>
        <v>Good</v>
      </c>
      <c r="P185" t="str">
        <f t="shared" si="7"/>
        <v>Young Adult</v>
      </c>
      <c r="Q185" t="str">
        <f t="shared" si="8"/>
        <v>High Salary</v>
      </c>
    </row>
    <row r="186" spans="1:17" x14ac:dyDescent="0.25">
      <c r="A186">
        <v>240</v>
      </c>
      <c r="B186">
        <v>15795149</v>
      </c>
      <c r="C186" t="s">
        <v>239</v>
      </c>
      <c r="D186" t="s">
        <v>15</v>
      </c>
      <c r="E186" t="s">
        <v>23</v>
      </c>
      <c r="F186">
        <v>703</v>
      </c>
      <c r="G186">
        <v>28</v>
      </c>
      <c r="H186">
        <v>2</v>
      </c>
      <c r="I186">
        <v>81173.83</v>
      </c>
      <c r="J186">
        <v>2</v>
      </c>
      <c r="K186">
        <v>0</v>
      </c>
      <c r="L186">
        <v>1</v>
      </c>
      <c r="M186">
        <v>162812.16</v>
      </c>
      <c r="N186">
        <v>0</v>
      </c>
      <c r="O186" t="str">
        <f t="shared" si="6"/>
        <v>Good</v>
      </c>
      <c r="P186" t="str">
        <f t="shared" si="7"/>
        <v>Young Adult</v>
      </c>
      <c r="Q186" t="str">
        <f t="shared" si="8"/>
        <v>High Salary</v>
      </c>
    </row>
    <row r="187" spans="1:17" x14ac:dyDescent="0.25">
      <c r="A187">
        <v>241</v>
      </c>
      <c r="B187">
        <v>15812009</v>
      </c>
      <c r="C187" t="s">
        <v>240</v>
      </c>
      <c r="D187" t="s">
        <v>18</v>
      </c>
      <c r="E187" t="s">
        <v>23</v>
      </c>
      <c r="F187">
        <v>662</v>
      </c>
      <c r="G187">
        <v>38</v>
      </c>
      <c r="H187">
        <v>4</v>
      </c>
      <c r="I187">
        <v>0</v>
      </c>
      <c r="J187">
        <v>2</v>
      </c>
      <c r="K187">
        <v>1</v>
      </c>
      <c r="L187">
        <v>0</v>
      </c>
      <c r="M187">
        <v>136259.65</v>
      </c>
      <c r="N187">
        <v>0</v>
      </c>
      <c r="O187" t="str">
        <f t="shared" si="6"/>
        <v>Average</v>
      </c>
      <c r="P187" t="str">
        <f t="shared" si="7"/>
        <v>Adult</v>
      </c>
      <c r="Q187" t="str">
        <f t="shared" si="8"/>
        <v>High Salary</v>
      </c>
    </row>
    <row r="188" spans="1:17" x14ac:dyDescent="0.25">
      <c r="A188">
        <v>242</v>
      </c>
      <c r="B188">
        <v>15651001</v>
      </c>
      <c r="C188" t="s">
        <v>75</v>
      </c>
      <c r="D188" t="s">
        <v>26</v>
      </c>
      <c r="E188" t="s">
        <v>16</v>
      </c>
      <c r="F188">
        <v>725</v>
      </c>
      <c r="G188">
        <v>39</v>
      </c>
      <c r="H188">
        <v>5</v>
      </c>
      <c r="I188">
        <v>116803.8</v>
      </c>
      <c r="J188">
        <v>1</v>
      </c>
      <c r="K188">
        <v>1</v>
      </c>
      <c r="L188">
        <v>0</v>
      </c>
      <c r="M188">
        <v>124052.97</v>
      </c>
      <c r="N188">
        <v>0</v>
      </c>
      <c r="O188" t="str">
        <f t="shared" si="6"/>
        <v>Good</v>
      </c>
      <c r="P188" t="str">
        <f t="shared" si="7"/>
        <v>Adult</v>
      </c>
      <c r="Q188" t="str">
        <f t="shared" si="8"/>
        <v>High Salary</v>
      </c>
    </row>
    <row r="189" spans="1:17" x14ac:dyDescent="0.25">
      <c r="A189">
        <v>243</v>
      </c>
      <c r="B189">
        <v>15813844</v>
      </c>
      <c r="C189" t="s">
        <v>241</v>
      </c>
      <c r="D189" t="s">
        <v>15</v>
      </c>
      <c r="E189" t="s">
        <v>23</v>
      </c>
      <c r="F189">
        <v>703</v>
      </c>
      <c r="G189">
        <v>37</v>
      </c>
      <c r="H189">
        <v>8</v>
      </c>
      <c r="I189">
        <v>105961.68</v>
      </c>
      <c r="J189">
        <v>2</v>
      </c>
      <c r="K189">
        <v>0</v>
      </c>
      <c r="L189">
        <v>1</v>
      </c>
      <c r="M189">
        <v>74158.8</v>
      </c>
      <c r="N189">
        <v>0</v>
      </c>
      <c r="O189" t="str">
        <f t="shared" si="6"/>
        <v>Good</v>
      </c>
      <c r="P189" t="str">
        <f t="shared" si="7"/>
        <v>Adult</v>
      </c>
      <c r="Q189" t="str">
        <f t="shared" si="8"/>
        <v>High Salary</v>
      </c>
    </row>
    <row r="190" spans="1:17" x14ac:dyDescent="0.25">
      <c r="A190">
        <v>245</v>
      </c>
      <c r="B190">
        <v>15576269</v>
      </c>
      <c r="C190" t="s">
        <v>243</v>
      </c>
      <c r="D190" t="s">
        <v>18</v>
      </c>
      <c r="E190" t="s">
        <v>23</v>
      </c>
      <c r="F190">
        <v>523</v>
      </c>
      <c r="G190">
        <v>34</v>
      </c>
      <c r="H190">
        <v>7</v>
      </c>
      <c r="I190">
        <v>0</v>
      </c>
      <c r="J190">
        <v>2</v>
      </c>
      <c r="K190">
        <v>1</v>
      </c>
      <c r="L190">
        <v>0</v>
      </c>
      <c r="M190">
        <v>62030.06</v>
      </c>
      <c r="N190">
        <v>0</v>
      </c>
      <c r="O190" t="str">
        <f t="shared" si="6"/>
        <v>Poor</v>
      </c>
      <c r="P190" t="str">
        <f t="shared" si="7"/>
        <v>Adult</v>
      </c>
      <c r="Q190" t="str">
        <f t="shared" si="8"/>
        <v>Medium Salary</v>
      </c>
    </row>
    <row r="191" spans="1:17" x14ac:dyDescent="0.25">
      <c r="A191">
        <v>247</v>
      </c>
      <c r="B191">
        <v>15685500</v>
      </c>
      <c r="C191" t="s">
        <v>245</v>
      </c>
      <c r="D191" t="s">
        <v>26</v>
      </c>
      <c r="E191" t="s">
        <v>23</v>
      </c>
      <c r="F191">
        <v>772</v>
      </c>
      <c r="G191">
        <v>26</v>
      </c>
      <c r="H191">
        <v>7</v>
      </c>
      <c r="I191">
        <v>152400.51</v>
      </c>
      <c r="J191">
        <v>2</v>
      </c>
      <c r="K191">
        <v>1</v>
      </c>
      <c r="L191">
        <v>0</v>
      </c>
      <c r="M191">
        <v>79414</v>
      </c>
      <c r="N191">
        <v>0</v>
      </c>
      <c r="O191" t="str">
        <f t="shared" si="6"/>
        <v>Good</v>
      </c>
      <c r="P191" t="str">
        <f t="shared" si="7"/>
        <v>Young Adult</v>
      </c>
      <c r="Q191" t="str">
        <f t="shared" si="8"/>
        <v>High Salary</v>
      </c>
    </row>
    <row r="192" spans="1:17" x14ac:dyDescent="0.25">
      <c r="A192">
        <v>248</v>
      </c>
      <c r="B192">
        <v>15599792</v>
      </c>
      <c r="C192" t="s">
        <v>246</v>
      </c>
      <c r="D192" t="s">
        <v>15</v>
      </c>
      <c r="E192" t="s">
        <v>16</v>
      </c>
      <c r="F192">
        <v>545</v>
      </c>
      <c r="G192">
        <v>26</v>
      </c>
      <c r="H192">
        <v>1</v>
      </c>
      <c r="I192">
        <v>0</v>
      </c>
      <c r="J192">
        <v>2</v>
      </c>
      <c r="K192">
        <v>1</v>
      </c>
      <c r="L192">
        <v>1</v>
      </c>
      <c r="M192">
        <v>199638.56</v>
      </c>
      <c r="N192">
        <v>0</v>
      </c>
      <c r="O192" t="str">
        <f t="shared" si="6"/>
        <v>Poor</v>
      </c>
      <c r="P192" t="str">
        <f t="shared" si="7"/>
        <v>Young Adult</v>
      </c>
      <c r="Q192" t="str">
        <f t="shared" si="8"/>
        <v>High Salary</v>
      </c>
    </row>
    <row r="193" spans="1:17" x14ac:dyDescent="0.25">
      <c r="A193">
        <v>249</v>
      </c>
      <c r="B193">
        <v>15657566</v>
      </c>
      <c r="C193" t="s">
        <v>247</v>
      </c>
      <c r="D193" t="s">
        <v>26</v>
      </c>
      <c r="E193" t="s">
        <v>23</v>
      </c>
      <c r="F193">
        <v>634</v>
      </c>
      <c r="G193">
        <v>24</v>
      </c>
      <c r="H193">
        <v>8</v>
      </c>
      <c r="I193">
        <v>103097.85</v>
      </c>
      <c r="J193">
        <v>1</v>
      </c>
      <c r="K193">
        <v>1</v>
      </c>
      <c r="L193">
        <v>1</v>
      </c>
      <c r="M193">
        <v>157577.29</v>
      </c>
      <c r="N193">
        <v>0</v>
      </c>
      <c r="O193" t="str">
        <f t="shared" si="6"/>
        <v>Average</v>
      </c>
      <c r="P193" t="str">
        <f t="shared" si="7"/>
        <v>Young Adult</v>
      </c>
      <c r="Q193" t="str">
        <f t="shared" si="8"/>
        <v>High Salary</v>
      </c>
    </row>
    <row r="194" spans="1:17" x14ac:dyDescent="0.25">
      <c r="A194">
        <v>251</v>
      </c>
      <c r="B194">
        <v>15628112</v>
      </c>
      <c r="C194" t="s">
        <v>249</v>
      </c>
      <c r="D194" t="s">
        <v>26</v>
      </c>
      <c r="E194" t="s">
        <v>16</v>
      </c>
      <c r="F194">
        <v>771</v>
      </c>
      <c r="G194">
        <v>36</v>
      </c>
      <c r="H194">
        <v>5</v>
      </c>
      <c r="I194">
        <v>77846.899999999994</v>
      </c>
      <c r="J194">
        <v>1</v>
      </c>
      <c r="K194">
        <v>0</v>
      </c>
      <c r="L194">
        <v>0</v>
      </c>
      <c r="M194">
        <v>99805.99</v>
      </c>
      <c r="N194">
        <v>0</v>
      </c>
      <c r="O194" t="str">
        <f t="shared" si="6"/>
        <v>Good</v>
      </c>
      <c r="P194" t="str">
        <f t="shared" si="7"/>
        <v>Adult</v>
      </c>
      <c r="Q194" t="str">
        <f t="shared" si="8"/>
        <v>High Salary</v>
      </c>
    </row>
    <row r="195" spans="1:17" x14ac:dyDescent="0.25">
      <c r="A195">
        <v>252</v>
      </c>
      <c r="B195">
        <v>15753754</v>
      </c>
      <c r="C195" t="s">
        <v>250</v>
      </c>
      <c r="D195" t="s">
        <v>18</v>
      </c>
      <c r="E195" t="s">
        <v>16</v>
      </c>
      <c r="F195">
        <v>587</v>
      </c>
      <c r="G195">
        <v>34</v>
      </c>
      <c r="H195">
        <v>1</v>
      </c>
      <c r="I195">
        <v>0</v>
      </c>
      <c r="J195">
        <v>2</v>
      </c>
      <c r="K195">
        <v>1</v>
      </c>
      <c r="L195">
        <v>1</v>
      </c>
      <c r="M195">
        <v>97932.68</v>
      </c>
      <c r="N195">
        <v>0</v>
      </c>
      <c r="O195" t="str">
        <f t="shared" ref="O195:O258" si="9">IF(F195&lt;580, "Poor", IF(AND(F195&gt;=580, F195&lt;=669), "Average", "Good"))</f>
        <v>Average</v>
      </c>
      <c r="P195" t="str">
        <f t="shared" ref="P195:P258" si="10">IF(G195&lt;=30, "Young Adult", IF(AND(G195&gt;=31, G195&lt;=60), "Adult", "Senior"))</f>
        <v>Adult</v>
      </c>
      <c r="Q195" t="str">
        <f t="shared" ref="Q195:Q258" si="11">IF(M195&lt;30000, "Low Salary", IF(AND(M195&gt;=30000, M195&lt;=70000), "Medium Salary", "High Salary"))</f>
        <v>High Salary</v>
      </c>
    </row>
    <row r="196" spans="1:17" x14ac:dyDescent="0.25">
      <c r="A196">
        <v>253</v>
      </c>
      <c r="B196">
        <v>15793726</v>
      </c>
      <c r="C196" t="s">
        <v>251</v>
      </c>
      <c r="D196" t="s">
        <v>15</v>
      </c>
      <c r="E196" t="s">
        <v>16</v>
      </c>
      <c r="F196">
        <v>681</v>
      </c>
      <c r="G196">
        <v>79</v>
      </c>
      <c r="H196">
        <v>0</v>
      </c>
      <c r="I196">
        <v>0</v>
      </c>
      <c r="J196">
        <v>2</v>
      </c>
      <c r="K196">
        <v>0</v>
      </c>
      <c r="L196">
        <v>1</v>
      </c>
      <c r="M196">
        <v>170968.99</v>
      </c>
      <c r="N196">
        <v>0</v>
      </c>
      <c r="O196" t="str">
        <f t="shared" si="9"/>
        <v>Good</v>
      </c>
      <c r="P196" t="str">
        <f t="shared" si="10"/>
        <v>Senior</v>
      </c>
      <c r="Q196" t="str">
        <f t="shared" si="11"/>
        <v>High Salary</v>
      </c>
    </row>
    <row r="197" spans="1:17" x14ac:dyDescent="0.25">
      <c r="A197">
        <v>254</v>
      </c>
      <c r="B197">
        <v>15694717</v>
      </c>
      <c r="C197" t="s">
        <v>209</v>
      </c>
      <c r="D197" t="s">
        <v>26</v>
      </c>
      <c r="E197" t="s">
        <v>23</v>
      </c>
      <c r="F197">
        <v>544</v>
      </c>
      <c r="G197">
        <v>37</v>
      </c>
      <c r="H197">
        <v>2</v>
      </c>
      <c r="I197">
        <v>79731.91</v>
      </c>
      <c r="J197">
        <v>1</v>
      </c>
      <c r="K197">
        <v>1</v>
      </c>
      <c r="L197">
        <v>1</v>
      </c>
      <c r="M197">
        <v>57558.95</v>
      </c>
      <c r="N197">
        <v>0</v>
      </c>
      <c r="O197" t="str">
        <f t="shared" si="9"/>
        <v>Poor</v>
      </c>
      <c r="P197" t="str">
        <f t="shared" si="10"/>
        <v>Adult</v>
      </c>
      <c r="Q197" t="str">
        <f t="shared" si="11"/>
        <v>Medium Salary</v>
      </c>
    </row>
    <row r="198" spans="1:17" x14ac:dyDescent="0.25">
      <c r="A198">
        <v>255</v>
      </c>
      <c r="B198">
        <v>15665834</v>
      </c>
      <c r="C198" t="s">
        <v>252</v>
      </c>
      <c r="D198" t="s">
        <v>18</v>
      </c>
      <c r="E198" t="s">
        <v>23</v>
      </c>
      <c r="F198">
        <v>696</v>
      </c>
      <c r="G198">
        <v>28</v>
      </c>
      <c r="H198">
        <v>8</v>
      </c>
      <c r="I198">
        <v>0</v>
      </c>
      <c r="J198">
        <v>1</v>
      </c>
      <c r="K198">
        <v>0</v>
      </c>
      <c r="L198">
        <v>0</v>
      </c>
      <c r="M198">
        <v>176713.47</v>
      </c>
      <c r="N198">
        <v>0</v>
      </c>
      <c r="O198" t="str">
        <f t="shared" si="9"/>
        <v>Good</v>
      </c>
      <c r="P198" t="str">
        <f t="shared" si="10"/>
        <v>Young Adult</v>
      </c>
      <c r="Q198" t="str">
        <f t="shared" si="11"/>
        <v>High Salary</v>
      </c>
    </row>
    <row r="199" spans="1:17" x14ac:dyDescent="0.25">
      <c r="A199">
        <v>256</v>
      </c>
      <c r="B199">
        <v>15765297</v>
      </c>
      <c r="C199" t="s">
        <v>253</v>
      </c>
      <c r="D199" t="s">
        <v>18</v>
      </c>
      <c r="E199" t="s">
        <v>23</v>
      </c>
      <c r="F199">
        <v>766</v>
      </c>
      <c r="G199">
        <v>41</v>
      </c>
      <c r="H199">
        <v>0</v>
      </c>
      <c r="I199">
        <v>0</v>
      </c>
      <c r="J199">
        <v>2</v>
      </c>
      <c r="K199">
        <v>0</v>
      </c>
      <c r="L199">
        <v>1</v>
      </c>
      <c r="M199">
        <v>34283.230000000003</v>
      </c>
      <c r="N199">
        <v>0</v>
      </c>
      <c r="O199" t="str">
        <f t="shared" si="9"/>
        <v>Good</v>
      </c>
      <c r="P199" t="str">
        <f t="shared" si="10"/>
        <v>Adult</v>
      </c>
      <c r="Q199" t="str">
        <f t="shared" si="11"/>
        <v>Medium Salary</v>
      </c>
    </row>
    <row r="200" spans="1:17" x14ac:dyDescent="0.25">
      <c r="A200">
        <v>257</v>
      </c>
      <c r="B200">
        <v>15636684</v>
      </c>
      <c r="C200" t="s">
        <v>254</v>
      </c>
      <c r="D200" t="s">
        <v>15</v>
      </c>
      <c r="E200" t="s">
        <v>23</v>
      </c>
      <c r="F200">
        <v>727</v>
      </c>
      <c r="G200">
        <v>34</v>
      </c>
      <c r="H200">
        <v>10</v>
      </c>
      <c r="I200">
        <v>0</v>
      </c>
      <c r="J200">
        <v>2</v>
      </c>
      <c r="K200">
        <v>1</v>
      </c>
      <c r="L200">
        <v>1</v>
      </c>
      <c r="M200">
        <v>198637.34</v>
      </c>
      <c r="N200">
        <v>0</v>
      </c>
      <c r="O200" t="str">
        <f t="shared" si="9"/>
        <v>Good</v>
      </c>
      <c r="P200" t="str">
        <f t="shared" si="10"/>
        <v>Adult</v>
      </c>
      <c r="Q200" t="str">
        <f t="shared" si="11"/>
        <v>High Salary</v>
      </c>
    </row>
    <row r="201" spans="1:17" x14ac:dyDescent="0.25">
      <c r="A201">
        <v>258</v>
      </c>
      <c r="B201">
        <v>15592979</v>
      </c>
      <c r="C201" t="s">
        <v>255</v>
      </c>
      <c r="D201" t="s">
        <v>26</v>
      </c>
      <c r="E201" t="s">
        <v>16</v>
      </c>
      <c r="F201">
        <v>671</v>
      </c>
      <c r="G201">
        <v>34</v>
      </c>
      <c r="H201">
        <v>6</v>
      </c>
      <c r="I201">
        <v>37266.67</v>
      </c>
      <c r="J201">
        <v>2</v>
      </c>
      <c r="K201">
        <v>0</v>
      </c>
      <c r="L201">
        <v>0</v>
      </c>
      <c r="M201">
        <v>156917.12</v>
      </c>
      <c r="N201">
        <v>0</v>
      </c>
      <c r="O201" t="str">
        <f t="shared" si="9"/>
        <v>Good</v>
      </c>
      <c r="P201" t="str">
        <f t="shared" si="10"/>
        <v>Adult</v>
      </c>
      <c r="Q201" t="str">
        <f t="shared" si="11"/>
        <v>High Salary</v>
      </c>
    </row>
    <row r="202" spans="1:17" x14ac:dyDescent="0.25">
      <c r="A202">
        <v>259</v>
      </c>
      <c r="B202">
        <v>15750803</v>
      </c>
      <c r="C202" t="s">
        <v>256</v>
      </c>
      <c r="D202" t="s">
        <v>15</v>
      </c>
      <c r="E202" t="s">
        <v>16</v>
      </c>
      <c r="F202">
        <v>693</v>
      </c>
      <c r="G202">
        <v>30</v>
      </c>
      <c r="H202">
        <v>6</v>
      </c>
      <c r="I202">
        <v>127992.25</v>
      </c>
      <c r="J202">
        <v>1</v>
      </c>
      <c r="K202">
        <v>1</v>
      </c>
      <c r="L202">
        <v>1</v>
      </c>
      <c r="M202">
        <v>50457.2</v>
      </c>
      <c r="N202">
        <v>0</v>
      </c>
      <c r="O202" t="str">
        <f t="shared" si="9"/>
        <v>Good</v>
      </c>
      <c r="P202" t="str">
        <f t="shared" si="10"/>
        <v>Young Adult</v>
      </c>
      <c r="Q202" t="str">
        <f t="shared" si="11"/>
        <v>Medium Salary</v>
      </c>
    </row>
    <row r="203" spans="1:17" x14ac:dyDescent="0.25">
      <c r="A203">
        <v>260</v>
      </c>
      <c r="B203">
        <v>15607178</v>
      </c>
      <c r="C203" t="s">
        <v>131</v>
      </c>
      <c r="D203" t="s">
        <v>26</v>
      </c>
      <c r="E203" t="s">
        <v>23</v>
      </c>
      <c r="F203">
        <v>850</v>
      </c>
      <c r="G203">
        <v>38</v>
      </c>
      <c r="H203">
        <v>3</v>
      </c>
      <c r="I203">
        <v>54901.01</v>
      </c>
      <c r="J203">
        <v>1</v>
      </c>
      <c r="K203">
        <v>1</v>
      </c>
      <c r="L203">
        <v>1</v>
      </c>
      <c r="M203">
        <v>140075.54999999999</v>
      </c>
      <c r="N203">
        <v>0</v>
      </c>
      <c r="O203" t="str">
        <f t="shared" si="9"/>
        <v>Good</v>
      </c>
      <c r="P203" t="str">
        <f t="shared" si="10"/>
        <v>Adult</v>
      </c>
      <c r="Q203" t="str">
        <f t="shared" si="11"/>
        <v>High Salary</v>
      </c>
    </row>
    <row r="204" spans="1:17" x14ac:dyDescent="0.25">
      <c r="A204">
        <v>261</v>
      </c>
      <c r="B204">
        <v>15713853</v>
      </c>
      <c r="C204" t="s">
        <v>257</v>
      </c>
      <c r="D204" t="s">
        <v>26</v>
      </c>
      <c r="E204" t="s">
        <v>23</v>
      </c>
      <c r="F204">
        <v>732</v>
      </c>
      <c r="G204">
        <v>42</v>
      </c>
      <c r="H204">
        <v>9</v>
      </c>
      <c r="I204">
        <v>108748.08</v>
      </c>
      <c r="J204">
        <v>2</v>
      </c>
      <c r="K204">
        <v>1</v>
      </c>
      <c r="L204">
        <v>1</v>
      </c>
      <c r="M204">
        <v>65323.11</v>
      </c>
      <c r="N204">
        <v>0</v>
      </c>
      <c r="O204" t="str">
        <f t="shared" si="9"/>
        <v>Good</v>
      </c>
      <c r="P204" t="str">
        <f t="shared" si="10"/>
        <v>Adult</v>
      </c>
      <c r="Q204" t="str">
        <f t="shared" si="11"/>
        <v>Medium Salary</v>
      </c>
    </row>
    <row r="205" spans="1:17" x14ac:dyDescent="0.25">
      <c r="A205">
        <v>262</v>
      </c>
      <c r="B205">
        <v>15673481</v>
      </c>
      <c r="C205" t="s">
        <v>258</v>
      </c>
      <c r="D205" t="s">
        <v>18</v>
      </c>
      <c r="E205" t="s">
        <v>16</v>
      </c>
      <c r="F205">
        <v>726</v>
      </c>
      <c r="G205">
        <v>48</v>
      </c>
      <c r="H205">
        <v>6</v>
      </c>
      <c r="I205">
        <v>99906.19</v>
      </c>
      <c r="J205">
        <v>1</v>
      </c>
      <c r="K205">
        <v>1</v>
      </c>
      <c r="L205">
        <v>0</v>
      </c>
      <c r="M205">
        <v>64323.24</v>
      </c>
      <c r="N205">
        <v>0</v>
      </c>
      <c r="O205" t="str">
        <f t="shared" si="9"/>
        <v>Good</v>
      </c>
      <c r="P205" t="str">
        <f t="shared" si="10"/>
        <v>Adult</v>
      </c>
      <c r="Q205" t="str">
        <f t="shared" si="11"/>
        <v>Medium Salary</v>
      </c>
    </row>
    <row r="206" spans="1:17" x14ac:dyDescent="0.25">
      <c r="A206">
        <v>263</v>
      </c>
      <c r="B206">
        <v>15686776</v>
      </c>
      <c r="C206" t="s">
        <v>259</v>
      </c>
      <c r="D206" t="s">
        <v>15</v>
      </c>
      <c r="E206" t="s">
        <v>16</v>
      </c>
      <c r="F206">
        <v>557</v>
      </c>
      <c r="G206">
        <v>32</v>
      </c>
      <c r="H206">
        <v>6</v>
      </c>
      <c r="I206">
        <v>184686.41</v>
      </c>
      <c r="J206">
        <v>2</v>
      </c>
      <c r="K206">
        <v>1</v>
      </c>
      <c r="L206">
        <v>0</v>
      </c>
      <c r="M206">
        <v>14956.44</v>
      </c>
      <c r="N206">
        <v>0</v>
      </c>
      <c r="O206" t="str">
        <f t="shared" si="9"/>
        <v>Poor</v>
      </c>
      <c r="P206" t="str">
        <f t="shared" si="10"/>
        <v>Adult</v>
      </c>
      <c r="Q206" t="str">
        <f t="shared" si="11"/>
        <v>Low Salary</v>
      </c>
    </row>
    <row r="207" spans="1:17" x14ac:dyDescent="0.25">
      <c r="A207">
        <v>264</v>
      </c>
      <c r="B207">
        <v>15673693</v>
      </c>
      <c r="C207" t="s">
        <v>260</v>
      </c>
      <c r="D207" t="s">
        <v>15</v>
      </c>
      <c r="E207" t="s">
        <v>16</v>
      </c>
      <c r="F207">
        <v>682</v>
      </c>
      <c r="G207">
        <v>26</v>
      </c>
      <c r="H207">
        <v>0</v>
      </c>
      <c r="I207">
        <v>110654.02</v>
      </c>
      <c r="J207">
        <v>1</v>
      </c>
      <c r="K207">
        <v>0</v>
      </c>
      <c r="L207">
        <v>1</v>
      </c>
      <c r="M207">
        <v>111879.21</v>
      </c>
      <c r="N207">
        <v>0</v>
      </c>
      <c r="O207" t="str">
        <f t="shared" si="9"/>
        <v>Good</v>
      </c>
      <c r="P207" t="str">
        <f t="shared" si="10"/>
        <v>Young Adult</v>
      </c>
      <c r="Q207" t="str">
        <f t="shared" si="11"/>
        <v>High Salary</v>
      </c>
    </row>
    <row r="208" spans="1:17" x14ac:dyDescent="0.25">
      <c r="A208">
        <v>265</v>
      </c>
      <c r="B208">
        <v>15700696</v>
      </c>
      <c r="C208" t="s">
        <v>261</v>
      </c>
      <c r="D208" t="s">
        <v>18</v>
      </c>
      <c r="E208" t="s">
        <v>23</v>
      </c>
      <c r="F208">
        <v>738</v>
      </c>
      <c r="G208">
        <v>31</v>
      </c>
      <c r="H208">
        <v>9</v>
      </c>
      <c r="I208">
        <v>79019.8</v>
      </c>
      <c r="J208">
        <v>1</v>
      </c>
      <c r="K208">
        <v>1</v>
      </c>
      <c r="L208">
        <v>1</v>
      </c>
      <c r="M208">
        <v>18606.23</v>
      </c>
      <c r="N208">
        <v>0</v>
      </c>
      <c r="O208" t="str">
        <f t="shared" si="9"/>
        <v>Good</v>
      </c>
      <c r="P208" t="str">
        <f t="shared" si="10"/>
        <v>Adult</v>
      </c>
      <c r="Q208" t="str">
        <f t="shared" si="11"/>
        <v>Low Salary</v>
      </c>
    </row>
    <row r="209" spans="1:17" x14ac:dyDescent="0.25">
      <c r="A209">
        <v>266</v>
      </c>
      <c r="B209">
        <v>15813163</v>
      </c>
      <c r="C209" t="s">
        <v>262</v>
      </c>
      <c r="D209" t="s">
        <v>18</v>
      </c>
      <c r="E209" t="s">
        <v>16</v>
      </c>
      <c r="F209">
        <v>531</v>
      </c>
      <c r="G209">
        <v>36</v>
      </c>
      <c r="H209">
        <v>9</v>
      </c>
      <c r="I209">
        <v>99240.51</v>
      </c>
      <c r="J209">
        <v>1</v>
      </c>
      <c r="K209">
        <v>1</v>
      </c>
      <c r="L209">
        <v>0</v>
      </c>
      <c r="M209">
        <v>123137.01</v>
      </c>
      <c r="N209">
        <v>0</v>
      </c>
      <c r="O209" t="str">
        <f t="shared" si="9"/>
        <v>Poor</v>
      </c>
      <c r="P209" t="str">
        <f t="shared" si="10"/>
        <v>Adult</v>
      </c>
      <c r="Q209" t="str">
        <f t="shared" si="11"/>
        <v>High Salary</v>
      </c>
    </row>
    <row r="210" spans="1:17" x14ac:dyDescent="0.25">
      <c r="A210">
        <v>267</v>
      </c>
      <c r="B210">
        <v>15653857</v>
      </c>
      <c r="C210" t="s">
        <v>263</v>
      </c>
      <c r="D210" t="s">
        <v>15</v>
      </c>
      <c r="E210" t="s">
        <v>23</v>
      </c>
      <c r="F210">
        <v>498</v>
      </c>
      <c r="G210">
        <v>34</v>
      </c>
      <c r="H210">
        <v>2</v>
      </c>
      <c r="I210">
        <v>0</v>
      </c>
      <c r="J210">
        <v>2</v>
      </c>
      <c r="K210">
        <v>1</v>
      </c>
      <c r="L210">
        <v>1</v>
      </c>
      <c r="M210">
        <v>148528.24</v>
      </c>
      <c r="N210">
        <v>0</v>
      </c>
      <c r="O210" t="str">
        <f t="shared" si="9"/>
        <v>Poor</v>
      </c>
      <c r="P210" t="str">
        <f t="shared" si="10"/>
        <v>Adult</v>
      </c>
      <c r="Q210" t="str">
        <f t="shared" si="11"/>
        <v>High Salary</v>
      </c>
    </row>
    <row r="211" spans="1:17" x14ac:dyDescent="0.25">
      <c r="A211">
        <v>268</v>
      </c>
      <c r="B211">
        <v>15777076</v>
      </c>
      <c r="C211" t="s">
        <v>80</v>
      </c>
      <c r="D211" t="s">
        <v>15</v>
      </c>
      <c r="E211" t="s">
        <v>23</v>
      </c>
      <c r="F211">
        <v>651</v>
      </c>
      <c r="G211">
        <v>36</v>
      </c>
      <c r="H211">
        <v>7</v>
      </c>
      <c r="I211">
        <v>0</v>
      </c>
      <c r="J211">
        <v>2</v>
      </c>
      <c r="K211">
        <v>1</v>
      </c>
      <c r="L211">
        <v>0</v>
      </c>
      <c r="M211">
        <v>13898.31</v>
      </c>
      <c r="N211">
        <v>0</v>
      </c>
      <c r="O211" t="str">
        <f t="shared" si="9"/>
        <v>Average</v>
      </c>
      <c r="P211" t="str">
        <f t="shared" si="10"/>
        <v>Adult</v>
      </c>
      <c r="Q211" t="str">
        <f t="shared" si="11"/>
        <v>Low Salary</v>
      </c>
    </row>
    <row r="212" spans="1:17" x14ac:dyDescent="0.25">
      <c r="A212">
        <v>270</v>
      </c>
      <c r="B212">
        <v>15799217</v>
      </c>
      <c r="C212" t="s">
        <v>138</v>
      </c>
      <c r="D212" t="s">
        <v>26</v>
      </c>
      <c r="E212" t="s">
        <v>16</v>
      </c>
      <c r="F212">
        <v>791</v>
      </c>
      <c r="G212">
        <v>35</v>
      </c>
      <c r="H212">
        <v>7</v>
      </c>
      <c r="I212">
        <v>52436.2</v>
      </c>
      <c r="J212">
        <v>1</v>
      </c>
      <c r="K212">
        <v>1</v>
      </c>
      <c r="L212">
        <v>0</v>
      </c>
      <c r="M212">
        <v>161051.75</v>
      </c>
      <c r="N212">
        <v>0</v>
      </c>
      <c r="O212" t="str">
        <f t="shared" si="9"/>
        <v>Good</v>
      </c>
      <c r="P212" t="str">
        <f t="shared" si="10"/>
        <v>Adult</v>
      </c>
      <c r="Q212" t="str">
        <f t="shared" si="11"/>
        <v>High Salary</v>
      </c>
    </row>
    <row r="213" spans="1:17" x14ac:dyDescent="0.25">
      <c r="A213">
        <v>271</v>
      </c>
      <c r="B213">
        <v>15787071</v>
      </c>
      <c r="C213" t="s">
        <v>265</v>
      </c>
      <c r="D213" t="s">
        <v>18</v>
      </c>
      <c r="E213" t="s">
        <v>23</v>
      </c>
      <c r="F213">
        <v>650</v>
      </c>
      <c r="G213">
        <v>41</v>
      </c>
      <c r="H213">
        <v>9</v>
      </c>
      <c r="I213">
        <v>0</v>
      </c>
      <c r="J213">
        <v>2</v>
      </c>
      <c r="K213">
        <v>0</v>
      </c>
      <c r="L213">
        <v>1</v>
      </c>
      <c r="M213">
        <v>191599.67</v>
      </c>
      <c r="N213">
        <v>0</v>
      </c>
      <c r="O213" t="str">
        <f t="shared" si="9"/>
        <v>Average</v>
      </c>
      <c r="P213" t="str">
        <f t="shared" si="10"/>
        <v>Adult</v>
      </c>
      <c r="Q213" t="str">
        <f t="shared" si="11"/>
        <v>High Salary</v>
      </c>
    </row>
    <row r="214" spans="1:17" x14ac:dyDescent="0.25">
      <c r="A214">
        <v>273</v>
      </c>
      <c r="B214">
        <v>15796505</v>
      </c>
      <c r="C214" t="s">
        <v>267</v>
      </c>
      <c r="D214" t="s">
        <v>26</v>
      </c>
      <c r="E214" t="s">
        <v>16</v>
      </c>
      <c r="F214">
        <v>811</v>
      </c>
      <c r="G214">
        <v>34</v>
      </c>
      <c r="H214">
        <v>1</v>
      </c>
      <c r="I214">
        <v>149297.19</v>
      </c>
      <c r="J214">
        <v>2</v>
      </c>
      <c r="K214">
        <v>1</v>
      </c>
      <c r="L214">
        <v>1</v>
      </c>
      <c r="M214">
        <v>186339.74</v>
      </c>
      <c r="N214">
        <v>0</v>
      </c>
      <c r="O214" t="str">
        <f t="shared" si="9"/>
        <v>Good</v>
      </c>
      <c r="P214" t="str">
        <f t="shared" si="10"/>
        <v>Adult</v>
      </c>
      <c r="Q214" t="str">
        <f t="shared" si="11"/>
        <v>High Salary</v>
      </c>
    </row>
    <row r="215" spans="1:17" x14ac:dyDescent="0.25">
      <c r="A215">
        <v>274</v>
      </c>
      <c r="B215">
        <v>15725166</v>
      </c>
      <c r="C215" t="s">
        <v>268</v>
      </c>
      <c r="D215" t="s">
        <v>15</v>
      </c>
      <c r="E215" t="s">
        <v>23</v>
      </c>
      <c r="F215">
        <v>707</v>
      </c>
      <c r="G215">
        <v>30</v>
      </c>
      <c r="H215">
        <v>8</v>
      </c>
      <c r="I215">
        <v>0</v>
      </c>
      <c r="J215">
        <v>2</v>
      </c>
      <c r="K215">
        <v>1</v>
      </c>
      <c r="L215">
        <v>0</v>
      </c>
      <c r="M215">
        <v>33159.370000000003</v>
      </c>
      <c r="N215">
        <v>0</v>
      </c>
      <c r="O215" t="str">
        <f t="shared" si="9"/>
        <v>Good</v>
      </c>
      <c r="P215" t="str">
        <f t="shared" si="10"/>
        <v>Young Adult</v>
      </c>
      <c r="Q215" t="str">
        <f t="shared" si="11"/>
        <v>Medium Salary</v>
      </c>
    </row>
    <row r="216" spans="1:17" x14ac:dyDescent="0.25">
      <c r="A216">
        <v>275</v>
      </c>
      <c r="B216">
        <v>15800116</v>
      </c>
      <c r="C216" t="s">
        <v>269</v>
      </c>
      <c r="D216" t="s">
        <v>26</v>
      </c>
      <c r="E216" t="s">
        <v>23</v>
      </c>
      <c r="F216">
        <v>712</v>
      </c>
      <c r="G216">
        <v>28</v>
      </c>
      <c r="H216">
        <v>4</v>
      </c>
      <c r="I216">
        <v>145605.44</v>
      </c>
      <c r="J216">
        <v>1</v>
      </c>
      <c r="K216">
        <v>0</v>
      </c>
      <c r="L216">
        <v>1</v>
      </c>
      <c r="M216">
        <v>93883.53</v>
      </c>
      <c r="N216">
        <v>0</v>
      </c>
      <c r="O216" t="str">
        <f t="shared" si="9"/>
        <v>Good</v>
      </c>
      <c r="P216" t="str">
        <f t="shared" si="10"/>
        <v>Young Adult</v>
      </c>
      <c r="Q216" t="str">
        <f t="shared" si="11"/>
        <v>High Salary</v>
      </c>
    </row>
    <row r="217" spans="1:17" x14ac:dyDescent="0.25">
      <c r="A217">
        <v>276</v>
      </c>
      <c r="B217">
        <v>15758685</v>
      </c>
      <c r="C217" t="s">
        <v>270</v>
      </c>
      <c r="D217" t="s">
        <v>18</v>
      </c>
      <c r="E217" t="s">
        <v>16</v>
      </c>
      <c r="F217">
        <v>706</v>
      </c>
      <c r="G217">
        <v>37</v>
      </c>
      <c r="H217">
        <v>7</v>
      </c>
      <c r="I217">
        <v>0</v>
      </c>
      <c r="J217">
        <v>2</v>
      </c>
      <c r="K217">
        <v>1</v>
      </c>
      <c r="L217">
        <v>1</v>
      </c>
      <c r="M217">
        <v>110899.3</v>
      </c>
      <c r="N217">
        <v>0</v>
      </c>
      <c r="O217" t="str">
        <f t="shared" si="9"/>
        <v>Good</v>
      </c>
      <c r="P217" t="str">
        <f t="shared" si="10"/>
        <v>Adult</v>
      </c>
      <c r="Q217" t="str">
        <f t="shared" si="11"/>
        <v>High Salary</v>
      </c>
    </row>
    <row r="218" spans="1:17" x14ac:dyDescent="0.25">
      <c r="A218">
        <v>278</v>
      </c>
      <c r="B218">
        <v>15767339</v>
      </c>
      <c r="C218" t="s">
        <v>272</v>
      </c>
      <c r="D218" t="s">
        <v>15</v>
      </c>
      <c r="E218" t="s">
        <v>16</v>
      </c>
      <c r="F218">
        <v>777</v>
      </c>
      <c r="G218">
        <v>53</v>
      </c>
      <c r="H218">
        <v>10</v>
      </c>
      <c r="I218">
        <v>0</v>
      </c>
      <c r="J218">
        <v>2</v>
      </c>
      <c r="K218">
        <v>1</v>
      </c>
      <c r="L218">
        <v>0</v>
      </c>
      <c r="M218">
        <v>189992.97</v>
      </c>
      <c r="N218">
        <v>0</v>
      </c>
      <c r="O218" t="str">
        <f t="shared" si="9"/>
        <v>Good</v>
      </c>
      <c r="P218" t="str">
        <f t="shared" si="10"/>
        <v>Adult</v>
      </c>
      <c r="Q218" t="str">
        <f t="shared" si="11"/>
        <v>High Salary</v>
      </c>
    </row>
    <row r="219" spans="1:17" x14ac:dyDescent="0.25">
      <c r="A219">
        <v>279</v>
      </c>
      <c r="B219">
        <v>15683562</v>
      </c>
      <c r="C219" t="s">
        <v>273</v>
      </c>
      <c r="D219" t="s">
        <v>15</v>
      </c>
      <c r="E219" t="s">
        <v>23</v>
      </c>
      <c r="F219">
        <v>646</v>
      </c>
      <c r="G219">
        <v>35</v>
      </c>
      <c r="H219">
        <v>6</v>
      </c>
      <c r="I219">
        <v>84026.86</v>
      </c>
      <c r="J219">
        <v>1</v>
      </c>
      <c r="K219">
        <v>0</v>
      </c>
      <c r="L219">
        <v>1</v>
      </c>
      <c r="M219">
        <v>164255.69</v>
      </c>
      <c r="N219">
        <v>0</v>
      </c>
      <c r="O219" t="str">
        <f t="shared" si="9"/>
        <v>Average</v>
      </c>
      <c r="P219" t="str">
        <f t="shared" si="10"/>
        <v>Adult</v>
      </c>
      <c r="Q219" t="str">
        <f t="shared" si="11"/>
        <v>High Salary</v>
      </c>
    </row>
    <row r="220" spans="1:17" x14ac:dyDescent="0.25">
      <c r="A220">
        <v>281</v>
      </c>
      <c r="B220">
        <v>15668893</v>
      </c>
      <c r="C220" t="s">
        <v>275</v>
      </c>
      <c r="D220" t="s">
        <v>15</v>
      </c>
      <c r="E220" t="s">
        <v>23</v>
      </c>
      <c r="F220">
        <v>782</v>
      </c>
      <c r="G220">
        <v>39</v>
      </c>
      <c r="H220">
        <v>8</v>
      </c>
      <c r="I220">
        <v>0</v>
      </c>
      <c r="J220">
        <v>2</v>
      </c>
      <c r="K220">
        <v>1</v>
      </c>
      <c r="L220">
        <v>1</v>
      </c>
      <c r="M220">
        <v>33949.67</v>
      </c>
      <c r="N220">
        <v>0</v>
      </c>
      <c r="O220" t="str">
        <f t="shared" si="9"/>
        <v>Good</v>
      </c>
      <c r="P220" t="str">
        <f t="shared" si="10"/>
        <v>Adult</v>
      </c>
      <c r="Q220" t="str">
        <f t="shared" si="11"/>
        <v>Medium Salary</v>
      </c>
    </row>
    <row r="221" spans="1:17" x14ac:dyDescent="0.25">
      <c r="A221">
        <v>282</v>
      </c>
      <c r="B221">
        <v>15669169</v>
      </c>
      <c r="C221" t="s">
        <v>276</v>
      </c>
      <c r="D221" t="s">
        <v>18</v>
      </c>
      <c r="E221" t="s">
        <v>23</v>
      </c>
      <c r="F221">
        <v>775</v>
      </c>
      <c r="G221">
        <v>29</v>
      </c>
      <c r="H221">
        <v>10</v>
      </c>
      <c r="I221">
        <v>0</v>
      </c>
      <c r="J221">
        <v>2</v>
      </c>
      <c r="K221">
        <v>1</v>
      </c>
      <c r="L221">
        <v>1</v>
      </c>
      <c r="M221">
        <v>68143.929999999993</v>
      </c>
      <c r="N221">
        <v>0</v>
      </c>
      <c r="O221" t="str">
        <f t="shared" si="9"/>
        <v>Good</v>
      </c>
      <c r="P221" t="str">
        <f t="shared" si="10"/>
        <v>Young Adult</v>
      </c>
      <c r="Q221" t="str">
        <f t="shared" si="11"/>
        <v>Medium Salary</v>
      </c>
    </row>
    <row r="222" spans="1:17" x14ac:dyDescent="0.25">
      <c r="A222">
        <v>284</v>
      </c>
      <c r="B222">
        <v>15699389</v>
      </c>
      <c r="C222" t="s">
        <v>226</v>
      </c>
      <c r="D222" t="s">
        <v>15</v>
      </c>
      <c r="E222" t="s">
        <v>23</v>
      </c>
      <c r="F222">
        <v>807</v>
      </c>
      <c r="G222">
        <v>42</v>
      </c>
      <c r="H222">
        <v>7</v>
      </c>
      <c r="I222">
        <v>118274.71</v>
      </c>
      <c r="J222">
        <v>1</v>
      </c>
      <c r="K222">
        <v>1</v>
      </c>
      <c r="L222">
        <v>1</v>
      </c>
      <c r="M222">
        <v>25885.72</v>
      </c>
      <c r="N222">
        <v>0</v>
      </c>
      <c r="O222" t="str">
        <f t="shared" si="9"/>
        <v>Good</v>
      </c>
      <c r="P222" t="str">
        <f t="shared" si="10"/>
        <v>Adult</v>
      </c>
      <c r="Q222" t="str">
        <f t="shared" si="11"/>
        <v>Low Salary</v>
      </c>
    </row>
    <row r="223" spans="1:17" x14ac:dyDescent="0.25">
      <c r="A223">
        <v>285</v>
      </c>
      <c r="B223">
        <v>15708608</v>
      </c>
      <c r="C223" t="s">
        <v>278</v>
      </c>
      <c r="D223" t="s">
        <v>15</v>
      </c>
      <c r="E223" t="s">
        <v>16</v>
      </c>
      <c r="F223">
        <v>799</v>
      </c>
      <c r="G223">
        <v>22</v>
      </c>
      <c r="H223">
        <v>8</v>
      </c>
      <c r="I223">
        <v>174185.98</v>
      </c>
      <c r="J223">
        <v>2</v>
      </c>
      <c r="K223">
        <v>0</v>
      </c>
      <c r="L223">
        <v>1</v>
      </c>
      <c r="M223">
        <v>192633.85</v>
      </c>
      <c r="N223">
        <v>0</v>
      </c>
      <c r="O223" t="str">
        <f t="shared" si="9"/>
        <v>Good</v>
      </c>
      <c r="P223" t="str">
        <f t="shared" si="10"/>
        <v>Young Adult</v>
      </c>
      <c r="Q223" t="str">
        <f t="shared" si="11"/>
        <v>High Salary</v>
      </c>
    </row>
    <row r="224" spans="1:17" x14ac:dyDescent="0.25">
      <c r="A224">
        <v>286</v>
      </c>
      <c r="B224">
        <v>15626144</v>
      </c>
      <c r="C224" t="s">
        <v>22</v>
      </c>
      <c r="D224" t="s">
        <v>15</v>
      </c>
      <c r="E224" t="s">
        <v>23</v>
      </c>
      <c r="F224">
        <v>675</v>
      </c>
      <c r="G224">
        <v>40</v>
      </c>
      <c r="H224">
        <v>7</v>
      </c>
      <c r="I224">
        <v>113208.86</v>
      </c>
      <c r="J224">
        <v>2</v>
      </c>
      <c r="K224">
        <v>1</v>
      </c>
      <c r="L224">
        <v>0</v>
      </c>
      <c r="M224">
        <v>34577.360000000001</v>
      </c>
      <c r="N224">
        <v>0</v>
      </c>
      <c r="O224" t="str">
        <f t="shared" si="9"/>
        <v>Good</v>
      </c>
      <c r="P224" t="str">
        <f t="shared" si="10"/>
        <v>Adult</v>
      </c>
      <c r="Q224" t="str">
        <f t="shared" si="11"/>
        <v>Medium Salary</v>
      </c>
    </row>
    <row r="225" spans="1:17" x14ac:dyDescent="0.25">
      <c r="A225">
        <v>287</v>
      </c>
      <c r="B225">
        <v>15573112</v>
      </c>
      <c r="C225" t="s">
        <v>261</v>
      </c>
      <c r="D225" t="s">
        <v>18</v>
      </c>
      <c r="E225" t="s">
        <v>23</v>
      </c>
      <c r="F225">
        <v>602</v>
      </c>
      <c r="G225">
        <v>29</v>
      </c>
      <c r="H225">
        <v>5</v>
      </c>
      <c r="I225">
        <v>103907.28</v>
      </c>
      <c r="J225">
        <v>1</v>
      </c>
      <c r="K225">
        <v>1</v>
      </c>
      <c r="L225">
        <v>0</v>
      </c>
      <c r="M225">
        <v>161229.84</v>
      </c>
      <c r="N225">
        <v>0</v>
      </c>
      <c r="O225" t="str">
        <f t="shared" si="9"/>
        <v>Average</v>
      </c>
      <c r="P225" t="str">
        <f t="shared" si="10"/>
        <v>Young Adult</v>
      </c>
      <c r="Q225" t="str">
        <f t="shared" si="11"/>
        <v>High Salary</v>
      </c>
    </row>
    <row r="226" spans="1:17" x14ac:dyDescent="0.25">
      <c r="A226">
        <v>288</v>
      </c>
      <c r="B226">
        <v>15790678</v>
      </c>
      <c r="C226" t="s">
        <v>279</v>
      </c>
      <c r="D226" t="s">
        <v>15</v>
      </c>
      <c r="E226" t="s">
        <v>16</v>
      </c>
      <c r="F226">
        <v>475</v>
      </c>
      <c r="G226">
        <v>32</v>
      </c>
      <c r="H226">
        <v>8</v>
      </c>
      <c r="I226">
        <v>119023.28</v>
      </c>
      <c r="J226">
        <v>1</v>
      </c>
      <c r="K226">
        <v>1</v>
      </c>
      <c r="L226">
        <v>0</v>
      </c>
      <c r="M226">
        <v>100816.29</v>
      </c>
      <c r="N226">
        <v>0</v>
      </c>
      <c r="O226" t="str">
        <f t="shared" si="9"/>
        <v>Poor</v>
      </c>
      <c r="P226" t="str">
        <f t="shared" si="10"/>
        <v>Adult</v>
      </c>
      <c r="Q226" t="str">
        <f t="shared" si="11"/>
        <v>High Salary</v>
      </c>
    </row>
    <row r="227" spans="1:17" x14ac:dyDescent="0.25">
      <c r="A227">
        <v>289</v>
      </c>
      <c r="B227">
        <v>15727556</v>
      </c>
      <c r="C227" t="s">
        <v>280</v>
      </c>
      <c r="D227" t="s">
        <v>18</v>
      </c>
      <c r="E227" t="s">
        <v>16</v>
      </c>
      <c r="F227">
        <v>744</v>
      </c>
      <c r="G227">
        <v>26</v>
      </c>
      <c r="H227">
        <v>5</v>
      </c>
      <c r="I227">
        <v>166297.89000000001</v>
      </c>
      <c r="J227">
        <v>1</v>
      </c>
      <c r="K227">
        <v>1</v>
      </c>
      <c r="L227">
        <v>1</v>
      </c>
      <c r="M227">
        <v>181694.44</v>
      </c>
      <c r="N227">
        <v>0</v>
      </c>
      <c r="O227" t="str">
        <f t="shared" si="9"/>
        <v>Good</v>
      </c>
      <c r="P227" t="str">
        <f t="shared" si="10"/>
        <v>Young Adult</v>
      </c>
      <c r="Q227" t="str">
        <f t="shared" si="11"/>
        <v>High Salary</v>
      </c>
    </row>
    <row r="228" spans="1:17" x14ac:dyDescent="0.25">
      <c r="A228">
        <v>290</v>
      </c>
      <c r="B228">
        <v>15697307</v>
      </c>
      <c r="C228" t="s">
        <v>281</v>
      </c>
      <c r="D228" t="s">
        <v>18</v>
      </c>
      <c r="E228" t="s">
        <v>23</v>
      </c>
      <c r="F228">
        <v>588</v>
      </c>
      <c r="G228">
        <v>34</v>
      </c>
      <c r="H228">
        <v>10</v>
      </c>
      <c r="I228">
        <v>0</v>
      </c>
      <c r="J228">
        <v>2</v>
      </c>
      <c r="K228">
        <v>1</v>
      </c>
      <c r="L228">
        <v>0</v>
      </c>
      <c r="M228">
        <v>79078.91</v>
      </c>
      <c r="N228">
        <v>0</v>
      </c>
      <c r="O228" t="str">
        <f t="shared" si="9"/>
        <v>Average</v>
      </c>
      <c r="P228" t="str">
        <f t="shared" si="10"/>
        <v>Adult</v>
      </c>
      <c r="Q228" t="str">
        <f t="shared" si="11"/>
        <v>High Salary</v>
      </c>
    </row>
    <row r="229" spans="1:17" x14ac:dyDescent="0.25">
      <c r="A229">
        <v>291</v>
      </c>
      <c r="B229">
        <v>15652266</v>
      </c>
      <c r="C229" t="s">
        <v>69</v>
      </c>
      <c r="D229" t="s">
        <v>26</v>
      </c>
      <c r="E229" t="s">
        <v>23</v>
      </c>
      <c r="F229">
        <v>703</v>
      </c>
      <c r="G229">
        <v>42</v>
      </c>
      <c r="H229">
        <v>9</v>
      </c>
      <c r="I229">
        <v>63227</v>
      </c>
      <c r="J229">
        <v>1</v>
      </c>
      <c r="K229">
        <v>0</v>
      </c>
      <c r="L229">
        <v>1</v>
      </c>
      <c r="M229">
        <v>137316.32</v>
      </c>
      <c r="N229">
        <v>0</v>
      </c>
      <c r="O229" t="str">
        <f t="shared" si="9"/>
        <v>Good</v>
      </c>
      <c r="P229" t="str">
        <f t="shared" si="10"/>
        <v>Adult</v>
      </c>
      <c r="Q229" t="str">
        <f t="shared" si="11"/>
        <v>High Salary</v>
      </c>
    </row>
    <row r="230" spans="1:17" x14ac:dyDescent="0.25">
      <c r="A230">
        <v>292</v>
      </c>
      <c r="B230">
        <v>15607098</v>
      </c>
      <c r="C230" t="s">
        <v>282</v>
      </c>
      <c r="D230" t="s">
        <v>18</v>
      </c>
      <c r="E230" t="s">
        <v>16</v>
      </c>
      <c r="F230">
        <v>747</v>
      </c>
      <c r="G230">
        <v>41</v>
      </c>
      <c r="H230">
        <v>5</v>
      </c>
      <c r="I230">
        <v>94521.17</v>
      </c>
      <c r="J230">
        <v>2</v>
      </c>
      <c r="K230">
        <v>1</v>
      </c>
      <c r="L230">
        <v>0</v>
      </c>
      <c r="M230">
        <v>194926.86</v>
      </c>
      <c r="N230">
        <v>0</v>
      </c>
      <c r="O230" t="str">
        <f t="shared" si="9"/>
        <v>Good</v>
      </c>
      <c r="P230" t="str">
        <f t="shared" si="10"/>
        <v>Adult</v>
      </c>
      <c r="Q230" t="str">
        <f t="shared" si="11"/>
        <v>High Salary</v>
      </c>
    </row>
    <row r="231" spans="1:17" x14ac:dyDescent="0.25">
      <c r="A231">
        <v>293</v>
      </c>
      <c r="B231">
        <v>15655774</v>
      </c>
      <c r="C231" t="s">
        <v>283</v>
      </c>
      <c r="D231" t="s">
        <v>15</v>
      </c>
      <c r="E231" t="s">
        <v>23</v>
      </c>
      <c r="F231">
        <v>583</v>
      </c>
      <c r="G231">
        <v>27</v>
      </c>
      <c r="H231">
        <v>7</v>
      </c>
      <c r="I231">
        <v>0</v>
      </c>
      <c r="J231">
        <v>2</v>
      </c>
      <c r="K231">
        <v>1</v>
      </c>
      <c r="L231">
        <v>0</v>
      </c>
      <c r="M231">
        <v>51285.49</v>
      </c>
      <c r="N231">
        <v>0</v>
      </c>
      <c r="O231" t="str">
        <f t="shared" si="9"/>
        <v>Average</v>
      </c>
      <c r="P231" t="str">
        <f t="shared" si="10"/>
        <v>Young Adult</v>
      </c>
      <c r="Q231" t="str">
        <f t="shared" si="11"/>
        <v>Medium Salary</v>
      </c>
    </row>
    <row r="232" spans="1:17" x14ac:dyDescent="0.25">
      <c r="A232">
        <v>295</v>
      </c>
      <c r="B232">
        <v>15785819</v>
      </c>
      <c r="C232" t="s">
        <v>285</v>
      </c>
      <c r="D232" t="s">
        <v>15</v>
      </c>
      <c r="E232" t="s">
        <v>23</v>
      </c>
      <c r="F232">
        <v>681</v>
      </c>
      <c r="G232">
        <v>38</v>
      </c>
      <c r="H232">
        <v>3</v>
      </c>
      <c r="I232">
        <v>0</v>
      </c>
      <c r="J232">
        <v>2</v>
      </c>
      <c r="K232">
        <v>1</v>
      </c>
      <c r="L232">
        <v>1</v>
      </c>
      <c r="M232">
        <v>112491.96</v>
      </c>
      <c r="N232">
        <v>0</v>
      </c>
      <c r="O232" t="str">
        <f t="shared" si="9"/>
        <v>Good</v>
      </c>
      <c r="P232" t="str">
        <f t="shared" si="10"/>
        <v>Adult</v>
      </c>
      <c r="Q232" t="str">
        <f t="shared" si="11"/>
        <v>High Salary</v>
      </c>
    </row>
    <row r="233" spans="1:17" x14ac:dyDescent="0.25">
      <c r="A233">
        <v>296</v>
      </c>
      <c r="B233">
        <v>15723654</v>
      </c>
      <c r="C233" t="s">
        <v>75</v>
      </c>
      <c r="D233" t="s">
        <v>15</v>
      </c>
      <c r="E233" t="s">
        <v>23</v>
      </c>
      <c r="F233">
        <v>773</v>
      </c>
      <c r="G233">
        <v>25</v>
      </c>
      <c r="H233">
        <v>2</v>
      </c>
      <c r="I233">
        <v>135903.32999999999</v>
      </c>
      <c r="J233">
        <v>1</v>
      </c>
      <c r="K233">
        <v>1</v>
      </c>
      <c r="L233">
        <v>0</v>
      </c>
      <c r="M233">
        <v>73656.38</v>
      </c>
      <c r="N233">
        <v>0</v>
      </c>
      <c r="O233" t="str">
        <f t="shared" si="9"/>
        <v>Good</v>
      </c>
      <c r="P233" t="str">
        <f t="shared" si="10"/>
        <v>Young Adult</v>
      </c>
      <c r="Q233" t="str">
        <f t="shared" si="11"/>
        <v>High Salary</v>
      </c>
    </row>
    <row r="234" spans="1:17" x14ac:dyDescent="0.25">
      <c r="A234">
        <v>297</v>
      </c>
      <c r="B234">
        <v>15774510</v>
      </c>
      <c r="C234" t="s">
        <v>153</v>
      </c>
      <c r="D234" t="s">
        <v>15</v>
      </c>
      <c r="E234" t="s">
        <v>16</v>
      </c>
      <c r="F234">
        <v>714</v>
      </c>
      <c r="G234">
        <v>31</v>
      </c>
      <c r="H234">
        <v>4</v>
      </c>
      <c r="I234">
        <v>125169.26</v>
      </c>
      <c r="J234">
        <v>1</v>
      </c>
      <c r="K234">
        <v>1</v>
      </c>
      <c r="L234">
        <v>1</v>
      </c>
      <c r="M234">
        <v>106636.89</v>
      </c>
      <c r="N234">
        <v>0</v>
      </c>
      <c r="O234" t="str">
        <f t="shared" si="9"/>
        <v>Good</v>
      </c>
      <c r="P234" t="str">
        <f t="shared" si="10"/>
        <v>Adult</v>
      </c>
      <c r="Q234" t="str">
        <f t="shared" si="11"/>
        <v>High Salary</v>
      </c>
    </row>
    <row r="235" spans="1:17" x14ac:dyDescent="0.25">
      <c r="A235">
        <v>299</v>
      </c>
      <c r="B235">
        <v>15650068</v>
      </c>
      <c r="C235" t="s">
        <v>286</v>
      </c>
      <c r="D235" t="s">
        <v>15</v>
      </c>
      <c r="E235" t="s">
        <v>23</v>
      </c>
      <c r="F235">
        <v>511</v>
      </c>
      <c r="G235">
        <v>58</v>
      </c>
      <c r="H235">
        <v>0</v>
      </c>
      <c r="I235">
        <v>149117.31</v>
      </c>
      <c r="J235">
        <v>1</v>
      </c>
      <c r="K235">
        <v>1</v>
      </c>
      <c r="L235">
        <v>1</v>
      </c>
      <c r="M235">
        <v>162599.51</v>
      </c>
      <c r="N235">
        <v>0</v>
      </c>
      <c r="O235" t="str">
        <f t="shared" si="9"/>
        <v>Poor</v>
      </c>
      <c r="P235" t="str">
        <f t="shared" si="10"/>
        <v>Adult</v>
      </c>
      <c r="Q235" t="str">
        <f t="shared" si="11"/>
        <v>High Salary</v>
      </c>
    </row>
    <row r="236" spans="1:17" x14ac:dyDescent="0.25">
      <c r="A236">
        <v>300</v>
      </c>
      <c r="B236">
        <v>15811490</v>
      </c>
      <c r="C236" t="s">
        <v>287</v>
      </c>
      <c r="D236" t="s">
        <v>15</v>
      </c>
      <c r="E236" t="s">
        <v>23</v>
      </c>
      <c r="F236">
        <v>627</v>
      </c>
      <c r="G236">
        <v>33</v>
      </c>
      <c r="H236">
        <v>5</v>
      </c>
      <c r="I236">
        <v>0</v>
      </c>
      <c r="J236">
        <v>2</v>
      </c>
      <c r="K236">
        <v>1</v>
      </c>
      <c r="L236">
        <v>1</v>
      </c>
      <c r="M236">
        <v>103737.82</v>
      </c>
      <c r="N236">
        <v>0</v>
      </c>
      <c r="O236" t="str">
        <f t="shared" si="9"/>
        <v>Average</v>
      </c>
      <c r="P236" t="str">
        <f t="shared" si="10"/>
        <v>Adult</v>
      </c>
      <c r="Q236" t="str">
        <f t="shared" si="11"/>
        <v>High Salary</v>
      </c>
    </row>
    <row r="237" spans="1:17" x14ac:dyDescent="0.25">
      <c r="A237">
        <v>301</v>
      </c>
      <c r="B237">
        <v>15803976</v>
      </c>
      <c r="C237" t="s">
        <v>288</v>
      </c>
      <c r="D237" t="s">
        <v>15</v>
      </c>
      <c r="E237" t="s">
        <v>16</v>
      </c>
      <c r="F237">
        <v>694</v>
      </c>
      <c r="G237">
        <v>31</v>
      </c>
      <c r="H237">
        <v>10</v>
      </c>
      <c r="I237">
        <v>0</v>
      </c>
      <c r="J237">
        <v>2</v>
      </c>
      <c r="K237">
        <v>1</v>
      </c>
      <c r="L237">
        <v>0</v>
      </c>
      <c r="M237">
        <v>160990.26999999999</v>
      </c>
      <c r="N237">
        <v>0</v>
      </c>
      <c r="O237" t="str">
        <f t="shared" si="9"/>
        <v>Good</v>
      </c>
      <c r="P237" t="str">
        <f t="shared" si="10"/>
        <v>Adult</v>
      </c>
      <c r="Q237" t="str">
        <f t="shared" si="11"/>
        <v>High Salary</v>
      </c>
    </row>
    <row r="238" spans="1:17" x14ac:dyDescent="0.25">
      <c r="A238">
        <v>302</v>
      </c>
      <c r="B238">
        <v>15682541</v>
      </c>
      <c r="C238" t="s">
        <v>289</v>
      </c>
      <c r="D238" t="s">
        <v>18</v>
      </c>
      <c r="E238" t="s">
        <v>16</v>
      </c>
      <c r="F238">
        <v>616</v>
      </c>
      <c r="G238">
        <v>36</v>
      </c>
      <c r="H238">
        <v>6</v>
      </c>
      <c r="I238">
        <v>132311.71</v>
      </c>
      <c r="J238">
        <v>1</v>
      </c>
      <c r="K238">
        <v>0</v>
      </c>
      <c r="L238">
        <v>0</v>
      </c>
      <c r="M238">
        <v>15462.84</v>
      </c>
      <c r="N238">
        <v>0</v>
      </c>
      <c r="O238" t="str">
        <f t="shared" si="9"/>
        <v>Average</v>
      </c>
      <c r="P238" t="str">
        <f t="shared" si="10"/>
        <v>Adult</v>
      </c>
      <c r="Q238" t="str">
        <f t="shared" si="11"/>
        <v>Low Salary</v>
      </c>
    </row>
    <row r="239" spans="1:17" x14ac:dyDescent="0.25">
      <c r="A239">
        <v>303</v>
      </c>
      <c r="B239">
        <v>15695699</v>
      </c>
      <c r="C239" t="s">
        <v>290</v>
      </c>
      <c r="D239" t="s">
        <v>15</v>
      </c>
      <c r="E239" t="s">
        <v>23</v>
      </c>
      <c r="F239">
        <v>687</v>
      </c>
      <c r="G239">
        <v>35</v>
      </c>
      <c r="H239">
        <v>8</v>
      </c>
      <c r="I239">
        <v>0</v>
      </c>
      <c r="J239">
        <v>2</v>
      </c>
      <c r="K239">
        <v>1</v>
      </c>
      <c r="L239">
        <v>0</v>
      </c>
      <c r="M239">
        <v>10334.049999999999</v>
      </c>
      <c r="N239">
        <v>0</v>
      </c>
      <c r="O239" t="str">
        <f t="shared" si="9"/>
        <v>Good</v>
      </c>
      <c r="P239" t="str">
        <f t="shared" si="10"/>
        <v>Adult</v>
      </c>
      <c r="Q239" t="str">
        <f t="shared" si="11"/>
        <v>Low Salary</v>
      </c>
    </row>
    <row r="240" spans="1:17" x14ac:dyDescent="0.25">
      <c r="A240">
        <v>304</v>
      </c>
      <c r="B240">
        <v>15624188</v>
      </c>
      <c r="C240" t="s">
        <v>291</v>
      </c>
      <c r="D240" t="s">
        <v>15</v>
      </c>
      <c r="E240" t="s">
        <v>16</v>
      </c>
      <c r="F240">
        <v>712</v>
      </c>
      <c r="G240">
        <v>33</v>
      </c>
      <c r="H240">
        <v>6</v>
      </c>
      <c r="I240">
        <v>0</v>
      </c>
      <c r="J240">
        <v>2</v>
      </c>
      <c r="K240">
        <v>1</v>
      </c>
      <c r="L240">
        <v>1</v>
      </c>
      <c r="M240">
        <v>190686.16</v>
      </c>
      <c r="N240">
        <v>0</v>
      </c>
      <c r="O240" t="str">
        <f t="shared" si="9"/>
        <v>Good</v>
      </c>
      <c r="P240" t="str">
        <f t="shared" si="10"/>
        <v>Adult</v>
      </c>
      <c r="Q240" t="str">
        <f t="shared" si="11"/>
        <v>High Salary</v>
      </c>
    </row>
    <row r="241" spans="1:17" x14ac:dyDescent="0.25">
      <c r="A241">
        <v>305</v>
      </c>
      <c r="B241">
        <v>15812191</v>
      </c>
      <c r="C241" t="s">
        <v>292</v>
      </c>
      <c r="D241" t="s">
        <v>15</v>
      </c>
      <c r="E241" t="s">
        <v>23</v>
      </c>
      <c r="F241">
        <v>553</v>
      </c>
      <c r="G241">
        <v>33</v>
      </c>
      <c r="H241">
        <v>4</v>
      </c>
      <c r="I241">
        <v>118082.89</v>
      </c>
      <c r="J241">
        <v>1</v>
      </c>
      <c r="K241">
        <v>0</v>
      </c>
      <c r="L241">
        <v>0</v>
      </c>
      <c r="M241">
        <v>94440.45</v>
      </c>
      <c r="N241">
        <v>0</v>
      </c>
      <c r="O241" t="str">
        <f t="shared" si="9"/>
        <v>Poor</v>
      </c>
      <c r="P241" t="str">
        <f t="shared" si="10"/>
        <v>Adult</v>
      </c>
      <c r="Q241" t="str">
        <f t="shared" si="11"/>
        <v>High Salary</v>
      </c>
    </row>
    <row r="242" spans="1:17" x14ac:dyDescent="0.25">
      <c r="A242">
        <v>306</v>
      </c>
      <c r="B242">
        <v>15636673</v>
      </c>
      <c r="C242" t="s">
        <v>293</v>
      </c>
      <c r="D242" t="s">
        <v>15</v>
      </c>
      <c r="E242" t="s">
        <v>23</v>
      </c>
      <c r="F242">
        <v>667</v>
      </c>
      <c r="G242">
        <v>31</v>
      </c>
      <c r="H242">
        <v>1</v>
      </c>
      <c r="I242">
        <v>119266.69</v>
      </c>
      <c r="J242">
        <v>1</v>
      </c>
      <c r="K242">
        <v>1</v>
      </c>
      <c r="L242">
        <v>1</v>
      </c>
      <c r="M242">
        <v>28257.63</v>
      </c>
      <c r="N242">
        <v>0</v>
      </c>
      <c r="O242" t="str">
        <f t="shared" si="9"/>
        <v>Average</v>
      </c>
      <c r="P242" t="str">
        <f t="shared" si="10"/>
        <v>Adult</v>
      </c>
      <c r="Q242" t="str">
        <f t="shared" si="11"/>
        <v>Low Salary</v>
      </c>
    </row>
    <row r="243" spans="1:17" x14ac:dyDescent="0.25">
      <c r="A243">
        <v>308</v>
      </c>
      <c r="B243">
        <v>15660211</v>
      </c>
      <c r="C243" t="s">
        <v>219</v>
      </c>
      <c r="D243" t="s">
        <v>26</v>
      </c>
      <c r="E243" t="s">
        <v>23</v>
      </c>
      <c r="F243">
        <v>629</v>
      </c>
      <c r="G243">
        <v>35</v>
      </c>
      <c r="H243">
        <v>7</v>
      </c>
      <c r="I243">
        <v>156847.29</v>
      </c>
      <c r="J243">
        <v>2</v>
      </c>
      <c r="K243">
        <v>1</v>
      </c>
      <c r="L243">
        <v>0</v>
      </c>
      <c r="M243">
        <v>31824.29</v>
      </c>
      <c r="N243">
        <v>0</v>
      </c>
      <c r="O243" t="str">
        <f t="shared" si="9"/>
        <v>Average</v>
      </c>
      <c r="P243" t="str">
        <f t="shared" si="10"/>
        <v>Adult</v>
      </c>
      <c r="Q243" t="str">
        <f t="shared" si="11"/>
        <v>Medium Salary</v>
      </c>
    </row>
    <row r="244" spans="1:17" x14ac:dyDescent="0.25">
      <c r="A244">
        <v>310</v>
      </c>
      <c r="B244">
        <v>15746726</v>
      </c>
      <c r="C244" t="s">
        <v>296</v>
      </c>
      <c r="D244" t="s">
        <v>26</v>
      </c>
      <c r="E244" t="s">
        <v>23</v>
      </c>
      <c r="F244">
        <v>438</v>
      </c>
      <c r="G244">
        <v>31</v>
      </c>
      <c r="H244">
        <v>8</v>
      </c>
      <c r="I244">
        <v>78398.69</v>
      </c>
      <c r="J244">
        <v>1</v>
      </c>
      <c r="K244">
        <v>1</v>
      </c>
      <c r="L244">
        <v>0</v>
      </c>
      <c r="M244">
        <v>44937.01</v>
      </c>
      <c r="N244">
        <v>0</v>
      </c>
      <c r="O244" t="str">
        <f t="shared" si="9"/>
        <v>Poor</v>
      </c>
      <c r="P244" t="str">
        <f t="shared" si="10"/>
        <v>Adult</v>
      </c>
      <c r="Q244" t="str">
        <f t="shared" si="11"/>
        <v>Medium Salary</v>
      </c>
    </row>
    <row r="245" spans="1:17" x14ac:dyDescent="0.25">
      <c r="A245">
        <v>311</v>
      </c>
      <c r="B245">
        <v>15712287</v>
      </c>
      <c r="C245" t="s">
        <v>297</v>
      </c>
      <c r="D245" t="s">
        <v>15</v>
      </c>
      <c r="E245" t="s">
        <v>16</v>
      </c>
      <c r="F245">
        <v>652</v>
      </c>
      <c r="G245">
        <v>80</v>
      </c>
      <c r="H245">
        <v>4</v>
      </c>
      <c r="I245">
        <v>0</v>
      </c>
      <c r="J245">
        <v>2</v>
      </c>
      <c r="K245">
        <v>1</v>
      </c>
      <c r="L245">
        <v>1</v>
      </c>
      <c r="M245">
        <v>188603.07</v>
      </c>
      <c r="N245">
        <v>0</v>
      </c>
      <c r="O245" t="str">
        <f t="shared" si="9"/>
        <v>Average</v>
      </c>
      <c r="P245" t="str">
        <f t="shared" si="10"/>
        <v>Senior</v>
      </c>
      <c r="Q245" t="str">
        <f t="shared" si="11"/>
        <v>High Salary</v>
      </c>
    </row>
    <row r="246" spans="1:17" x14ac:dyDescent="0.25">
      <c r="A246">
        <v>312</v>
      </c>
      <c r="B246">
        <v>15702919</v>
      </c>
      <c r="C246" t="s">
        <v>210</v>
      </c>
      <c r="D246" t="s">
        <v>26</v>
      </c>
      <c r="E246" t="s">
        <v>23</v>
      </c>
      <c r="F246">
        <v>729</v>
      </c>
      <c r="G246">
        <v>30</v>
      </c>
      <c r="H246">
        <v>6</v>
      </c>
      <c r="I246">
        <v>63669.42</v>
      </c>
      <c r="J246">
        <v>1</v>
      </c>
      <c r="K246">
        <v>1</v>
      </c>
      <c r="L246">
        <v>0</v>
      </c>
      <c r="M246">
        <v>145111.37</v>
      </c>
      <c r="N246">
        <v>0</v>
      </c>
      <c r="O246" t="str">
        <f t="shared" si="9"/>
        <v>Good</v>
      </c>
      <c r="P246" t="str">
        <f t="shared" si="10"/>
        <v>Young Adult</v>
      </c>
      <c r="Q246" t="str">
        <f t="shared" si="11"/>
        <v>High Salary</v>
      </c>
    </row>
    <row r="247" spans="1:17" x14ac:dyDescent="0.25">
      <c r="A247">
        <v>313</v>
      </c>
      <c r="B247">
        <v>15674398</v>
      </c>
      <c r="C247" t="s">
        <v>298</v>
      </c>
      <c r="D247" t="s">
        <v>15</v>
      </c>
      <c r="E247" t="s">
        <v>23</v>
      </c>
      <c r="F247">
        <v>642</v>
      </c>
      <c r="G247">
        <v>38</v>
      </c>
      <c r="H247">
        <v>3</v>
      </c>
      <c r="I247">
        <v>0</v>
      </c>
      <c r="J247">
        <v>2</v>
      </c>
      <c r="K247">
        <v>0</v>
      </c>
      <c r="L247">
        <v>0</v>
      </c>
      <c r="M247">
        <v>171463.83</v>
      </c>
      <c r="N247">
        <v>0</v>
      </c>
      <c r="O247" t="str">
        <f t="shared" si="9"/>
        <v>Average</v>
      </c>
      <c r="P247" t="str">
        <f t="shared" si="10"/>
        <v>Adult</v>
      </c>
      <c r="Q247" t="str">
        <f t="shared" si="11"/>
        <v>High Salary</v>
      </c>
    </row>
    <row r="248" spans="1:17" x14ac:dyDescent="0.25">
      <c r="A248">
        <v>314</v>
      </c>
      <c r="B248">
        <v>15797960</v>
      </c>
      <c r="C248" t="s">
        <v>299</v>
      </c>
      <c r="D248" t="s">
        <v>26</v>
      </c>
      <c r="E248" t="s">
        <v>16</v>
      </c>
      <c r="F248">
        <v>806</v>
      </c>
      <c r="G248">
        <v>59</v>
      </c>
      <c r="H248">
        <v>0</v>
      </c>
      <c r="I248">
        <v>135296.32999999999</v>
      </c>
      <c r="J248">
        <v>1</v>
      </c>
      <c r="K248">
        <v>1</v>
      </c>
      <c r="L248">
        <v>0</v>
      </c>
      <c r="M248">
        <v>182822.5</v>
      </c>
      <c r="N248">
        <v>0</v>
      </c>
      <c r="O248" t="str">
        <f t="shared" si="9"/>
        <v>Good</v>
      </c>
      <c r="P248" t="str">
        <f t="shared" si="10"/>
        <v>Adult</v>
      </c>
      <c r="Q248" t="str">
        <f t="shared" si="11"/>
        <v>High Salary</v>
      </c>
    </row>
    <row r="249" spans="1:17" x14ac:dyDescent="0.25">
      <c r="A249">
        <v>315</v>
      </c>
      <c r="B249">
        <v>15631868</v>
      </c>
      <c r="C249" t="s">
        <v>300</v>
      </c>
      <c r="D249" t="s">
        <v>18</v>
      </c>
      <c r="E249" t="s">
        <v>23</v>
      </c>
      <c r="F249">
        <v>744</v>
      </c>
      <c r="G249">
        <v>36</v>
      </c>
      <c r="H249">
        <v>2</v>
      </c>
      <c r="I249">
        <v>153804.44</v>
      </c>
      <c r="J249">
        <v>1</v>
      </c>
      <c r="K249">
        <v>1</v>
      </c>
      <c r="L249">
        <v>1</v>
      </c>
      <c r="M249">
        <v>87213.33</v>
      </c>
      <c r="N249">
        <v>0</v>
      </c>
      <c r="O249" t="str">
        <f t="shared" si="9"/>
        <v>Good</v>
      </c>
      <c r="P249" t="str">
        <f t="shared" si="10"/>
        <v>Adult</v>
      </c>
      <c r="Q249" t="str">
        <f t="shared" si="11"/>
        <v>High Salary</v>
      </c>
    </row>
    <row r="250" spans="1:17" x14ac:dyDescent="0.25">
      <c r="A250">
        <v>316</v>
      </c>
      <c r="B250">
        <v>15581539</v>
      </c>
      <c r="C250" t="s">
        <v>301</v>
      </c>
      <c r="D250" t="s">
        <v>18</v>
      </c>
      <c r="E250" t="s">
        <v>23</v>
      </c>
      <c r="F250">
        <v>474</v>
      </c>
      <c r="G250">
        <v>37</v>
      </c>
      <c r="H250">
        <v>3</v>
      </c>
      <c r="I250">
        <v>0</v>
      </c>
      <c r="J250">
        <v>2</v>
      </c>
      <c r="K250">
        <v>0</v>
      </c>
      <c r="L250">
        <v>0</v>
      </c>
      <c r="M250">
        <v>57175.32</v>
      </c>
      <c r="N250">
        <v>0</v>
      </c>
      <c r="O250" t="str">
        <f t="shared" si="9"/>
        <v>Poor</v>
      </c>
      <c r="P250" t="str">
        <f t="shared" si="10"/>
        <v>Adult</v>
      </c>
      <c r="Q250" t="str">
        <f t="shared" si="11"/>
        <v>Medium Salary</v>
      </c>
    </row>
    <row r="251" spans="1:17" x14ac:dyDescent="0.25">
      <c r="A251">
        <v>318</v>
      </c>
      <c r="B251">
        <v>15666252</v>
      </c>
      <c r="C251" t="s">
        <v>109</v>
      </c>
      <c r="D251" t="s">
        <v>18</v>
      </c>
      <c r="E251" t="s">
        <v>23</v>
      </c>
      <c r="F251">
        <v>706</v>
      </c>
      <c r="G251">
        <v>42</v>
      </c>
      <c r="H251">
        <v>9</v>
      </c>
      <c r="I251">
        <v>0</v>
      </c>
      <c r="J251">
        <v>2</v>
      </c>
      <c r="K251">
        <v>1</v>
      </c>
      <c r="L251">
        <v>1</v>
      </c>
      <c r="M251">
        <v>28714.34</v>
      </c>
      <c r="N251">
        <v>0</v>
      </c>
      <c r="O251" t="str">
        <f t="shared" si="9"/>
        <v>Good</v>
      </c>
      <c r="P251" t="str">
        <f t="shared" si="10"/>
        <v>Adult</v>
      </c>
      <c r="Q251" t="str">
        <f t="shared" si="11"/>
        <v>Low Salary</v>
      </c>
    </row>
    <row r="252" spans="1:17" x14ac:dyDescent="0.25">
      <c r="A252">
        <v>319</v>
      </c>
      <c r="B252">
        <v>15677512</v>
      </c>
      <c r="C252" t="s">
        <v>302</v>
      </c>
      <c r="D252" t="s">
        <v>18</v>
      </c>
      <c r="E252" t="s">
        <v>16</v>
      </c>
      <c r="F252">
        <v>628</v>
      </c>
      <c r="G252">
        <v>22</v>
      </c>
      <c r="H252">
        <v>3</v>
      </c>
      <c r="I252">
        <v>0</v>
      </c>
      <c r="J252">
        <v>1</v>
      </c>
      <c r="K252">
        <v>1</v>
      </c>
      <c r="L252">
        <v>0</v>
      </c>
      <c r="M252">
        <v>85426.28</v>
      </c>
      <c r="N252">
        <v>0</v>
      </c>
      <c r="O252" t="str">
        <f t="shared" si="9"/>
        <v>Average</v>
      </c>
      <c r="P252" t="str">
        <f t="shared" si="10"/>
        <v>Young Adult</v>
      </c>
      <c r="Q252" t="str">
        <f t="shared" si="11"/>
        <v>High Salary</v>
      </c>
    </row>
    <row r="253" spans="1:17" x14ac:dyDescent="0.25">
      <c r="A253">
        <v>320</v>
      </c>
      <c r="B253">
        <v>15626114</v>
      </c>
      <c r="C253" t="s">
        <v>303</v>
      </c>
      <c r="D253" t="s">
        <v>15</v>
      </c>
      <c r="E253" t="s">
        <v>23</v>
      </c>
      <c r="F253">
        <v>429</v>
      </c>
      <c r="G253">
        <v>24</v>
      </c>
      <c r="H253">
        <v>4</v>
      </c>
      <c r="I253">
        <v>95741.75</v>
      </c>
      <c r="J253">
        <v>1</v>
      </c>
      <c r="K253">
        <v>1</v>
      </c>
      <c r="L253">
        <v>0</v>
      </c>
      <c r="M253">
        <v>46170.75</v>
      </c>
      <c r="N253">
        <v>0</v>
      </c>
      <c r="O253" t="str">
        <f t="shared" si="9"/>
        <v>Poor</v>
      </c>
      <c r="P253" t="str">
        <f t="shared" si="10"/>
        <v>Young Adult</v>
      </c>
      <c r="Q253" t="str">
        <f t="shared" si="11"/>
        <v>Medium Salary</v>
      </c>
    </row>
    <row r="254" spans="1:17" x14ac:dyDescent="0.25">
      <c r="A254">
        <v>321</v>
      </c>
      <c r="B254">
        <v>15810834</v>
      </c>
      <c r="C254" t="s">
        <v>304</v>
      </c>
      <c r="D254" t="s">
        <v>18</v>
      </c>
      <c r="E254" t="s">
        <v>16</v>
      </c>
      <c r="F254">
        <v>525</v>
      </c>
      <c r="G254">
        <v>57</v>
      </c>
      <c r="H254">
        <v>2</v>
      </c>
      <c r="I254">
        <v>145965.32999999999</v>
      </c>
      <c r="J254">
        <v>1</v>
      </c>
      <c r="K254">
        <v>1</v>
      </c>
      <c r="L254">
        <v>1</v>
      </c>
      <c r="M254">
        <v>64448.36</v>
      </c>
      <c r="N254">
        <v>0</v>
      </c>
      <c r="O254" t="str">
        <f t="shared" si="9"/>
        <v>Poor</v>
      </c>
      <c r="P254" t="str">
        <f t="shared" si="10"/>
        <v>Adult</v>
      </c>
      <c r="Q254" t="str">
        <f t="shared" si="11"/>
        <v>Medium Salary</v>
      </c>
    </row>
    <row r="255" spans="1:17" x14ac:dyDescent="0.25">
      <c r="A255">
        <v>322</v>
      </c>
      <c r="B255">
        <v>15678910</v>
      </c>
      <c r="C255" t="s">
        <v>305</v>
      </c>
      <c r="D255" t="s">
        <v>15</v>
      </c>
      <c r="E255" t="s">
        <v>16</v>
      </c>
      <c r="F255">
        <v>680</v>
      </c>
      <c r="G255">
        <v>30</v>
      </c>
      <c r="H255">
        <v>8</v>
      </c>
      <c r="I255">
        <v>141441.75</v>
      </c>
      <c r="J255">
        <v>1</v>
      </c>
      <c r="K255">
        <v>1</v>
      </c>
      <c r="L255">
        <v>1</v>
      </c>
      <c r="M255">
        <v>16278.97</v>
      </c>
      <c r="N255">
        <v>0</v>
      </c>
      <c r="O255" t="str">
        <f t="shared" si="9"/>
        <v>Good</v>
      </c>
      <c r="P255" t="str">
        <f t="shared" si="10"/>
        <v>Young Adult</v>
      </c>
      <c r="Q255" t="str">
        <f t="shared" si="11"/>
        <v>Low Salary</v>
      </c>
    </row>
    <row r="256" spans="1:17" x14ac:dyDescent="0.25">
      <c r="A256">
        <v>324</v>
      </c>
      <c r="B256">
        <v>15585215</v>
      </c>
      <c r="C256" t="s">
        <v>307</v>
      </c>
      <c r="D256" t="s">
        <v>15</v>
      </c>
      <c r="E256" t="s">
        <v>16</v>
      </c>
      <c r="F256">
        <v>763</v>
      </c>
      <c r="G256">
        <v>31</v>
      </c>
      <c r="H256">
        <v>4</v>
      </c>
      <c r="I256">
        <v>0</v>
      </c>
      <c r="J256">
        <v>2</v>
      </c>
      <c r="K256">
        <v>0</v>
      </c>
      <c r="L256">
        <v>0</v>
      </c>
      <c r="M256">
        <v>50404.72</v>
      </c>
      <c r="N256">
        <v>0</v>
      </c>
      <c r="O256" t="str">
        <f t="shared" si="9"/>
        <v>Good</v>
      </c>
      <c r="P256" t="str">
        <f t="shared" si="10"/>
        <v>Adult</v>
      </c>
      <c r="Q256" t="str">
        <f t="shared" si="11"/>
        <v>Medium Salary</v>
      </c>
    </row>
    <row r="257" spans="1:17" x14ac:dyDescent="0.25">
      <c r="A257">
        <v>325</v>
      </c>
      <c r="B257">
        <v>15682757</v>
      </c>
      <c r="C257" t="s">
        <v>308</v>
      </c>
      <c r="D257" t="s">
        <v>15</v>
      </c>
      <c r="E257" t="s">
        <v>23</v>
      </c>
      <c r="F257">
        <v>734</v>
      </c>
      <c r="G257">
        <v>30</v>
      </c>
      <c r="H257">
        <v>3</v>
      </c>
      <c r="I257">
        <v>0</v>
      </c>
      <c r="J257">
        <v>2</v>
      </c>
      <c r="K257">
        <v>1</v>
      </c>
      <c r="L257">
        <v>0</v>
      </c>
      <c r="M257">
        <v>107640.25</v>
      </c>
      <c r="N257">
        <v>0</v>
      </c>
      <c r="O257" t="str">
        <f t="shared" si="9"/>
        <v>Good</v>
      </c>
      <c r="P257" t="str">
        <f t="shared" si="10"/>
        <v>Young Adult</v>
      </c>
      <c r="Q257" t="str">
        <f t="shared" si="11"/>
        <v>High Salary</v>
      </c>
    </row>
    <row r="258" spans="1:17" x14ac:dyDescent="0.25">
      <c r="A258">
        <v>326</v>
      </c>
      <c r="B258">
        <v>15736601</v>
      </c>
      <c r="C258" t="s">
        <v>309</v>
      </c>
      <c r="D258" t="s">
        <v>15</v>
      </c>
      <c r="E258" t="s">
        <v>23</v>
      </c>
      <c r="F258">
        <v>716</v>
      </c>
      <c r="G258">
        <v>35</v>
      </c>
      <c r="H258">
        <v>4</v>
      </c>
      <c r="I258">
        <v>144428.87</v>
      </c>
      <c r="J258">
        <v>1</v>
      </c>
      <c r="K258">
        <v>1</v>
      </c>
      <c r="L258">
        <v>0</v>
      </c>
      <c r="M258">
        <v>134132.65</v>
      </c>
      <c r="N258">
        <v>0</v>
      </c>
      <c r="O258" t="str">
        <f t="shared" si="9"/>
        <v>Good</v>
      </c>
      <c r="P258" t="str">
        <f t="shared" si="10"/>
        <v>Adult</v>
      </c>
      <c r="Q258" t="str">
        <f t="shared" si="11"/>
        <v>High Salary</v>
      </c>
    </row>
    <row r="259" spans="1:17" x14ac:dyDescent="0.25">
      <c r="A259">
        <v>327</v>
      </c>
      <c r="B259">
        <v>15601848</v>
      </c>
      <c r="C259" t="s">
        <v>33</v>
      </c>
      <c r="D259" t="s">
        <v>15</v>
      </c>
      <c r="E259" t="s">
        <v>23</v>
      </c>
      <c r="F259">
        <v>594</v>
      </c>
      <c r="G259">
        <v>35</v>
      </c>
      <c r="H259">
        <v>2</v>
      </c>
      <c r="I259">
        <v>0</v>
      </c>
      <c r="J259">
        <v>2</v>
      </c>
      <c r="K259">
        <v>1</v>
      </c>
      <c r="L259">
        <v>0</v>
      </c>
      <c r="M259">
        <v>103480.69</v>
      </c>
      <c r="N259">
        <v>0</v>
      </c>
      <c r="O259" t="str">
        <f t="shared" ref="O259:O322" si="12">IF(F259&lt;580, "Poor", IF(AND(F259&gt;=580, F259&lt;=669), "Average", "Good"))</f>
        <v>Average</v>
      </c>
      <c r="P259" t="str">
        <f t="shared" ref="P259:P322" si="13">IF(G259&lt;=30, "Young Adult", IF(AND(G259&gt;=31, G259&lt;=60), "Adult", "Senior"))</f>
        <v>Adult</v>
      </c>
      <c r="Q259" t="str">
        <f t="shared" ref="Q259:Q322" si="14">IF(M259&lt;30000, "Low Salary", IF(AND(M259&gt;=30000, M259&lt;=70000), "Medium Salary", "High Salary"))</f>
        <v>High Salary</v>
      </c>
    </row>
    <row r="260" spans="1:17" x14ac:dyDescent="0.25">
      <c r="A260">
        <v>329</v>
      </c>
      <c r="B260">
        <v>15669064</v>
      </c>
      <c r="C260" t="s">
        <v>310</v>
      </c>
      <c r="D260" t="s">
        <v>26</v>
      </c>
      <c r="E260" t="s">
        <v>23</v>
      </c>
      <c r="F260">
        <v>671</v>
      </c>
      <c r="G260">
        <v>35</v>
      </c>
      <c r="H260">
        <v>1</v>
      </c>
      <c r="I260">
        <v>144848.74</v>
      </c>
      <c r="J260">
        <v>1</v>
      </c>
      <c r="K260">
        <v>1</v>
      </c>
      <c r="L260">
        <v>1</v>
      </c>
      <c r="M260">
        <v>179012.3</v>
      </c>
      <c r="N260">
        <v>0</v>
      </c>
      <c r="O260" t="str">
        <f t="shared" si="12"/>
        <v>Good</v>
      </c>
      <c r="P260" t="str">
        <f t="shared" si="13"/>
        <v>Adult</v>
      </c>
      <c r="Q260" t="str">
        <f t="shared" si="14"/>
        <v>High Salary</v>
      </c>
    </row>
    <row r="261" spans="1:17" x14ac:dyDescent="0.25">
      <c r="A261">
        <v>330</v>
      </c>
      <c r="B261">
        <v>15624528</v>
      </c>
      <c r="C261" t="s">
        <v>311</v>
      </c>
      <c r="D261" t="s">
        <v>26</v>
      </c>
      <c r="E261" t="s">
        <v>23</v>
      </c>
      <c r="F261">
        <v>664</v>
      </c>
      <c r="G261">
        <v>26</v>
      </c>
      <c r="H261">
        <v>7</v>
      </c>
      <c r="I261">
        <v>116244.14</v>
      </c>
      <c r="J261">
        <v>2</v>
      </c>
      <c r="K261">
        <v>1</v>
      </c>
      <c r="L261">
        <v>1</v>
      </c>
      <c r="M261">
        <v>95145.14</v>
      </c>
      <c r="N261">
        <v>0</v>
      </c>
      <c r="O261" t="str">
        <f t="shared" si="12"/>
        <v>Average</v>
      </c>
      <c r="P261" t="str">
        <f t="shared" si="13"/>
        <v>Young Adult</v>
      </c>
      <c r="Q261" t="str">
        <f t="shared" si="14"/>
        <v>High Salary</v>
      </c>
    </row>
    <row r="262" spans="1:17" x14ac:dyDescent="0.25">
      <c r="A262">
        <v>331</v>
      </c>
      <c r="B262">
        <v>15598493</v>
      </c>
      <c r="C262" t="s">
        <v>312</v>
      </c>
      <c r="D262" t="s">
        <v>15</v>
      </c>
      <c r="E262" t="s">
        <v>23</v>
      </c>
      <c r="F262">
        <v>656</v>
      </c>
      <c r="G262">
        <v>50</v>
      </c>
      <c r="H262">
        <v>7</v>
      </c>
      <c r="I262">
        <v>0</v>
      </c>
      <c r="J262">
        <v>2</v>
      </c>
      <c r="K262">
        <v>0</v>
      </c>
      <c r="L262">
        <v>1</v>
      </c>
      <c r="M262">
        <v>72143.44</v>
      </c>
      <c r="N262">
        <v>0</v>
      </c>
      <c r="O262" t="str">
        <f t="shared" si="12"/>
        <v>Average</v>
      </c>
      <c r="P262" t="str">
        <f t="shared" si="13"/>
        <v>Adult</v>
      </c>
      <c r="Q262" t="str">
        <f t="shared" si="14"/>
        <v>High Salary</v>
      </c>
    </row>
    <row r="263" spans="1:17" x14ac:dyDescent="0.25">
      <c r="A263">
        <v>332</v>
      </c>
      <c r="B263">
        <v>15601274</v>
      </c>
      <c r="C263" t="s">
        <v>313</v>
      </c>
      <c r="D263" t="s">
        <v>18</v>
      </c>
      <c r="E263" t="s">
        <v>16</v>
      </c>
      <c r="F263">
        <v>667</v>
      </c>
      <c r="G263">
        <v>40</v>
      </c>
      <c r="H263">
        <v>1</v>
      </c>
      <c r="I263">
        <v>146502.07</v>
      </c>
      <c r="J263">
        <v>1</v>
      </c>
      <c r="K263">
        <v>1</v>
      </c>
      <c r="L263">
        <v>0</v>
      </c>
      <c r="M263">
        <v>19162.89</v>
      </c>
      <c r="N263">
        <v>0</v>
      </c>
      <c r="O263" t="str">
        <f t="shared" si="12"/>
        <v>Average</v>
      </c>
      <c r="P263" t="str">
        <f t="shared" si="13"/>
        <v>Adult</v>
      </c>
      <c r="Q263" t="str">
        <f t="shared" si="14"/>
        <v>Low Salary</v>
      </c>
    </row>
    <row r="264" spans="1:17" x14ac:dyDescent="0.25">
      <c r="A264">
        <v>333</v>
      </c>
      <c r="B264">
        <v>15702669</v>
      </c>
      <c r="C264" t="s">
        <v>314</v>
      </c>
      <c r="D264" t="s">
        <v>26</v>
      </c>
      <c r="E264" t="s">
        <v>23</v>
      </c>
      <c r="F264">
        <v>663</v>
      </c>
      <c r="G264">
        <v>44</v>
      </c>
      <c r="H264">
        <v>2</v>
      </c>
      <c r="I264">
        <v>117028.6</v>
      </c>
      <c r="J264">
        <v>2</v>
      </c>
      <c r="K264">
        <v>0</v>
      </c>
      <c r="L264">
        <v>1</v>
      </c>
      <c r="M264">
        <v>144680.18</v>
      </c>
      <c r="N264">
        <v>0</v>
      </c>
      <c r="O264" t="str">
        <f t="shared" si="12"/>
        <v>Average</v>
      </c>
      <c r="P264" t="str">
        <f t="shared" si="13"/>
        <v>Adult</v>
      </c>
      <c r="Q264" t="str">
        <f t="shared" si="14"/>
        <v>High Salary</v>
      </c>
    </row>
    <row r="265" spans="1:17" x14ac:dyDescent="0.25">
      <c r="A265">
        <v>335</v>
      </c>
      <c r="B265">
        <v>15742668</v>
      </c>
      <c r="C265" t="s">
        <v>316</v>
      </c>
      <c r="D265" t="s">
        <v>18</v>
      </c>
      <c r="E265" t="s">
        <v>16</v>
      </c>
      <c r="F265">
        <v>626</v>
      </c>
      <c r="G265">
        <v>37</v>
      </c>
      <c r="H265">
        <v>6</v>
      </c>
      <c r="I265">
        <v>108269.37</v>
      </c>
      <c r="J265">
        <v>1</v>
      </c>
      <c r="K265">
        <v>1</v>
      </c>
      <c r="L265">
        <v>0</v>
      </c>
      <c r="M265">
        <v>5597.94</v>
      </c>
      <c r="N265">
        <v>0</v>
      </c>
      <c r="O265" t="str">
        <f t="shared" si="12"/>
        <v>Average</v>
      </c>
      <c r="P265" t="str">
        <f t="shared" si="13"/>
        <v>Adult</v>
      </c>
      <c r="Q265" t="str">
        <f t="shared" si="14"/>
        <v>Low Salary</v>
      </c>
    </row>
    <row r="266" spans="1:17" x14ac:dyDescent="0.25">
      <c r="A266">
        <v>337</v>
      </c>
      <c r="B266">
        <v>15740476</v>
      </c>
      <c r="C266" t="s">
        <v>75</v>
      </c>
      <c r="D266" t="s">
        <v>26</v>
      </c>
      <c r="E266" t="s">
        <v>16</v>
      </c>
      <c r="F266">
        <v>659</v>
      </c>
      <c r="G266">
        <v>32</v>
      </c>
      <c r="H266">
        <v>3</v>
      </c>
      <c r="I266">
        <v>150923.74</v>
      </c>
      <c r="J266">
        <v>2</v>
      </c>
      <c r="K266">
        <v>0</v>
      </c>
      <c r="L266">
        <v>1</v>
      </c>
      <c r="M266">
        <v>174652.51</v>
      </c>
      <c r="N266">
        <v>0</v>
      </c>
      <c r="O266" t="str">
        <f t="shared" si="12"/>
        <v>Average</v>
      </c>
      <c r="P266" t="str">
        <f t="shared" si="13"/>
        <v>Adult</v>
      </c>
      <c r="Q266" t="str">
        <f t="shared" si="14"/>
        <v>High Salary</v>
      </c>
    </row>
    <row r="267" spans="1:17" x14ac:dyDescent="0.25">
      <c r="A267">
        <v>338</v>
      </c>
      <c r="B267">
        <v>15648064</v>
      </c>
      <c r="C267" t="s">
        <v>136</v>
      </c>
      <c r="D267" t="s">
        <v>15</v>
      </c>
      <c r="E267" t="s">
        <v>23</v>
      </c>
      <c r="F267">
        <v>649</v>
      </c>
      <c r="G267">
        <v>33</v>
      </c>
      <c r="H267">
        <v>2</v>
      </c>
      <c r="I267">
        <v>0</v>
      </c>
      <c r="J267">
        <v>2</v>
      </c>
      <c r="K267">
        <v>1</v>
      </c>
      <c r="L267">
        <v>0</v>
      </c>
      <c r="M267">
        <v>2010.98</v>
      </c>
      <c r="N267">
        <v>0</v>
      </c>
      <c r="O267" t="str">
        <f t="shared" si="12"/>
        <v>Average</v>
      </c>
      <c r="P267" t="str">
        <f t="shared" si="13"/>
        <v>Adult</v>
      </c>
      <c r="Q267" t="str">
        <f t="shared" si="14"/>
        <v>Low Salary</v>
      </c>
    </row>
    <row r="268" spans="1:17" x14ac:dyDescent="0.25">
      <c r="A268">
        <v>342</v>
      </c>
      <c r="B268">
        <v>15786170</v>
      </c>
      <c r="C268" t="s">
        <v>153</v>
      </c>
      <c r="D268" t="s">
        <v>15</v>
      </c>
      <c r="E268" t="s">
        <v>23</v>
      </c>
      <c r="F268">
        <v>659</v>
      </c>
      <c r="G268">
        <v>31</v>
      </c>
      <c r="H268">
        <v>4</v>
      </c>
      <c r="I268">
        <v>118342.26</v>
      </c>
      <c r="J268">
        <v>1</v>
      </c>
      <c r="K268">
        <v>0</v>
      </c>
      <c r="L268">
        <v>0</v>
      </c>
      <c r="M268">
        <v>161574.19</v>
      </c>
      <c r="N268">
        <v>0</v>
      </c>
      <c r="O268" t="str">
        <f t="shared" si="12"/>
        <v>Average</v>
      </c>
      <c r="P268" t="str">
        <f t="shared" si="13"/>
        <v>Adult</v>
      </c>
      <c r="Q268" t="str">
        <f t="shared" si="14"/>
        <v>High Salary</v>
      </c>
    </row>
    <row r="269" spans="1:17" x14ac:dyDescent="0.25">
      <c r="A269">
        <v>343</v>
      </c>
      <c r="B269">
        <v>15681081</v>
      </c>
      <c r="C269" t="s">
        <v>320</v>
      </c>
      <c r="D269" t="s">
        <v>18</v>
      </c>
      <c r="E269" t="s">
        <v>16</v>
      </c>
      <c r="F269">
        <v>545</v>
      </c>
      <c r="G269">
        <v>47</v>
      </c>
      <c r="H269">
        <v>5</v>
      </c>
      <c r="I269">
        <v>0</v>
      </c>
      <c r="J269">
        <v>2</v>
      </c>
      <c r="K269">
        <v>1</v>
      </c>
      <c r="L269">
        <v>1</v>
      </c>
      <c r="M269">
        <v>38970.14</v>
      </c>
      <c r="N269">
        <v>0</v>
      </c>
      <c r="O269" t="str">
        <f t="shared" si="12"/>
        <v>Poor</v>
      </c>
      <c r="P269" t="str">
        <f t="shared" si="13"/>
        <v>Adult</v>
      </c>
      <c r="Q269" t="str">
        <f t="shared" si="14"/>
        <v>Medium Salary</v>
      </c>
    </row>
    <row r="270" spans="1:17" x14ac:dyDescent="0.25">
      <c r="A270">
        <v>344</v>
      </c>
      <c r="B270">
        <v>15684484</v>
      </c>
      <c r="C270" t="s">
        <v>321</v>
      </c>
      <c r="D270" t="s">
        <v>15</v>
      </c>
      <c r="E270" t="s">
        <v>23</v>
      </c>
      <c r="F270">
        <v>543</v>
      </c>
      <c r="G270">
        <v>22</v>
      </c>
      <c r="H270">
        <v>8</v>
      </c>
      <c r="I270">
        <v>0</v>
      </c>
      <c r="J270">
        <v>2</v>
      </c>
      <c r="K270">
        <v>0</v>
      </c>
      <c r="L270">
        <v>0</v>
      </c>
      <c r="M270">
        <v>127587.22</v>
      </c>
      <c r="N270">
        <v>0</v>
      </c>
      <c r="O270" t="str">
        <f t="shared" si="12"/>
        <v>Poor</v>
      </c>
      <c r="P270" t="str">
        <f t="shared" si="13"/>
        <v>Young Adult</v>
      </c>
      <c r="Q270" t="str">
        <f t="shared" si="14"/>
        <v>High Salary</v>
      </c>
    </row>
    <row r="271" spans="1:17" x14ac:dyDescent="0.25">
      <c r="A271">
        <v>345</v>
      </c>
      <c r="B271">
        <v>15785869</v>
      </c>
      <c r="C271" t="s">
        <v>88</v>
      </c>
      <c r="D271" t="s">
        <v>15</v>
      </c>
      <c r="E271" t="s">
        <v>16</v>
      </c>
      <c r="F271">
        <v>718</v>
      </c>
      <c r="G271">
        <v>25</v>
      </c>
      <c r="H271">
        <v>7</v>
      </c>
      <c r="I271">
        <v>0</v>
      </c>
      <c r="J271">
        <v>2</v>
      </c>
      <c r="K271">
        <v>1</v>
      </c>
      <c r="L271">
        <v>0</v>
      </c>
      <c r="M271">
        <v>30380.12</v>
      </c>
      <c r="N271">
        <v>0</v>
      </c>
      <c r="O271" t="str">
        <f t="shared" si="12"/>
        <v>Good</v>
      </c>
      <c r="P271" t="str">
        <f t="shared" si="13"/>
        <v>Young Adult</v>
      </c>
      <c r="Q271" t="str">
        <f t="shared" si="14"/>
        <v>Medium Salary</v>
      </c>
    </row>
    <row r="272" spans="1:17" x14ac:dyDescent="0.25">
      <c r="A272">
        <v>346</v>
      </c>
      <c r="B272">
        <v>15763859</v>
      </c>
      <c r="C272" t="s">
        <v>322</v>
      </c>
      <c r="D272" t="s">
        <v>15</v>
      </c>
      <c r="E272" t="s">
        <v>16</v>
      </c>
      <c r="F272">
        <v>840</v>
      </c>
      <c r="G272">
        <v>43</v>
      </c>
      <c r="H272">
        <v>7</v>
      </c>
      <c r="I272">
        <v>0</v>
      </c>
      <c r="J272">
        <v>2</v>
      </c>
      <c r="K272">
        <v>1</v>
      </c>
      <c r="L272">
        <v>0</v>
      </c>
      <c r="M272">
        <v>90908.95</v>
      </c>
      <c r="N272">
        <v>0</v>
      </c>
      <c r="O272" t="str">
        <f t="shared" si="12"/>
        <v>Good</v>
      </c>
      <c r="P272" t="str">
        <f t="shared" si="13"/>
        <v>Adult</v>
      </c>
      <c r="Q272" t="str">
        <f t="shared" si="14"/>
        <v>High Salary</v>
      </c>
    </row>
    <row r="273" spans="1:17" x14ac:dyDescent="0.25">
      <c r="A273">
        <v>347</v>
      </c>
      <c r="B273">
        <v>15658935</v>
      </c>
      <c r="C273" t="s">
        <v>231</v>
      </c>
      <c r="D273" t="s">
        <v>26</v>
      </c>
      <c r="E273" t="s">
        <v>16</v>
      </c>
      <c r="F273">
        <v>630</v>
      </c>
      <c r="G273">
        <v>34</v>
      </c>
      <c r="H273">
        <v>9</v>
      </c>
      <c r="I273">
        <v>106937.05</v>
      </c>
      <c r="J273">
        <v>2</v>
      </c>
      <c r="K273">
        <v>1</v>
      </c>
      <c r="L273">
        <v>0</v>
      </c>
      <c r="M273">
        <v>138275.01</v>
      </c>
      <c r="N273">
        <v>0</v>
      </c>
      <c r="O273" t="str">
        <f t="shared" si="12"/>
        <v>Average</v>
      </c>
      <c r="P273" t="str">
        <f t="shared" si="13"/>
        <v>Adult</v>
      </c>
      <c r="Q273" t="str">
        <f t="shared" si="14"/>
        <v>High Salary</v>
      </c>
    </row>
    <row r="274" spans="1:17" x14ac:dyDescent="0.25">
      <c r="A274">
        <v>348</v>
      </c>
      <c r="B274">
        <v>15747358</v>
      </c>
      <c r="C274" t="s">
        <v>323</v>
      </c>
      <c r="D274" t="s">
        <v>26</v>
      </c>
      <c r="E274" t="s">
        <v>23</v>
      </c>
      <c r="F274">
        <v>643</v>
      </c>
      <c r="G274">
        <v>59</v>
      </c>
      <c r="H274">
        <v>3</v>
      </c>
      <c r="I274">
        <v>170331.37</v>
      </c>
      <c r="J274">
        <v>1</v>
      </c>
      <c r="K274">
        <v>1</v>
      </c>
      <c r="L274">
        <v>1</v>
      </c>
      <c r="M274">
        <v>32171.79</v>
      </c>
      <c r="N274">
        <v>0</v>
      </c>
      <c r="O274" t="str">
        <f t="shared" si="12"/>
        <v>Average</v>
      </c>
      <c r="P274" t="str">
        <f t="shared" si="13"/>
        <v>Adult</v>
      </c>
      <c r="Q274" t="str">
        <f t="shared" si="14"/>
        <v>Medium Salary</v>
      </c>
    </row>
    <row r="275" spans="1:17" x14ac:dyDescent="0.25">
      <c r="A275">
        <v>349</v>
      </c>
      <c r="B275">
        <v>15735203</v>
      </c>
      <c r="C275" t="s">
        <v>324</v>
      </c>
      <c r="D275" t="s">
        <v>26</v>
      </c>
      <c r="E275" t="s">
        <v>16</v>
      </c>
      <c r="F275">
        <v>654</v>
      </c>
      <c r="G275">
        <v>32</v>
      </c>
      <c r="H275">
        <v>1</v>
      </c>
      <c r="I275">
        <v>114510.85</v>
      </c>
      <c r="J275">
        <v>1</v>
      </c>
      <c r="K275">
        <v>1</v>
      </c>
      <c r="L275">
        <v>1</v>
      </c>
      <c r="M275">
        <v>126143.23</v>
      </c>
      <c r="N275">
        <v>0</v>
      </c>
      <c r="O275" t="str">
        <f t="shared" si="12"/>
        <v>Average</v>
      </c>
      <c r="P275" t="str">
        <f t="shared" si="13"/>
        <v>Adult</v>
      </c>
      <c r="Q275" t="str">
        <f t="shared" si="14"/>
        <v>High Salary</v>
      </c>
    </row>
    <row r="276" spans="1:17" x14ac:dyDescent="0.25">
      <c r="A276">
        <v>350</v>
      </c>
      <c r="B276">
        <v>15576256</v>
      </c>
      <c r="C276" t="s">
        <v>325</v>
      </c>
      <c r="D276" t="s">
        <v>15</v>
      </c>
      <c r="E276" t="s">
        <v>23</v>
      </c>
      <c r="F276">
        <v>582</v>
      </c>
      <c r="G276">
        <v>39</v>
      </c>
      <c r="H276">
        <v>5</v>
      </c>
      <c r="I276">
        <v>0</v>
      </c>
      <c r="J276">
        <v>2</v>
      </c>
      <c r="K276">
        <v>1</v>
      </c>
      <c r="L276">
        <v>1</v>
      </c>
      <c r="M276">
        <v>129892.93</v>
      </c>
      <c r="N276">
        <v>0</v>
      </c>
      <c r="O276" t="str">
        <f t="shared" si="12"/>
        <v>Average</v>
      </c>
      <c r="P276" t="str">
        <f t="shared" si="13"/>
        <v>Adult</v>
      </c>
      <c r="Q276" t="str">
        <f t="shared" si="14"/>
        <v>High Salary</v>
      </c>
    </row>
    <row r="277" spans="1:17" x14ac:dyDescent="0.25">
      <c r="A277">
        <v>351</v>
      </c>
      <c r="B277">
        <v>15659420</v>
      </c>
      <c r="C277" t="s">
        <v>326</v>
      </c>
      <c r="D277" t="s">
        <v>18</v>
      </c>
      <c r="E277" t="s">
        <v>23</v>
      </c>
      <c r="F277">
        <v>659</v>
      </c>
      <c r="G277">
        <v>32</v>
      </c>
      <c r="H277">
        <v>3</v>
      </c>
      <c r="I277">
        <v>107594.11</v>
      </c>
      <c r="J277">
        <v>2</v>
      </c>
      <c r="K277">
        <v>1</v>
      </c>
      <c r="L277">
        <v>1</v>
      </c>
      <c r="M277">
        <v>102416.84</v>
      </c>
      <c r="N277">
        <v>0</v>
      </c>
      <c r="O277" t="str">
        <f t="shared" si="12"/>
        <v>Average</v>
      </c>
      <c r="P277" t="str">
        <f t="shared" si="13"/>
        <v>Adult</v>
      </c>
      <c r="Q277" t="str">
        <f t="shared" si="14"/>
        <v>High Salary</v>
      </c>
    </row>
    <row r="278" spans="1:17" x14ac:dyDescent="0.25">
      <c r="A278">
        <v>352</v>
      </c>
      <c r="B278">
        <v>15593365</v>
      </c>
      <c r="C278" t="s">
        <v>219</v>
      </c>
      <c r="D278" t="s">
        <v>18</v>
      </c>
      <c r="E278" t="s">
        <v>23</v>
      </c>
      <c r="F278">
        <v>762</v>
      </c>
      <c r="G278">
        <v>39</v>
      </c>
      <c r="H278">
        <v>2</v>
      </c>
      <c r="I278">
        <v>81273.13</v>
      </c>
      <c r="J278">
        <v>1</v>
      </c>
      <c r="K278">
        <v>1</v>
      </c>
      <c r="L278">
        <v>1</v>
      </c>
      <c r="M278">
        <v>18719.669999999998</v>
      </c>
      <c r="N278">
        <v>0</v>
      </c>
      <c r="O278" t="str">
        <f t="shared" si="12"/>
        <v>Good</v>
      </c>
      <c r="P278" t="str">
        <f t="shared" si="13"/>
        <v>Adult</v>
      </c>
      <c r="Q278" t="str">
        <f t="shared" si="14"/>
        <v>Low Salary</v>
      </c>
    </row>
    <row r="279" spans="1:17" x14ac:dyDescent="0.25">
      <c r="A279">
        <v>353</v>
      </c>
      <c r="B279">
        <v>15777352</v>
      </c>
      <c r="C279" t="s">
        <v>327</v>
      </c>
      <c r="D279" t="s">
        <v>18</v>
      </c>
      <c r="E279" t="s">
        <v>16</v>
      </c>
      <c r="F279">
        <v>568</v>
      </c>
      <c r="G279">
        <v>32</v>
      </c>
      <c r="H279">
        <v>7</v>
      </c>
      <c r="I279">
        <v>169399.6</v>
      </c>
      <c r="J279">
        <v>1</v>
      </c>
      <c r="K279">
        <v>1</v>
      </c>
      <c r="L279">
        <v>0</v>
      </c>
      <c r="M279">
        <v>61936.22</v>
      </c>
      <c r="N279">
        <v>0</v>
      </c>
      <c r="O279" t="str">
        <f t="shared" si="12"/>
        <v>Poor</v>
      </c>
      <c r="P279" t="str">
        <f t="shared" si="13"/>
        <v>Adult</v>
      </c>
      <c r="Q279" t="str">
        <f t="shared" si="14"/>
        <v>Medium Salary</v>
      </c>
    </row>
    <row r="280" spans="1:17" x14ac:dyDescent="0.25">
      <c r="A280">
        <v>354</v>
      </c>
      <c r="B280">
        <v>15812007</v>
      </c>
      <c r="C280" t="s">
        <v>328</v>
      </c>
      <c r="D280" t="s">
        <v>18</v>
      </c>
      <c r="E280" t="s">
        <v>23</v>
      </c>
      <c r="F280">
        <v>670</v>
      </c>
      <c r="G280">
        <v>25</v>
      </c>
      <c r="H280">
        <v>6</v>
      </c>
      <c r="I280">
        <v>0</v>
      </c>
      <c r="J280">
        <v>2</v>
      </c>
      <c r="K280">
        <v>1</v>
      </c>
      <c r="L280">
        <v>1</v>
      </c>
      <c r="M280">
        <v>78358.94</v>
      </c>
      <c r="N280">
        <v>0</v>
      </c>
      <c r="O280" t="str">
        <f t="shared" si="12"/>
        <v>Good</v>
      </c>
      <c r="P280" t="str">
        <f t="shared" si="13"/>
        <v>Young Adult</v>
      </c>
      <c r="Q280" t="str">
        <f t="shared" si="14"/>
        <v>High Salary</v>
      </c>
    </row>
    <row r="281" spans="1:17" x14ac:dyDescent="0.25">
      <c r="A281">
        <v>355</v>
      </c>
      <c r="B281">
        <v>15625461</v>
      </c>
      <c r="C281" t="s">
        <v>329</v>
      </c>
      <c r="D281" t="s">
        <v>15</v>
      </c>
      <c r="E281" t="s">
        <v>16</v>
      </c>
      <c r="F281">
        <v>613</v>
      </c>
      <c r="G281">
        <v>45</v>
      </c>
      <c r="H281">
        <v>1</v>
      </c>
      <c r="I281">
        <v>187841.99</v>
      </c>
      <c r="J281">
        <v>2</v>
      </c>
      <c r="K281">
        <v>1</v>
      </c>
      <c r="L281">
        <v>1</v>
      </c>
      <c r="M281">
        <v>147224.26999999999</v>
      </c>
      <c r="N281">
        <v>0</v>
      </c>
      <c r="O281" t="str">
        <f t="shared" si="12"/>
        <v>Average</v>
      </c>
      <c r="P281" t="str">
        <f t="shared" si="13"/>
        <v>Adult</v>
      </c>
      <c r="Q281" t="str">
        <f t="shared" si="14"/>
        <v>High Salary</v>
      </c>
    </row>
    <row r="282" spans="1:17" x14ac:dyDescent="0.25">
      <c r="A282">
        <v>356</v>
      </c>
      <c r="B282">
        <v>15739438</v>
      </c>
      <c r="C282" t="s">
        <v>330</v>
      </c>
      <c r="D282" t="s">
        <v>15</v>
      </c>
      <c r="E282" t="s">
        <v>23</v>
      </c>
      <c r="F282">
        <v>539</v>
      </c>
      <c r="G282">
        <v>30</v>
      </c>
      <c r="H282">
        <v>0</v>
      </c>
      <c r="I282">
        <v>0</v>
      </c>
      <c r="J282">
        <v>2</v>
      </c>
      <c r="K282">
        <v>1</v>
      </c>
      <c r="L282">
        <v>0</v>
      </c>
      <c r="M282">
        <v>160979.66</v>
      </c>
      <c r="N282">
        <v>0</v>
      </c>
      <c r="O282" t="str">
        <f t="shared" si="12"/>
        <v>Poor</v>
      </c>
      <c r="P282" t="str">
        <f t="shared" si="13"/>
        <v>Young Adult</v>
      </c>
      <c r="Q282" t="str">
        <f t="shared" si="14"/>
        <v>High Salary</v>
      </c>
    </row>
    <row r="283" spans="1:17" x14ac:dyDescent="0.25">
      <c r="A283">
        <v>357</v>
      </c>
      <c r="B283">
        <v>15611759</v>
      </c>
      <c r="C283" t="s">
        <v>331</v>
      </c>
      <c r="D283" t="s">
        <v>18</v>
      </c>
      <c r="E283" t="s">
        <v>16</v>
      </c>
      <c r="F283">
        <v>850</v>
      </c>
      <c r="G283">
        <v>57</v>
      </c>
      <c r="H283">
        <v>8</v>
      </c>
      <c r="I283">
        <v>126776.3</v>
      </c>
      <c r="J283">
        <v>2</v>
      </c>
      <c r="K283">
        <v>1</v>
      </c>
      <c r="L283">
        <v>1</v>
      </c>
      <c r="M283">
        <v>132298.49</v>
      </c>
      <c r="N283">
        <v>0</v>
      </c>
      <c r="O283" t="str">
        <f t="shared" si="12"/>
        <v>Good</v>
      </c>
      <c r="P283" t="str">
        <f t="shared" si="13"/>
        <v>Adult</v>
      </c>
      <c r="Q283" t="str">
        <f t="shared" si="14"/>
        <v>High Salary</v>
      </c>
    </row>
    <row r="284" spans="1:17" x14ac:dyDescent="0.25">
      <c r="A284">
        <v>359</v>
      </c>
      <c r="B284">
        <v>15633950</v>
      </c>
      <c r="C284" t="s">
        <v>43</v>
      </c>
      <c r="D284" t="s">
        <v>15</v>
      </c>
      <c r="E284" t="s">
        <v>23</v>
      </c>
      <c r="F284">
        <v>737</v>
      </c>
      <c r="G284">
        <v>41</v>
      </c>
      <c r="H284">
        <v>1</v>
      </c>
      <c r="I284">
        <v>101960.74</v>
      </c>
      <c r="J284">
        <v>1</v>
      </c>
      <c r="K284">
        <v>1</v>
      </c>
      <c r="L284">
        <v>1</v>
      </c>
      <c r="M284">
        <v>123547.28</v>
      </c>
      <c r="N284">
        <v>0</v>
      </c>
      <c r="O284" t="str">
        <f t="shared" si="12"/>
        <v>Good</v>
      </c>
      <c r="P284" t="str">
        <f t="shared" si="13"/>
        <v>Adult</v>
      </c>
      <c r="Q284" t="str">
        <f t="shared" si="14"/>
        <v>High Salary</v>
      </c>
    </row>
    <row r="285" spans="1:17" x14ac:dyDescent="0.25">
      <c r="A285">
        <v>360</v>
      </c>
      <c r="B285">
        <v>15592386</v>
      </c>
      <c r="C285" t="s">
        <v>186</v>
      </c>
      <c r="D285" t="s">
        <v>15</v>
      </c>
      <c r="E285" t="s">
        <v>23</v>
      </c>
      <c r="F285">
        <v>520</v>
      </c>
      <c r="G285">
        <v>58</v>
      </c>
      <c r="H285">
        <v>3</v>
      </c>
      <c r="I285">
        <v>0</v>
      </c>
      <c r="J285">
        <v>2</v>
      </c>
      <c r="K285">
        <v>0</v>
      </c>
      <c r="L285">
        <v>1</v>
      </c>
      <c r="M285">
        <v>32790.019999999997</v>
      </c>
      <c r="N285">
        <v>0</v>
      </c>
      <c r="O285" t="str">
        <f t="shared" si="12"/>
        <v>Poor</v>
      </c>
      <c r="P285" t="str">
        <f t="shared" si="13"/>
        <v>Adult</v>
      </c>
      <c r="Q285" t="str">
        <f t="shared" si="14"/>
        <v>Medium Salary</v>
      </c>
    </row>
    <row r="286" spans="1:17" x14ac:dyDescent="0.25">
      <c r="A286">
        <v>361</v>
      </c>
      <c r="B286">
        <v>15803716</v>
      </c>
      <c r="C286" t="s">
        <v>333</v>
      </c>
      <c r="D286" t="s">
        <v>18</v>
      </c>
      <c r="E286" t="s">
        <v>23</v>
      </c>
      <c r="F286">
        <v>706</v>
      </c>
      <c r="G286">
        <v>28</v>
      </c>
      <c r="H286">
        <v>3</v>
      </c>
      <c r="I286">
        <v>0</v>
      </c>
      <c r="J286">
        <v>2</v>
      </c>
      <c r="K286">
        <v>0</v>
      </c>
      <c r="L286">
        <v>1</v>
      </c>
      <c r="M286">
        <v>181543.67</v>
      </c>
      <c r="N286">
        <v>0</v>
      </c>
      <c r="O286" t="str">
        <f t="shared" si="12"/>
        <v>Good</v>
      </c>
      <c r="P286" t="str">
        <f t="shared" si="13"/>
        <v>Young Adult</v>
      </c>
      <c r="Q286" t="str">
        <f t="shared" si="14"/>
        <v>High Salary</v>
      </c>
    </row>
    <row r="287" spans="1:17" x14ac:dyDescent="0.25">
      <c r="A287">
        <v>363</v>
      </c>
      <c r="B287">
        <v>15706365</v>
      </c>
      <c r="C287" t="s">
        <v>63</v>
      </c>
      <c r="D287" t="s">
        <v>15</v>
      </c>
      <c r="E287" t="s">
        <v>16</v>
      </c>
      <c r="F287">
        <v>648</v>
      </c>
      <c r="G287">
        <v>50</v>
      </c>
      <c r="H287">
        <v>9</v>
      </c>
      <c r="I287">
        <v>102535.57</v>
      </c>
      <c r="J287">
        <v>1</v>
      </c>
      <c r="K287">
        <v>1</v>
      </c>
      <c r="L287">
        <v>1</v>
      </c>
      <c r="M287">
        <v>189543.19</v>
      </c>
      <c r="N287">
        <v>0</v>
      </c>
      <c r="O287" t="str">
        <f t="shared" si="12"/>
        <v>Average</v>
      </c>
      <c r="P287" t="str">
        <f t="shared" si="13"/>
        <v>Adult</v>
      </c>
      <c r="Q287" t="str">
        <f t="shared" si="14"/>
        <v>High Salary</v>
      </c>
    </row>
    <row r="288" spans="1:17" x14ac:dyDescent="0.25">
      <c r="A288">
        <v>364</v>
      </c>
      <c r="B288">
        <v>15745088</v>
      </c>
      <c r="C288" t="s">
        <v>334</v>
      </c>
      <c r="D288" t="s">
        <v>26</v>
      </c>
      <c r="E288" t="s">
        <v>16</v>
      </c>
      <c r="F288">
        <v>443</v>
      </c>
      <c r="G288">
        <v>29</v>
      </c>
      <c r="H288">
        <v>9</v>
      </c>
      <c r="I288">
        <v>99027.61</v>
      </c>
      <c r="J288">
        <v>2</v>
      </c>
      <c r="K288">
        <v>1</v>
      </c>
      <c r="L288">
        <v>0</v>
      </c>
      <c r="M288">
        <v>10940.4</v>
      </c>
      <c r="N288">
        <v>0</v>
      </c>
      <c r="O288" t="str">
        <f t="shared" si="12"/>
        <v>Poor</v>
      </c>
      <c r="P288" t="str">
        <f t="shared" si="13"/>
        <v>Young Adult</v>
      </c>
      <c r="Q288" t="str">
        <f t="shared" si="14"/>
        <v>Low Salary</v>
      </c>
    </row>
    <row r="289" spans="1:17" x14ac:dyDescent="0.25">
      <c r="A289">
        <v>365</v>
      </c>
      <c r="B289">
        <v>15676715</v>
      </c>
      <c r="C289" t="s">
        <v>335</v>
      </c>
      <c r="D289" t="s">
        <v>15</v>
      </c>
      <c r="E289" t="s">
        <v>23</v>
      </c>
      <c r="F289">
        <v>640</v>
      </c>
      <c r="G289">
        <v>68</v>
      </c>
      <c r="H289">
        <v>9</v>
      </c>
      <c r="I289">
        <v>0</v>
      </c>
      <c r="J289">
        <v>2</v>
      </c>
      <c r="K289">
        <v>1</v>
      </c>
      <c r="L289">
        <v>1</v>
      </c>
      <c r="M289">
        <v>199493.38</v>
      </c>
      <c r="N289">
        <v>0</v>
      </c>
      <c r="O289" t="str">
        <f t="shared" si="12"/>
        <v>Average</v>
      </c>
      <c r="P289" t="str">
        <f t="shared" si="13"/>
        <v>Senior</v>
      </c>
      <c r="Q289" t="str">
        <f t="shared" si="14"/>
        <v>High Salary</v>
      </c>
    </row>
    <row r="290" spans="1:17" x14ac:dyDescent="0.25">
      <c r="A290">
        <v>366</v>
      </c>
      <c r="B290">
        <v>15613085</v>
      </c>
      <c r="C290" t="s">
        <v>336</v>
      </c>
      <c r="D290" t="s">
        <v>18</v>
      </c>
      <c r="E290" t="s">
        <v>16</v>
      </c>
      <c r="F290">
        <v>628</v>
      </c>
      <c r="G290">
        <v>33</v>
      </c>
      <c r="H290">
        <v>3</v>
      </c>
      <c r="I290">
        <v>0</v>
      </c>
      <c r="J290">
        <v>1</v>
      </c>
      <c r="K290">
        <v>1</v>
      </c>
      <c r="L290">
        <v>1</v>
      </c>
      <c r="M290">
        <v>188193.25</v>
      </c>
      <c r="N290">
        <v>0</v>
      </c>
      <c r="O290" t="str">
        <f t="shared" si="12"/>
        <v>Average</v>
      </c>
      <c r="P290" t="str">
        <f t="shared" si="13"/>
        <v>Adult</v>
      </c>
      <c r="Q290" t="str">
        <f t="shared" si="14"/>
        <v>High Salary</v>
      </c>
    </row>
    <row r="291" spans="1:17" x14ac:dyDescent="0.25">
      <c r="A291">
        <v>367</v>
      </c>
      <c r="B291">
        <v>15633537</v>
      </c>
      <c r="C291" t="s">
        <v>337</v>
      </c>
      <c r="D291" t="s">
        <v>26</v>
      </c>
      <c r="E291" t="s">
        <v>16</v>
      </c>
      <c r="F291">
        <v>540</v>
      </c>
      <c r="G291">
        <v>42</v>
      </c>
      <c r="H291">
        <v>9</v>
      </c>
      <c r="I291">
        <v>87271.41</v>
      </c>
      <c r="J291">
        <v>2</v>
      </c>
      <c r="K291">
        <v>1</v>
      </c>
      <c r="L291">
        <v>0</v>
      </c>
      <c r="M291">
        <v>172572.64</v>
      </c>
      <c r="N291">
        <v>0</v>
      </c>
      <c r="O291" t="str">
        <f t="shared" si="12"/>
        <v>Poor</v>
      </c>
      <c r="P291" t="str">
        <f t="shared" si="13"/>
        <v>Adult</v>
      </c>
      <c r="Q291" t="str">
        <f t="shared" si="14"/>
        <v>High Salary</v>
      </c>
    </row>
    <row r="292" spans="1:17" x14ac:dyDescent="0.25">
      <c r="A292">
        <v>368</v>
      </c>
      <c r="B292">
        <v>15594720</v>
      </c>
      <c r="C292" t="s">
        <v>33</v>
      </c>
      <c r="D292" t="s">
        <v>26</v>
      </c>
      <c r="E292" t="s">
        <v>16</v>
      </c>
      <c r="F292">
        <v>460</v>
      </c>
      <c r="G292">
        <v>35</v>
      </c>
      <c r="H292">
        <v>8</v>
      </c>
      <c r="I292">
        <v>102742.91</v>
      </c>
      <c r="J292">
        <v>2</v>
      </c>
      <c r="K292">
        <v>1</v>
      </c>
      <c r="L292">
        <v>1</v>
      </c>
      <c r="M292">
        <v>189339.6</v>
      </c>
      <c r="N292">
        <v>0</v>
      </c>
      <c r="O292" t="str">
        <f t="shared" si="12"/>
        <v>Poor</v>
      </c>
      <c r="P292" t="str">
        <f t="shared" si="13"/>
        <v>Adult</v>
      </c>
      <c r="Q292" t="str">
        <f t="shared" si="14"/>
        <v>High Salary</v>
      </c>
    </row>
    <row r="293" spans="1:17" x14ac:dyDescent="0.25">
      <c r="A293">
        <v>369</v>
      </c>
      <c r="B293">
        <v>15684042</v>
      </c>
      <c r="C293" t="s">
        <v>338</v>
      </c>
      <c r="D293" t="s">
        <v>26</v>
      </c>
      <c r="E293" t="s">
        <v>23</v>
      </c>
      <c r="F293">
        <v>636</v>
      </c>
      <c r="G293">
        <v>34</v>
      </c>
      <c r="H293">
        <v>2</v>
      </c>
      <c r="I293">
        <v>40105.51</v>
      </c>
      <c r="J293">
        <v>2</v>
      </c>
      <c r="K293">
        <v>0</v>
      </c>
      <c r="L293">
        <v>1</v>
      </c>
      <c r="M293">
        <v>53512.160000000003</v>
      </c>
      <c r="N293">
        <v>0</v>
      </c>
      <c r="O293" t="str">
        <f t="shared" si="12"/>
        <v>Average</v>
      </c>
      <c r="P293" t="str">
        <f t="shared" si="13"/>
        <v>Adult</v>
      </c>
      <c r="Q293" t="str">
        <f t="shared" si="14"/>
        <v>Medium Salary</v>
      </c>
    </row>
    <row r="294" spans="1:17" x14ac:dyDescent="0.25">
      <c r="A294">
        <v>370</v>
      </c>
      <c r="B294">
        <v>15583303</v>
      </c>
      <c r="C294" t="s">
        <v>339</v>
      </c>
      <c r="D294" t="s">
        <v>15</v>
      </c>
      <c r="E294" t="s">
        <v>16</v>
      </c>
      <c r="F294">
        <v>593</v>
      </c>
      <c r="G294">
        <v>29</v>
      </c>
      <c r="H294">
        <v>2</v>
      </c>
      <c r="I294">
        <v>152265.43</v>
      </c>
      <c r="J294">
        <v>1</v>
      </c>
      <c r="K294">
        <v>1</v>
      </c>
      <c r="L294">
        <v>0</v>
      </c>
      <c r="M294">
        <v>34004.44</v>
      </c>
      <c r="N294">
        <v>0</v>
      </c>
      <c r="O294" t="str">
        <f t="shared" si="12"/>
        <v>Average</v>
      </c>
      <c r="P294" t="str">
        <f t="shared" si="13"/>
        <v>Young Adult</v>
      </c>
      <c r="Q294" t="str">
        <f t="shared" si="14"/>
        <v>Medium Salary</v>
      </c>
    </row>
    <row r="295" spans="1:17" x14ac:dyDescent="0.25">
      <c r="A295">
        <v>371</v>
      </c>
      <c r="B295">
        <v>15611579</v>
      </c>
      <c r="C295" t="s">
        <v>340</v>
      </c>
      <c r="D295" t="s">
        <v>18</v>
      </c>
      <c r="E295" t="s">
        <v>23</v>
      </c>
      <c r="F295">
        <v>801</v>
      </c>
      <c r="G295">
        <v>42</v>
      </c>
      <c r="H295">
        <v>4</v>
      </c>
      <c r="I295">
        <v>141947.67000000001</v>
      </c>
      <c r="J295">
        <v>1</v>
      </c>
      <c r="K295">
        <v>1</v>
      </c>
      <c r="L295">
        <v>1</v>
      </c>
      <c r="M295">
        <v>10598.29</v>
      </c>
      <c r="N295">
        <v>0</v>
      </c>
      <c r="O295" t="str">
        <f t="shared" si="12"/>
        <v>Good</v>
      </c>
      <c r="P295" t="str">
        <f t="shared" si="13"/>
        <v>Adult</v>
      </c>
      <c r="Q295" t="str">
        <f t="shared" si="14"/>
        <v>Low Salary</v>
      </c>
    </row>
    <row r="296" spans="1:17" x14ac:dyDescent="0.25">
      <c r="A296">
        <v>372</v>
      </c>
      <c r="B296">
        <v>15774696</v>
      </c>
      <c r="C296" t="s">
        <v>110</v>
      </c>
      <c r="D296" t="s">
        <v>26</v>
      </c>
      <c r="E296" t="s">
        <v>16</v>
      </c>
      <c r="F296">
        <v>640</v>
      </c>
      <c r="G296">
        <v>75</v>
      </c>
      <c r="H296">
        <v>1</v>
      </c>
      <c r="I296">
        <v>106307.91</v>
      </c>
      <c r="J296">
        <v>2</v>
      </c>
      <c r="K296">
        <v>0</v>
      </c>
      <c r="L296">
        <v>1</v>
      </c>
      <c r="M296">
        <v>113428.77</v>
      </c>
      <c r="N296">
        <v>0</v>
      </c>
      <c r="O296" t="str">
        <f t="shared" si="12"/>
        <v>Average</v>
      </c>
      <c r="P296" t="str">
        <f t="shared" si="13"/>
        <v>Senior</v>
      </c>
      <c r="Q296" t="str">
        <f t="shared" si="14"/>
        <v>High Salary</v>
      </c>
    </row>
    <row r="297" spans="1:17" x14ac:dyDescent="0.25">
      <c r="A297">
        <v>373</v>
      </c>
      <c r="B297">
        <v>15694506</v>
      </c>
      <c r="C297" t="s">
        <v>341</v>
      </c>
      <c r="D297" t="s">
        <v>26</v>
      </c>
      <c r="E297" t="s">
        <v>23</v>
      </c>
      <c r="F297">
        <v>611</v>
      </c>
      <c r="G297">
        <v>31</v>
      </c>
      <c r="H297">
        <v>0</v>
      </c>
      <c r="I297">
        <v>107884.81</v>
      </c>
      <c r="J297">
        <v>2</v>
      </c>
      <c r="K297">
        <v>1</v>
      </c>
      <c r="L297">
        <v>1</v>
      </c>
      <c r="M297">
        <v>183487.98</v>
      </c>
      <c r="N297">
        <v>0</v>
      </c>
      <c r="O297" t="str">
        <f t="shared" si="12"/>
        <v>Average</v>
      </c>
      <c r="P297" t="str">
        <f t="shared" si="13"/>
        <v>Adult</v>
      </c>
      <c r="Q297" t="str">
        <f t="shared" si="14"/>
        <v>High Salary</v>
      </c>
    </row>
    <row r="298" spans="1:17" x14ac:dyDescent="0.25">
      <c r="A298">
        <v>374</v>
      </c>
      <c r="B298">
        <v>15688074</v>
      </c>
      <c r="C298" t="s">
        <v>342</v>
      </c>
      <c r="D298" t="s">
        <v>26</v>
      </c>
      <c r="E298" t="s">
        <v>23</v>
      </c>
      <c r="F298">
        <v>802</v>
      </c>
      <c r="G298">
        <v>31</v>
      </c>
      <c r="H298">
        <v>1</v>
      </c>
      <c r="I298">
        <v>125013.72</v>
      </c>
      <c r="J298">
        <v>1</v>
      </c>
      <c r="K298">
        <v>1</v>
      </c>
      <c r="L298">
        <v>1</v>
      </c>
      <c r="M298">
        <v>187658.09</v>
      </c>
      <c r="N298">
        <v>0</v>
      </c>
      <c r="O298" t="str">
        <f t="shared" si="12"/>
        <v>Good</v>
      </c>
      <c r="P298" t="str">
        <f t="shared" si="13"/>
        <v>Adult</v>
      </c>
      <c r="Q298" t="str">
        <f t="shared" si="14"/>
        <v>High Salary</v>
      </c>
    </row>
    <row r="299" spans="1:17" x14ac:dyDescent="0.25">
      <c r="A299">
        <v>375</v>
      </c>
      <c r="B299">
        <v>15759537</v>
      </c>
      <c r="C299" t="s">
        <v>63</v>
      </c>
      <c r="D299" t="s">
        <v>26</v>
      </c>
      <c r="E299" t="s">
        <v>23</v>
      </c>
      <c r="F299">
        <v>717</v>
      </c>
      <c r="G299">
        <v>35</v>
      </c>
      <c r="H299">
        <v>7</v>
      </c>
      <c r="I299">
        <v>58469.37</v>
      </c>
      <c r="J299">
        <v>2</v>
      </c>
      <c r="K299">
        <v>1</v>
      </c>
      <c r="L299">
        <v>1</v>
      </c>
      <c r="M299">
        <v>172459.39</v>
      </c>
      <c r="N299">
        <v>0</v>
      </c>
      <c r="O299" t="str">
        <f t="shared" si="12"/>
        <v>Good</v>
      </c>
      <c r="P299" t="str">
        <f t="shared" si="13"/>
        <v>Adult</v>
      </c>
      <c r="Q299" t="str">
        <f t="shared" si="14"/>
        <v>High Salary</v>
      </c>
    </row>
    <row r="300" spans="1:17" x14ac:dyDescent="0.25">
      <c r="A300">
        <v>376</v>
      </c>
      <c r="B300">
        <v>15758449</v>
      </c>
      <c r="C300" t="s">
        <v>343</v>
      </c>
      <c r="D300" t="s">
        <v>15</v>
      </c>
      <c r="E300" t="s">
        <v>16</v>
      </c>
      <c r="F300">
        <v>769</v>
      </c>
      <c r="G300">
        <v>39</v>
      </c>
      <c r="H300">
        <v>8</v>
      </c>
      <c r="I300">
        <v>0</v>
      </c>
      <c r="J300">
        <v>1</v>
      </c>
      <c r="K300">
        <v>0</v>
      </c>
      <c r="L300">
        <v>1</v>
      </c>
      <c r="M300">
        <v>21016</v>
      </c>
      <c r="N300">
        <v>0</v>
      </c>
      <c r="O300" t="str">
        <f t="shared" si="12"/>
        <v>Good</v>
      </c>
      <c r="P300" t="str">
        <f t="shared" si="13"/>
        <v>Adult</v>
      </c>
      <c r="Q300" t="str">
        <f t="shared" si="14"/>
        <v>Low Salary</v>
      </c>
    </row>
    <row r="301" spans="1:17" x14ac:dyDescent="0.25">
      <c r="A301">
        <v>378</v>
      </c>
      <c r="B301">
        <v>15667871</v>
      </c>
      <c r="C301" t="s">
        <v>319</v>
      </c>
      <c r="D301" t="s">
        <v>18</v>
      </c>
      <c r="E301" t="s">
        <v>23</v>
      </c>
      <c r="F301">
        <v>572</v>
      </c>
      <c r="G301">
        <v>35</v>
      </c>
      <c r="H301">
        <v>4</v>
      </c>
      <c r="I301">
        <v>152390.26</v>
      </c>
      <c r="J301">
        <v>1</v>
      </c>
      <c r="K301">
        <v>1</v>
      </c>
      <c r="L301">
        <v>0</v>
      </c>
      <c r="M301">
        <v>128123.66</v>
      </c>
      <c r="N301">
        <v>0</v>
      </c>
      <c r="O301" t="str">
        <f t="shared" si="12"/>
        <v>Poor</v>
      </c>
      <c r="P301" t="str">
        <f t="shared" si="13"/>
        <v>Adult</v>
      </c>
      <c r="Q301" t="str">
        <f t="shared" si="14"/>
        <v>High Salary</v>
      </c>
    </row>
    <row r="302" spans="1:17" x14ac:dyDescent="0.25">
      <c r="A302">
        <v>379</v>
      </c>
      <c r="B302">
        <v>15677371</v>
      </c>
      <c r="C302" t="s">
        <v>130</v>
      </c>
      <c r="D302" t="s">
        <v>18</v>
      </c>
      <c r="E302" t="s">
        <v>16</v>
      </c>
      <c r="F302">
        <v>629</v>
      </c>
      <c r="G302">
        <v>30</v>
      </c>
      <c r="H302">
        <v>2</v>
      </c>
      <c r="I302">
        <v>34013.629999999997</v>
      </c>
      <c r="J302">
        <v>1</v>
      </c>
      <c r="K302">
        <v>1</v>
      </c>
      <c r="L302">
        <v>0</v>
      </c>
      <c r="M302">
        <v>19570.63</v>
      </c>
      <c r="N302">
        <v>0</v>
      </c>
      <c r="O302" t="str">
        <f t="shared" si="12"/>
        <v>Average</v>
      </c>
      <c r="P302" t="str">
        <f t="shared" si="13"/>
        <v>Young Adult</v>
      </c>
      <c r="Q302" t="str">
        <f t="shared" si="14"/>
        <v>Low Salary</v>
      </c>
    </row>
    <row r="303" spans="1:17" x14ac:dyDescent="0.25">
      <c r="A303">
        <v>381</v>
      </c>
      <c r="B303">
        <v>15713578</v>
      </c>
      <c r="C303" t="s">
        <v>346</v>
      </c>
      <c r="D303" t="s">
        <v>15</v>
      </c>
      <c r="E303" t="s">
        <v>16</v>
      </c>
      <c r="F303">
        <v>483</v>
      </c>
      <c r="G303">
        <v>50</v>
      </c>
      <c r="H303">
        <v>9</v>
      </c>
      <c r="I303">
        <v>0</v>
      </c>
      <c r="J303">
        <v>2</v>
      </c>
      <c r="K303">
        <v>1</v>
      </c>
      <c r="L303">
        <v>1</v>
      </c>
      <c r="M303">
        <v>111020.24</v>
      </c>
      <c r="N303">
        <v>0</v>
      </c>
      <c r="O303" t="str">
        <f t="shared" si="12"/>
        <v>Poor</v>
      </c>
      <c r="P303" t="str">
        <f t="shared" si="13"/>
        <v>Adult</v>
      </c>
      <c r="Q303" t="str">
        <f t="shared" si="14"/>
        <v>High Salary</v>
      </c>
    </row>
    <row r="304" spans="1:17" x14ac:dyDescent="0.25">
      <c r="A304">
        <v>382</v>
      </c>
      <c r="B304">
        <v>15591509</v>
      </c>
      <c r="C304" t="s">
        <v>347</v>
      </c>
      <c r="D304" t="s">
        <v>15</v>
      </c>
      <c r="E304" t="s">
        <v>23</v>
      </c>
      <c r="F304">
        <v>690</v>
      </c>
      <c r="G304">
        <v>36</v>
      </c>
      <c r="H304">
        <v>7</v>
      </c>
      <c r="I304">
        <v>101583.11</v>
      </c>
      <c r="J304">
        <v>2</v>
      </c>
      <c r="K304">
        <v>1</v>
      </c>
      <c r="L304">
        <v>0</v>
      </c>
      <c r="M304">
        <v>123775.15</v>
      </c>
      <c r="N304">
        <v>0</v>
      </c>
      <c r="O304" t="str">
        <f t="shared" si="12"/>
        <v>Good</v>
      </c>
      <c r="P304" t="str">
        <f t="shared" si="13"/>
        <v>Adult</v>
      </c>
      <c r="Q304" t="str">
        <f t="shared" si="14"/>
        <v>High Salary</v>
      </c>
    </row>
    <row r="305" spans="1:17" x14ac:dyDescent="0.25">
      <c r="A305">
        <v>383</v>
      </c>
      <c r="B305">
        <v>15568240</v>
      </c>
      <c r="C305" t="s">
        <v>182</v>
      </c>
      <c r="D305" t="s">
        <v>26</v>
      </c>
      <c r="E305" t="s">
        <v>16</v>
      </c>
      <c r="F305">
        <v>492</v>
      </c>
      <c r="G305">
        <v>30</v>
      </c>
      <c r="H305">
        <v>10</v>
      </c>
      <c r="I305">
        <v>77168.87</v>
      </c>
      <c r="J305">
        <v>2</v>
      </c>
      <c r="K305">
        <v>0</v>
      </c>
      <c r="L305">
        <v>1</v>
      </c>
      <c r="M305">
        <v>146700.22</v>
      </c>
      <c r="N305">
        <v>0</v>
      </c>
      <c r="O305" t="str">
        <f t="shared" si="12"/>
        <v>Poor</v>
      </c>
      <c r="P305" t="str">
        <f t="shared" si="13"/>
        <v>Young Adult</v>
      </c>
      <c r="Q305" t="str">
        <f t="shared" si="14"/>
        <v>High Salary</v>
      </c>
    </row>
    <row r="306" spans="1:17" x14ac:dyDescent="0.25">
      <c r="A306">
        <v>384</v>
      </c>
      <c r="B306">
        <v>15622993</v>
      </c>
      <c r="C306" t="s">
        <v>348</v>
      </c>
      <c r="D306" t="s">
        <v>26</v>
      </c>
      <c r="E306" t="s">
        <v>23</v>
      </c>
      <c r="F306">
        <v>709</v>
      </c>
      <c r="G306">
        <v>28</v>
      </c>
      <c r="H306">
        <v>8</v>
      </c>
      <c r="I306">
        <v>124695.72</v>
      </c>
      <c r="J306">
        <v>2</v>
      </c>
      <c r="K306">
        <v>1</v>
      </c>
      <c r="L306">
        <v>0</v>
      </c>
      <c r="M306">
        <v>145251.35</v>
      </c>
      <c r="N306">
        <v>0</v>
      </c>
      <c r="O306" t="str">
        <f t="shared" si="12"/>
        <v>Good</v>
      </c>
      <c r="P306" t="str">
        <f t="shared" si="13"/>
        <v>Young Adult</v>
      </c>
      <c r="Q306" t="str">
        <f t="shared" si="14"/>
        <v>High Salary</v>
      </c>
    </row>
    <row r="307" spans="1:17" x14ac:dyDescent="0.25">
      <c r="A307">
        <v>385</v>
      </c>
      <c r="B307">
        <v>15689294</v>
      </c>
      <c r="C307" t="s">
        <v>349</v>
      </c>
      <c r="D307" t="s">
        <v>26</v>
      </c>
      <c r="E307" t="s">
        <v>23</v>
      </c>
      <c r="F307">
        <v>705</v>
      </c>
      <c r="G307">
        <v>44</v>
      </c>
      <c r="H307">
        <v>3</v>
      </c>
      <c r="I307">
        <v>105934.96</v>
      </c>
      <c r="J307">
        <v>1</v>
      </c>
      <c r="K307">
        <v>1</v>
      </c>
      <c r="L307">
        <v>0</v>
      </c>
      <c r="M307">
        <v>82463.69</v>
      </c>
      <c r="N307">
        <v>0</v>
      </c>
      <c r="O307" t="str">
        <f t="shared" si="12"/>
        <v>Good</v>
      </c>
      <c r="P307" t="str">
        <f t="shared" si="13"/>
        <v>Adult</v>
      </c>
      <c r="Q307" t="str">
        <f t="shared" si="14"/>
        <v>High Salary</v>
      </c>
    </row>
    <row r="308" spans="1:17" x14ac:dyDescent="0.25">
      <c r="A308">
        <v>386</v>
      </c>
      <c r="B308">
        <v>15720910</v>
      </c>
      <c r="C308" t="s">
        <v>350</v>
      </c>
      <c r="D308" t="s">
        <v>15</v>
      </c>
      <c r="E308" t="s">
        <v>16</v>
      </c>
      <c r="F308">
        <v>560</v>
      </c>
      <c r="G308">
        <v>66</v>
      </c>
      <c r="H308">
        <v>9</v>
      </c>
      <c r="I308">
        <v>0</v>
      </c>
      <c r="J308">
        <v>1</v>
      </c>
      <c r="K308">
        <v>1</v>
      </c>
      <c r="L308">
        <v>1</v>
      </c>
      <c r="M308">
        <v>15928.49</v>
      </c>
      <c r="N308">
        <v>0</v>
      </c>
      <c r="O308" t="str">
        <f t="shared" si="12"/>
        <v>Poor</v>
      </c>
      <c r="P308" t="str">
        <f t="shared" si="13"/>
        <v>Senior</v>
      </c>
      <c r="Q308" t="str">
        <f t="shared" si="14"/>
        <v>Low Salary</v>
      </c>
    </row>
    <row r="309" spans="1:17" x14ac:dyDescent="0.25">
      <c r="A309">
        <v>387</v>
      </c>
      <c r="B309">
        <v>15721181</v>
      </c>
      <c r="C309" t="s">
        <v>351</v>
      </c>
      <c r="D309" t="s">
        <v>18</v>
      </c>
      <c r="E309" t="s">
        <v>23</v>
      </c>
      <c r="F309">
        <v>611</v>
      </c>
      <c r="G309">
        <v>46</v>
      </c>
      <c r="H309">
        <v>6</v>
      </c>
      <c r="I309">
        <v>0</v>
      </c>
      <c r="J309">
        <v>2</v>
      </c>
      <c r="K309">
        <v>1</v>
      </c>
      <c r="L309">
        <v>0</v>
      </c>
      <c r="M309">
        <v>45886.33</v>
      </c>
      <c r="N309">
        <v>0</v>
      </c>
      <c r="O309" t="str">
        <f t="shared" si="12"/>
        <v>Average</v>
      </c>
      <c r="P309" t="str">
        <f t="shared" si="13"/>
        <v>Adult</v>
      </c>
      <c r="Q309" t="str">
        <f t="shared" si="14"/>
        <v>Medium Salary</v>
      </c>
    </row>
    <row r="310" spans="1:17" x14ac:dyDescent="0.25">
      <c r="A310">
        <v>388</v>
      </c>
      <c r="B310">
        <v>15776433</v>
      </c>
      <c r="C310" t="s">
        <v>352</v>
      </c>
      <c r="D310" t="s">
        <v>18</v>
      </c>
      <c r="E310" t="s">
        <v>23</v>
      </c>
      <c r="F310">
        <v>730</v>
      </c>
      <c r="G310">
        <v>62</v>
      </c>
      <c r="H310">
        <v>2</v>
      </c>
      <c r="I310">
        <v>0</v>
      </c>
      <c r="J310">
        <v>2</v>
      </c>
      <c r="K310">
        <v>1</v>
      </c>
      <c r="L310">
        <v>1</v>
      </c>
      <c r="M310">
        <v>186489.95</v>
      </c>
      <c r="N310">
        <v>0</v>
      </c>
      <c r="O310" t="str">
        <f t="shared" si="12"/>
        <v>Good</v>
      </c>
      <c r="P310" t="str">
        <f t="shared" si="13"/>
        <v>Senior</v>
      </c>
      <c r="Q310" t="str">
        <f t="shared" si="14"/>
        <v>High Salary</v>
      </c>
    </row>
    <row r="311" spans="1:17" x14ac:dyDescent="0.25">
      <c r="A311">
        <v>389</v>
      </c>
      <c r="B311">
        <v>15748936</v>
      </c>
      <c r="C311" t="s">
        <v>353</v>
      </c>
      <c r="D311" t="s">
        <v>18</v>
      </c>
      <c r="E311" t="s">
        <v>16</v>
      </c>
      <c r="F311">
        <v>709</v>
      </c>
      <c r="G311">
        <v>45</v>
      </c>
      <c r="H311">
        <v>2</v>
      </c>
      <c r="I311">
        <v>0</v>
      </c>
      <c r="J311">
        <v>2</v>
      </c>
      <c r="K311">
        <v>0</v>
      </c>
      <c r="L311">
        <v>1</v>
      </c>
      <c r="M311">
        <v>162922.65</v>
      </c>
      <c r="N311">
        <v>0</v>
      </c>
      <c r="O311" t="str">
        <f t="shared" si="12"/>
        <v>Good</v>
      </c>
      <c r="P311" t="str">
        <f t="shared" si="13"/>
        <v>Adult</v>
      </c>
      <c r="Q311" t="str">
        <f t="shared" si="14"/>
        <v>High Salary</v>
      </c>
    </row>
    <row r="312" spans="1:17" x14ac:dyDescent="0.25">
      <c r="A312">
        <v>390</v>
      </c>
      <c r="B312">
        <v>15717225</v>
      </c>
      <c r="C312" t="s">
        <v>354</v>
      </c>
      <c r="D312" t="s">
        <v>15</v>
      </c>
      <c r="E312" t="s">
        <v>16</v>
      </c>
      <c r="F312">
        <v>544</v>
      </c>
      <c r="G312">
        <v>21</v>
      </c>
      <c r="H312">
        <v>10</v>
      </c>
      <c r="I312">
        <v>161525.96</v>
      </c>
      <c r="J312">
        <v>2</v>
      </c>
      <c r="K312">
        <v>1</v>
      </c>
      <c r="L312">
        <v>0</v>
      </c>
      <c r="M312">
        <v>9262.77</v>
      </c>
      <c r="N312">
        <v>0</v>
      </c>
      <c r="O312" t="str">
        <f t="shared" si="12"/>
        <v>Poor</v>
      </c>
      <c r="P312" t="str">
        <f t="shared" si="13"/>
        <v>Young Adult</v>
      </c>
      <c r="Q312" t="str">
        <f t="shared" si="14"/>
        <v>Low Salary</v>
      </c>
    </row>
    <row r="313" spans="1:17" x14ac:dyDescent="0.25">
      <c r="A313">
        <v>391</v>
      </c>
      <c r="B313">
        <v>15685226</v>
      </c>
      <c r="C313" t="s">
        <v>250</v>
      </c>
      <c r="D313" t="s">
        <v>26</v>
      </c>
      <c r="E313" t="s">
        <v>16</v>
      </c>
      <c r="F313">
        <v>712</v>
      </c>
      <c r="G313">
        <v>29</v>
      </c>
      <c r="H313">
        <v>7</v>
      </c>
      <c r="I313">
        <v>147199.07</v>
      </c>
      <c r="J313">
        <v>1</v>
      </c>
      <c r="K313">
        <v>1</v>
      </c>
      <c r="L313">
        <v>1</v>
      </c>
      <c r="M313">
        <v>84932.4</v>
      </c>
      <c r="N313">
        <v>0</v>
      </c>
      <c r="O313" t="str">
        <f t="shared" si="12"/>
        <v>Good</v>
      </c>
      <c r="P313" t="str">
        <f t="shared" si="13"/>
        <v>Young Adult</v>
      </c>
      <c r="Q313" t="str">
        <f t="shared" si="14"/>
        <v>High Salary</v>
      </c>
    </row>
    <row r="314" spans="1:17" x14ac:dyDescent="0.25">
      <c r="A314">
        <v>392</v>
      </c>
      <c r="B314">
        <v>15785611</v>
      </c>
      <c r="C314" t="s">
        <v>355</v>
      </c>
      <c r="D314" t="s">
        <v>26</v>
      </c>
      <c r="E314" t="s">
        <v>23</v>
      </c>
      <c r="F314">
        <v>752</v>
      </c>
      <c r="G314">
        <v>38</v>
      </c>
      <c r="H314">
        <v>3</v>
      </c>
      <c r="I314">
        <v>183102.29</v>
      </c>
      <c r="J314">
        <v>1</v>
      </c>
      <c r="K314">
        <v>1</v>
      </c>
      <c r="L314">
        <v>1</v>
      </c>
      <c r="M314">
        <v>71557.119999999995</v>
      </c>
      <c r="N314">
        <v>0</v>
      </c>
      <c r="O314" t="str">
        <f t="shared" si="12"/>
        <v>Good</v>
      </c>
      <c r="P314" t="str">
        <f t="shared" si="13"/>
        <v>Adult</v>
      </c>
      <c r="Q314" t="str">
        <f t="shared" si="14"/>
        <v>High Salary</v>
      </c>
    </row>
    <row r="315" spans="1:17" x14ac:dyDescent="0.25">
      <c r="A315">
        <v>395</v>
      </c>
      <c r="B315">
        <v>15620505</v>
      </c>
      <c r="C315" t="s">
        <v>358</v>
      </c>
      <c r="D315" t="s">
        <v>18</v>
      </c>
      <c r="E315" t="s">
        <v>16</v>
      </c>
      <c r="F315">
        <v>594</v>
      </c>
      <c r="G315">
        <v>24</v>
      </c>
      <c r="H315">
        <v>0</v>
      </c>
      <c r="I315">
        <v>97378.54</v>
      </c>
      <c r="J315">
        <v>1</v>
      </c>
      <c r="K315">
        <v>1</v>
      </c>
      <c r="L315">
        <v>1</v>
      </c>
      <c r="M315">
        <v>71405.17</v>
      </c>
      <c r="N315">
        <v>0</v>
      </c>
      <c r="O315" t="str">
        <f t="shared" si="12"/>
        <v>Average</v>
      </c>
      <c r="P315" t="str">
        <f t="shared" si="13"/>
        <v>Young Adult</v>
      </c>
      <c r="Q315" t="str">
        <f t="shared" si="14"/>
        <v>High Salary</v>
      </c>
    </row>
    <row r="316" spans="1:17" x14ac:dyDescent="0.25">
      <c r="A316">
        <v>396</v>
      </c>
      <c r="B316">
        <v>15807432</v>
      </c>
      <c r="C316" t="s">
        <v>359</v>
      </c>
      <c r="D316" t="s">
        <v>26</v>
      </c>
      <c r="E316" t="s">
        <v>16</v>
      </c>
      <c r="F316">
        <v>645</v>
      </c>
      <c r="G316">
        <v>37</v>
      </c>
      <c r="H316">
        <v>2</v>
      </c>
      <c r="I316">
        <v>136925.09</v>
      </c>
      <c r="J316">
        <v>2</v>
      </c>
      <c r="K316">
        <v>0</v>
      </c>
      <c r="L316">
        <v>1</v>
      </c>
      <c r="M316">
        <v>153400.24</v>
      </c>
      <c r="N316">
        <v>0</v>
      </c>
      <c r="O316" t="str">
        <f t="shared" si="12"/>
        <v>Average</v>
      </c>
      <c r="P316" t="str">
        <f t="shared" si="13"/>
        <v>Adult</v>
      </c>
      <c r="Q316" t="str">
        <f t="shared" si="14"/>
        <v>High Salary</v>
      </c>
    </row>
    <row r="317" spans="1:17" x14ac:dyDescent="0.25">
      <c r="A317">
        <v>397</v>
      </c>
      <c r="B317">
        <v>15584766</v>
      </c>
      <c r="C317" t="s">
        <v>360</v>
      </c>
      <c r="D317" t="s">
        <v>15</v>
      </c>
      <c r="E317" t="s">
        <v>23</v>
      </c>
      <c r="F317">
        <v>557</v>
      </c>
      <c r="G317">
        <v>33</v>
      </c>
      <c r="H317">
        <v>3</v>
      </c>
      <c r="I317">
        <v>54503.55</v>
      </c>
      <c r="J317">
        <v>1</v>
      </c>
      <c r="K317">
        <v>1</v>
      </c>
      <c r="L317">
        <v>1</v>
      </c>
      <c r="M317">
        <v>371.05</v>
      </c>
      <c r="N317">
        <v>0</v>
      </c>
      <c r="O317" t="str">
        <f t="shared" si="12"/>
        <v>Poor</v>
      </c>
      <c r="P317" t="str">
        <f t="shared" si="13"/>
        <v>Adult</v>
      </c>
      <c r="Q317" t="str">
        <f t="shared" si="14"/>
        <v>Low Salary</v>
      </c>
    </row>
    <row r="318" spans="1:17" x14ac:dyDescent="0.25">
      <c r="A318">
        <v>398</v>
      </c>
      <c r="B318">
        <v>15612187</v>
      </c>
      <c r="C318" t="s">
        <v>361</v>
      </c>
      <c r="D318" t="s">
        <v>26</v>
      </c>
      <c r="E318" t="s">
        <v>23</v>
      </c>
      <c r="F318">
        <v>547</v>
      </c>
      <c r="G318">
        <v>32</v>
      </c>
      <c r="H318">
        <v>8</v>
      </c>
      <c r="I318">
        <v>155726.85</v>
      </c>
      <c r="J318">
        <v>1</v>
      </c>
      <c r="K318">
        <v>1</v>
      </c>
      <c r="L318">
        <v>0</v>
      </c>
      <c r="M318">
        <v>67789.990000000005</v>
      </c>
      <c r="N318">
        <v>0</v>
      </c>
      <c r="O318" t="str">
        <f t="shared" si="12"/>
        <v>Poor</v>
      </c>
      <c r="P318" t="str">
        <f t="shared" si="13"/>
        <v>Adult</v>
      </c>
      <c r="Q318" t="str">
        <f t="shared" si="14"/>
        <v>Medium Salary</v>
      </c>
    </row>
    <row r="319" spans="1:17" x14ac:dyDescent="0.25">
      <c r="A319">
        <v>399</v>
      </c>
      <c r="B319">
        <v>15762218</v>
      </c>
      <c r="C319" t="s">
        <v>101</v>
      </c>
      <c r="D319" t="s">
        <v>15</v>
      </c>
      <c r="E319" t="s">
        <v>16</v>
      </c>
      <c r="F319">
        <v>701</v>
      </c>
      <c r="G319">
        <v>39</v>
      </c>
      <c r="H319">
        <v>9</v>
      </c>
      <c r="I319">
        <v>0</v>
      </c>
      <c r="J319">
        <v>2</v>
      </c>
      <c r="K319">
        <v>0</v>
      </c>
      <c r="L319">
        <v>1</v>
      </c>
      <c r="M319">
        <v>145894.9</v>
      </c>
      <c r="N319">
        <v>0</v>
      </c>
      <c r="O319" t="str">
        <f t="shared" si="12"/>
        <v>Good</v>
      </c>
      <c r="P319" t="str">
        <f t="shared" si="13"/>
        <v>Adult</v>
      </c>
      <c r="Q319" t="str">
        <f t="shared" si="14"/>
        <v>High Salary</v>
      </c>
    </row>
    <row r="320" spans="1:17" x14ac:dyDescent="0.25">
      <c r="A320">
        <v>401</v>
      </c>
      <c r="B320">
        <v>15690452</v>
      </c>
      <c r="C320" t="s">
        <v>363</v>
      </c>
      <c r="D320" t="s">
        <v>15</v>
      </c>
      <c r="E320" t="s">
        <v>23</v>
      </c>
      <c r="F320">
        <v>605</v>
      </c>
      <c r="G320">
        <v>52</v>
      </c>
      <c r="H320">
        <v>1</v>
      </c>
      <c r="I320">
        <v>63349.75</v>
      </c>
      <c r="J320">
        <v>1</v>
      </c>
      <c r="K320">
        <v>1</v>
      </c>
      <c r="L320">
        <v>0</v>
      </c>
      <c r="M320">
        <v>108887.44</v>
      </c>
      <c r="N320">
        <v>0</v>
      </c>
      <c r="O320" t="str">
        <f t="shared" si="12"/>
        <v>Average</v>
      </c>
      <c r="P320" t="str">
        <f t="shared" si="13"/>
        <v>Adult</v>
      </c>
      <c r="Q320" t="str">
        <f t="shared" si="14"/>
        <v>High Salary</v>
      </c>
    </row>
    <row r="321" spans="1:17" x14ac:dyDescent="0.25">
      <c r="A321">
        <v>402</v>
      </c>
      <c r="B321">
        <v>15747795</v>
      </c>
      <c r="C321" t="s">
        <v>364</v>
      </c>
      <c r="D321" t="s">
        <v>26</v>
      </c>
      <c r="E321" t="s">
        <v>16</v>
      </c>
      <c r="F321">
        <v>593</v>
      </c>
      <c r="G321">
        <v>38</v>
      </c>
      <c r="H321">
        <v>4</v>
      </c>
      <c r="I321">
        <v>129499.42</v>
      </c>
      <c r="J321">
        <v>1</v>
      </c>
      <c r="K321">
        <v>1</v>
      </c>
      <c r="L321">
        <v>1</v>
      </c>
      <c r="M321">
        <v>154071.26999999999</v>
      </c>
      <c r="N321">
        <v>0</v>
      </c>
      <c r="O321" t="str">
        <f t="shared" si="12"/>
        <v>Average</v>
      </c>
      <c r="P321" t="str">
        <f t="shared" si="13"/>
        <v>Adult</v>
      </c>
      <c r="Q321" t="str">
        <f t="shared" si="14"/>
        <v>High Salary</v>
      </c>
    </row>
    <row r="322" spans="1:17" x14ac:dyDescent="0.25">
      <c r="A322">
        <v>403</v>
      </c>
      <c r="B322">
        <v>15781589</v>
      </c>
      <c r="C322" t="s">
        <v>365</v>
      </c>
      <c r="D322" t="s">
        <v>18</v>
      </c>
      <c r="E322" t="s">
        <v>23</v>
      </c>
      <c r="F322">
        <v>751</v>
      </c>
      <c r="G322">
        <v>52</v>
      </c>
      <c r="H322">
        <v>8</v>
      </c>
      <c r="I322">
        <v>0</v>
      </c>
      <c r="J322">
        <v>2</v>
      </c>
      <c r="K322">
        <v>0</v>
      </c>
      <c r="L322">
        <v>1</v>
      </c>
      <c r="M322">
        <v>179291.85</v>
      </c>
      <c r="N322">
        <v>0</v>
      </c>
      <c r="O322" t="str">
        <f t="shared" si="12"/>
        <v>Good</v>
      </c>
      <c r="P322" t="str">
        <f t="shared" si="13"/>
        <v>Adult</v>
      </c>
      <c r="Q322" t="str">
        <f t="shared" si="14"/>
        <v>High Salary</v>
      </c>
    </row>
    <row r="323" spans="1:17" x14ac:dyDescent="0.25">
      <c r="A323">
        <v>404</v>
      </c>
      <c r="B323">
        <v>15732674</v>
      </c>
      <c r="C323" t="s">
        <v>366</v>
      </c>
      <c r="D323" t="s">
        <v>18</v>
      </c>
      <c r="E323" t="s">
        <v>23</v>
      </c>
      <c r="F323">
        <v>443</v>
      </c>
      <c r="G323">
        <v>36</v>
      </c>
      <c r="H323">
        <v>6</v>
      </c>
      <c r="I323">
        <v>70438.009999999995</v>
      </c>
      <c r="J323">
        <v>2</v>
      </c>
      <c r="K323">
        <v>0</v>
      </c>
      <c r="L323">
        <v>1</v>
      </c>
      <c r="M323">
        <v>56937.43</v>
      </c>
      <c r="N323">
        <v>0</v>
      </c>
      <c r="O323" t="str">
        <f t="shared" ref="O323:O386" si="15">IF(F323&lt;580, "Poor", IF(AND(F323&gt;=580, F323&lt;=669), "Average", "Good"))</f>
        <v>Poor</v>
      </c>
      <c r="P323" t="str">
        <f t="shared" ref="P323:P386" si="16">IF(G323&lt;=30, "Young Adult", IF(AND(G323&gt;=31, G323&lt;=60), "Adult", "Senior"))</f>
        <v>Adult</v>
      </c>
      <c r="Q323" t="str">
        <f t="shared" ref="Q323:Q386" si="17">IF(M323&lt;30000, "Low Salary", IF(AND(M323&gt;=30000, M323&lt;=70000), "Medium Salary", "High Salary"))</f>
        <v>Medium Salary</v>
      </c>
    </row>
    <row r="324" spans="1:17" x14ac:dyDescent="0.25">
      <c r="A324">
        <v>405</v>
      </c>
      <c r="B324">
        <v>15642291</v>
      </c>
      <c r="C324" t="s">
        <v>367</v>
      </c>
      <c r="D324" t="s">
        <v>15</v>
      </c>
      <c r="E324" t="s">
        <v>23</v>
      </c>
      <c r="F324">
        <v>685</v>
      </c>
      <c r="G324">
        <v>23</v>
      </c>
      <c r="H324">
        <v>8</v>
      </c>
      <c r="I324">
        <v>0</v>
      </c>
      <c r="J324">
        <v>2</v>
      </c>
      <c r="K324">
        <v>1</v>
      </c>
      <c r="L324">
        <v>1</v>
      </c>
      <c r="M324">
        <v>112239.03</v>
      </c>
      <c r="N324">
        <v>0</v>
      </c>
      <c r="O324" t="str">
        <f t="shared" si="15"/>
        <v>Good</v>
      </c>
      <c r="P324" t="str">
        <f t="shared" si="16"/>
        <v>Young Adult</v>
      </c>
      <c r="Q324" t="str">
        <f t="shared" si="17"/>
        <v>High Salary</v>
      </c>
    </row>
    <row r="325" spans="1:17" x14ac:dyDescent="0.25">
      <c r="A325">
        <v>406</v>
      </c>
      <c r="B325">
        <v>15692761</v>
      </c>
      <c r="C325" t="s">
        <v>368</v>
      </c>
      <c r="D325" t="s">
        <v>15</v>
      </c>
      <c r="E325" t="s">
        <v>23</v>
      </c>
      <c r="F325">
        <v>718</v>
      </c>
      <c r="G325">
        <v>36</v>
      </c>
      <c r="H325">
        <v>9</v>
      </c>
      <c r="I325">
        <v>0</v>
      </c>
      <c r="J325">
        <v>1</v>
      </c>
      <c r="K325">
        <v>1</v>
      </c>
      <c r="L325">
        <v>0</v>
      </c>
      <c r="M325">
        <v>45909.87</v>
      </c>
      <c r="N325">
        <v>0</v>
      </c>
      <c r="O325" t="str">
        <f t="shared" si="15"/>
        <v>Good</v>
      </c>
      <c r="P325" t="str">
        <f t="shared" si="16"/>
        <v>Adult</v>
      </c>
      <c r="Q325" t="str">
        <f t="shared" si="17"/>
        <v>Medium Salary</v>
      </c>
    </row>
    <row r="326" spans="1:17" x14ac:dyDescent="0.25">
      <c r="A326">
        <v>408</v>
      </c>
      <c r="B326">
        <v>15745354</v>
      </c>
      <c r="C326" t="s">
        <v>369</v>
      </c>
      <c r="D326" t="s">
        <v>18</v>
      </c>
      <c r="E326" t="s">
        <v>16</v>
      </c>
      <c r="F326">
        <v>611</v>
      </c>
      <c r="G326">
        <v>37</v>
      </c>
      <c r="H326">
        <v>4</v>
      </c>
      <c r="I326">
        <v>0</v>
      </c>
      <c r="J326">
        <v>2</v>
      </c>
      <c r="K326">
        <v>1</v>
      </c>
      <c r="L326">
        <v>0</v>
      </c>
      <c r="M326">
        <v>125696.26</v>
      </c>
      <c r="N326">
        <v>0</v>
      </c>
      <c r="O326" t="str">
        <f t="shared" si="15"/>
        <v>Average</v>
      </c>
      <c r="P326" t="str">
        <f t="shared" si="16"/>
        <v>Adult</v>
      </c>
      <c r="Q326" t="str">
        <f t="shared" si="17"/>
        <v>High Salary</v>
      </c>
    </row>
    <row r="327" spans="1:17" x14ac:dyDescent="0.25">
      <c r="A327">
        <v>409</v>
      </c>
      <c r="B327">
        <v>15701376</v>
      </c>
      <c r="C327" t="s">
        <v>274</v>
      </c>
      <c r="D327" t="s">
        <v>26</v>
      </c>
      <c r="E327" t="s">
        <v>23</v>
      </c>
      <c r="F327">
        <v>668</v>
      </c>
      <c r="G327">
        <v>37</v>
      </c>
      <c r="H327">
        <v>10</v>
      </c>
      <c r="I327">
        <v>152958.29</v>
      </c>
      <c r="J327">
        <v>2</v>
      </c>
      <c r="K327">
        <v>1</v>
      </c>
      <c r="L327">
        <v>1</v>
      </c>
      <c r="M327">
        <v>159585.60999999999</v>
      </c>
      <c r="N327">
        <v>0</v>
      </c>
      <c r="O327" t="str">
        <f t="shared" si="15"/>
        <v>Average</v>
      </c>
      <c r="P327" t="str">
        <f t="shared" si="16"/>
        <v>Adult</v>
      </c>
      <c r="Q327" t="str">
        <f t="shared" si="17"/>
        <v>High Salary</v>
      </c>
    </row>
    <row r="328" spans="1:17" x14ac:dyDescent="0.25">
      <c r="A328">
        <v>410</v>
      </c>
      <c r="B328">
        <v>15691625</v>
      </c>
      <c r="C328" t="s">
        <v>130</v>
      </c>
      <c r="D328" t="s">
        <v>26</v>
      </c>
      <c r="E328" t="s">
        <v>16</v>
      </c>
      <c r="F328">
        <v>537</v>
      </c>
      <c r="G328">
        <v>41</v>
      </c>
      <c r="H328">
        <v>3</v>
      </c>
      <c r="I328">
        <v>138306.34</v>
      </c>
      <c r="J328">
        <v>1</v>
      </c>
      <c r="K328">
        <v>1</v>
      </c>
      <c r="L328">
        <v>0</v>
      </c>
      <c r="M328">
        <v>106761.47</v>
      </c>
      <c r="N328">
        <v>0</v>
      </c>
      <c r="O328" t="str">
        <f t="shared" si="15"/>
        <v>Poor</v>
      </c>
      <c r="P328" t="str">
        <f t="shared" si="16"/>
        <v>Adult</v>
      </c>
      <c r="Q328" t="str">
        <f t="shared" si="17"/>
        <v>High Salary</v>
      </c>
    </row>
    <row r="329" spans="1:17" x14ac:dyDescent="0.25">
      <c r="A329">
        <v>411</v>
      </c>
      <c r="B329">
        <v>15566594</v>
      </c>
      <c r="C329" t="s">
        <v>370</v>
      </c>
      <c r="D329" t="s">
        <v>18</v>
      </c>
      <c r="E329" t="s">
        <v>23</v>
      </c>
      <c r="F329">
        <v>709</v>
      </c>
      <c r="G329">
        <v>23</v>
      </c>
      <c r="H329">
        <v>10</v>
      </c>
      <c r="I329">
        <v>0</v>
      </c>
      <c r="J329">
        <v>2</v>
      </c>
      <c r="K329">
        <v>0</v>
      </c>
      <c r="L329">
        <v>0</v>
      </c>
      <c r="M329">
        <v>129590.18</v>
      </c>
      <c r="N329">
        <v>0</v>
      </c>
      <c r="O329" t="str">
        <f t="shared" si="15"/>
        <v>Good</v>
      </c>
      <c r="P329" t="str">
        <f t="shared" si="16"/>
        <v>Young Adult</v>
      </c>
      <c r="Q329" t="str">
        <f t="shared" si="17"/>
        <v>High Salary</v>
      </c>
    </row>
    <row r="330" spans="1:17" x14ac:dyDescent="0.25">
      <c r="A330">
        <v>412</v>
      </c>
      <c r="B330">
        <v>15760431</v>
      </c>
      <c r="C330" t="s">
        <v>371</v>
      </c>
      <c r="D330" t="s">
        <v>15</v>
      </c>
      <c r="E330" t="s">
        <v>23</v>
      </c>
      <c r="F330">
        <v>850</v>
      </c>
      <c r="G330">
        <v>38</v>
      </c>
      <c r="H330">
        <v>1</v>
      </c>
      <c r="I330">
        <v>0</v>
      </c>
      <c r="J330">
        <v>2</v>
      </c>
      <c r="K330">
        <v>1</v>
      </c>
      <c r="L330">
        <v>1</v>
      </c>
      <c r="M330">
        <v>80006.649999999994</v>
      </c>
      <c r="N330">
        <v>0</v>
      </c>
      <c r="O330" t="str">
        <f t="shared" si="15"/>
        <v>Good</v>
      </c>
      <c r="P330" t="str">
        <f t="shared" si="16"/>
        <v>Adult</v>
      </c>
      <c r="Q330" t="str">
        <f t="shared" si="17"/>
        <v>High Salary</v>
      </c>
    </row>
    <row r="331" spans="1:17" x14ac:dyDescent="0.25">
      <c r="A331">
        <v>413</v>
      </c>
      <c r="B331">
        <v>15686302</v>
      </c>
      <c r="C331" t="s">
        <v>372</v>
      </c>
      <c r="D331" t="s">
        <v>18</v>
      </c>
      <c r="E331" t="s">
        <v>16</v>
      </c>
      <c r="F331">
        <v>745</v>
      </c>
      <c r="G331">
        <v>31</v>
      </c>
      <c r="H331">
        <v>3</v>
      </c>
      <c r="I331">
        <v>124328.84</v>
      </c>
      <c r="J331">
        <v>1</v>
      </c>
      <c r="K331">
        <v>1</v>
      </c>
      <c r="L331">
        <v>1</v>
      </c>
      <c r="M331">
        <v>140451.51999999999</v>
      </c>
      <c r="N331">
        <v>0</v>
      </c>
      <c r="O331" t="str">
        <f t="shared" si="15"/>
        <v>Good</v>
      </c>
      <c r="P331" t="str">
        <f t="shared" si="16"/>
        <v>Adult</v>
      </c>
      <c r="Q331" t="str">
        <f t="shared" si="17"/>
        <v>High Salary</v>
      </c>
    </row>
    <row r="332" spans="1:17" x14ac:dyDescent="0.25">
      <c r="A332">
        <v>415</v>
      </c>
      <c r="B332">
        <v>15810432</v>
      </c>
      <c r="C332" t="s">
        <v>374</v>
      </c>
      <c r="D332" t="s">
        <v>18</v>
      </c>
      <c r="E332" t="s">
        <v>23</v>
      </c>
      <c r="F332">
        <v>795</v>
      </c>
      <c r="G332">
        <v>35</v>
      </c>
      <c r="H332">
        <v>8</v>
      </c>
      <c r="I332">
        <v>0</v>
      </c>
      <c r="J332">
        <v>2</v>
      </c>
      <c r="K332">
        <v>1</v>
      </c>
      <c r="L332">
        <v>0</v>
      </c>
      <c r="M332">
        <v>167155.35999999999</v>
      </c>
      <c r="N332">
        <v>0</v>
      </c>
      <c r="O332" t="str">
        <f t="shared" si="15"/>
        <v>Good</v>
      </c>
      <c r="P332" t="str">
        <f t="shared" si="16"/>
        <v>Adult</v>
      </c>
      <c r="Q332" t="str">
        <f t="shared" si="17"/>
        <v>High Salary</v>
      </c>
    </row>
    <row r="333" spans="1:17" x14ac:dyDescent="0.25">
      <c r="A333">
        <v>416</v>
      </c>
      <c r="B333">
        <v>15809616</v>
      </c>
      <c r="C333" t="s">
        <v>375</v>
      </c>
      <c r="D333" t="s">
        <v>18</v>
      </c>
      <c r="E333" t="s">
        <v>23</v>
      </c>
      <c r="F333">
        <v>626</v>
      </c>
      <c r="G333">
        <v>26</v>
      </c>
      <c r="H333">
        <v>8</v>
      </c>
      <c r="I333">
        <v>0</v>
      </c>
      <c r="J333">
        <v>2</v>
      </c>
      <c r="K333">
        <v>0</v>
      </c>
      <c r="L333">
        <v>0</v>
      </c>
      <c r="M333">
        <v>191420.71</v>
      </c>
      <c r="N333">
        <v>0</v>
      </c>
      <c r="O333" t="str">
        <f t="shared" si="15"/>
        <v>Average</v>
      </c>
      <c r="P333" t="str">
        <f t="shared" si="16"/>
        <v>Young Adult</v>
      </c>
      <c r="Q333" t="str">
        <f t="shared" si="17"/>
        <v>High Salary</v>
      </c>
    </row>
    <row r="334" spans="1:17" x14ac:dyDescent="0.25">
      <c r="A334">
        <v>418</v>
      </c>
      <c r="B334">
        <v>15695632</v>
      </c>
      <c r="C334" t="s">
        <v>40</v>
      </c>
      <c r="D334" t="s">
        <v>15</v>
      </c>
      <c r="E334" t="s">
        <v>16</v>
      </c>
      <c r="F334">
        <v>556</v>
      </c>
      <c r="G334">
        <v>39</v>
      </c>
      <c r="H334">
        <v>9</v>
      </c>
      <c r="I334">
        <v>89588.35</v>
      </c>
      <c r="J334">
        <v>1</v>
      </c>
      <c r="K334">
        <v>1</v>
      </c>
      <c r="L334">
        <v>1</v>
      </c>
      <c r="M334">
        <v>94898.1</v>
      </c>
      <c r="N334">
        <v>0</v>
      </c>
      <c r="O334" t="str">
        <f t="shared" si="15"/>
        <v>Poor</v>
      </c>
      <c r="P334" t="str">
        <f t="shared" si="16"/>
        <v>Adult</v>
      </c>
      <c r="Q334" t="str">
        <f t="shared" si="17"/>
        <v>High Salary</v>
      </c>
    </row>
    <row r="335" spans="1:17" x14ac:dyDescent="0.25">
      <c r="A335">
        <v>419</v>
      </c>
      <c r="B335">
        <v>15659843</v>
      </c>
      <c r="C335" t="s">
        <v>148</v>
      </c>
      <c r="D335" t="s">
        <v>15</v>
      </c>
      <c r="E335" t="s">
        <v>16</v>
      </c>
      <c r="F335">
        <v>643</v>
      </c>
      <c r="G335">
        <v>46</v>
      </c>
      <c r="H335">
        <v>6</v>
      </c>
      <c r="I335">
        <v>0</v>
      </c>
      <c r="J335">
        <v>2</v>
      </c>
      <c r="K335">
        <v>0</v>
      </c>
      <c r="L335">
        <v>0</v>
      </c>
      <c r="M335">
        <v>106781.59</v>
      </c>
      <c r="N335">
        <v>0</v>
      </c>
      <c r="O335" t="str">
        <f t="shared" si="15"/>
        <v>Average</v>
      </c>
      <c r="P335" t="str">
        <f t="shared" si="16"/>
        <v>Adult</v>
      </c>
      <c r="Q335" t="str">
        <f t="shared" si="17"/>
        <v>High Salary</v>
      </c>
    </row>
    <row r="336" spans="1:17" x14ac:dyDescent="0.25">
      <c r="A336">
        <v>420</v>
      </c>
      <c r="B336">
        <v>15615624</v>
      </c>
      <c r="C336" t="s">
        <v>377</v>
      </c>
      <c r="D336" t="s">
        <v>15</v>
      </c>
      <c r="E336" t="s">
        <v>16</v>
      </c>
      <c r="F336">
        <v>605</v>
      </c>
      <c r="G336">
        <v>28</v>
      </c>
      <c r="H336">
        <v>6</v>
      </c>
      <c r="I336">
        <v>0</v>
      </c>
      <c r="J336">
        <v>2</v>
      </c>
      <c r="K336">
        <v>0</v>
      </c>
      <c r="L336">
        <v>0</v>
      </c>
      <c r="M336">
        <v>159508.51999999999</v>
      </c>
      <c r="N336">
        <v>0</v>
      </c>
      <c r="O336" t="str">
        <f t="shared" si="15"/>
        <v>Average</v>
      </c>
      <c r="P336" t="str">
        <f t="shared" si="16"/>
        <v>Young Adult</v>
      </c>
      <c r="Q336" t="str">
        <f t="shared" si="17"/>
        <v>High Salary</v>
      </c>
    </row>
    <row r="337" spans="1:17" x14ac:dyDescent="0.25">
      <c r="A337">
        <v>422</v>
      </c>
      <c r="B337">
        <v>15716186</v>
      </c>
      <c r="C337" t="s">
        <v>378</v>
      </c>
      <c r="D337" t="s">
        <v>15</v>
      </c>
      <c r="E337" t="s">
        <v>16</v>
      </c>
      <c r="F337">
        <v>586</v>
      </c>
      <c r="G337">
        <v>38</v>
      </c>
      <c r="H337">
        <v>2</v>
      </c>
      <c r="I337">
        <v>0</v>
      </c>
      <c r="J337">
        <v>2</v>
      </c>
      <c r="K337">
        <v>1</v>
      </c>
      <c r="L337">
        <v>0</v>
      </c>
      <c r="M337">
        <v>87168.46</v>
      </c>
      <c r="N337">
        <v>0</v>
      </c>
      <c r="O337" t="str">
        <f t="shared" si="15"/>
        <v>Average</v>
      </c>
      <c r="P337" t="str">
        <f t="shared" si="16"/>
        <v>Adult</v>
      </c>
      <c r="Q337" t="str">
        <f t="shared" si="17"/>
        <v>High Salary</v>
      </c>
    </row>
    <row r="338" spans="1:17" x14ac:dyDescent="0.25">
      <c r="A338">
        <v>424</v>
      </c>
      <c r="B338">
        <v>15622834</v>
      </c>
      <c r="C338" t="s">
        <v>223</v>
      </c>
      <c r="D338" t="s">
        <v>15</v>
      </c>
      <c r="E338" t="s">
        <v>16</v>
      </c>
      <c r="F338">
        <v>678</v>
      </c>
      <c r="G338">
        <v>35</v>
      </c>
      <c r="H338">
        <v>4</v>
      </c>
      <c r="I338">
        <v>0</v>
      </c>
      <c r="J338">
        <v>1</v>
      </c>
      <c r="K338">
        <v>1</v>
      </c>
      <c r="L338">
        <v>0</v>
      </c>
      <c r="M338">
        <v>125518.32</v>
      </c>
      <c r="N338">
        <v>0</v>
      </c>
      <c r="O338" t="str">
        <f t="shared" si="15"/>
        <v>Good</v>
      </c>
      <c r="P338" t="str">
        <f t="shared" si="16"/>
        <v>Adult</v>
      </c>
      <c r="Q338" t="str">
        <f t="shared" si="17"/>
        <v>High Salary</v>
      </c>
    </row>
    <row r="339" spans="1:17" x14ac:dyDescent="0.25">
      <c r="A339">
        <v>425</v>
      </c>
      <c r="B339">
        <v>15566111</v>
      </c>
      <c r="C339" t="s">
        <v>380</v>
      </c>
      <c r="D339" t="s">
        <v>15</v>
      </c>
      <c r="E339" t="s">
        <v>23</v>
      </c>
      <c r="F339">
        <v>596</v>
      </c>
      <c r="G339">
        <v>39</v>
      </c>
      <c r="H339">
        <v>9</v>
      </c>
      <c r="I339">
        <v>0</v>
      </c>
      <c r="J339">
        <v>1</v>
      </c>
      <c r="K339">
        <v>1</v>
      </c>
      <c r="L339">
        <v>0</v>
      </c>
      <c r="M339">
        <v>48963.59</v>
      </c>
      <c r="N339">
        <v>0</v>
      </c>
      <c r="O339" t="str">
        <f t="shared" si="15"/>
        <v>Average</v>
      </c>
      <c r="P339" t="str">
        <f t="shared" si="16"/>
        <v>Adult</v>
      </c>
      <c r="Q339" t="str">
        <f t="shared" si="17"/>
        <v>Medium Salary</v>
      </c>
    </row>
    <row r="340" spans="1:17" x14ac:dyDescent="0.25">
      <c r="A340">
        <v>426</v>
      </c>
      <c r="B340">
        <v>15784597</v>
      </c>
      <c r="C340" t="s">
        <v>381</v>
      </c>
      <c r="D340" t="s">
        <v>15</v>
      </c>
      <c r="E340" t="s">
        <v>23</v>
      </c>
      <c r="F340">
        <v>648</v>
      </c>
      <c r="G340">
        <v>26</v>
      </c>
      <c r="H340">
        <v>9</v>
      </c>
      <c r="I340">
        <v>162923.85</v>
      </c>
      <c r="J340">
        <v>1</v>
      </c>
      <c r="K340">
        <v>1</v>
      </c>
      <c r="L340">
        <v>0</v>
      </c>
      <c r="M340">
        <v>98368.24</v>
      </c>
      <c r="N340">
        <v>0</v>
      </c>
      <c r="O340" t="str">
        <f t="shared" si="15"/>
        <v>Average</v>
      </c>
      <c r="P340" t="str">
        <f t="shared" si="16"/>
        <v>Young Adult</v>
      </c>
      <c r="Q340" t="str">
        <f t="shared" si="17"/>
        <v>High Salary</v>
      </c>
    </row>
    <row r="341" spans="1:17" x14ac:dyDescent="0.25">
      <c r="A341">
        <v>427</v>
      </c>
      <c r="B341">
        <v>15652883</v>
      </c>
      <c r="C341" t="s">
        <v>382</v>
      </c>
      <c r="D341" t="s">
        <v>26</v>
      </c>
      <c r="E341" t="s">
        <v>23</v>
      </c>
      <c r="F341">
        <v>492</v>
      </c>
      <c r="G341">
        <v>39</v>
      </c>
      <c r="H341">
        <v>10</v>
      </c>
      <c r="I341">
        <v>124576.65</v>
      </c>
      <c r="J341">
        <v>2</v>
      </c>
      <c r="K341">
        <v>1</v>
      </c>
      <c r="L341">
        <v>0</v>
      </c>
      <c r="M341">
        <v>148584.60999999999</v>
      </c>
      <c r="N341">
        <v>0</v>
      </c>
      <c r="O341" t="str">
        <f t="shared" si="15"/>
        <v>Poor</v>
      </c>
      <c r="P341" t="str">
        <f t="shared" si="16"/>
        <v>Adult</v>
      </c>
      <c r="Q341" t="str">
        <f t="shared" si="17"/>
        <v>High Salary</v>
      </c>
    </row>
    <row r="342" spans="1:17" x14ac:dyDescent="0.25">
      <c r="A342">
        <v>428</v>
      </c>
      <c r="B342">
        <v>15806964</v>
      </c>
      <c r="C342" t="s">
        <v>383</v>
      </c>
      <c r="D342" t="s">
        <v>15</v>
      </c>
      <c r="E342" t="s">
        <v>23</v>
      </c>
      <c r="F342">
        <v>702</v>
      </c>
      <c r="G342">
        <v>45</v>
      </c>
      <c r="H342">
        <v>0</v>
      </c>
      <c r="I342">
        <v>80793.58</v>
      </c>
      <c r="J342">
        <v>1</v>
      </c>
      <c r="K342">
        <v>1</v>
      </c>
      <c r="L342">
        <v>1</v>
      </c>
      <c r="M342">
        <v>27474.81</v>
      </c>
      <c r="N342">
        <v>0</v>
      </c>
      <c r="O342" t="str">
        <f t="shared" si="15"/>
        <v>Good</v>
      </c>
      <c r="P342" t="str">
        <f t="shared" si="16"/>
        <v>Adult</v>
      </c>
      <c r="Q342" t="str">
        <f t="shared" si="17"/>
        <v>Low Salary</v>
      </c>
    </row>
    <row r="343" spans="1:17" x14ac:dyDescent="0.25">
      <c r="A343">
        <v>429</v>
      </c>
      <c r="B343">
        <v>15576313</v>
      </c>
      <c r="C343" t="s">
        <v>171</v>
      </c>
      <c r="D343" t="s">
        <v>26</v>
      </c>
      <c r="E343" t="s">
        <v>16</v>
      </c>
      <c r="F343">
        <v>486</v>
      </c>
      <c r="G343">
        <v>40</v>
      </c>
      <c r="H343">
        <v>9</v>
      </c>
      <c r="I343">
        <v>71340.09</v>
      </c>
      <c r="J343">
        <v>1</v>
      </c>
      <c r="K343">
        <v>1</v>
      </c>
      <c r="L343">
        <v>0</v>
      </c>
      <c r="M343">
        <v>76192.210000000006</v>
      </c>
      <c r="N343">
        <v>0</v>
      </c>
      <c r="O343" t="str">
        <f t="shared" si="15"/>
        <v>Poor</v>
      </c>
      <c r="P343" t="str">
        <f t="shared" si="16"/>
        <v>Adult</v>
      </c>
      <c r="Q343" t="str">
        <f t="shared" si="17"/>
        <v>High Salary</v>
      </c>
    </row>
    <row r="344" spans="1:17" x14ac:dyDescent="0.25">
      <c r="A344">
        <v>432</v>
      </c>
      <c r="B344">
        <v>15743040</v>
      </c>
      <c r="C344" t="s">
        <v>385</v>
      </c>
      <c r="D344" t="s">
        <v>26</v>
      </c>
      <c r="E344" t="s">
        <v>23</v>
      </c>
      <c r="F344">
        <v>724</v>
      </c>
      <c r="G344">
        <v>41</v>
      </c>
      <c r="H344">
        <v>2</v>
      </c>
      <c r="I344">
        <v>127892.57</v>
      </c>
      <c r="J344">
        <v>2</v>
      </c>
      <c r="K344">
        <v>0</v>
      </c>
      <c r="L344">
        <v>1</v>
      </c>
      <c r="M344">
        <v>199645.45</v>
      </c>
      <c r="N344">
        <v>0</v>
      </c>
      <c r="O344" t="str">
        <f t="shared" si="15"/>
        <v>Good</v>
      </c>
      <c r="P344" t="str">
        <f t="shared" si="16"/>
        <v>Adult</v>
      </c>
      <c r="Q344" t="str">
        <f t="shared" si="17"/>
        <v>High Salary</v>
      </c>
    </row>
    <row r="345" spans="1:17" x14ac:dyDescent="0.25">
      <c r="A345">
        <v>433</v>
      </c>
      <c r="B345">
        <v>15705521</v>
      </c>
      <c r="C345" t="s">
        <v>386</v>
      </c>
      <c r="D345" t="s">
        <v>26</v>
      </c>
      <c r="E345" t="s">
        <v>16</v>
      </c>
      <c r="F345">
        <v>548</v>
      </c>
      <c r="G345">
        <v>33</v>
      </c>
      <c r="H345">
        <v>0</v>
      </c>
      <c r="I345">
        <v>101084.36</v>
      </c>
      <c r="J345">
        <v>1</v>
      </c>
      <c r="K345">
        <v>1</v>
      </c>
      <c r="L345">
        <v>0</v>
      </c>
      <c r="M345">
        <v>42749.85</v>
      </c>
      <c r="N345">
        <v>0</v>
      </c>
      <c r="O345" t="str">
        <f t="shared" si="15"/>
        <v>Poor</v>
      </c>
      <c r="P345" t="str">
        <f t="shared" si="16"/>
        <v>Adult</v>
      </c>
      <c r="Q345" t="str">
        <f t="shared" si="17"/>
        <v>Medium Salary</v>
      </c>
    </row>
    <row r="346" spans="1:17" x14ac:dyDescent="0.25">
      <c r="A346">
        <v>435</v>
      </c>
      <c r="B346">
        <v>15799384</v>
      </c>
      <c r="C346" t="s">
        <v>388</v>
      </c>
      <c r="D346" t="s">
        <v>15</v>
      </c>
      <c r="E346" t="s">
        <v>23</v>
      </c>
      <c r="F346">
        <v>683</v>
      </c>
      <c r="G346">
        <v>33</v>
      </c>
      <c r="H346">
        <v>8</v>
      </c>
      <c r="I346">
        <v>0</v>
      </c>
      <c r="J346">
        <v>1</v>
      </c>
      <c r="K346">
        <v>0</v>
      </c>
      <c r="L346">
        <v>0</v>
      </c>
      <c r="M346">
        <v>73564.44</v>
      </c>
      <c r="N346">
        <v>0</v>
      </c>
      <c r="O346" t="str">
        <f t="shared" si="15"/>
        <v>Good</v>
      </c>
      <c r="P346" t="str">
        <f t="shared" si="16"/>
        <v>Adult</v>
      </c>
      <c r="Q346" t="str">
        <f t="shared" si="17"/>
        <v>High Salary</v>
      </c>
    </row>
    <row r="347" spans="1:17" x14ac:dyDescent="0.25">
      <c r="A347">
        <v>436</v>
      </c>
      <c r="B347">
        <v>15581197</v>
      </c>
      <c r="C347" t="s">
        <v>332</v>
      </c>
      <c r="D347" t="s">
        <v>15</v>
      </c>
      <c r="E347" t="s">
        <v>16</v>
      </c>
      <c r="F347">
        <v>762</v>
      </c>
      <c r="G347">
        <v>51</v>
      </c>
      <c r="H347">
        <v>3</v>
      </c>
      <c r="I347">
        <v>99286.98</v>
      </c>
      <c r="J347">
        <v>1</v>
      </c>
      <c r="K347">
        <v>0</v>
      </c>
      <c r="L347">
        <v>1</v>
      </c>
      <c r="M347">
        <v>85578.63</v>
      </c>
      <c r="N347">
        <v>0</v>
      </c>
      <c r="O347" t="str">
        <f t="shared" si="15"/>
        <v>Good</v>
      </c>
      <c r="P347" t="str">
        <f t="shared" si="16"/>
        <v>Adult</v>
      </c>
      <c r="Q347" t="str">
        <f t="shared" si="17"/>
        <v>High Salary</v>
      </c>
    </row>
    <row r="348" spans="1:17" x14ac:dyDescent="0.25">
      <c r="A348">
        <v>437</v>
      </c>
      <c r="B348">
        <v>15693737</v>
      </c>
      <c r="C348" t="s">
        <v>389</v>
      </c>
      <c r="D348" t="s">
        <v>26</v>
      </c>
      <c r="E348" t="s">
        <v>16</v>
      </c>
      <c r="F348">
        <v>627</v>
      </c>
      <c r="G348">
        <v>30</v>
      </c>
      <c r="H348">
        <v>4</v>
      </c>
      <c r="I348">
        <v>79871.02</v>
      </c>
      <c r="J348">
        <v>2</v>
      </c>
      <c r="K348">
        <v>1</v>
      </c>
      <c r="L348">
        <v>0</v>
      </c>
      <c r="M348">
        <v>129826.89</v>
      </c>
      <c r="N348">
        <v>0</v>
      </c>
      <c r="O348" t="str">
        <f t="shared" si="15"/>
        <v>Average</v>
      </c>
      <c r="P348" t="str">
        <f t="shared" si="16"/>
        <v>Young Adult</v>
      </c>
      <c r="Q348" t="str">
        <f t="shared" si="17"/>
        <v>High Salary</v>
      </c>
    </row>
    <row r="349" spans="1:17" x14ac:dyDescent="0.25">
      <c r="A349">
        <v>438</v>
      </c>
      <c r="B349">
        <v>15624623</v>
      </c>
      <c r="C349" t="s">
        <v>390</v>
      </c>
      <c r="D349" t="s">
        <v>15</v>
      </c>
      <c r="E349" t="s">
        <v>23</v>
      </c>
      <c r="F349">
        <v>516</v>
      </c>
      <c r="G349">
        <v>35</v>
      </c>
      <c r="H349">
        <v>10</v>
      </c>
      <c r="I349">
        <v>104088.59</v>
      </c>
      <c r="J349">
        <v>2</v>
      </c>
      <c r="K349">
        <v>0</v>
      </c>
      <c r="L349">
        <v>0</v>
      </c>
      <c r="M349">
        <v>119666</v>
      </c>
      <c r="N349">
        <v>0</v>
      </c>
      <c r="O349" t="str">
        <f t="shared" si="15"/>
        <v>Poor</v>
      </c>
      <c r="P349" t="str">
        <f t="shared" si="16"/>
        <v>Adult</v>
      </c>
      <c r="Q349" t="str">
        <f t="shared" si="17"/>
        <v>High Salary</v>
      </c>
    </row>
    <row r="350" spans="1:17" x14ac:dyDescent="0.25">
      <c r="A350">
        <v>439</v>
      </c>
      <c r="B350">
        <v>15783501</v>
      </c>
      <c r="C350" t="s">
        <v>391</v>
      </c>
      <c r="D350" t="s">
        <v>15</v>
      </c>
      <c r="E350" t="s">
        <v>16</v>
      </c>
      <c r="F350">
        <v>800</v>
      </c>
      <c r="G350">
        <v>38</v>
      </c>
      <c r="H350">
        <v>2</v>
      </c>
      <c r="I350">
        <v>168190.33</v>
      </c>
      <c r="J350">
        <v>2</v>
      </c>
      <c r="K350">
        <v>1</v>
      </c>
      <c r="L350">
        <v>0</v>
      </c>
      <c r="M350">
        <v>68052.08</v>
      </c>
      <c r="N350">
        <v>0</v>
      </c>
      <c r="O350" t="str">
        <f t="shared" si="15"/>
        <v>Good</v>
      </c>
      <c r="P350" t="str">
        <f t="shared" si="16"/>
        <v>Adult</v>
      </c>
      <c r="Q350" t="str">
        <f t="shared" si="17"/>
        <v>Medium Salary</v>
      </c>
    </row>
    <row r="351" spans="1:17" x14ac:dyDescent="0.25">
      <c r="A351">
        <v>440</v>
      </c>
      <c r="B351">
        <v>15690134</v>
      </c>
      <c r="C351" t="s">
        <v>249</v>
      </c>
      <c r="D351" t="s">
        <v>26</v>
      </c>
      <c r="E351" t="s">
        <v>16</v>
      </c>
      <c r="F351">
        <v>464</v>
      </c>
      <c r="G351">
        <v>42</v>
      </c>
      <c r="H351">
        <v>3</v>
      </c>
      <c r="I351">
        <v>85679.25</v>
      </c>
      <c r="J351">
        <v>1</v>
      </c>
      <c r="K351">
        <v>1</v>
      </c>
      <c r="L351">
        <v>1</v>
      </c>
      <c r="M351">
        <v>164104.74</v>
      </c>
      <c r="N351">
        <v>0</v>
      </c>
      <c r="O351" t="str">
        <f t="shared" si="15"/>
        <v>Poor</v>
      </c>
      <c r="P351" t="str">
        <f t="shared" si="16"/>
        <v>Adult</v>
      </c>
      <c r="Q351" t="str">
        <f t="shared" si="17"/>
        <v>High Salary</v>
      </c>
    </row>
    <row r="352" spans="1:17" x14ac:dyDescent="0.25">
      <c r="A352">
        <v>441</v>
      </c>
      <c r="B352">
        <v>15782735</v>
      </c>
      <c r="C352" t="s">
        <v>392</v>
      </c>
      <c r="D352" t="s">
        <v>15</v>
      </c>
      <c r="E352" t="s">
        <v>16</v>
      </c>
      <c r="F352">
        <v>626</v>
      </c>
      <c r="G352">
        <v>35</v>
      </c>
      <c r="H352">
        <v>3</v>
      </c>
      <c r="I352">
        <v>0</v>
      </c>
      <c r="J352">
        <v>1</v>
      </c>
      <c r="K352">
        <v>0</v>
      </c>
      <c r="L352">
        <v>0</v>
      </c>
      <c r="M352">
        <v>80190.36</v>
      </c>
      <c r="N352">
        <v>0</v>
      </c>
      <c r="O352" t="str">
        <f t="shared" si="15"/>
        <v>Average</v>
      </c>
      <c r="P352" t="str">
        <f t="shared" si="16"/>
        <v>Adult</v>
      </c>
      <c r="Q352" t="str">
        <f t="shared" si="17"/>
        <v>High Salary</v>
      </c>
    </row>
    <row r="353" spans="1:17" x14ac:dyDescent="0.25">
      <c r="A353">
        <v>442</v>
      </c>
      <c r="B353">
        <v>15611088</v>
      </c>
      <c r="C353" t="s">
        <v>393</v>
      </c>
      <c r="D353" t="s">
        <v>15</v>
      </c>
      <c r="E353" t="s">
        <v>16</v>
      </c>
      <c r="F353">
        <v>790</v>
      </c>
      <c r="G353">
        <v>31</v>
      </c>
      <c r="H353">
        <v>9</v>
      </c>
      <c r="I353">
        <v>0</v>
      </c>
      <c r="J353">
        <v>2</v>
      </c>
      <c r="K353">
        <v>1</v>
      </c>
      <c r="L353">
        <v>0</v>
      </c>
      <c r="M353">
        <v>84126.75</v>
      </c>
      <c r="N353">
        <v>0</v>
      </c>
      <c r="O353" t="str">
        <f t="shared" si="15"/>
        <v>Good</v>
      </c>
      <c r="P353" t="str">
        <f t="shared" si="16"/>
        <v>Adult</v>
      </c>
      <c r="Q353" t="str">
        <f t="shared" si="17"/>
        <v>High Salary</v>
      </c>
    </row>
    <row r="354" spans="1:17" x14ac:dyDescent="0.25">
      <c r="A354">
        <v>443</v>
      </c>
      <c r="B354">
        <v>15672145</v>
      </c>
      <c r="C354" t="s">
        <v>394</v>
      </c>
      <c r="D354" t="s">
        <v>15</v>
      </c>
      <c r="E354" t="s">
        <v>16</v>
      </c>
      <c r="F354">
        <v>534</v>
      </c>
      <c r="G354">
        <v>34</v>
      </c>
      <c r="H354">
        <v>7</v>
      </c>
      <c r="I354">
        <v>121551.58</v>
      </c>
      <c r="J354">
        <v>2</v>
      </c>
      <c r="K354">
        <v>1</v>
      </c>
      <c r="L354">
        <v>1</v>
      </c>
      <c r="M354">
        <v>70179</v>
      </c>
      <c r="N354">
        <v>0</v>
      </c>
      <c r="O354" t="str">
        <f t="shared" si="15"/>
        <v>Poor</v>
      </c>
      <c r="P354" t="str">
        <f t="shared" si="16"/>
        <v>Adult</v>
      </c>
      <c r="Q354" t="str">
        <f t="shared" si="17"/>
        <v>High Salary</v>
      </c>
    </row>
    <row r="355" spans="1:17" x14ac:dyDescent="0.25">
      <c r="A355">
        <v>444</v>
      </c>
      <c r="B355">
        <v>15732628</v>
      </c>
      <c r="C355" t="s">
        <v>395</v>
      </c>
      <c r="D355" t="s">
        <v>15</v>
      </c>
      <c r="E355" t="s">
        <v>23</v>
      </c>
      <c r="F355">
        <v>745</v>
      </c>
      <c r="G355">
        <v>46</v>
      </c>
      <c r="H355">
        <v>2</v>
      </c>
      <c r="I355">
        <v>122220.19</v>
      </c>
      <c r="J355">
        <v>1</v>
      </c>
      <c r="K355">
        <v>1</v>
      </c>
      <c r="L355">
        <v>1</v>
      </c>
      <c r="M355">
        <v>118024.1</v>
      </c>
      <c r="N355">
        <v>0</v>
      </c>
      <c r="O355" t="str">
        <f t="shared" si="15"/>
        <v>Good</v>
      </c>
      <c r="P355" t="str">
        <f t="shared" si="16"/>
        <v>Adult</v>
      </c>
      <c r="Q355" t="str">
        <f t="shared" si="17"/>
        <v>High Salary</v>
      </c>
    </row>
    <row r="356" spans="1:17" x14ac:dyDescent="0.25">
      <c r="A356">
        <v>446</v>
      </c>
      <c r="B356">
        <v>15803406</v>
      </c>
      <c r="C356" t="s">
        <v>397</v>
      </c>
      <c r="D356" t="s">
        <v>15</v>
      </c>
      <c r="E356" t="s">
        <v>16</v>
      </c>
      <c r="F356">
        <v>748</v>
      </c>
      <c r="G356">
        <v>26</v>
      </c>
      <c r="H356">
        <v>1</v>
      </c>
      <c r="I356">
        <v>77780.289999999994</v>
      </c>
      <c r="J356">
        <v>1</v>
      </c>
      <c r="K356">
        <v>0</v>
      </c>
      <c r="L356">
        <v>1</v>
      </c>
      <c r="M356">
        <v>183049.41</v>
      </c>
      <c r="N356">
        <v>0</v>
      </c>
      <c r="O356" t="str">
        <f t="shared" si="15"/>
        <v>Good</v>
      </c>
      <c r="P356" t="str">
        <f t="shared" si="16"/>
        <v>Young Adult</v>
      </c>
      <c r="Q356" t="str">
        <f t="shared" si="17"/>
        <v>High Salary</v>
      </c>
    </row>
    <row r="357" spans="1:17" x14ac:dyDescent="0.25">
      <c r="A357">
        <v>447</v>
      </c>
      <c r="B357">
        <v>15730460</v>
      </c>
      <c r="C357" t="s">
        <v>398</v>
      </c>
      <c r="D357" t="s">
        <v>15</v>
      </c>
      <c r="E357" t="s">
        <v>23</v>
      </c>
      <c r="F357">
        <v>722</v>
      </c>
      <c r="G357">
        <v>37</v>
      </c>
      <c r="H357">
        <v>2</v>
      </c>
      <c r="I357">
        <v>0</v>
      </c>
      <c r="J357">
        <v>1</v>
      </c>
      <c r="K357">
        <v>0</v>
      </c>
      <c r="L357">
        <v>0</v>
      </c>
      <c r="M357">
        <v>120906.83</v>
      </c>
      <c r="N357">
        <v>0</v>
      </c>
      <c r="O357" t="str">
        <f t="shared" si="15"/>
        <v>Good</v>
      </c>
      <c r="P357" t="str">
        <f t="shared" si="16"/>
        <v>Adult</v>
      </c>
      <c r="Q357" t="str">
        <f t="shared" si="17"/>
        <v>High Salary</v>
      </c>
    </row>
    <row r="358" spans="1:17" x14ac:dyDescent="0.25">
      <c r="A358">
        <v>448</v>
      </c>
      <c r="B358">
        <v>15644572</v>
      </c>
      <c r="C358" t="s">
        <v>399</v>
      </c>
      <c r="D358" t="s">
        <v>15</v>
      </c>
      <c r="E358" t="s">
        <v>23</v>
      </c>
      <c r="F358">
        <v>501</v>
      </c>
      <c r="G358">
        <v>40</v>
      </c>
      <c r="H358">
        <v>4</v>
      </c>
      <c r="I358">
        <v>125832.2</v>
      </c>
      <c r="J358">
        <v>1</v>
      </c>
      <c r="K358">
        <v>1</v>
      </c>
      <c r="L358">
        <v>1</v>
      </c>
      <c r="M358">
        <v>100433.83</v>
      </c>
      <c r="N358">
        <v>0</v>
      </c>
      <c r="O358" t="str">
        <f t="shared" si="15"/>
        <v>Poor</v>
      </c>
      <c r="P358" t="str">
        <f t="shared" si="16"/>
        <v>Adult</v>
      </c>
      <c r="Q358" t="str">
        <f t="shared" si="17"/>
        <v>High Salary</v>
      </c>
    </row>
    <row r="359" spans="1:17" x14ac:dyDescent="0.25">
      <c r="A359">
        <v>450</v>
      </c>
      <c r="B359">
        <v>15658169</v>
      </c>
      <c r="C359" t="s">
        <v>401</v>
      </c>
      <c r="D359" t="s">
        <v>18</v>
      </c>
      <c r="E359" t="s">
        <v>16</v>
      </c>
      <c r="F359">
        <v>778</v>
      </c>
      <c r="G359">
        <v>47</v>
      </c>
      <c r="H359">
        <v>6</v>
      </c>
      <c r="I359">
        <v>127299.34</v>
      </c>
      <c r="J359">
        <v>2</v>
      </c>
      <c r="K359">
        <v>1</v>
      </c>
      <c r="L359">
        <v>0</v>
      </c>
      <c r="M359">
        <v>124694.99</v>
      </c>
      <c r="N359">
        <v>0</v>
      </c>
      <c r="O359" t="str">
        <f t="shared" si="15"/>
        <v>Good</v>
      </c>
      <c r="P359" t="str">
        <f t="shared" si="16"/>
        <v>Adult</v>
      </c>
      <c r="Q359" t="str">
        <f t="shared" si="17"/>
        <v>High Salary</v>
      </c>
    </row>
    <row r="360" spans="1:17" x14ac:dyDescent="0.25">
      <c r="A360">
        <v>451</v>
      </c>
      <c r="B360">
        <v>15794396</v>
      </c>
      <c r="C360" t="s">
        <v>402</v>
      </c>
      <c r="D360" t="s">
        <v>26</v>
      </c>
      <c r="E360" t="s">
        <v>16</v>
      </c>
      <c r="F360">
        <v>494</v>
      </c>
      <c r="G360">
        <v>38</v>
      </c>
      <c r="H360">
        <v>7</v>
      </c>
      <c r="I360">
        <v>174937.64</v>
      </c>
      <c r="J360">
        <v>1</v>
      </c>
      <c r="K360">
        <v>1</v>
      </c>
      <c r="L360">
        <v>0</v>
      </c>
      <c r="M360">
        <v>40084.32</v>
      </c>
      <c r="N360">
        <v>0</v>
      </c>
      <c r="O360" t="str">
        <f t="shared" si="15"/>
        <v>Poor</v>
      </c>
      <c r="P360" t="str">
        <f t="shared" si="16"/>
        <v>Adult</v>
      </c>
      <c r="Q360" t="str">
        <f t="shared" si="17"/>
        <v>Medium Salary</v>
      </c>
    </row>
    <row r="361" spans="1:17" x14ac:dyDescent="0.25">
      <c r="A361">
        <v>452</v>
      </c>
      <c r="B361">
        <v>15785798</v>
      </c>
      <c r="C361" t="s">
        <v>403</v>
      </c>
      <c r="D361" t="s">
        <v>15</v>
      </c>
      <c r="E361" t="s">
        <v>23</v>
      </c>
      <c r="F361">
        <v>850</v>
      </c>
      <c r="G361">
        <v>40</v>
      </c>
      <c r="H361">
        <v>9</v>
      </c>
      <c r="I361">
        <v>0</v>
      </c>
      <c r="J361">
        <v>2</v>
      </c>
      <c r="K361">
        <v>0</v>
      </c>
      <c r="L361">
        <v>1</v>
      </c>
      <c r="M361">
        <v>119232.33</v>
      </c>
      <c r="N361">
        <v>0</v>
      </c>
      <c r="O361" t="str">
        <f t="shared" si="15"/>
        <v>Good</v>
      </c>
      <c r="P361" t="str">
        <f t="shared" si="16"/>
        <v>Adult</v>
      </c>
      <c r="Q361" t="str">
        <f t="shared" si="17"/>
        <v>High Salary</v>
      </c>
    </row>
    <row r="362" spans="1:17" x14ac:dyDescent="0.25">
      <c r="A362">
        <v>453</v>
      </c>
      <c r="B362">
        <v>15710825</v>
      </c>
      <c r="C362" t="s">
        <v>404</v>
      </c>
      <c r="D362" t="s">
        <v>18</v>
      </c>
      <c r="E362" t="s">
        <v>23</v>
      </c>
      <c r="F362">
        <v>592</v>
      </c>
      <c r="G362">
        <v>31</v>
      </c>
      <c r="H362">
        <v>7</v>
      </c>
      <c r="I362">
        <v>110071.1</v>
      </c>
      <c r="J362">
        <v>1</v>
      </c>
      <c r="K362">
        <v>0</v>
      </c>
      <c r="L362">
        <v>0</v>
      </c>
      <c r="M362">
        <v>43921.36</v>
      </c>
      <c r="N362">
        <v>0</v>
      </c>
      <c r="O362" t="str">
        <f t="shared" si="15"/>
        <v>Average</v>
      </c>
      <c r="P362" t="str">
        <f t="shared" si="16"/>
        <v>Adult</v>
      </c>
      <c r="Q362" t="str">
        <f t="shared" si="17"/>
        <v>Medium Salary</v>
      </c>
    </row>
    <row r="363" spans="1:17" x14ac:dyDescent="0.25">
      <c r="A363">
        <v>454</v>
      </c>
      <c r="B363">
        <v>15668444</v>
      </c>
      <c r="C363" t="s">
        <v>27</v>
      </c>
      <c r="D363" t="s">
        <v>18</v>
      </c>
      <c r="E363" t="s">
        <v>16</v>
      </c>
      <c r="F363">
        <v>590</v>
      </c>
      <c r="G363">
        <v>44</v>
      </c>
      <c r="H363">
        <v>3</v>
      </c>
      <c r="I363">
        <v>139432.37</v>
      </c>
      <c r="J363">
        <v>1</v>
      </c>
      <c r="K363">
        <v>1</v>
      </c>
      <c r="L363">
        <v>0</v>
      </c>
      <c r="M363">
        <v>62222.81</v>
      </c>
      <c r="N363">
        <v>0</v>
      </c>
      <c r="O363" t="str">
        <f t="shared" si="15"/>
        <v>Average</v>
      </c>
      <c r="P363" t="str">
        <f t="shared" si="16"/>
        <v>Adult</v>
      </c>
      <c r="Q363" t="str">
        <f t="shared" si="17"/>
        <v>Medium Salary</v>
      </c>
    </row>
    <row r="364" spans="1:17" x14ac:dyDescent="0.25">
      <c r="A364">
        <v>455</v>
      </c>
      <c r="B364">
        <v>15726631</v>
      </c>
      <c r="C364" t="s">
        <v>405</v>
      </c>
      <c r="D364" t="s">
        <v>15</v>
      </c>
      <c r="E364" t="s">
        <v>16</v>
      </c>
      <c r="F364">
        <v>758</v>
      </c>
      <c r="G364">
        <v>39</v>
      </c>
      <c r="H364">
        <v>6</v>
      </c>
      <c r="I364">
        <v>127357.75999999999</v>
      </c>
      <c r="J364">
        <v>1</v>
      </c>
      <c r="K364">
        <v>0</v>
      </c>
      <c r="L364">
        <v>1</v>
      </c>
      <c r="M364">
        <v>56577</v>
      </c>
      <c r="N364">
        <v>0</v>
      </c>
      <c r="O364" t="str">
        <f t="shared" si="15"/>
        <v>Good</v>
      </c>
      <c r="P364" t="str">
        <f t="shared" si="16"/>
        <v>Adult</v>
      </c>
      <c r="Q364" t="str">
        <f t="shared" si="17"/>
        <v>Medium Salary</v>
      </c>
    </row>
    <row r="365" spans="1:17" x14ac:dyDescent="0.25">
      <c r="A365">
        <v>456</v>
      </c>
      <c r="B365">
        <v>15733797</v>
      </c>
      <c r="C365" t="s">
        <v>406</v>
      </c>
      <c r="D365" t="s">
        <v>15</v>
      </c>
      <c r="E365" t="s">
        <v>23</v>
      </c>
      <c r="F365">
        <v>506</v>
      </c>
      <c r="G365">
        <v>36</v>
      </c>
      <c r="H365">
        <v>5</v>
      </c>
      <c r="I365">
        <v>0</v>
      </c>
      <c r="J365">
        <v>2</v>
      </c>
      <c r="K365">
        <v>1</v>
      </c>
      <c r="L365">
        <v>0</v>
      </c>
      <c r="M365">
        <v>164253.35</v>
      </c>
      <c r="N365">
        <v>0</v>
      </c>
      <c r="O365" t="str">
        <f t="shared" si="15"/>
        <v>Poor</v>
      </c>
      <c r="P365" t="str">
        <f t="shared" si="16"/>
        <v>Adult</v>
      </c>
      <c r="Q365" t="str">
        <f t="shared" si="17"/>
        <v>High Salary</v>
      </c>
    </row>
    <row r="366" spans="1:17" x14ac:dyDescent="0.25">
      <c r="A366">
        <v>457</v>
      </c>
      <c r="B366">
        <v>15747960</v>
      </c>
      <c r="C366" t="s">
        <v>407</v>
      </c>
      <c r="D366" t="s">
        <v>15</v>
      </c>
      <c r="E366" t="s">
        <v>23</v>
      </c>
      <c r="F366">
        <v>733</v>
      </c>
      <c r="G366">
        <v>33</v>
      </c>
      <c r="H366">
        <v>3</v>
      </c>
      <c r="I366">
        <v>0</v>
      </c>
      <c r="J366">
        <v>1</v>
      </c>
      <c r="K366">
        <v>1</v>
      </c>
      <c r="L366">
        <v>1</v>
      </c>
      <c r="M366">
        <v>7666.73</v>
      </c>
      <c r="N366">
        <v>0</v>
      </c>
      <c r="O366" t="str">
        <f t="shared" si="15"/>
        <v>Good</v>
      </c>
      <c r="P366" t="str">
        <f t="shared" si="16"/>
        <v>Adult</v>
      </c>
      <c r="Q366" t="str">
        <f t="shared" si="17"/>
        <v>Low Salary</v>
      </c>
    </row>
    <row r="367" spans="1:17" x14ac:dyDescent="0.25">
      <c r="A367">
        <v>458</v>
      </c>
      <c r="B367">
        <v>15634632</v>
      </c>
      <c r="C367" t="s">
        <v>408</v>
      </c>
      <c r="D367" t="s">
        <v>15</v>
      </c>
      <c r="E367" t="s">
        <v>23</v>
      </c>
      <c r="F367">
        <v>711</v>
      </c>
      <c r="G367">
        <v>38</v>
      </c>
      <c r="H367">
        <v>3</v>
      </c>
      <c r="I367">
        <v>0</v>
      </c>
      <c r="J367">
        <v>2</v>
      </c>
      <c r="K367">
        <v>1</v>
      </c>
      <c r="L367">
        <v>0</v>
      </c>
      <c r="M367">
        <v>68487.509999999995</v>
      </c>
      <c r="N367">
        <v>0</v>
      </c>
      <c r="O367" t="str">
        <f t="shared" si="15"/>
        <v>Good</v>
      </c>
      <c r="P367" t="str">
        <f t="shared" si="16"/>
        <v>Adult</v>
      </c>
      <c r="Q367" t="str">
        <f t="shared" si="17"/>
        <v>Medium Salary</v>
      </c>
    </row>
    <row r="368" spans="1:17" x14ac:dyDescent="0.25">
      <c r="A368">
        <v>460</v>
      </c>
      <c r="B368">
        <v>15662976</v>
      </c>
      <c r="C368" t="s">
        <v>409</v>
      </c>
      <c r="D368" t="s">
        <v>18</v>
      </c>
      <c r="E368" t="s">
        <v>23</v>
      </c>
      <c r="F368">
        <v>637</v>
      </c>
      <c r="G368">
        <v>37</v>
      </c>
      <c r="H368">
        <v>8</v>
      </c>
      <c r="I368">
        <v>0</v>
      </c>
      <c r="J368">
        <v>1</v>
      </c>
      <c r="K368">
        <v>1</v>
      </c>
      <c r="L368">
        <v>1</v>
      </c>
      <c r="M368">
        <v>186062.36</v>
      </c>
      <c r="N368">
        <v>0</v>
      </c>
      <c r="O368" t="str">
        <f t="shared" si="15"/>
        <v>Average</v>
      </c>
      <c r="P368" t="str">
        <f t="shared" si="16"/>
        <v>Adult</v>
      </c>
      <c r="Q368" t="str">
        <f t="shared" si="17"/>
        <v>High Salary</v>
      </c>
    </row>
    <row r="369" spans="1:17" x14ac:dyDescent="0.25">
      <c r="A369">
        <v>461</v>
      </c>
      <c r="B369">
        <v>15732778</v>
      </c>
      <c r="C369" t="s">
        <v>410</v>
      </c>
      <c r="D369" t="s">
        <v>26</v>
      </c>
      <c r="E369" t="s">
        <v>23</v>
      </c>
      <c r="F369">
        <v>468</v>
      </c>
      <c r="G369">
        <v>29</v>
      </c>
      <c r="H369">
        <v>1</v>
      </c>
      <c r="I369">
        <v>111681.98</v>
      </c>
      <c r="J369">
        <v>2</v>
      </c>
      <c r="K369">
        <v>1</v>
      </c>
      <c r="L369">
        <v>1</v>
      </c>
      <c r="M369">
        <v>195711.16</v>
      </c>
      <c r="N369">
        <v>0</v>
      </c>
      <c r="O369" t="str">
        <f t="shared" si="15"/>
        <v>Poor</v>
      </c>
      <c r="P369" t="str">
        <f t="shared" si="16"/>
        <v>Young Adult</v>
      </c>
      <c r="Q369" t="str">
        <f t="shared" si="17"/>
        <v>High Salary</v>
      </c>
    </row>
    <row r="370" spans="1:17" x14ac:dyDescent="0.25">
      <c r="A370">
        <v>462</v>
      </c>
      <c r="B370">
        <v>15718443</v>
      </c>
      <c r="C370" t="s">
        <v>411</v>
      </c>
      <c r="D370" t="s">
        <v>15</v>
      </c>
      <c r="E370" t="s">
        <v>23</v>
      </c>
      <c r="F370">
        <v>539</v>
      </c>
      <c r="G370">
        <v>39</v>
      </c>
      <c r="H370">
        <v>3</v>
      </c>
      <c r="I370">
        <v>0</v>
      </c>
      <c r="J370">
        <v>2</v>
      </c>
      <c r="K370">
        <v>1</v>
      </c>
      <c r="L370">
        <v>0</v>
      </c>
      <c r="M370">
        <v>36692.17</v>
      </c>
      <c r="N370">
        <v>0</v>
      </c>
      <c r="O370" t="str">
        <f t="shared" si="15"/>
        <v>Poor</v>
      </c>
      <c r="P370" t="str">
        <f t="shared" si="16"/>
        <v>Adult</v>
      </c>
      <c r="Q370" t="str">
        <f t="shared" si="17"/>
        <v>Medium Salary</v>
      </c>
    </row>
    <row r="371" spans="1:17" x14ac:dyDescent="0.25">
      <c r="A371">
        <v>463</v>
      </c>
      <c r="B371">
        <v>15670039</v>
      </c>
      <c r="C371" t="s">
        <v>180</v>
      </c>
      <c r="D371" t="s">
        <v>18</v>
      </c>
      <c r="E371" t="s">
        <v>16</v>
      </c>
      <c r="F371">
        <v>509</v>
      </c>
      <c r="G371">
        <v>25</v>
      </c>
      <c r="H371">
        <v>3</v>
      </c>
      <c r="I371">
        <v>108738.71</v>
      </c>
      <c r="J371">
        <v>2</v>
      </c>
      <c r="K371">
        <v>1</v>
      </c>
      <c r="L371">
        <v>0</v>
      </c>
      <c r="M371">
        <v>106920.57</v>
      </c>
      <c r="N371">
        <v>0</v>
      </c>
      <c r="O371" t="str">
        <f t="shared" si="15"/>
        <v>Poor</v>
      </c>
      <c r="P371" t="str">
        <f t="shared" si="16"/>
        <v>Young Adult</v>
      </c>
      <c r="Q371" t="str">
        <f t="shared" si="17"/>
        <v>High Salary</v>
      </c>
    </row>
    <row r="372" spans="1:17" x14ac:dyDescent="0.25">
      <c r="A372">
        <v>465</v>
      </c>
      <c r="B372">
        <v>15613786</v>
      </c>
      <c r="C372" t="s">
        <v>190</v>
      </c>
      <c r="D372" t="s">
        <v>18</v>
      </c>
      <c r="E372" t="s">
        <v>23</v>
      </c>
      <c r="F372">
        <v>818</v>
      </c>
      <c r="G372">
        <v>26</v>
      </c>
      <c r="H372">
        <v>4</v>
      </c>
      <c r="I372">
        <v>0</v>
      </c>
      <c r="J372">
        <v>2</v>
      </c>
      <c r="K372">
        <v>1</v>
      </c>
      <c r="L372">
        <v>1</v>
      </c>
      <c r="M372">
        <v>167036.94</v>
      </c>
      <c r="N372">
        <v>0</v>
      </c>
      <c r="O372" t="str">
        <f t="shared" si="15"/>
        <v>Good</v>
      </c>
      <c r="P372" t="str">
        <f t="shared" si="16"/>
        <v>Young Adult</v>
      </c>
      <c r="Q372" t="str">
        <f t="shared" si="17"/>
        <v>High Salary</v>
      </c>
    </row>
    <row r="373" spans="1:17" x14ac:dyDescent="0.25">
      <c r="A373">
        <v>466</v>
      </c>
      <c r="B373">
        <v>15726032</v>
      </c>
      <c r="C373" t="s">
        <v>413</v>
      </c>
      <c r="D373" t="s">
        <v>15</v>
      </c>
      <c r="E373" t="s">
        <v>23</v>
      </c>
      <c r="F373">
        <v>608</v>
      </c>
      <c r="G373">
        <v>33</v>
      </c>
      <c r="H373">
        <v>9</v>
      </c>
      <c r="I373">
        <v>89968.69</v>
      </c>
      <c r="J373">
        <v>1</v>
      </c>
      <c r="K373">
        <v>1</v>
      </c>
      <c r="L373">
        <v>0</v>
      </c>
      <c r="M373">
        <v>68777.259999999995</v>
      </c>
      <c r="N373">
        <v>0</v>
      </c>
      <c r="O373" t="str">
        <f t="shared" si="15"/>
        <v>Average</v>
      </c>
      <c r="P373" t="str">
        <f t="shared" si="16"/>
        <v>Adult</v>
      </c>
      <c r="Q373" t="str">
        <f t="shared" si="17"/>
        <v>Medium Salary</v>
      </c>
    </row>
    <row r="374" spans="1:17" x14ac:dyDescent="0.25">
      <c r="A374">
        <v>467</v>
      </c>
      <c r="B374">
        <v>15663252</v>
      </c>
      <c r="C374" t="s">
        <v>159</v>
      </c>
      <c r="D374" t="s">
        <v>18</v>
      </c>
      <c r="E374" t="s">
        <v>16</v>
      </c>
      <c r="F374">
        <v>850</v>
      </c>
      <c r="G374">
        <v>32</v>
      </c>
      <c r="H374">
        <v>9</v>
      </c>
      <c r="I374">
        <v>0</v>
      </c>
      <c r="J374">
        <v>2</v>
      </c>
      <c r="K374">
        <v>1</v>
      </c>
      <c r="L374">
        <v>1</v>
      </c>
      <c r="M374">
        <v>18924.919999999998</v>
      </c>
      <c r="N374">
        <v>0</v>
      </c>
      <c r="O374" t="str">
        <f t="shared" si="15"/>
        <v>Good</v>
      </c>
      <c r="P374" t="str">
        <f t="shared" si="16"/>
        <v>Adult</v>
      </c>
      <c r="Q374" t="str">
        <f t="shared" si="17"/>
        <v>Low Salary</v>
      </c>
    </row>
    <row r="375" spans="1:17" x14ac:dyDescent="0.25">
      <c r="A375">
        <v>469</v>
      </c>
      <c r="B375">
        <v>15633283</v>
      </c>
      <c r="C375" t="s">
        <v>415</v>
      </c>
      <c r="D375" t="s">
        <v>15</v>
      </c>
      <c r="E375" t="s">
        <v>23</v>
      </c>
      <c r="F375">
        <v>536</v>
      </c>
      <c r="G375">
        <v>35</v>
      </c>
      <c r="H375">
        <v>8</v>
      </c>
      <c r="I375">
        <v>0</v>
      </c>
      <c r="J375">
        <v>2</v>
      </c>
      <c r="K375">
        <v>1</v>
      </c>
      <c r="L375">
        <v>0</v>
      </c>
      <c r="M375">
        <v>64833.279999999999</v>
      </c>
      <c r="N375">
        <v>0</v>
      </c>
      <c r="O375" t="str">
        <f t="shared" si="15"/>
        <v>Poor</v>
      </c>
      <c r="P375" t="str">
        <f t="shared" si="16"/>
        <v>Adult</v>
      </c>
      <c r="Q375" t="str">
        <f t="shared" si="17"/>
        <v>Medium Salary</v>
      </c>
    </row>
    <row r="376" spans="1:17" x14ac:dyDescent="0.25">
      <c r="A376">
        <v>470</v>
      </c>
      <c r="B376">
        <v>15749167</v>
      </c>
      <c r="C376" t="s">
        <v>372</v>
      </c>
      <c r="D376" t="s">
        <v>15</v>
      </c>
      <c r="E376" t="s">
        <v>23</v>
      </c>
      <c r="F376">
        <v>753</v>
      </c>
      <c r="G376">
        <v>35</v>
      </c>
      <c r="H376">
        <v>3</v>
      </c>
      <c r="I376">
        <v>0</v>
      </c>
      <c r="J376">
        <v>2</v>
      </c>
      <c r="K376">
        <v>1</v>
      </c>
      <c r="L376">
        <v>1</v>
      </c>
      <c r="M376">
        <v>184843.77</v>
      </c>
      <c r="N376">
        <v>0</v>
      </c>
      <c r="O376" t="str">
        <f t="shared" si="15"/>
        <v>Good</v>
      </c>
      <c r="P376" t="str">
        <f t="shared" si="16"/>
        <v>Adult</v>
      </c>
      <c r="Q376" t="str">
        <f t="shared" si="17"/>
        <v>High Salary</v>
      </c>
    </row>
    <row r="377" spans="1:17" x14ac:dyDescent="0.25">
      <c r="A377">
        <v>471</v>
      </c>
      <c r="B377">
        <v>15759298</v>
      </c>
      <c r="C377" t="s">
        <v>219</v>
      </c>
      <c r="D377" t="s">
        <v>18</v>
      </c>
      <c r="E377" t="s">
        <v>23</v>
      </c>
      <c r="F377">
        <v>631</v>
      </c>
      <c r="G377">
        <v>27</v>
      </c>
      <c r="H377">
        <v>10</v>
      </c>
      <c r="I377">
        <v>134169.62</v>
      </c>
      <c r="J377">
        <v>1</v>
      </c>
      <c r="K377">
        <v>1</v>
      </c>
      <c r="L377">
        <v>1</v>
      </c>
      <c r="M377">
        <v>176730.02</v>
      </c>
      <c r="N377">
        <v>0</v>
      </c>
      <c r="O377" t="str">
        <f t="shared" si="15"/>
        <v>Average</v>
      </c>
      <c r="P377" t="str">
        <f t="shared" si="16"/>
        <v>Young Adult</v>
      </c>
      <c r="Q377" t="str">
        <f t="shared" si="17"/>
        <v>High Salary</v>
      </c>
    </row>
    <row r="378" spans="1:17" x14ac:dyDescent="0.25">
      <c r="A378">
        <v>473</v>
      </c>
      <c r="B378">
        <v>15635367</v>
      </c>
      <c r="C378" t="s">
        <v>417</v>
      </c>
      <c r="D378" t="s">
        <v>15</v>
      </c>
      <c r="E378" t="s">
        <v>23</v>
      </c>
      <c r="F378">
        <v>774</v>
      </c>
      <c r="G378">
        <v>26</v>
      </c>
      <c r="H378">
        <v>2</v>
      </c>
      <c r="I378">
        <v>93844.69</v>
      </c>
      <c r="J378">
        <v>1</v>
      </c>
      <c r="K378">
        <v>1</v>
      </c>
      <c r="L378">
        <v>0</v>
      </c>
      <c r="M378">
        <v>28415.360000000001</v>
      </c>
      <c r="N378">
        <v>0</v>
      </c>
      <c r="O378" t="str">
        <f t="shared" si="15"/>
        <v>Good</v>
      </c>
      <c r="P378" t="str">
        <f t="shared" si="16"/>
        <v>Young Adult</v>
      </c>
      <c r="Q378" t="str">
        <f t="shared" si="17"/>
        <v>Low Salary</v>
      </c>
    </row>
    <row r="379" spans="1:17" x14ac:dyDescent="0.25">
      <c r="A379">
        <v>474</v>
      </c>
      <c r="B379">
        <v>15681705</v>
      </c>
      <c r="C379" t="s">
        <v>116</v>
      </c>
      <c r="D379" t="s">
        <v>15</v>
      </c>
      <c r="E379" t="s">
        <v>23</v>
      </c>
      <c r="F379">
        <v>785</v>
      </c>
      <c r="G379">
        <v>28</v>
      </c>
      <c r="H379">
        <v>8</v>
      </c>
      <c r="I379">
        <v>0</v>
      </c>
      <c r="J379">
        <v>2</v>
      </c>
      <c r="K379">
        <v>1</v>
      </c>
      <c r="L379">
        <v>0</v>
      </c>
      <c r="M379">
        <v>77231.27</v>
      </c>
      <c r="N379">
        <v>0</v>
      </c>
      <c r="O379" t="str">
        <f t="shared" si="15"/>
        <v>Good</v>
      </c>
      <c r="P379" t="str">
        <f t="shared" si="16"/>
        <v>Young Adult</v>
      </c>
      <c r="Q379" t="str">
        <f t="shared" si="17"/>
        <v>High Salary</v>
      </c>
    </row>
    <row r="380" spans="1:17" x14ac:dyDescent="0.25">
      <c r="A380">
        <v>475</v>
      </c>
      <c r="B380">
        <v>15603156</v>
      </c>
      <c r="C380" t="s">
        <v>418</v>
      </c>
      <c r="D380" t="s">
        <v>15</v>
      </c>
      <c r="E380" t="s">
        <v>16</v>
      </c>
      <c r="F380">
        <v>571</v>
      </c>
      <c r="G380">
        <v>33</v>
      </c>
      <c r="H380">
        <v>1</v>
      </c>
      <c r="I380">
        <v>0</v>
      </c>
      <c r="J380">
        <v>2</v>
      </c>
      <c r="K380">
        <v>1</v>
      </c>
      <c r="L380">
        <v>0</v>
      </c>
      <c r="M380">
        <v>102750.7</v>
      </c>
      <c r="N380">
        <v>0</v>
      </c>
      <c r="O380" t="str">
        <f t="shared" si="15"/>
        <v>Poor</v>
      </c>
      <c r="P380" t="str">
        <f t="shared" si="16"/>
        <v>Adult</v>
      </c>
      <c r="Q380" t="str">
        <f t="shared" si="17"/>
        <v>High Salary</v>
      </c>
    </row>
    <row r="381" spans="1:17" x14ac:dyDescent="0.25">
      <c r="A381">
        <v>477</v>
      </c>
      <c r="B381">
        <v>15798888</v>
      </c>
      <c r="C381" t="s">
        <v>88</v>
      </c>
      <c r="D381" t="s">
        <v>26</v>
      </c>
      <c r="E381" t="s">
        <v>16</v>
      </c>
      <c r="F381">
        <v>605</v>
      </c>
      <c r="G381">
        <v>31</v>
      </c>
      <c r="H381">
        <v>1</v>
      </c>
      <c r="I381">
        <v>117992.59</v>
      </c>
      <c r="J381">
        <v>1</v>
      </c>
      <c r="K381">
        <v>1</v>
      </c>
      <c r="L381">
        <v>1</v>
      </c>
      <c r="M381">
        <v>183598.77</v>
      </c>
      <c r="N381">
        <v>0</v>
      </c>
      <c r="O381" t="str">
        <f t="shared" si="15"/>
        <v>Average</v>
      </c>
      <c r="P381" t="str">
        <f t="shared" si="16"/>
        <v>Adult</v>
      </c>
      <c r="Q381" t="str">
        <f t="shared" si="17"/>
        <v>High Salary</v>
      </c>
    </row>
    <row r="382" spans="1:17" x14ac:dyDescent="0.25">
      <c r="A382">
        <v>478</v>
      </c>
      <c r="B382">
        <v>15809722</v>
      </c>
      <c r="C382" t="s">
        <v>419</v>
      </c>
      <c r="D382" t="s">
        <v>15</v>
      </c>
      <c r="E382" t="s">
        <v>16</v>
      </c>
      <c r="F382">
        <v>611</v>
      </c>
      <c r="G382">
        <v>40</v>
      </c>
      <c r="H382">
        <v>8</v>
      </c>
      <c r="I382">
        <v>100812.33</v>
      </c>
      <c r="J382">
        <v>2</v>
      </c>
      <c r="K382">
        <v>1</v>
      </c>
      <c r="L382">
        <v>0</v>
      </c>
      <c r="M382">
        <v>147358.26999999999</v>
      </c>
      <c r="N382">
        <v>0</v>
      </c>
      <c r="O382" t="str">
        <f t="shared" si="15"/>
        <v>Average</v>
      </c>
      <c r="P382" t="str">
        <f t="shared" si="16"/>
        <v>Adult</v>
      </c>
      <c r="Q382" t="str">
        <f t="shared" si="17"/>
        <v>High Salary</v>
      </c>
    </row>
    <row r="383" spans="1:17" x14ac:dyDescent="0.25">
      <c r="A383">
        <v>479</v>
      </c>
      <c r="B383">
        <v>15677538</v>
      </c>
      <c r="C383" t="s">
        <v>420</v>
      </c>
      <c r="D383" t="s">
        <v>15</v>
      </c>
      <c r="E383" t="s">
        <v>23</v>
      </c>
      <c r="F383">
        <v>569</v>
      </c>
      <c r="G383">
        <v>38</v>
      </c>
      <c r="H383">
        <v>7</v>
      </c>
      <c r="I383">
        <v>0</v>
      </c>
      <c r="J383">
        <v>1</v>
      </c>
      <c r="K383">
        <v>1</v>
      </c>
      <c r="L383">
        <v>1</v>
      </c>
      <c r="M383">
        <v>108469.2</v>
      </c>
      <c r="N383">
        <v>0</v>
      </c>
      <c r="O383" t="str">
        <f t="shared" si="15"/>
        <v>Poor</v>
      </c>
      <c r="P383" t="str">
        <f t="shared" si="16"/>
        <v>Adult</v>
      </c>
      <c r="Q383" t="str">
        <f t="shared" si="17"/>
        <v>High Salary</v>
      </c>
    </row>
    <row r="384" spans="1:17" x14ac:dyDescent="0.25">
      <c r="A384">
        <v>480</v>
      </c>
      <c r="B384">
        <v>15797736</v>
      </c>
      <c r="C384" t="s">
        <v>234</v>
      </c>
      <c r="D384" t="s">
        <v>15</v>
      </c>
      <c r="E384" t="s">
        <v>23</v>
      </c>
      <c r="F384">
        <v>658</v>
      </c>
      <c r="G384">
        <v>29</v>
      </c>
      <c r="H384">
        <v>4</v>
      </c>
      <c r="I384">
        <v>80262.600000000006</v>
      </c>
      <c r="J384">
        <v>1</v>
      </c>
      <c r="K384">
        <v>1</v>
      </c>
      <c r="L384">
        <v>1</v>
      </c>
      <c r="M384">
        <v>20612.82</v>
      </c>
      <c r="N384">
        <v>0</v>
      </c>
      <c r="O384" t="str">
        <f t="shared" si="15"/>
        <v>Average</v>
      </c>
      <c r="P384" t="str">
        <f t="shared" si="16"/>
        <v>Young Adult</v>
      </c>
      <c r="Q384" t="str">
        <f t="shared" si="17"/>
        <v>Low Salary</v>
      </c>
    </row>
    <row r="385" spans="1:17" x14ac:dyDescent="0.25">
      <c r="A385">
        <v>481</v>
      </c>
      <c r="B385">
        <v>15695585</v>
      </c>
      <c r="C385" t="s">
        <v>421</v>
      </c>
      <c r="D385" t="s">
        <v>18</v>
      </c>
      <c r="E385" t="s">
        <v>23</v>
      </c>
      <c r="F385">
        <v>788</v>
      </c>
      <c r="G385">
        <v>34</v>
      </c>
      <c r="H385">
        <v>6</v>
      </c>
      <c r="I385">
        <v>156478.62</v>
      </c>
      <c r="J385">
        <v>1</v>
      </c>
      <c r="K385">
        <v>0</v>
      </c>
      <c r="L385">
        <v>1</v>
      </c>
      <c r="M385">
        <v>181196.76</v>
      </c>
      <c r="N385">
        <v>0</v>
      </c>
      <c r="O385" t="str">
        <f t="shared" si="15"/>
        <v>Good</v>
      </c>
      <c r="P385" t="str">
        <f t="shared" si="16"/>
        <v>Adult</v>
      </c>
      <c r="Q385" t="str">
        <f t="shared" si="17"/>
        <v>High Salary</v>
      </c>
    </row>
    <row r="386" spans="1:17" x14ac:dyDescent="0.25">
      <c r="A386">
        <v>482</v>
      </c>
      <c r="B386">
        <v>15744398</v>
      </c>
      <c r="C386" t="s">
        <v>422</v>
      </c>
      <c r="D386" t="s">
        <v>15</v>
      </c>
      <c r="E386" t="s">
        <v>16</v>
      </c>
      <c r="F386">
        <v>525</v>
      </c>
      <c r="G386">
        <v>23</v>
      </c>
      <c r="H386">
        <v>5</v>
      </c>
      <c r="I386">
        <v>0</v>
      </c>
      <c r="J386">
        <v>2</v>
      </c>
      <c r="K386">
        <v>1</v>
      </c>
      <c r="L386">
        <v>0</v>
      </c>
      <c r="M386">
        <v>160249.1</v>
      </c>
      <c r="N386">
        <v>0</v>
      </c>
      <c r="O386" t="str">
        <f t="shared" si="15"/>
        <v>Poor</v>
      </c>
      <c r="P386" t="str">
        <f t="shared" si="16"/>
        <v>Young Adult</v>
      </c>
      <c r="Q386" t="str">
        <f t="shared" si="17"/>
        <v>High Salary</v>
      </c>
    </row>
    <row r="387" spans="1:17" x14ac:dyDescent="0.25">
      <c r="A387">
        <v>483</v>
      </c>
      <c r="B387">
        <v>15750658</v>
      </c>
      <c r="C387" t="s">
        <v>423</v>
      </c>
      <c r="D387" t="s">
        <v>15</v>
      </c>
      <c r="E387" t="s">
        <v>23</v>
      </c>
      <c r="F387">
        <v>798</v>
      </c>
      <c r="G387">
        <v>37</v>
      </c>
      <c r="H387">
        <v>8</v>
      </c>
      <c r="I387">
        <v>0</v>
      </c>
      <c r="J387">
        <v>3</v>
      </c>
      <c r="K387">
        <v>0</v>
      </c>
      <c r="L387">
        <v>0</v>
      </c>
      <c r="M387">
        <v>110783.28</v>
      </c>
      <c r="N387">
        <v>0</v>
      </c>
      <c r="O387" t="str">
        <f t="shared" ref="O387:O450" si="18">IF(F387&lt;580, "Poor", IF(AND(F387&gt;=580, F387&lt;=669), "Average", "Good"))</f>
        <v>Good</v>
      </c>
      <c r="P387" t="str">
        <f t="shared" ref="P387:P450" si="19">IF(G387&lt;=30, "Young Adult", IF(AND(G387&gt;=31, G387&lt;=60), "Adult", "Senior"))</f>
        <v>Adult</v>
      </c>
      <c r="Q387" t="str">
        <f t="shared" ref="Q387:Q450" si="20">IF(M387&lt;30000, "Low Salary", IF(AND(M387&gt;=30000, M387&lt;=70000), "Medium Salary", "High Salary"))</f>
        <v>High Salary</v>
      </c>
    </row>
    <row r="388" spans="1:17" x14ac:dyDescent="0.25">
      <c r="A388">
        <v>484</v>
      </c>
      <c r="B388">
        <v>15578186</v>
      </c>
      <c r="C388" t="s">
        <v>82</v>
      </c>
      <c r="D388" t="s">
        <v>26</v>
      </c>
      <c r="E388" t="s">
        <v>23</v>
      </c>
      <c r="F388">
        <v>486</v>
      </c>
      <c r="G388">
        <v>37</v>
      </c>
      <c r="H388">
        <v>9</v>
      </c>
      <c r="I388">
        <v>115217.99</v>
      </c>
      <c r="J388">
        <v>2</v>
      </c>
      <c r="K388">
        <v>1</v>
      </c>
      <c r="L388">
        <v>0</v>
      </c>
      <c r="M388">
        <v>144995.32999999999</v>
      </c>
      <c r="N388">
        <v>0</v>
      </c>
      <c r="O388" t="str">
        <f t="shared" si="18"/>
        <v>Poor</v>
      </c>
      <c r="P388" t="str">
        <f t="shared" si="19"/>
        <v>Adult</v>
      </c>
      <c r="Q388" t="str">
        <f t="shared" si="20"/>
        <v>High Salary</v>
      </c>
    </row>
    <row r="389" spans="1:17" x14ac:dyDescent="0.25">
      <c r="A389">
        <v>486</v>
      </c>
      <c r="B389">
        <v>15637954</v>
      </c>
      <c r="C389" t="s">
        <v>425</v>
      </c>
      <c r="D389" t="s">
        <v>15</v>
      </c>
      <c r="E389" t="s">
        <v>16</v>
      </c>
      <c r="F389">
        <v>730</v>
      </c>
      <c r="G389">
        <v>35</v>
      </c>
      <c r="H389">
        <v>0</v>
      </c>
      <c r="I389">
        <v>155470.54999999999</v>
      </c>
      <c r="J389">
        <v>1</v>
      </c>
      <c r="K389">
        <v>1</v>
      </c>
      <c r="L389">
        <v>1</v>
      </c>
      <c r="M389">
        <v>53718.28</v>
      </c>
      <c r="N389">
        <v>0</v>
      </c>
      <c r="O389" t="str">
        <f t="shared" si="18"/>
        <v>Good</v>
      </c>
      <c r="P389" t="str">
        <f t="shared" si="19"/>
        <v>Adult</v>
      </c>
      <c r="Q389" t="str">
        <f t="shared" si="20"/>
        <v>Medium Salary</v>
      </c>
    </row>
    <row r="390" spans="1:17" x14ac:dyDescent="0.25">
      <c r="A390">
        <v>487</v>
      </c>
      <c r="B390">
        <v>15758639</v>
      </c>
      <c r="C390" t="s">
        <v>201</v>
      </c>
      <c r="D390" t="s">
        <v>15</v>
      </c>
      <c r="E390" t="s">
        <v>23</v>
      </c>
      <c r="F390">
        <v>641</v>
      </c>
      <c r="G390">
        <v>37</v>
      </c>
      <c r="H390">
        <v>7</v>
      </c>
      <c r="I390">
        <v>0</v>
      </c>
      <c r="J390">
        <v>2</v>
      </c>
      <c r="K390">
        <v>1</v>
      </c>
      <c r="L390">
        <v>0</v>
      </c>
      <c r="M390">
        <v>75248.3</v>
      </c>
      <c r="N390">
        <v>0</v>
      </c>
      <c r="O390" t="str">
        <f t="shared" si="18"/>
        <v>Average</v>
      </c>
      <c r="P390" t="str">
        <f t="shared" si="19"/>
        <v>Adult</v>
      </c>
      <c r="Q390" t="str">
        <f t="shared" si="20"/>
        <v>High Salary</v>
      </c>
    </row>
    <row r="391" spans="1:17" x14ac:dyDescent="0.25">
      <c r="A391">
        <v>489</v>
      </c>
      <c r="B391">
        <v>15731744</v>
      </c>
      <c r="C391" t="s">
        <v>427</v>
      </c>
      <c r="D391" t="s">
        <v>15</v>
      </c>
      <c r="E391" t="s">
        <v>23</v>
      </c>
      <c r="F391">
        <v>692</v>
      </c>
      <c r="G391">
        <v>30</v>
      </c>
      <c r="H391">
        <v>2</v>
      </c>
      <c r="I391">
        <v>0</v>
      </c>
      <c r="J391">
        <v>2</v>
      </c>
      <c r="K391">
        <v>0</v>
      </c>
      <c r="L391">
        <v>1</v>
      </c>
      <c r="M391">
        <v>130486.57</v>
      </c>
      <c r="N391">
        <v>0</v>
      </c>
      <c r="O391" t="str">
        <f t="shared" si="18"/>
        <v>Good</v>
      </c>
      <c r="P391" t="str">
        <f t="shared" si="19"/>
        <v>Young Adult</v>
      </c>
      <c r="Q391" t="str">
        <f t="shared" si="20"/>
        <v>High Salary</v>
      </c>
    </row>
    <row r="392" spans="1:17" x14ac:dyDescent="0.25">
      <c r="A392">
        <v>490</v>
      </c>
      <c r="B392">
        <v>15807709</v>
      </c>
      <c r="C392" t="s">
        <v>428</v>
      </c>
      <c r="D392" t="s">
        <v>26</v>
      </c>
      <c r="E392" t="s">
        <v>16</v>
      </c>
      <c r="F392">
        <v>714</v>
      </c>
      <c r="G392">
        <v>55</v>
      </c>
      <c r="H392">
        <v>9</v>
      </c>
      <c r="I392">
        <v>180075.22</v>
      </c>
      <c r="J392">
        <v>1</v>
      </c>
      <c r="K392">
        <v>1</v>
      </c>
      <c r="L392">
        <v>1</v>
      </c>
      <c r="M392">
        <v>100127.71</v>
      </c>
      <c r="N392">
        <v>0</v>
      </c>
      <c r="O392" t="str">
        <f t="shared" si="18"/>
        <v>Good</v>
      </c>
      <c r="P392" t="str">
        <f t="shared" si="19"/>
        <v>Adult</v>
      </c>
      <c r="Q392" t="str">
        <f t="shared" si="20"/>
        <v>High Salary</v>
      </c>
    </row>
    <row r="393" spans="1:17" x14ac:dyDescent="0.25">
      <c r="A393">
        <v>491</v>
      </c>
      <c r="B393">
        <v>15714689</v>
      </c>
      <c r="C393" t="s">
        <v>429</v>
      </c>
      <c r="D393" t="s">
        <v>18</v>
      </c>
      <c r="E393" t="s">
        <v>23</v>
      </c>
      <c r="F393">
        <v>591</v>
      </c>
      <c r="G393">
        <v>29</v>
      </c>
      <c r="H393">
        <v>1</v>
      </c>
      <c r="I393">
        <v>97541.24</v>
      </c>
      <c r="J393">
        <v>1</v>
      </c>
      <c r="K393">
        <v>1</v>
      </c>
      <c r="L393">
        <v>1</v>
      </c>
      <c r="M393">
        <v>196356.17</v>
      </c>
      <c r="N393">
        <v>0</v>
      </c>
      <c r="O393" t="str">
        <f t="shared" si="18"/>
        <v>Average</v>
      </c>
      <c r="P393" t="str">
        <f t="shared" si="19"/>
        <v>Young Adult</v>
      </c>
      <c r="Q393" t="str">
        <f t="shared" si="20"/>
        <v>High Salary</v>
      </c>
    </row>
    <row r="394" spans="1:17" x14ac:dyDescent="0.25">
      <c r="A394">
        <v>492</v>
      </c>
      <c r="B394">
        <v>15699005</v>
      </c>
      <c r="C394" t="s">
        <v>65</v>
      </c>
      <c r="D394" t="s">
        <v>15</v>
      </c>
      <c r="E394" t="s">
        <v>16</v>
      </c>
      <c r="F394">
        <v>710</v>
      </c>
      <c r="G394">
        <v>41</v>
      </c>
      <c r="H394">
        <v>2</v>
      </c>
      <c r="I394">
        <v>156067.04999999999</v>
      </c>
      <c r="J394">
        <v>1</v>
      </c>
      <c r="K394">
        <v>1</v>
      </c>
      <c r="L394">
        <v>1</v>
      </c>
      <c r="M394">
        <v>9983.8799999999992</v>
      </c>
      <c r="N394">
        <v>0</v>
      </c>
      <c r="O394" t="str">
        <f t="shared" si="18"/>
        <v>Good</v>
      </c>
      <c r="P394" t="str">
        <f t="shared" si="19"/>
        <v>Adult</v>
      </c>
      <c r="Q394" t="str">
        <f t="shared" si="20"/>
        <v>Low Salary</v>
      </c>
    </row>
    <row r="395" spans="1:17" x14ac:dyDescent="0.25">
      <c r="A395">
        <v>493</v>
      </c>
      <c r="B395">
        <v>15624170</v>
      </c>
      <c r="C395" t="s">
        <v>213</v>
      </c>
      <c r="D395" t="s">
        <v>15</v>
      </c>
      <c r="E395" t="s">
        <v>16</v>
      </c>
      <c r="F395">
        <v>639</v>
      </c>
      <c r="G395">
        <v>38</v>
      </c>
      <c r="H395">
        <v>4</v>
      </c>
      <c r="I395">
        <v>81550.94</v>
      </c>
      <c r="J395">
        <v>2</v>
      </c>
      <c r="K395">
        <v>0</v>
      </c>
      <c r="L395">
        <v>1</v>
      </c>
      <c r="M395">
        <v>118974.77</v>
      </c>
      <c r="N395">
        <v>0</v>
      </c>
      <c r="O395" t="str">
        <f t="shared" si="18"/>
        <v>Average</v>
      </c>
      <c r="P395" t="str">
        <f t="shared" si="19"/>
        <v>Adult</v>
      </c>
      <c r="Q395" t="str">
        <f t="shared" si="20"/>
        <v>High Salary</v>
      </c>
    </row>
    <row r="396" spans="1:17" x14ac:dyDescent="0.25">
      <c r="A396">
        <v>496</v>
      </c>
      <c r="B396">
        <v>15804256</v>
      </c>
      <c r="C396" t="s">
        <v>431</v>
      </c>
      <c r="D396" t="s">
        <v>26</v>
      </c>
      <c r="E396" t="s">
        <v>23</v>
      </c>
      <c r="F396">
        <v>765</v>
      </c>
      <c r="G396">
        <v>36</v>
      </c>
      <c r="H396">
        <v>8</v>
      </c>
      <c r="I396">
        <v>92310.54</v>
      </c>
      <c r="J396">
        <v>2</v>
      </c>
      <c r="K396">
        <v>1</v>
      </c>
      <c r="L396">
        <v>1</v>
      </c>
      <c r="M396">
        <v>72924.56</v>
      </c>
      <c r="N396">
        <v>0</v>
      </c>
      <c r="O396" t="str">
        <f t="shared" si="18"/>
        <v>Good</v>
      </c>
      <c r="P396" t="str">
        <f t="shared" si="19"/>
        <v>Adult</v>
      </c>
      <c r="Q396" t="str">
        <f t="shared" si="20"/>
        <v>High Salary</v>
      </c>
    </row>
    <row r="397" spans="1:17" x14ac:dyDescent="0.25">
      <c r="A397">
        <v>497</v>
      </c>
      <c r="B397">
        <v>15662403</v>
      </c>
      <c r="C397" t="s">
        <v>432</v>
      </c>
      <c r="D397" t="s">
        <v>15</v>
      </c>
      <c r="E397" t="s">
        <v>16</v>
      </c>
      <c r="F397">
        <v>622</v>
      </c>
      <c r="G397">
        <v>32</v>
      </c>
      <c r="H397">
        <v>6</v>
      </c>
      <c r="I397">
        <v>169089.38</v>
      </c>
      <c r="J397">
        <v>2</v>
      </c>
      <c r="K397">
        <v>1</v>
      </c>
      <c r="L397">
        <v>0</v>
      </c>
      <c r="M397">
        <v>101057.95</v>
      </c>
      <c r="N397">
        <v>0</v>
      </c>
      <c r="O397" t="str">
        <f t="shared" si="18"/>
        <v>Average</v>
      </c>
      <c r="P397" t="str">
        <f t="shared" si="19"/>
        <v>Adult</v>
      </c>
      <c r="Q397" t="str">
        <f t="shared" si="20"/>
        <v>High Salary</v>
      </c>
    </row>
    <row r="398" spans="1:17" x14ac:dyDescent="0.25">
      <c r="A398">
        <v>498</v>
      </c>
      <c r="B398">
        <v>15733616</v>
      </c>
      <c r="C398" t="s">
        <v>433</v>
      </c>
      <c r="D398" t="s">
        <v>15</v>
      </c>
      <c r="E398" t="s">
        <v>23</v>
      </c>
      <c r="F398">
        <v>806</v>
      </c>
      <c r="G398">
        <v>40</v>
      </c>
      <c r="H398">
        <v>5</v>
      </c>
      <c r="I398">
        <v>80613.929999999993</v>
      </c>
      <c r="J398">
        <v>1</v>
      </c>
      <c r="K398">
        <v>1</v>
      </c>
      <c r="L398">
        <v>1</v>
      </c>
      <c r="M398">
        <v>142838.64000000001</v>
      </c>
      <c r="N398">
        <v>0</v>
      </c>
      <c r="O398" t="str">
        <f t="shared" si="18"/>
        <v>Good</v>
      </c>
      <c r="P398" t="str">
        <f t="shared" si="19"/>
        <v>Adult</v>
      </c>
      <c r="Q398" t="str">
        <f t="shared" si="20"/>
        <v>High Salary</v>
      </c>
    </row>
    <row r="399" spans="1:17" x14ac:dyDescent="0.25">
      <c r="A399">
        <v>499</v>
      </c>
      <c r="B399">
        <v>15591995</v>
      </c>
      <c r="C399" t="s">
        <v>434</v>
      </c>
      <c r="D399" t="s">
        <v>26</v>
      </c>
      <c r="E399" t="s">
        <v>23</v>
      </c>
      <c r="F399">
        <v>757</v>
      </c>
      <c r="G399">
        <v>26</v>
      </c>
      <c r="H399">
        <v>8</v>
      </c>
      <c r="I399">
        <v>121581.56</v>
      </c>
      <c r="J399">
        <v>2</v>
      </c>
      <c r="K399">
        <v>1</v>
      </c>
      <c r="L399">
        <v>1</v>
      </c>
      <c r="M399">
        <v>127059.04</v>
      </c>
      <c r="N399">
        <v>0</v>
      </c>
      <c r="O399" t="str">
        <f t="shared" si="18"/>
        <v>Good</v>
      </c>
      <c r="P399" t="str">
        <f t="shared" si="19"/>
        <v>Young Adult</v>
      </c>
      <c r="Q399" t="str">
        <f t="shared" si="20"/>
        <v>High Salary</v>
      </c>
    </row>
    <row r="400" spans="1:17" x14ac:dyDescent="0.25">
      <c r="A400">
        <v>501</v>
      </c>
      <c r="B400">
        <v>15727688</v>
      </c>
      <c r="C400" t="s">
        <v>436</v>
      </c>
      <c r="D400" t="s">
        <v>18</v>
      </c>
      <c r="E400" t="s">
        <v>23</v>
      </c>
      <c r="F400">
        <v>555</v>
      </c>
      <c r="G400">
        <v>32</v>
      </c>
      <c r="H400">
        <v>4</v>
      </c>
      <c r="I400">
        <v>0</v>
      </c>
      <c r="J400">
        <v>2</v>
      </c>
      <c r="K400">
        <v>1</v>
      </c>
      <c r="L400">
        <v>1</v>
      </c>
      <c r="M400">
        <v>54405.79</v>
      </c>
      <c r="N400">
        <v>0</v>
      </c>
      <c r="O400" t="str">
        <f t="shared" si="18"/>
        <v>Poor</v>
      </c>
      <c r="P400" t="str">
        <f t="shared" si="19"/>
        <v>Adult</v>
      </c>
      <c r="Q400" t="str">
        <f t="shared" si="20"/>
        <v>Medium Salary</v>
      </c>
    </row>
    <row r="401" spans="1:17" x14ac:dyDescent="0.25">
      <c r="A401">
        <v>502</v>
      </c>
      <c r="B401">
        <v>15715941</v>
      </c>
      <c r="C401" t="s">
        <v>437</v>
      </c>
      <c r="D401" t="s">
        <v>15</v>
      </c>
      <c r="E401" t="s">
        <v>23</v>
      </c>
      <c r="F401">
        <v>692</v>
      </c>
      <c r="G401">
        <v>54</v>
      </c>
      <c r="H401">
        <v>5</v>
      </c>
      <c r="I401">
        <v>0</v>
      </c>
      <c r="J401">
        <v>2</v>
      </c>
      <c r="K401">
        <v>1</v>
      </c>
      <c r="L401">
        <v>1</v>
      </c>
      <c r="M401">
        <v>88721.84</v>
      </c>
      <c r="N401">
        <v>0</v>
      </c>
      <c r="O401" t="str">
        <f t="shared" si="18"/>
        <v>Good</v>
      </c>
      <c r="P401" t="str">
        <f t="shared" si="19"/>
        <v>Adult</v>
      </c>
      <c r="Q401" t="str">
        <f t="shared" si="20"/>
        <v>High Salary</v>
      </c>
    </row>
    <row r="402" spans="1:17" x14ac:dyDescent="0.25">
      <c r="A402">
        <v>504</v>
      </c>
      <c r="B402">
        <v>15730059</v>
      </c>
      <c r="C402" t="s">
        <v>439</v>
      </c>
      <c r="D402" t="s">
        <v>18</v>
      </c>
      <c r="E402" t="s">
        <v>23</v>
      </c>
      <c r="F402">
        <v>638</v>
      </c>
      <c r="G402">
        <v>44</v>
      </c>
      <c r="H402">
        <v>9</v>
      </c>
      <c r="I402">
        <v>77637.350000000006</v>
      </c>
      <c r="J402">
        <v>2</v>
      </c>
      <c r="K402">
        <v>1</v>
      </c>
      <c r="L402">
        <v>1</v>
      </c>
      <c r="M402">
        <v>111346.22</v>
      </c>
      <c r="N402">
        <v>0</v>
      </c>
      <c r="O402" t="str">
        <f t="shared" si="18"/>
        <v>Average</v>
      </c>
      <c r="P402" t="str">
        <f t="shared" si="19"/>
        <v>Adult</v>
      </c>
      <c r="Q402" t="str">
        <f t="shared" si="20"/>
        <v>High Salary</v>
      </c>
    </row>
    <row r="403" spans="1:17" x14ac:dyDescent="0.25">
      <c r="A403">
        <v>505</v>
      </c>
      <c r="B403">
        <v>15715527</v>
      </c>
      <c r="C403" t="s">
        <v>231</v>
      </c>
      <c r="D403" t="s">
        <v>18</v>
      </c>
      <c r="E403" t="s">
        <v>16</v>
      </c>
      <c r="F403">
        <v>543</v>
      </c>
      <c r="G403">
        <v>41</v>
      </c>
      <c r="H403">
        <v>4</v>
      </c>
      <c r="I403">
        <v>0</v>
      </c>
      <c r="J403">
        <v>1</v>
      </c>
      <c r="K403">
        <v>0</v>
      </c>
      <c r="L403">
        <v>0</v>
      </c>
      <c r="M403">
        <v>194902.16</v>
      </c>
      <c r="N403">
        <v>0</v>
      </c>
      <c r="O403" t="str">
        <f t="shared" si="18"/>
        <v>Poor</v>
      </c>
      <c r="P403" t="str">
        <f t="shared" si="19"/>
        <v>Adult</v>
      </c>
      <c r="Q403" t="str">
        <f t="shared" si="20"/>
        <v>High Salary</v>
      </c>
    </row>
    <row r="404" spans="1:17" x14ac:dyDescent="0.25">
      <c r="A404">
        <v>506</v>
      </c>
      <c r="B404">
        <v>15576623</v>
      </c>
      <c r="C404" t="s">
        <v>440</v>
      </c>
      <c r="D404" t="s">
        <v>15</v>
      </c>
      <c r="E404" t="s">
        <v>23</v>
      </c>
      <c r="F404">
        <v>584</v>
      </c>
      <c r="G404">
        <v>31</v>
      </c>
      <c r="H404">
        <v>5</v>
      </c>
      <c r="I404">
        <v>0</v>
      </c>
      <c r="J404">
        <v>2</v>
      </c>
      <c r="K404">
        <v>1</v>
      </c>
      <c r="L404">
        <v>0</v>
      </c>
      <c r="M404">
        <v>31474.27</v>
      </c>
      <c r="N404">
        <v>0</v>
      </c>
      <c r="O404" t="str">
        <f t="shared" si="18"/>
        <v>Average</v>
      </c>
      <c r="P404" t="str">
        <f t="shared" si="19"/>
        <v>Adult</v>
      </c>
      <c r="Q404" t="str">
        <f t="shared" si="20"/>
        <v>Medium Salary</v>
      </c>
    </row>
    <row r="405" spans="1:17" x14ac:dyDescent="0.25">
      <c r="A405">
        <v>507</v>
      </c>
      <c r="B405">
        <v>15805565</v>
      </c>
      <c r="C405" t="s">
        <v>423</v>
      </c>
      <c r="D405" t="s">
        <v>26</v>
      </c>
      <c r="E405" t="s">
        <v>23</v>
      </c>
      <c r="F405">
        <v>691</v>
      </c>
      <c r="G405">
        <v>30</v>
      </c>
      <c r="H405">
        <v>7</v>
      </c>
      <c r="I405">
        <v>116927.89</v>
      </c>
      <c r="J405">
        <v>1</v>
      </c>
      <c r="K405">
        <v>1</v>
      </c>
      <c r="L405">
        <v>0</v>
      </c>
      <c r="M405">
        <v>21198.39</v>
      </c>
      <c r="N405">
        <v>0</v>
      </c>
      <c r="O405" t="str">
        <f t="shared" si="18"/>
        <v>Good</v>
      </c>
      <c r="P405" t="str">
        <f t="shared" si="19"/>
        <v>Young Adult</v>
      </c>
      <c r="Q405" t="str">
        <f t="shared" si="20"/>
        <v>Low Salary</v>
      </c>
    </row>
    <row r="406" spans="1:17" x14ac:dyDescent="0.25">
      <c r="A406">
        <v>508</v>
      </c>
      <c r="B406">
        <v>15677307</v>
      </c>
      <c r="C406" t="s">
        <v>441</v>
      </c>
      <c r="D406" t="s">
        <v>26</v>
      </c>
      <c r="E406" t="s">
        <v>16</v>
      </c>
      <c r="F406">
        <v>684</v>
      </c>
      <c r="G406">
        <v>40</v>
      </c>
      <c r="H406">
        <v>6</v>
      </c>
      <c r="I406">
        <v>137326.65</v>
      </c>
      <c r="J406">
        <v>1</v>
      </c>
      <c r="K406">
        <v>1</v>
      </c>
      <c r="L406">
        <v>0</v>
      </c>
      <c r="M406">
        <v>186976.6</v>
      </c>
      <c r="N406">
        <v>0</v>
      </c>
      <c r="O406" t="str">
        <f t="shared" si="18"/>
        <v>Good</v>
      </c>
      <c r="P406" t="str">
        <f t="shared" si="19"/>
        <v>Adult</v>
      </c>
      <c r="Q406" t="str">
        <f t="shared" si="20"/>
        <v>High Salary</v>
      </c>
    </row>
    <row r="407" spans="1:17" x14ac:dyDescent="0.25">
      <c r="A407">
        <v>509</v>
      </c>
      <c r="B407">
        <v>15773890</v>
      </c>
      <c r="C407" t="s">
        <v>185</v>
      </c>
      <c r="D407" t="s">
        <v>15</v>
      </c>
      <c r="E407" t="s">
        <v>23</v>
      </c>
      <c r="F407">
        <v>733</v>
      </c>
      <c r="G407">
        <v>22</v>
      </c>
      <c r="H407">
        <v>5</v>
      </c>
      <c r="I407">
        <v>0</v>
      </c>
      <c r="J407">
        <v>2</v>
      </c>
      <c r="K407">
        <v>1</v>
      </c>
      <c r="L407">
        <v>1</v>
      </c>
      <c r="M407">
        <v>117202.19</v>
      </c>
      <c r="N407">
        <v>0</v>
      </c>
      <c r="O407" t="str">
        <f t="shared" si="18"/>
        <v>Good</v>
      </c>
      <c r="P407" t="str">
        <f t="shared" si="19"/>
        <v>Young Adult</v>
      </c>
      <c r="Q407" t="str">
        <f t="shared" si="20"/>
        <v>High Salary</v>
      </c>
    </row>
    <row r="408" spans="1:17" x14ac:dyDescent="0.25">
      <c r="A408">
        <v>510</v>
      </c>
      <c r="B408">
        <v>15598883</v>
      </c>
      <c r="C408" t="s">
        <v>442</v>
      </c>
      <c r="D408" t="s">
        <v>18</v>
      </c>
      <c r="E408" t="s">
        <v>16</v>
      </c>
      <c r="F408">
        <v>599</v>
      </c>
      <c r="G408">
        <v>37</v>
      </c>
      <c r="H408">
        <v>2</v>
      </c>
      <c r="I408">
        <v>0</v>
      </c>
      <c r="J408">
        <v>2</v>
      </c>
      <c r="K408">
        <v>1</v>
      </c>
      <c r="L408">
        <v>1</v>
      </c>
      <c r="M408">
        <v>143739.29</v>
      </c>
      <c r="N408">
        <v>0</v>
      </c>
      <c r="O408" t="str">
        <f t="shared" si="18"/>
        <v>Average</v>
      </c>
      <c r="P408" t="str">
        <f t="shared" si="19"/>
        <v>Adult</v>
      </c>
      <c r="Q408" t="str">
        <f t="shared" si="20"/>
        <v>High Salary</v>
      </c>
    </row>
    <row r="409" spans="1:17" x14ac:dyDescent="0.25">
      <c r="A409">
        <v>511</v>
      </c>
      <c r="B409">
        <v>15568506</v>
      </c>
      <c r="C409" t="s">
        <v>443</v>
      </c>
      <c r="D409" t="s">
        <v>26</v>
      </c>
      <c r="E409" t="s">
        <v>16</v>
      </c>
      <c r="F409">
        <v>524</v>
      </c>
      <c r="G409">
        <v>31</v>
      </c>
      <c r="H409">
        <v>10</v>
      </c>
      <c r="I409">
        <v>67238.98</v>
      </c>
      <c r="J409">
        <v>2</v>
      </c>
      <c r="K409">
        <v>1</v>
      </c>
      <c r="L409">
        <v>1</v>
      </c>
      <c r="M409">
        <v>161811.23000000001</v>
      </c>
      <c r="N409">
        <v>0</v>
      </c>
      <c r="O409" t="str">
        <f t="shared" si="18"/>
        <v>Poor</v>
      </c>
      <c r="P409" t="str">
        <f t="shared" si="19"/>
        <v>Adult</v>
      </c>
      <c r="Q409" t="str">
        <f t="shared" si="20"/>
        <v>High Salary</v>
      </c>
    </row>
    <row r="410" spans="1:17" x14ac:dyDescent="0.25">
      <c r="A410">
        <v>512</v>
      </c>
      <c r="B410">
        <v>15761043</v>
      </c>
      <c r="C410" t="s">
        <v>444</v>
      </c>
      <c r="D410" t="s">
        <v>26</v>
      </c>
      <c r="E410" t="s">
        <v>16</v>
      </c>
      <c r="F410">
        <v>632</v>
      </c>
      <c r="G410">
        <v>38</v>
      </c>
      <c r="H410">
        <v>6</v>
      </c>
      <c r="I410">
        <v>86569.76</v>
      </c>
      <c r="J410">
        <v>2</v>
      </c>
      <c r="K410">
        <v>1</v>
      </c>
      <c r="L410">
        <v>0</v>
      </c>
      <c r="M410">
        <v>98090.91</v>
      </c>
      <c r="N410">
        <v>0</v>
      </c>
      <c r="O410" t="str">
        <f t="shared" si="18"/>
        <v>Average</v>
      </c>
      <c r="P410" t="str">
        <f t="shared" si="19"/>
        <v>Adult</v>
      </c>
      <c r="Q410" t="str">
        <f t="shared" si="20"/>
        <v>High Salary</v>
      </c>
    </row>
    <row r="411" spans="1:17" x14ac:dyDescent="0.25">
      <c r="A411">
        <v>513</v>
      </c>
      <c r="B411">
        <v>15782236</v>
      </c>
      <c r="C411" t="s">
        <v>445</v>
      </c>
      <c r="D411" t="s">
        <v>18</v>
      </c>
      <c r="E411" t="s">
        <v>23</v>
      </c>
      <c r="F411">
        <v>735</v>
      </c>
      <c r="G411">
        <v>34</v>
      </c>
      <c r="H411">
        <v>5</v>
      </c>
      <c r="I411">
        <v>0</v>
      </c>
      <c r="J411">
        <v>2</v>
      </c>
      <c r="K411">
        <v>0</v>
      </c>
      <c r="L411">
        <v>0</v>
      </c>
      <c r="M411">
        <v>71095.41</v>
      </c>
      <c r="N411">
        <v>0</v>
      </c>
      <c r="O411" t="str">
        <f t="shared" si="18"/>
        <v>Good</v>
      </c>
      <c r="P411" t="str">
        <f t="shared" si="19"/>
        <v>Adult</v>
      </c>
      <c r="Q411" t="str">
        <f t="shared" si="20"/>
        <v>High Salary</v>
      </c>
    </row>
    <row r="412" spans="1:17" x14ac:dyDescent="0.25">
      <c r="A412">
        <v>514</v>
      </c>
      <c r="B412">
        <v>15593601</v>
      </c>
      <c r="C412" t="s">
        <v>446</v>
      </c>
      <c r="D412" t="s">
        <v>15</v>
      </c>
      <c r="E412" t="s">
        <v>23</v>
      </c>
      <c r="F412">
        <v>734</v>
      </c>
      <c r="G412">
        <v>34</v>
      </c>
      <c r="H412">
        <v>6</v>
      </c>
      <c r="I412">
        <v>133598.39999999999</v>
      </c>
      <c r="J412">
        <v>1</v>
      </c>
      <c r="K412">
        <v>1</v>
      </c>
      <c r="L412">
        <v>1</v>
      </c>
      <c r="M412">
        <v>13107.24</v>
      </c>
      <c r="N412">
        <v>0</v>
      </c>
      <c r="O412" t="str">
        <f t="shared" si="18"/>
        <v>Good</v>
      </c>
      <c r="P412" t="str">
        <f t="shared" si="19"/>
        <v>Adult</v>
      </c>
      <c r="Q412" t="str">
        <f t="shared" si="20"/>
        <v>Low Salary</v>
      </c>
    </row>
    <row r="413" spans="1:17" x14ac:dyDescent="0.25">
      <c r="A413">
        <v>516</v>
      </c>
      <c r="B413">
        <v>15746902</v>
      </c>
      <c r="C413" t="s">
        <v>447</v>
      </c>
      <c r="D413" t="s">
        <v>18</v>
      </c>
      <c r="E413" t="s">
        <v>23</v>
      </c>
      <c r="F413">
        <v>793</v>
      </c>
      <c r="G413">
        <v>38</v>
      </c>
      <c r="H413">
        <v>9</v>
      </c>
      <c r="I413">
        <v>0</v>
      </c>
      <c r="J413">
        <v>2</v>
      </c>
      <c r="K413">
        <v>1</v>
      </c>
      <c r="L413">
        <v>0</v>
      </c>
      <c r="M413">
        <v>88225.02</v>
      </c>
      <c r="N413">
        <v>0</v>
      </c>
      <c r="O413" t="str">
        <f t="shared" si="18"/>
        <v>Good</v>
      </c>
      <c r="P413" t="str">
        <f t="shared" si="19"/>
        <v>Adult</v>
      </c>
      <c r="Q413" t="str">
        <f t="shared" si="20"/>
        <v>High Salary</v>
      </c>
    </row>
    <row r="414" spans="1:17" x14ac:dyDescent="0.25">
      <c r="A414">
        <v>518</v>
      </c>
      <c r="B414">
        <v>15781307</v>
      </c>
      <c r="C414" t="s">
        <v>449</v>
      </c>
      <c r="D414" t="s">
        <v>26</v>
      </c>
      <c r="E414" t="s">
        <v>23</v>
      </c>
      <c r="F414">
        <v>779</v>
      </c>
      <c r="G414">
        <v>37</v>
      </c>
      <c r="H414">
        <v>7</v>
      </c>
      <c r="I414">
        <v>120092.52</v>
      </c>
      <c r="J414">
        <v>2</v>
      </c>
      <c r="K414">
        <v>1</v>
      </c>
      <c r="L414">
        <v>0</v>
      </c>
      <c r="M414">
        <v>135925.72</v>
      </c>
      <c r="N414">
        <v>0</v>
      </c>
      <c r="O414" t="str">
        <f t="shared" si="18"/>
        <v>Good</v>
      </c>
      <c r="P414" t="str">
        <f t="shared" si="19"/>
        <v>Adult</v>
      </c>
      <c r="Q414" t="str">
        <f t="shared" si="20"/>
        <v>High Salary</v>
      </c>
    </row>
    <row r="415" spans="1:17" x14ac:dyDescent="0.25">
      <c r="A415">
        <v>520</v>
      </c>
      <c r="B415">
        <v>15745417</v>
      </c>
      <c r="C415" t="s">
        <v>450</v>
      </c>
      <c r="D415" t="s">
        <v>15</v>
      </c>
      <c r="E415" t="s">
        <v>23</v>
      </c>
      <c r="F415">
        <v>707</v>
      </c>
      <c r="G415">
        <v>58</v>
      </c>
      <c r="H415">
        <v>6</v>
      </c>
      <c r="I415">
        <v>89685.92</v>
      </c>
      <c r="J415">
        <v>1</v>
      </c>
      <c r="K415">
        <v>0</v>
      </c>
      <c r="L415">
        <v>1</v>
      </c>
      <c r="M415">
        <v>126471.13</v>
      </c>
      <c r="N415">
        <v>0</v>
      </c>
      <c r="O415" t="str">
        <f t="shared" si="18"/>
        <v>Good</v>
      </c>
      <c r="P415" t="str">
        <f t="shared" si="19"/>
        <v>Adult</v>
      </c>
      <c r="Q415" t="str">
        <f t="shared" si="20"/>
        <v>High Salary</v>
      </c>
    </row>
    <row r="416" spans="1:17" x14ac:dyDescent="0.25">
      <c r="A416">
        <v>522</v>
      </c>
      <c r="B416">
        <v>15653547</v>
      </c>
      <c r="C416" t="s">
        <v>157</v>
      </c>
      <c r="D416" t="s">
        <v>15</v>
      </c>
      <c r="E416" t="s">
        <v>23</v>
      </c>
      <c r="F416">
        <v>850</v>
      </c>
      <c r="G416">
        <v>56</v>
      </c>
      <c r="H416">
        <v>7</v>
      </c>
      <c r="I416">
        <v>131317.48000000001</v>
      </c>
      <c r="J416">
        <v>1</v>
      </c>
      <c r="K416">
        <v>1</v>
      </c>
      <c r="L416">
        <v>1</v>
      </c>
      <c r="M416">
        <v>119175.45</v>
      </c>
      <c r="N416">
        <v>0</v>
      </c>
      <c r="O416" t="str">
        <f t="shared" si="18"/>
        <v>Good</v>
      </c>
      <c r="P416" t="str">
        <f t="shared" si="19"/>
        <v>Adult</v>
      </c>
      <c r="Q416" t="str">
        <f t="shared" si="20"/>
        <v>High Salary</v>
      </c>
    </row>
    <row r="417" spans="1:17" x14ac:dyDescent="0.25">
      <c r="A417">
        <v>523</v>
      </c>
      <c r="B417">
        <v>15595766</v>
      </c>
      <c r="C417" t="s">
        <v>452</v>
      </c>
      <c r="D417" t="s">
        <v>18</v>
      </c>
      <c r="E417" t="s">
        <v>23</v>
      </c>
      <c r="F417">
        <v>527</v>
      </c>
      <c r="G417">
        <v>37</v>
      </c>
      <c r="H417">
        <v>5</v>
      </c>
      <c r="I417">
        <v>93722.73</v>
      </c>
      <c r="J417">
        <v>2</v>
      </c>
      <c r="K417">
        <v>1</v>
      </c>
      <c r="L417">
        <v>1</v>
      </c>
      <c r="M417">
        <v>139093.73000000001</v>
      </c>
      <c r="N417">
        <v>0</v>
      </c>
      <c r="O417" t="str">
        <f t="shared" si="18"/>
        <v>Poor</v>
      </c>
      <c r="P417" t="str">
        <f t="shared" si="19"/>
        <v>Adult</v>
      </c>
      <c r="Q417" t="str">
        <f t="shared" si="20"/>
        <v>High Salary</v>
      </c>
    </row>
    <row r="418" spans="1:17" x14ac:dyDescent="0.25">
      <c r="A418">
        <v>524</v>
      </c>
      <c r="B418">
        <v>15742358</v>
      </c>
      <c r="C418" t="s">
        <v>453</v>
      </c>
      <c r="D418" t="s">
        <v>26</v>
      </c>
      <c r="E418" t="s">
        <v>23</v>
      </c>
      <c r="F418">
        <v>696</v>
      </c>
      <c r="G418">
        <v>32</v>
      </c>
      <c r="H418">
        <v>8</v>
      </c>
      <c r="I418">
        <v>101160.99</v>
      </c>
      <c r="J418">
        <v>1</v>
      </c>
      <c r="K418">
        <v>1</v>
      </c>
      <c r="L418">
        <v>1</v>
      </c>
      <c r="M418">
        <v>115916.55</v>
      </c>
      <c r="N418">
        <v>0</v>
      </c>
      <c r="O418" t="str">
        <f t="shared" si="18"/>
        <v>Good</v>
      </c>
      <c r="P418" t="str">
        <f t="shared" si="19"/>
        <v>Adult</v>
      </c>
      <c r="Q418" t="str">
        <f t="shared" si="20"/>
        <v>High Salary</v>
      </c>
    </row>
    <row r="419" spans="1:17" x14ac:dyDescent="0.25">
      <c r="A419">
        <v>525</v>
      </c>
      <c r="B419">
        <v>15763274</v>
      </c>
      <c r="C419" t="s">
        <v>134</v>
      </c>
      <c r="D419" t="s">
        <v>15</v>
      </c>
      <c r="E419" t="s">
        <v>23</v>
      </c>
      <c r="F419">
        <v>661</v>
      </c>
      <c r="G419">
        <v>48</v>
      </c>
      <c r="H419">
        <v>3</v>
      </c>
      <c r="I419">
        <v>120320.54</v>
      </c>
      <c r="J419">
        <v>1</v>
      </c>
      <c r="K419">
        <v>0</v>
      </c>
      <c r="L419">
        <v>0</v>
      </c>
      <c r="M419">
        <v>96463.25</v>
      </c>
      <c r="N419">
        <v>0</v>
      </c>
      <c r="O419" t="str">
        <f t="shared" si="18"/>
        <v>Average</v>
      </c>
      <c r="P419" t="str">
        <f t="shared" si="19"/>
        <v>Adult</v>
      </c>
      <c r="Q419" t="str">
        <f t="shared" si="20"/>
        <v>High Salary</v>
      </c>
    </row>
    <row r="420" spans="1:17" x14ac:dyDescent="0.25">
      <c r="A420">
        <v>526</v>
      </c>
      <c r="B420">
        <v>15786063</v>
      </c>
      <c r="C420" t="s">
        <v>32</v>
      </c>
      <c r="D420" t="s">
        <v>15</v>
      </c>
      <c r="E420" t="s">
        <v>16</v>
      </c>
      <c r="F420">
        <v>776</v>
      </c>
      <c r="G420">
        <v>31</v>
      </c>
      <c r="H420">
        <v>2</v>
      </c>
      <c r="I420">
        <v>0</v>
      </c>
      <c r="J420">
        <v>2</v>
      </c>
      <c r="K420">
        <v>1</v>
      </c>
      <c r="L420">
        <v>1</v>
      </c>
      <c r="M420">
        <v>112349.51</v>
      </c>
      <c r="N420">
        <v>0</v>
      </c>
      <c r="O420" t="str">
        <f t="shared" si="18"/>
        <v>Good</v>
      </c>
      <c r="P420" t="str">
        <f t="shared" si="19"/>
        <v>Adult</v>
      </c>
      <c r="Q420" t="str">
        <f t="shared" si="20"/>
        <v>High Salary</v>
      </c>
    </row>
    <row r="421" spans="1:17" x14ac:dyDescent="0.25">
      <c r="A421">
        <v>527</v>
      </c>
      <c r="B421">
        <v>15600258</v>
      </c>
      <c r="C421" t="s">
        <v>454</v>
      </c>
      <c r="D421" t="s">
        <v>15</v>
      </c>
      <c r="E421" t="s">
        <v>23</v>
      </c>
      <c r="F421">
        <v>701</v>
      </c>
      <c r="G421">
        <v>43</v>
      </c>
      <c r="H421">
        <v>2</v>
      </c>
      <c r="I421">
        <v>0</v>
      </c>
      <c r="J421">
        <v>2</v>
      </c>
      <c r="K421">
        <v>1</v>
      </c>
      <c r="L421">
        <v>1</v>
      </c>
      <c r="M421">
        <v>165303.79</v>
      </c>
      <c r="N421">
        <v>0</v>
      </c>
      <c r="O421" t="str">
        <f t="shared" si="18"/>
        <v>Good</v>
      </c>
      <c r="P421" t="str">
        <f t="shared" si="19"/>
        <v>Adult</v>
      </c>
      <c r="Q421" t="str">
        <f t="shared" si="20"/>
        <v>High Salary</v>
      </c>
    </row>
    <row r="422" spans="1:17" x14ac:dyDescent="0.25">
      <c r="A422">
        <v>528</v>
      </c>
      <c r="B422">
        <v>15573318</v>
      </c>
      <c r="C422" t="s">
        <v>455</v>
      </c>
      <c r="D422" t="s">
        <v>15</v>
      </c>
      <c r="E422" t="s">
        <v>23</v>
      </c>
      <c r="F422">
        <v>610</v>
      </c>
      <c r="G422">
        <v>26</v>
      </c>
      <c r="H422">
        <v>8</v>
      </c>
      <c r="I422">
        <v>0</v>
      </c>
      <c r="J422">
        <v>2</v>
      </c>
      <c r="K422">
        <v>1</v>
      </c>
      <c r="L422">
        <v>0</v>
      </c>
      <c r="M422">
        <v>166031.07999999999</v>
      </c>
      <c r="N422">
        <v>0</v>
      </c>
      <c r="O422" t="str">
        <f t="shared" si="18"/>
        <v>Average</v>
      </c>
      <c r="P422" t="str">
        <f t="shared" si="19"/>
        <v>Young Adult</v>
      </c>
      <c r="Q422" t="str">
        <f t="shared" si="20"/>
        <v>High Salary</v>
      </c>
    </row>
    <row r="423" spans="1:17" x14ac:dyDescent="0.25">
      <c r="A423">
        <v>530</v>
      </c>
      <c r="B423">
        <v>15694272</v>
      </c>
      <c r="C423" t="s">
        <v>457</v>
      </c>
      <c r="D423" t="s">
        <v>15</v>
      </c>
      <c r="E423" t="s">
        <v>23</v>
      </c>
      <c r="F423">
        <v>673</v>
      </c>
      <c r="G423">
        <v>30</v>
      </c>
      <c r="H423">
        <v>1</v>
      </c>
      <c r="I423">
        <v>64097.75</v>
      </c>
      <c r="J423">
        <v>1</v>
      </c>
      <c r="K423">
        <v>1</v>
      </c>
      <c r="L423">
        <v>1</v>
      </c>
      <c r="M423">
        <v>77783.350000000006</v>
      </c>
      <c r="N423">
        <v>0</v>
      </c>
      <c r="O423" t="str">
        <f t="shared" si="18"/>
        <v>Good</v>
      </c>
      <c r="P423" t="str">
        <f t="shared" si="19"/>
        <v>Young Adult</v>
      </c>
      <c r="Q423" t="str">
        <f t="shared" si="20"/>
        <v>High Salary</v>
      </c>
    </row>
    <row r="424" spans="1:17" x14ac:dyDescent="0.25">
      <c r="A424">
        <v>531</v>
      </c>
      <c r="B424">
        <v>15736112</v>
      </c>
      <c r="C424" t="s">
        <v>458</v>
      </c>
      <c r="D424" t="s">
        <v>18</v>
      </c>
      <c r="E424" t="s">
        <v>16</v>
      </c>
      <c r="F424">
        <v>519</v>
      </c>
      <c r="G424">
        <v>57</v>
      </c>
      <c r="H424">
        <v>2</v>
      </c>
      <c r="I424">
        <v>119035.35</v>
      </c>
      <c r="J424">
        <v>2</v>
      </c>
      <c r="K424">
        <v>1</v>
      </c>
      <c r="L424">
        <v>1</v>
      </c>
      <c r="M424">
        <v>29871.79</v>
      </c>
      <c r="N424">
        <v>0</v>
      </c>
      <c r="O424" t="str">
        <f t="shared" si="18"/>
        <v>Poor</v>
      </c>
      <c r="P424" t="str">
        <f t="shared" si="19"/>
        <v>Adult</v>
      </c>
      <c r="Q424" t="str">
        <f t="shared" si="20"/>
        <v>Low Salary</v>
      </c>
    </row>
    <row r="425" spans="1:17" x14ac:dyDescent="0.25">
      <c r="A425">
        <v>532</v>
      </c>
      <c r="B425">
        <v>15749851</v>
      </c>
      <c r="C425" t="s">
        <v>414</v>
      </c>
      <c r="D425" t="s">
        <v>18</v>
      </c>
      <c r="E425" t="s">
        <v>16</v>
      </c>
      <c r="F425">
        <v>702</v>
      </c>
      <c r="G425">
        <v>26</v>
      </c>
      <c r="H425">
        <v>4</v>
      </c>
      <c r="I425">
        <v>135219.57</v>
      </c>
      <c r="J425">
        <v>1</v>
      </c>
      <c r="K425">
        <v>0</v>
      </c>
      <c r="L425">
        <v>1</v>
      </c>
      <c r="M425">
        <v>59747.63</v>
      </c>
      <c r="N425">
        <v>0</v>
      </c>
      <c r="O425" t="str">
        <f t="shared" si="18"/>
        <v>Good</v>
      </c>
      <c r="P425" t="str">
        <f t="shared" si="19"/>
        <v>Young Adult</v>
      </c>
      <c r="Q425" t="str">
        <f t="shared" si="20"/>
        <v>Medium Salary</v>
      </c>
    </row>
    <row r="426" spans="1:17" x14ac:dyDescent="0.25">
      <c r="A426">
        <v>533</v>
      </c>
      <c r="B426">
        <v>15663478</v>
      </c>
      <c r="C426" t="s">
        <v>459</v>
      </c>
      <c r="D426" t="s">
        <v>15</v>
      </c>
      <c r="E426" t="s">
        <v>23</v>
      </c>
      <c r="F426">
        <v>729</v>
      </c>
      <c r="G426">
        <v>32</v>
      </c>
      <c r="H426">
        <v>6</v>
      </c>
      <c r="I426">
        <v>93694.42</v>
      </c>
      <c r="J426">
        <v>1</v>
      </c>
      <c r="K426">
        <v>1</v>
      </c>
      <c r="L426">
        <v>1</v>
      </c>
      <c r="M426">
        <v>79919.13</v>
      </c>
      <c r="N426">
        <v>0</v>
      </c>
      <c r="O426" t="str">
        <f t="shared" si="18"/>
        <v>Good</v>
      </c>
      <c r="P426" t="str">
        <f t="shared" si="19"/>
        <v>Adult</v>
      </c>
      <c r="Q426" t="str">
        <f t="shared" si="20"/>
        <v>High Salary</v>
      </c>
    </row>
    <row r="427" spans="1:17" x14ac:dyDescent="0.25">
      <c r="A427">
        <v>534</v>
      </c>
      <c r="B427">
        <v>15592300</v>
      </c>
      <c r="C427" t="s">
        <v>460</v>
      </c>
      <c r="D427" t="s">
        <v>18</v>
      </c>
      <c r="E427" t="s">
        <v>23</v>
      </c>
      <c r="F427">
        <v>543</v>
      </c>
      <c r="G427">
        <v>35</v>
      </c>
      <c r="H427">
        <v>10</v>
      </c>
      <c r="I427">
        <v>59408.63</v>
      </c>
      <c r="J427">
        <v>1</v>
      </c>
      <c r="K427">
        <v>1</v>
      </c>
      <c r="L427">
        <v>0</v>
      </c>
      <c r="M427">
        <v>76773.53</v>
      </c>
      <c r="N427">
        <v>0</v>
      </c>
      <c r="O427" t="str">
        <f t="shared" si="18"/>
        <v>Poor</v>
      </c>
      <c r="P427" t="str">
        <f t="shared" si="19"/>
        <v>Adult</v>
      </c>
      <c r="Q427" t="str">
        <f t="shared" si="20"/>
        <v>High Salary</v>
      </c>
    </row>
    <row r="428" spans="1:17" x14ac:dyDescent="0.25">
      <c r="A428">
        <v>535</v>
      </c>
      <c r="B428">
        <v>15567832</v>
      </c>
      <c r="C428" t="s">
        <v>219</v>
      </c>
      <c r="D428" t="s">
        <v>15</v>
      </c>
      <c r="E428" t="s">
        <v>16</v>
      </c>
      <c r="F428">
        <v>550</v>
      </c>
      <c r="G428">
        <v>40</v>
      </c>
      <c r="H428">
        <v>7</v>
      </c>
      <c r="I428">
        <v>114354.95</v>
      </c>
      <c r="J428">
        <v>1</v>
      </c>
      <c r="K428">
        <v>1</v>
      </c>
      <c r="L428">
        <v>0</v>
      </c>
      <c r="M428">
        <v>54018.93</v>
      </c>
      <c r="N428">
        <v>0</v>
      </c>
      <c r="O428" t="str">
        <f t="shared" si="18"/>
        <v>Poor</v>
      </c>
      <c r="P428" t="str">
        <f t="shared" si="19"/>
        <v>Adult</v>
      </c>
      <c r="Q428" t="str">
        <f t="shared" si="20"/>
        <v>Medium Salary</v>
      </c>
    </row>
    <row r="429" spans="1:17" x14ac:dyDescent="0.25">
      <c r="A429">
        <v>537</v>
      </c>
      <c r="B429">
        <v>15592846</v>
      </c>
      <c r="C429" t="s">
        <v>112</v>
      </c>
      <c r="D429" t="s">
        <v>26</v>
      </c>
      <c r="E429" t="s">
        <v>23</v>
      </c>
      <c r="F429">
        <v>639</v>
      </c>
      <c r="G429">
        <v>35</v>
      </c>
      <c r="H429">
        <v>10</v>
      </c>
      <c r="I429">
        <v>128173.9</v>
      </c>
      <c r="J429">
        <v>2</v>
      </c>
      <c r="K429">
        <v>1</v>
      </c>
      <c r="L429">
        <v>0</v>
      </c>
      <c r="M429">
        <v>59093.39</v>
      </c>
      <c r="N429">
        <v>0</v>
      </c>
      <c r="O429" t="str">
        <f t="shared" si="18"/>
        <v>Average</v>
      </c>
      <c r="P429" t="str">
        <f t="shared" si="19"/>
        <v>Adult</v>
      </c>
      <c r="Q429" t="str">
        <f t="shared" si="20"/>
        <v>Medium Salary</v>
      </c>
    </row>
    <row r="430" spans="1:17" x14ac:dyDescent="0.25">
      <c r="A430">
        <v>538</v>
      </c>
      <c r="B430">
        <v>15739803</v>
      </c>
      <c r="C430" t="s">
        <v>48</v>
      </c>
      <c r="D430" t="s">
        <v>18</v>
      </c>
      <c r="E430" t="s">
        <v>23</v>
      </c>
      <c r="F430">
        <v>686</v>
      </c>
      <c r="G430">
        <v>34</v>
      </c>
      <c r="H430">
        <v>9</v>
      </c>
      <c r="I430">
        <v>0</v>
      </c>
      <c r="J430">
        <v>2</v>
      </c>
      <c r="K430">
        <v>1</v>
      </c>
      <c r="L430">
        <v>0</v>
      </c>
      <c r="M430">
        <v>127569.8</v>
      </c>
      <c r="N430">
        <v>0</v>
      </c>
      <c r="O430" t="str">
        <f t="shared" si="18"/>
        <v>Good</v>
      </c>
      <c r="P430" t="str">
        <f t="shared" si="19"/>
        <v>Adult</v>
      </c>
      <c r="Q430" t="str">
        <f t="shared" si="20"/>
        <v>High Salary</v>
      </c>
    </row>
    <row r="431" spans="1:17" x14ac:dyDescent="0.25">
      <c r="A431">
        <v>541</v>
      </c>
      <c r="B431">
        <v>15667896</v>
      </c>
      <c r="C431" t="s">
        <v>463</v>
      </c>
      <c r="D431" t="s">
        <v>15</v>
      </c>
      <c r="E431" t="s">
        <v>23</v>
      </c>
      <c r="F431">
        <v>833</v>
      </c>
      <c r="G431">
        <v>37</v>
      </c>
      <c r="H431">
        <v>8</v>
      </c>
      <c r="I431">
        <v>151226.18</v>
      </c>
      <c r="J431">
        <v>2</v>
      </c>
      <c r="K431">
        <v>1</v>
      </c>
      <c r="L431">
        <v>1</v>
      </c>
      <c r="M431">
        <v>136129.49</v>
      </c>
      <c r="N431">
        <v>0</v>
      </c>
      <c r="O431" t="str">
        <f t="shared" si="18"/>
        <v>Good</v>
      </c>
      <c r="P431" t="str">
        <f t="shared" si="19"/>
        <v>Adult</v>
      </c>
      <c r="Q431" t="str">
        <f t="shared" si="20"/>
        <v>High Salary</v>
      </c>
    </row>
    <row r="432" spans="1:17" x14ac:dyDescent="0.25">
      <c r="A432">
        <v>542</v>
      </c>
      <c r="B432">
        <v>15626578</v>
      </c>
      <c r="C432" t="s">
        <v>166</v>
      </c>
      <c r="D432" t="s">
        <v>15</v>
      </c>
      <c r="E432" t="s">
        <v>23</v>
      </c>
      <c r="F432">
        <v>622</v>
      </c>
      <c r="G432">
        <v>26</v>
      </c>
      <c r="H432">
        <v>9</v>
      </c>
      <c r="I432">
        <v>0</v>
      </c>
      <c r="J432">
        <v>2</v>
      </c>
      <c r="K432">
        <v>1</v>
      </c>
      <c r="L432">
        <v>1</v>
      </c>
      <c r="M432">
        <v>153237.59</v>
      </c>
      <c r="N432">
        <v>0</v>
      </c>
      <c r="O432" t="str">
        <f t="shared" si="18"/>
        <v>Average</v>
      </c>
      <c r="P432" t="str">
        <f t="shared" si="19"/>
        <v>Young Adult</v>
      </c>
      <c r="Q432" t="str">
        <f t="shared" si="20"/>
        <v>High Salary</v>
      </c>
    </row>
    <row r="433" spans="1:17" x14ac:dyDescent="0.25">
      <c r="A433">
        <v>543</v>
      </c>
      <c r="B433">
        <v>15776223</v>
      </c>
      <c r="C433" t="s">
        <v>464</v>
      </c>
      <c r="D433" t="s">
        <v>15</v>
      </c>
      <c r="E433" t="s">
        <v>16</v>
      </c>
      <c r="F433">
        <v>597</v>
      </c>
      <c r="G433">
        <v>42</v>
      </c>
      <c r="H433">
        <v>4</v>
      </c>
      <c r="I433">
        <v>64740.12</v>
      </c>
      <c r="J433">
        <v>1</v>
      </c>
      <c r="K433">
        <v>1</v>
      </c>
      <c r="L433">
        <v>1</v>
      </c>
      <c r="M433">
        <v>106841.12</v>
      </c>
      <c r="N433">
        <v>0</v>
      </c>
      <c r="O433" t="str">
        <f t="shared" si="18"/>
        <v>Average</v>
      </c>
      <c r="P433" t="str">
        <f t="shared" si="19"/>
        <v>Adult</v>
      </c>
      <c r="Q433" t="str">
        <f t="shared" si="20"/>
        <v>High Salary</v>
      </c>
    </row>
    <row r="434" spans="1:17" x14ac:dyDescent="0.25">
      <c r="A434">
        <v>546</v>
      </c>
      <c r="B434">
        <v>15615457</v>
      </c>
      <c r="C434" t="s">
        <v>422</v>
      </c>
      <c r="D434" t="s">
        <v>18</v>
      </c>
      <c r="E434" t="s">
        <v>16</v>
      </c>
      <c r="F434">
        <v>842</v>
      </c>
      <c r="G434">
        <v>44</v>
      </c>
      <c r="H434">
        <v>2</v>
      </c>
      <c r="I434">
        <v>112652.08</v>
      </c>
      <c r="J434">
        <v>2</v>
      </c>
      <c r="K434">
        <v>1</v>
      </c>
      <c r="L434">
        <v>0</v>
      </c>
      <c r="M434">
        <v>126644.98</v>
      </c>
      <c r="N434">
        <v>0</v>
      </c>
      <c r="O434" t="str">
        <f t="shared" si="18"/>
        <v>Good</v>
      </c>
      <c r="P434" t="str">
        <f t="shared" si="19"/>
        <v>Adult</v>
      </c>
      <c r="Q434" t="str">
        <f t="shared" si="20"/>
        <v>High Salary</v>
      </c>
    </row>
    <row r="435" spans="1:17" x14ac:dyDescent="0.25">
      <c r="A435">
        <v>547</v>
      </c>
      <c r="B435">
        <v>15708916</v>
      </c>
      <c r="C435" t="s">
        <v>467</v>
      </c>
      <c r="D435" t="s">
        <v>15</v>
      </c>
      <c r="E435" t="s">
        <v>23</v>
      </c>
      <c r="F435">
        <v>587</v>
      </c>
      <c r="G435">
        <v>38</v>
      </c>
      <c r="H435">
        <v>0</v>
      </c>
      <c r="I435">
        <v>0</v>
      </c>
      <c r="J435">
        <v>2</v>
      </c>
      <c r="K435">
        <v>1</v>
      </c>
      <c r="L435">
        <v>0</v>
      </c>
      <c r="M435">
        <v>47414.15</v>
      </c>
      <c r="N435">
        <v>0</v>
      </c>
      <c r="O435" t="str">
        <f t="shared" si="18"/>
        <v>Average</v>
      </c>
      <c r="P435" t="str">
        <f t="shared" si="19"/>
        <v>Adult</v>
      </c>
      <c r="Q435" t="str">
        <f t="shared" si="20"/>
        <v>Medium Salary</v>
      </c>
    </row>
    <row r="436" spans="1:17" x14ac:dyDescent="0.25">
      <c r="A436">
        <v>548</v>
      </c>
      <c r="B436">
        <v>15720187</v>
      </c>
      <c r="C436" t="s">
        <v>468</v>
      </c>
      <c r="D436" t="s">
        <v>26</v>
      </c>
      <c r="E436" t="s">
        <v>16</v>
      </c>
      <c r="F436">
        <v>479</v>
      </c>
      <c r="G436">
        <v>30</v>
      </c>
      <c r="H436">
        <v>7</v>
      </c>
      <c r="I436">
        <v>143964.35999999999</v>
      </c>
      <c r="J436">
        <v>2</v>
      </c>
      <c r="K436">
        <v>1</v>
      </c>
      <c r="L436">
        <v>0</v>
      </c>
      <c r="M436">
        <v>41879.99</v>
      </c>
      <c r="N436">
        <v>0</v>
      </c>
      <c r="O436" t="str">
        <f t="shared" si="18"/>
        <v>Poor</v>
      </c>
      <c r="P436" t="str">
        <f t="shared" si="19"/>
        <v>Young Adult</v>
      </c>
      <c r="Q436" t="str">
        <f t="shared" si="20"/>
        <v>Medium Salary</v>
      </c>
    </row>
    <row r="437" spans="1:17" x14ac:dyDescent="0.25">
      <c r="A437">
        <v>549</v>
      </c>
      <c r="B437">
        <v>15595440</v>
      </c>
      <c r="C437" t="s">
        <v>432</v>
      </c>
      <c r="D437" t="s">
        <v>15</v>
      </c>
      <c r="E437" t="s">
        <v>23</v>
      </c>
      <c r="F437">
        <v>508</v>
      </c>
      <c r="G437">
        <v>49</v>
      </c>
      <c r="H437">
        <v>7</v>
      </c>
      <c r="I437">
        <v>122451.46</v>
      </c>
      <c r="J437">
        <v>2</v>
      </c>
      <c r="K437">
        <v>1</v>
      </c>
      <c r="L437">
        <v>1</v>
      </c>
      <c r="M437">
        <v>75808.100000000006</v>
      </c>
      <c r="N437">
        <v>0</v>
      </c>
      <c r="O437" t="str">
        <f t="shared" si="18"/>
        <v>Poor</v>
      </c>
      <c r="P437" t="str">
        <f t="shared" si="19"/>
        <v>Adult</v>
      </c>
      <c r="Q437" t="str">
        <f t="shared" si="20"/>
        <v>High Salary</v>
      </c>
    </row>
    <row r="438" spans="1:17" x14ac:dyDescent="0.25">
      <c r="A438">
        <v>550</v>
      </c>
      <c r="B438">
        <v>15600651</v>
      </c>
      <c r="C438" t="s">
        <v>469</v>
      </c>
      <c r="D438" t="s">
        <v>15</v>
      </c>
      <c r="E438" t="s">
        <v>23</v>
      </c>
      <c r="F438">
        <v>749</v>
      </c>
      <c r="G438">
        <v>24</v>
      </c>
      <c r="H438">
        <v>1</v>
      </c>
      <c r="I438">
        <v>0</v>
      </c>
      <c r="J438">
        <v>3</v>
      </c>
      <c r="K438">
        <v>1</v>
      </c>
      <c r="L438">
        <v>1</v>
      </c>
      <c r="M438">
        <v>47911.03</v>
      </c>
      <c r="N438">
        <v>0</v>
      </c>
      <c r="O438" t="str">
        <f t="shared" si="18"/>
        <v>Good</v>
      </c>
      <c r="P438" t="str">
        <f t="shared" si="19"/>
        <v>Young Adult</v>
      </c>
      <c r="Q438" t="str">
        <f t="shared" si="20"/>
        <v>Medium Salary</v>
      </c>
    </row>
    <row r="439" spans="1:17" x14ac:dyDescent="0.25">
      <c r="A439">
        <v>551</v>
      </c>
      <c r="B439">
        <v>15750141</v>
      </c>
      <c r="C439" t="s">
        <v>470</v>
      </c>
      <c r="D439" t="s">
        <v>26</v>
      </c>
      <c r="E439" t="s">
        <v>16</v>
      </c>
      <c r="F439">
        <v>721</v>
      </c>
      <c r="G439">
        <v>36</v>
      </c>
      <c r="H439">
        <v>3</v>
      </c>
      <c r="I439">
        <v>65253.07</v>
      </c>
      <c r="J439">
        <v>2</v>
      </c>
      <c r="K439">
        <v>1</v>
      </c>
      <c r="L439">
        <v>0</v>
      </c>
      <c r="M439">
        <v>28737.78</v>
      </c>
      <c r="N439">
        <v>0</v>
      </c>
      <c r="O439" t="str">
        <f t="shared" si="18"/>
        <v>Good</v>
      </c>
      <c r="P439" t="str">
        <f t="shared" si="19"/>
        <v>Adult</v>
      </c>
      <c r="Q439" t="str">
        <f t="shared" si="20"/>
        <v>Low Salary</v>
      </c>
    </row>
    <row r="440" spans="1:17" x14ac:dyDescent="0.25">
      <c r="A440">
        <v>553</v>
      </c>
      <c r="B440">
        <v>15763063</v>
      </c>
      <c r="C440" t="s">
        <v>471</v>
      </c>
      <c r="D440" t="s">
        <v>18</v>
      </c>
      <c r="E440" t="s">
        <v>16</v>
      </c>
      <c r="F440">
        <v>685</v>
      </c>
      <c r="G440">
        <v>25</v>
      </c>
      <c r="H440">
        <v>10</v>
      </c>
      <c r="I440">
        <v>128509.63</v>
      </c>
      <c r="J440">
        <v>1</v>
      </c>
      <c r="K440">
        <v>1</v>
      </c>
      <c r="L440">
        <v>0</v>
      </c>
      <c r="M440">
        <v>121562.33</v>
      </c>
      <c r="N440">
        <v>0</v>
      </c>
      <c r="O440" t="str">
        <f t="shared" si="18"/>
        <v>Good</v>
      </c>
      <c r="P440" t="str">
        <f t="shared" si="19"/>
        <v>Young Adult</v>
      </c>
      <c r="Q440" t="str">
        <f t="shared" si="20"/>
        <v>High Salary</v>
      </c>
    </row>
    <row r="441" spans="1:17" x14ac:dyDescent="0.25">
      <c r="A441">
        <v>554</v>
      </c>
      <c r="B441">
        <v>15709324</v>
      </c>
      <c r="C441" t="s">
        <v>472</v>
      </c>
      <c r="D441" t="s">
        <v>15</v>
      </c>
      <c r="E441" t="s">
        <v>23</v>
      </c>
      <c r="F441">
        <v>417</v>
      </c>
      <c r="G441">
        <v>34</v>
      </c>
      <c r="H441">
        <v>7</v>
      </c>
      <c r="I441">
        <v>0</v>
      </c>
      <c r="J441">
        <v>2</v>
      </c>
      <c r="K441">
        <v>1</v>
      </c>
      <c r="L441">
        <v>0</v>
      </c>
      <c r="M441">
        <v>55003.79</v>
      </c>
      <c r="N441">
        <v>0</v>
      </c>
      <c r="O441" t="str">
        <f t="shared" si="18"/>
        <v>Poor</v>
      </c>
      <c r="P441" t="str">
        <f t="shared" si="19"/>
        <v>Adult</v>
      </c>
      <c r="Q441" t="str">
        <f t="shared" si="20"/>
        <v>Medium Salary</v>
      </c>
    </row>
    <row r="442" spans="1:17" x14ac:dyDescent="0.25">
      <c r="A442">
        <v>555</v>
      </c>
      <c r="B442">
        <v>15711309</v>
      </c>
      <c r="C442" t="s">
        <v>473</v>
      </c>
      <c r="D442" t="s">
        <v>26</v>
      </c>
      <c r="E442" t="s">
        <v>23</v>
      </c>
      <c r="F442">
        <v>574</v>
      </c>
      <c r="G442">
        <v>33</v>
      </c>
      <c r="H442">
        <v>3</v>
      </c>
      <c r="I442">
        <v>129834.67</v>
      </c>
      <c r="J442">
        <v>1</v>
      </c>
      <c r="K442">
        <v>1</v>
      </c>
      <c r="L442">
        <v>0</v>
      </c>
      <c r="M442">
        <v>193131.42</v>
      </c>
      <c r="N442">
        <v>0</v>
      </c>
      <c r="O442" t="str">
        <f t="shared" si="18"/>
        <v>Poor</v>
      </c>
      <c r="P442" t="str">
        <f t="shared" si="19"/>
        <v>Adult</v>
      </c>
      <c r="Q442" t="str">
        <f t="shared" si="20"/>
        <v>High Salary</v>
      </c>
    </row>
    <row r="443" spans="1:17" x14ac:dyDescent="0.25">
      <c r="A443">
        <v>557</v>
      </c>
      <c r="B443">
        <v>15705515</v>
      </c>
      <c r="C443" t="s">
        <v>474</v>
      </c>
      <c r="D443" t="s">
        <v>26</v>
      </c>
      <c r="E443" t="s">
        <v>23</v>
      </c>
      <c r="F443">
        <v>587</v>
      </c>
      <c r="G443">
        <v>40</v>
      </c>
      <c r="H443">
        <v>5</v>
      </c>
      <c r="I443">
        <v>138241.9</v>
      </c>
      <c r="J443">
        <v>2</v>
      </c>
      <c r="K443">
        <v>1</v>
      </c>
      <c r="L443">
        <v>0</v>
      </c>
      <c r="M443">
        <v>159418.1</v>
      </c>
      <c r="N443">
        <v>0</v>
      </c>
      <c r="O443" t="str">
        <f t="shared" si="18"/>
        <v>Average</v>
      </c>
      <c r="P443" t="str">
        <f t="shared" si="19"/>
        <v>Adult</v>
      </c>
      <c r="Q443" t="str">
        <f t="shared" si="20"/>
        <v>High Salary</v>
      </c>
    </row>
    <row r="444" spans="1:17" x14ac:dyDescent="0.25">
      <c r="A444">
        <v>559</v>
      </c>
      <c r="B444">
        <v>15717046</v>
      </c>
      <c r="C444" t="s">
        <v>475</v>
      </c>
      <c r="D444" t="s">
        <v>18</v>
      </c>
      <c r="E444" t="s">
        <v>23</v>
      </c>
      <c r="F444">
        <v>741</v>
      </c>
      <c r="G444">
        <v>53</v>
      </c>
      <c r="H444">
        <v>3</v>
      </c>
      <c r="I444">
        <v>0</v>
      </c>
      <c r="J444">
        <v>2</v>
      </c>
      <c r="K444">
        <v>1</v>
      </c>
      <c r="L444">
        <v>1</v>
      </c>
      <c r="M444">
        <v>38913.68</v>
      </c>
      <c r="N444">
        <v>0</v>
      </c>
      <c r="O444" t="str">
        <f t="shared" si="18"/>
        <v>Good</v>
      </c>
      <c r="P444" t="str">
        <f t="shared" si="19"/>
        <v>Adult</v>
      </c>
      <c r="Q444" t="str">
        <f t="shared" si="20"/>
        <v>Medium Salary</v>
      </c>
    </row>
    <row r="445" spans="1:17" x14ac:dyDescent="0.25">
      <c r="A445">
        <v>560</v>
      </c>
      <c r="B445">
        <v>15571816</v>
      </c>
      <c r="C445" t="s">
        <v>109</v>
      </c>
      <c r="D445" t="s">
        <v>18</v>
      </c>
      <c r="E445" t="s">
        <v>16</v>
      </c>
      <c r="F445">
        <v>850</v>
      </c>
      <c r="G445">
        <v>70</v>
      </c>
      <c r="H445">
        <v>5</v>
      </c>
      <c r="I445">
        <v>0</v>
      </c>
      <c r="J445">
        <v>1</v>
      </c>
      <c r="K445">
        <v>1</v>
      </c>
      <c r="L445">
        <v>1</v>
      </c>
      <c r="M445">
        <v>705.18</v>
      </c>
      <c r="N445">
        <v>0</v>
      </c>
      <c r="O445" t="str">
        <f t="shared" si="18"/>
        <v>Good</v>
      </c>
      <c r="P445" t="str">
        <f t="shared" si="19"/>
        <v>Senior</v>
      </c>
      <c r="Q445" t="str">
        <f t="shared" si="20"/>
        <v>Low Salary</v>
      </c>
    </row>
    <row r="446" spans="1:17" x14ac:dyDescent="0.25">
      <c r="A446">
        <v>561</v>
      </c>
      <c r="B446">
        <v>15670080</v>
      </c>
      <c r="C446" t="s">
        <v>476</v>
      </c>
      <c r="D446" t="s">
        <v>26</v>
      </c>
      <c r="E446" t="s">
        <v>16</v>
      </c>
      <c r="F446">
        <v>584</v>
      </c>
      <c r="G446">
        <v>29</v>
      </c>
      <c r="H446">
        <v>7</v>
      </c>
      <c r="I446">
        <v>105204.01</v>
      </c>
      <c r="J446">
        <v>1</v>
      </c>
      <c r="K446">
        <v>0</v>
      </c>
      <c r="L446">
        <v>1</v>
      </c>
      <c r="M446">
        <v>138490.03</v>
      </c>
      <c r="N446">
        <v>0</v>
      </c>
      <c r="O446" t="str">
        <f t="shared" si="18"/>
        <v>Average</v>
      </c>
      <c r="P446" t="str">
        <f t="shared" si="19"/>
        <v>Young Adult</v>
      </c>
      <c r="Q446" t="str">
        <f t="shared" si="20"/>
        <v>High Salary</v>
      </c>
    </row>
    <row r="447" spans="1:17" x14ac:dyDescent="0.25">
      <c r="A447">
        <v>562</v>
      </c>
      <c r="B447">
        <v>15800440</v>
      </c>
      <c r="C447" t="s">
        <v>328</v>
      </c>
      <c r="D447" t="s">
        <v>18</v>
      </c>
      <c r="E447" t="s">
        <v>23</v>
      </c>
      <c r="F447">
        <v>650</v>
      </c>
      <c r="G447">
        <v>61</v>
      </c>
      <c r="H447">
        <v>1</v>
      </c>
      <c r="I447">
        <v>152968.73000000001</v>
      </c>
      <c r="J447">
        <v>1</v>
      </c>
      <c r="K447">
        <v>0</v>
      </c>
      <c r="L447">
        <v>1</v>
      </c>
      <c r="M447">
        <v>82970.69</v>
      </c>
      <c r="N447">
        <v>0</v>
      </c>
      <c r="O447" t="str">
        <f t="shared" si="18"/>
        <v>Average</v>
      </c>
      <c r="P447" t="str">
        <f t="shared" si="19"/>
        <v>Senior</v>
      </c>
      <c r="Q447" t="str">
        <f t="shared" si="20"/>
        <v>High Salary</v>
      </c>
    </row>
    <row r="448" spans="1:17" x14ac:dyDescent="0.25">
      <c r="A448">
        <v>563</v>
      </c>
      <c r="B448">
        <v>15665678</v>
      </c>
      <c r="C448" t="s">
        <v>213</v>
      </c>
      <c r="D448" t="s">
        <v>18</v>
      </c>
      <c r="E448" t="s">
        <v>23</v>
      </c>
      <c r="F448">
        <v>607</v>
      </c>
      <c r="G448">
        <v>36</v>
      </c>
      <c r="H448">
        <v>8</v>
      </c>
      <c r="I448">
        <v>158261.68</v>
      </c>
      <c r="J448">
        <v>1</v>
      </c>
      <c r="K448">
        <v>1</v>
      </c>
      <c r="L448">
        <v>1</v>
      </c>
      <c r="M448">
        <v>76744.72</v>
      </c>
      <c r="N448">
        <v>0</v>
      </c>
      <c r="O448" t="str">
        <f t="shared" si="18"/>
        <v>Average</v>
      </c>
      <c r="P448" t="str">
        <f t="shared" si="19"/>
        <v>Adult</v>
      </c>
      <c r="Q448" t="str">
        <f t="shared" si="20"/>
        <v>High Salary</v>
      </c>
    </row>
    <row r="449" spans="1:17" x14ac:dyDescent="0.25">
      <c r="A449">
        <v>565</v>
      </c>
      <c r="B449">
        <v>15788126</v>
      </c>
      <c r="C449" t="s">
        <v>412</v>
      </c>
      <c r="D449" t="s">
        <v>18</v>
      </c>
      <c r="E449" t="s">
        <v>16</v>
      </c>
      <c r="F449">
        <v>689</v>
      </c>
      <c r="G449">
        <v>38</v>
      </c>
      <c r="H449">
        <v>6</v>
      </c>
      <c r="I449">
        <v>121021.05</v>
      </c>
      <c r="J449">
        <v>1</v>
      </c>
      <c r="K449">
        <v>1</v>
      </c>
      <c r="L449">
        <v>1</v>
      </c>
      <c r="M449">
        <v>12182.15</v>
      </c>
      <c r="N449">
        <v>0</v>
      </c>
      <c r="O449" t="str">
        <f t="shared" si="18"/>
        <v>Good</v>
      </c>
      <c r="P449" t="str">
        <f t="shared" si="19"/>
        <v>Adult</v>
      </c>
      <c r="Q449" t="str">
        <f t="shared" si="20"/>
        <v>Low Salary</v>
      </c>
    </row>
    <row r="450" spans="1:17" x14ac:dyDescent="0.25">
      <c r="A450">
        <v>566</v>
      </c>
      <c r="B450">
        <v>15811773</v>
      </c>
      <c r="C450" t="s">
        <v>189</v>
      </c>
      <c r="D450" t="s">
        <v>15</v>
      </c>
      <c r="E450" t="s">
        <v>23</v>
      </c>
      <c r="F450">
        <v>543</v>
      </c>
      <c r="G450">
        <v>36</v>
      </c>
      <c r="H450">
        <v>4</v>
      </c>
      <c r="I450">
        <v>0</v>
      </c>
      <c r="J450">
        <v>2</v>
      </c>
      <c r="K450">
        <v>1</v>
      </c>
      <c r="L450">
        <v>1</v>
      </c>
      <c r="M450">
        <v>141210.5</v>
      </c>
      <c r="N450">
        <v>0</v>
      </c>
      <c r="O450" t="str">
        <f t="shared" si="18"/>
        <v>Poor</v>
      </c>
      <c r="P450" t="str">
        <f t="shared" si="19"/>
        <v>Adult</v>
      </c>
      <c r="Q450" t="str">
        <f t="shared" si="20"/>
        <v>High Salary</v>
      </c>
    </row>
    <row r="451" spans="1:17" x14ac:dyDescent="0.25">
      <c r="A451">
        <v>568</v>
      </c>
      <c r="B451">
        <v>15689614</v>
      </c>
      <c r="C451" t="s">
        <v>479</v>
      </c>
      <c r="D451" t="s">
        <v>18</v>
      </c>
      <c r="E451" t="s">
        <v>16</v>
      </c>
      <c r="F451">
        <v>687</v>
      </c>
      <c r="G451">
        <v>63</v>
      </c>
      <c r="H451">
        <v>1</v>
      </c>
      <c r="I451">
        <v>137715.66</v>
      </c>
      <c r="J451">
        <v>1</v>
      </c>
      <c r="K451">
        <v>1</v>
      </c>
      <c r="L451">
        <v>1</v>
      </c>
      <c r="M451">
        <v>37938.74</v>
      </c>
      <c r="N451">
        <v>0</v>
      </c>
      <c r="O451" t="str">
        <f t="shared" ref="O451:O514" si="21">IF(F451&lt;580, "Poor", IF(AND(F451&gt;=580, F451&lt;=669), "Average", "Good"))</f>
        <v>Good</v>
      </c>
      <c r="P451" t="str">
        <f t="shared" ref="P451:P514" si="22">IF(G451&lt;=30, "Young Adult", IF(AND(G451&gt;=31, G451&lt;=60), "Adult", "Senior"))</f>
        <v>Senior</v>
      </c>
      <c r="Q451" t="str">
        <f t="shared" ref="Q451:Q514" si="23">IF(M451&lt;30000, "Low Salary", IF(AND(M451&gt;=30000, M451&lt;=70000), "Medium Salary", "High Salary"))</f>
        <v>Medium Salary</v>
      </c>
    </row>
    <row r="452" spans="1:17" x14ac:dyDescent="0.25">
      <c r="A452">
        <v>569</v>
      </c>
      <c r="B452">
        <v>15795564</v>
      </c>
      <c r="C452" t="s">
        <v>480</v>
      </c>
      <c r="D452" t="s">
        <v>26</v>
      </c>
      <c r="E452" t="s">
        <v>23</v>
      </c>
      <c r="F452">
        <v>737</v>
      </c>
      <c r="G452">
        <v>31</v>
      </c>
      <c r="H452">
        <v>5</v>
      </c>
      <c r="I452">
        <v>121192.22</v>
      </c>
      <c r="J452">
        <v>2</v>
      </c>
      <c r="K452">
        <v>1</v>
      </c>
      <c r="L452">
        <v>1</v>
      </c>
      <c r="M452">
        <v>74890.58</v>
      </c>
      <c r="N452">
        <v>0</v>
      </c>
      <c r="O452" t="str">
        <f t="shared" si="21"/>
        <v>Good</v>
      </c>
      <c r="P452" t="str">
        <f t="shared" si="22"/>
        <v>Adult</v>
      </c>
      <c r="Q452" t="str">
        <f t="shared" si="23"/>
        <v>High Salary</v>
      </c>
    </row>
    <row r="453" spans="1:17" x14ac:dyDescent="0.25">
      <c r="A453">
        <v>570</v>
      </c>
      <c r="B453">
        <v>15706647</v>
      </c>
      <c r="C453" t="s">
        <v>481</v>
      </c>
      <c r="D453" t="s">
        <v>15</v>
      </c>
      <c r="E453" t="s">
        <v>23</v>
      </c>
      <c r="F453">
        <v>761</v>
      </c>
      <c r="G453">
        <v>31</v>
      </c>
      <c r="H453">
        <v>7</v>
      </c>
      <c r="I453">
        <v>0</v>
      </c>
      <c r="J453">
        <v>3</v>
      </c>
      <c r="K453">
        <v>1</v>
      </c>
      <c r="L453">
        <v>1</v>
      </c>
      <c r="M453">
        <v>166698.18</v>
      </c>
      <c r="N453">
        <v>0</v>
      </c>
      <c r="O453" t="str">
        <f t="shared" si="21"/>
        <v>Good</v>
      </c>
      <c r="P453" t="str">
        <f t="shared" si="22"/>
        <v>Adult</v>
      </c>
      <c r="Q453" t="str">
        <f t="shared" si="23"/>
        <v>High Salary</v>
      </c>
    </row>
    <row r="454" spans="1:17" x14ac:dyDescent="0.25">
      <c r="A454">
        <v>571</v>
      </c>
      <c r="B454">
        <v>15728505</v>
      </c>
      <c r="C454" t="s">
        <v>482</v>
      </c>
      <c r="D454" t="s">
        <v>15</v>
      </c>
      <c r="E454" t="s">
        <v>23</v>
      </c>
      <c r="F454">
        <v>601</v>
      </c>
      <c r="G454">
        <v>44</v>
      </c>
      <c r="H454">
        <v>1</v>
      </c>
      <c r="I454">
        <v>100486.18</v>
      </c>
      <c r="J454">
        <v>2</v>
      </c>
      <c r="K454">
        <v>1</v>
      </c>
      <c r="L454">
        <v>1</v>
      </c>
      <c r="M454">
        <v>62678.53</v>
      </c>
      <c r="N454">
        <v>0</v>
      </c>
      <c r="O454" t="str">
        <f t="shared" si="21"/>
        <v>Average</v>
      </c>
      <c r="P454" t="str">
        <f t="shared" si="22"/>
        <v>Adult</v>
      </c>
      <c r="Q454" t="str">
        <f t="shared" si="23"/>
        <v>Medium Salary</v>
      </c>
    </row>
    <row r="455" spans="1:17" x14ac:dyDescent="0.25">
      <c r="A455">
        <v>573</v>
      </c>
      <c r="B455">
        <v>15622003</v>
      </c>
      <c r="C455" t="s">
        <v>427</v>
      </c>
      <c r="D455" t="s">
        <v>15</v>
      </c>
      <c r="E455" t="s">
        <v>23</v>
      </c>
      <c r="F455">
        <v>745</v>
      </c>
      <c r="G455">
        <v>35</v>
      </c>
      <c r="H455">
        <v>9</v>
      </c>
      <c r="I455">
        <v>92566.53</v>
      </c>
      <c r="J455">
        <v>2</v>
      </c>
      <c r="K455">
        <v>1</v>
      </c>
      <c r="L455">
        <v>0</v>
      </c>
      <c r="M455">
        <v>161519.76999999999</v>
      </c>
      <c r="N455">
        <v>0</v>
      </c>
      <c r="O455" t="str">
        <f t="shared" si="21"/>
        <v>Good</v>
      </c>
      <c r="P455" t="str">
        <f t="shared" si="22"/>
        <v>Adult</v>
      </c>
      <c r="Q455" t="str">
        <f t="shared" si="23"/>
        <v>High Salary</v>
      </c>
    </row>
    <row r="456" spans="1:17" x14ac:dyDescent="0.25">
      <c r="A456">
        <v>575</v>
      </c>
      <c r="B456">
        <v>15644753</v>
      </c>
      <c r="C456" t="s">
        <v>118</v>
      </c>
      <c r="D456" t="s">
        <v>18</v>
      </c>
      <c r="E456" t="s">
        <v>23</v>
      </c>
      <c r="F456">
        <v>848</v>
      </c>
      <c r="G456">
        <v>40</v>
      </c>
      <c r="H456">
        <v>3</v>
      </c>
      <c r="I456">
        <v>110929.96</v>
      </c>
      <c r="J456">
        <v>1</v>
      </c>
      <c r="K456">
        <v>1</v>
      </c>
      <c r="L456">
        <v>1</v>
      </c>
      <c r="M456">
        <v>30876.84</v>
      </c>
      <c r="N456">
        <v>0</v>
      </c>
      <c r="O456" t="str">
        <f t="shared" si="21"/>
        <v>Good</v>
      </c>
      <c r="P456" t="str">
        <f t="shared" si="22"/>
        <v>Adult</v>
      </c>
      <c r="Q456" t="str">
        <f t="shared" si="23"/>
        <v>Medium Salary</v>
      </c>
    </row>
    <row r="457" spans="1:17" x14ac:dyDescent="0.25">
      <c r="A457">
        <v>576</v>
      </c>
      <c r="B457">
        <v>15653620</v>
      </c>
      <c r="C457" t="s">
        <v>304</v>
      </c>
      <c r="D457" t="s">
        <v>15</v>
      </c>
      <c r="E457" t="s">
        <v>16</v>
      </c>
      <c r="F457">
        <v>546</v>
      </c>
      <c r="G457">
        <v>27</v>
      </c>
      <c r="H457">
        <v>8</v>
      </c>
      <c r="I457">
        <v>0</v>
      </c>
      <c r="J457">
        <v>2</v>
      </c>
      <c r="K457">
        <v>1</v>
      </c>
      <c r="L457">
        <v>1</v>
      </c>
      <c r="M457">
        <v>14858.1</v>
      </c>
      <c r="N457">
        <v>0</v>
      </c>
      <c r="O457" t="str">
        <f t="shared" si="21"/>
        <v>Poor</v>
      </c>
      <c r="P457" t="str">
        <f t="shared" si="22"/>
        <v>Young Adult</v>
      </c>
      <c r="Q457" t="str">
        <f t="shared" si="23"/>
        <v>Low Salary</v>
      </c>
    </row>
    <row r="458" spans="1:17" x14ac:dyDescent="0.25">
      <c r="A458">
        <v>577</v>
      </c>
      <c r="B458">
        <v>15761986</v>
      </c>
      <c r="C458" t="s">
        <v>484</v>
      </c>
      <c r="D458" t="s">
        <v>18</v>
      </c>
      <c r="E458" t="s">
        <v>16</v>
      </c>
      <c r="F458">
        <v>439</v>
      </c>
      <c r="G458">
        <v>32</v>
      </c>
      <c r="H458">
        <v>3</v>
      </c>
      <c r="I458">
        <v>138901.60999999999</v>
      </c>
      <c r="J458">
        <v>1</v>
      </c>
      <c r="K458">
        <v>1</v>
      </c>
      <c r="L458">
        <v>0</v>
      </c>
      <c r="M458">
        <v>75685.97</v>
      </c>
      <c r="N458">
        <v>0</v>
      </c>
      <c r="O458" t="str">
        <f t="shared" si="21"/>
        <v>Poor</v>
      </c>
      <c r="P458" t="str">
        <f t="shared" si="22"/>
        <v>Adult</v>
      </c>
      <c r="Q458" t="str">
        <f t="shared" si="23"/>
        <v>High Salary</v>
      </c>
    </row>
    <row r="459" spans="1:17" x14ac:dyDescent="0.25">
      <c r="A459">
        <v>578</v>
      </c>
      <c r="B459">
        <v>15633922</v>
      </c>
      <c r="C459" t="s">
        <v>485</v>
      </c>
      <c r="D459" t="s">
        <v>15</v>
      </c>
      <c r="E459" t="s">
        <v>23</v>
      </c>
      <c r="F459">
        <v>755</v>
      </c>
      <c r="G459">
        <v>30</v>
      </c>
      <c r="H459">
        <v>4</v>
      </c>
      <c r="I459">
        <v>123217.66</v>
      </c>
      <c r="J459">
        <v>2</v>
      </c>
      <c r="K459">
        <v>0</v>
      </c>
      <c r="L459">
        <v>1</v>
      </c>
      <c r="M459">
        <v>144183.1</v>
      </c>
      <c r="N459">
        <v>0</v>
      </c>
      <c r="O459" t="str">
        <f t="shared" si="21"/>
        <v>Good</v>
      </c>
      <c r="P459" t="str">
        <f t="shared" si="22"/>
        <v>Young Adult</v>
      </c>
      <c r="Q459" t="str">
        <f t="shared" si="23"/>
        <v>High Salary</v>
      </c>
    </row>
    <row r="460" spans="1:17" x14ac:dyDescent="0.25">
      <c r="A460">
        <v>579</v>
      </c>
      <c r="B460">
        <v>15734674</v>
      </c>
      <c r="C460" t="s">
        <v>486</v>
      </c>
      <c r="D460" t="s">
        <v>15</v>
      </c>
      <c r="E460" t="s">
        <v>16</v>
      </c>
      <c r="F460">
        <v>593</v>
      </c>
      <c r="G460">
        <v>41</v>
      </c>
      <c r="H460">
        <v>6</v>
      </c>
      <c r="I460">
        <v>0</v>
      </c>
      <c r="J460">
        <v>1</v>
      </c>
      <c r="K460">
        <v>1</v>
      </c>
      <c r="L460">
        <v>0</v>
      </c>
      <c r="M460">
        <v>65170.66</v>
      </c>
      <c r="N460">
        <v>0</v>
      </c>
      <c r="O460" t="str">
        <f t="shared" si="21"/>
        <v>Average</v>
      </c>
      <c r="P460" t="str">
        <f t="shared" si="22"/>
        <v>Adult</v>
      </c>
      <c r="Q460" t="str">
        <f t="shared" si="23"/>
        <v>Medium Salary</v>
      </c>
    </row>
    <row r="461" spans="1:17" x14ac:dyDescent="0.25">
      <c r="A461">
        <v>580</v>
      </c>
      <c r="B461">
        <v>15658032</v>
      </c>
      <c r="C461" t="s">
        <v>487</v>
      </c>
      <c r="D461" t="s">
        <v>15</v>
      </c>
      <c r="E461" t="s">
        <v>23</v>
      </c>
      <c r="F461">
        <v>701</v>
      </c>
      <c r="G461">
        <v>39</v>
      </c>
      <c r="H461">
        <v>2</v>
      </c>
      <c r="I461">
        <v>0</v>
      </c>
      <c r="J461">
        <v>2</v>
      </c>
      <c r="K461">
        <v>1</v>
      </c>
      <c r="L461">
        <v>1</v>
      </c>
      <c r="M461">
        <v>82526.92</v>
      </c>
      <c r="N461">
        <v>0</v>
      </c>
      <c r="O461" t="str">
        <f t="shared" si="21"/>
        <v>Good</v>
      </c>
      <c r="P461" t="str">
        <f t="shared" si="22"/>
        <v>Adult</v>
      </c>
      <c r="Q461" t="str">
        <f t="shared" si="23"/>
        <v>High Salary</v>
      </c>
    </row>
    <row r="462" spans="1:17" x14ac:dyDescent="0.25">
      <c r="A462">
        <v>581</v>
      </c>
      <c r="B462">
        <v>15692671</v>
      </c>
      <c r="C462" t="s">
        <v>488</v>
      </c>
      <c r="D462" t="s">
        <v>18</v>
      </c>
      <c r="E462" t="s">
        <v>23</v>
      </c>
      <c r="F462">
        <v>701</v>
      </c>
      <c r="G462">
        <v>36</v>
      </c>
      <c r="H462">
        <v>8</v>
      </c>
      <c r="I462">
        <v>0</v>
      </c>
      <c r="J462">
        <v>2</v>
      </c>
      <c r="K462">
        <v>1</v>
      </c>
      <c r="L462">
        <v>0</v>
      </c>
      <c r="M462">
        <v>169161.46</v>
      </c>
      <c r="N462">
        <v>0</v>
      </c>
      <c r="O462" t="str">
        <f t="shared" si="21"/>
        <v>Good</v>
      </c>
      <c r="P462" t="str">
        <f t="shared" si="22"/>
        <v>Adult</v>
      </c>
      <c r="Q462" t="str">
        <f t="shared" si="23"/>
        <v>High Salary</v>
      </c>
    </row>
    <row r="463" spans="1:17" x14ac:dyDescent="0.25">
      <c r="A463">
        <v>583</v>
      </c>
      <c r="B463">
        <v>15576352</v>
      </c>
      <c r="C463" t="s">
        <v>490</v>
      </c>
      <c r="D463" t="s">
        <v>18</v>
      </c>
      <c r="E463" t="s">
        <v>16</v>
      </c>
      <c r="F463">
        <v>586</v>
      </c>
      <c r="G463">
        <v>57</v>
      </c>
      <c r="H463">
        <v>3</v>
      </c>
      <c r="I463">
        <v>0</v>
      </c>
      <c r="J463">
        <v>2</v>
      </c>
      <c r="K463">
        <v>0</v>
      </c>
      <c r="L463">
        <v>1</v>
      </c>
      <c r="M463">
        <v>6057.81</v>
      </c>
      <c r="N463">
        <v>0</v>
      </c>
      <c r="O463" t="str">
        <f t="shared" si="21"/>
        <v>Average</v>
      </c>
      <c r="P463" t="str">
        <f t="shared" si="22"/>
        <v>Adult</v>
      </c>
      <c r="Q463" t="str">
        <f t="shared" si="23"/>
        <v>Low Salary</v>
      </c>
    </row>
    <row r="464" spans="1:17" x14ac:dyDescent="0.25">
      <c r="A464">
        <v>584</v>
      </c>
      <c r="B464">
        <v>15753719</v>
      </c>
      <c r="C464" t="s">
        <v>491</v>
      </c>
      <c r="D464" t="s">
        <v>26</v>
      </c>
      <c r="E464" t="s">
        <v>16</v>
      </c>
      <c r="F464">
        <v>547</v>
      </c>
      <c r="G464">
        <v>30</v>
      </c>
      <c r="H464">
        <v>9</v>
      </c>
      <c r="I464">
        <v>72392.41</v>
      </c>
      <c r="J464">
        <v>1</v>
      </c>
      <c r="K464">
        <v>1</v>
      </c>
      <c r="L464">
        <v>0</v>
      </c>
      <c r="M464">
        <v>77077.14</v>
      </c>
      <c r="N464">
        <v>0</v>
      </c>
      <c r="O464" t="str">
        <f t="shared" si="21"/>
        <v>Poor</v>
      </c>
      <c r="P464" t="str">
        <f t="shared" si="22"/>
        <v>Young Adult</v>
      </c>
      <c r="Q464" t="str">
        <f t="shared" si="23"/>
        <v>High Salary</v>
      </c>
    </row>
    <row r="465" spans="1:17" x14ac:dyDescent="0.25">
      <c r="A465">
        <v>588</v>
      </c>
      <c r="B465">
        <v>15680998</v>
      </c>
      <c r="C465" t="s">
        <v>495</v>
      </c>
      <c r="D465" t="s">
        <v>15</v>
      </c>
      <c r="E465" t="s">
        <v>23</v>
      </c>
      <c r="F465">
        <v>725</v>
      </c>
      <c r="G465">
        <v>44</v>
      </c>
      <c r="H465">
        <v>5</v>
      </c>
      <c r="I465">
        <v>0</v>
      </c>
      <c r="J465">
        <v>1</v>
      </c>
      <c r="K465">
        <v>1</v>
      </c>
      <c r="L465">
        <v>1</v>
      </c>
      <c r="M465">
        <v>117356.14</v>
      </c>
      <c r="N465">
        <v>0</v>
      </c>
      <c r="O465" t="str">
        <f t="shared" si="21"/>
        <v>Good</v>
      </c>
      <c r="P465" t="str">
        <f t="shared" si="22"/>
        <v>Adult</v>
      </c>
      <c r="Q465" t="str">
        <f t="shared" si="23"/>
        <v>High Salary</v>
      </c>
    </row>
    <row r="466" spans="1:17" x14ac:dyDescent="0.25">
      <c r="A466">
        <v>589</v>
      </c>
      <c r="B466">
        <v>15614782</v>
      </c>
      <c r="C466" t="s">
        <v>38</v>
      </c>
      <c r="D466" t="s">
        <v>15</v>
      </c>
      <c r="E466" t="s">
        <v>23</v>
      </c>
      <c r="F466">
        <v>526</v>
      </c>
      <c r="G466">
        <v>36</v>
      </c>
      <c r="H466">
        <v>1</v>
      </c>
      <c r="I466">
        <v>0</v>
      </c>
      <c r="J466">
        <v>1</v>
      </c>
      <c r="K466">
        <v>1</v>
      </c>
      <c r="L466">
        <v>0</v>
      </c>
      <c r="M466">
        <v>160696.72</v>
      </c>
      <c r="N466">
        <v>0</v>
      </c>
      <c r="O466" t="str">
        <f t="shared" si="21"/>
        <v>Poor</v>
      </c>
      <c r="P466" t="str">
        <f t="shared" si="22"/>
        <v>Adult</v>
      </c>
      <c r="Q466" t="str">
        <f t="shared" si="23"/>
        <v>High Salary</v>
      </c>
    </row>
    <row r="467" spans="1:17" x14ac:dyDescent="0.25">
      <c r="A467">
        <v>592</v>
      </c>
      <c r="B467">
        <v>15604044</v>
      </c>
      <c r="C467" t="s">
        <v>21</v>
      </c>
      <c r="D467" t="s">
        <v>15</v>
      </c>
      <c r="E467" t="s">
        <v>23</v>
      </c>
      <c r="F467">
        <v>700</v>
      </c>
      <c r="G467">
        <v>38</v>
      </c>
      <c r="H467">
        <v>8</v>
      </c>
      <c r="I467">
        <v>134811.29999999999</v>
      </c>
      <c r="J467">
        <v>1</v>
      </c>
      <c r="K467">
        <v>1</v>
      </c>
      <c r="L467">
        <v>0</v>
      </c>
      <c r="M467">
        <v>1299.75</v>
      </c>
      <c r="N467">
        <v>0</v>
      </c>
      <c r="O467" t="str">
        <f t="shared" si="21"/>
        <v>Good</v>
      </c>
      <c r="P467" t="str">
        <f t="shared" si="22"/>
        <v>Adult</v>
      </c>
      <c r="Q467" t="str">
        <f t="shared" si="23"/>
        <v>Low Salary</v>
      </c>
    </row>
    <row r="468" spans="1:17" x14ac:dyDescent="0.25">
      <c r="A468">
        <v>593</v>
      </c>
      <c r="B468">
        <v>15679587</v>
      </c>
      <c r="C468" t="s">
        <v>497</v>
      </c>
      <c r="D468" t="s">
        <v>15</v>
      </c>
      <c r="E468" t="s">
        <v>16</v>
      </c>
      <c r="F468">
        <v>666</v>
      </c>
      <c r="G468">
        <v>34</v>
      </c>
      <c r="H468">
        <v>9</v>
      </c>
      <c r="I468">
        <v>115897.12</v>
      </c>
      <c r="J468">
        <v>1</v>
      </c>
      <c r="K468">
        <v>1</v>
      </c>
      <c r="L468">
        <v>1</v>
      </c>
      <c r="M468">
        <v>25095.03</v>
      </c>
      <c r="N468">
        <v>0</v>
      </c>
      <c r="O468" t="str">
        <f t="shared" si="21"/>
        <v>Average</v>
      </c>
      <c r="P468" t="str">
        <f t="shared" si="22"/>
        <v>Adult</v>
      </c>
      <c r="Q468" t="str">
        <f t="shared" si="23"/>
        <v>Low Salary</v>
      </c>
    </row>
    <row r="469" spans="1:17" x14ac:dyDescent="0.25">
      <c r="A469">
        <v>594</v>
      </c>
      <c r="B469">
        <v>15775153</v>
      </c>
      <c r="C469" t="s">
        <v>498</v>
      </c>
      <c r="D469" t="s">
        <v>18</v>
      </c>
      <c r="E469" t="s">
        <v>23</v>
      </c>
      <c r="F469">
        <v>630</v>
      </c>
      <c r="G469">
        <v>32</v>
      </c>
      <c r="H469">
        <v>4</v>
      </c>
      <c r="I469">
        <v>82034</v>
      </c>
      <c r="J469">
        <v>1</v>
      </c>
      <c r="K469">
        <v>0</v>
      </c>
      <c r="L469">
        <v>0</v>
      </c>
      <c r="M469">
        <v>146326.45000000001</v>
      </c>
      <c r="N469">
        <v>0</v>
      </c>
      <c r="O469" t="str">
        <f t="shared" si="21"/>
        <v>Average</v>
      </c>
      <c r="P469" t="str">
        <f t="shared" si="22"/>
        <v>Adult</v>
      </c>
      <c r="Q469" t="str">
        <f t="shared" si="23"/>
        <v>High Salary</v>
      </c>
    </row>
    <row r="470" spans="1:17" x14ac:dyDescent="0.25">
      <c r="A470">
        <v>595</v>
      </c>
      <c r="B470">
        <v>15603925</v>
      </c>
      <c r="C470" t="s">
        <v>352</v>
      </c>
      <c r="D470" t="s">
        <v>18</v>
      </c>
      <c r="E470" t="s">
        <v>16</v>
      </c>
      <c r="F470">
        <v>779</v>
      </c>
      <c r="G470">
        <v>26</v>
      </c>
      <c r="H470">
        <v>4</v>
      </c>
      <c r="I470">
        <v>174318.13</v>
      </c>
      <c r="J470">
        <v>2</v>
      </c>
      <c r="K470">
        <v>0</v>
      </c>
      <c r="L470">
        <v>1</v>
      </c>
      <c r="M470">
        <v>38296.21</v>
      </c>
      <c r="N470">
        <v>0</v>
      </c>
      <c r="O470" t="str">
        <f t="shared" si="21"/>
        <v>Good</v>
      </c>
      <c r="P470" t="str">
        <f t="shared" si="22"/>
        <v>Young Adult</v>
      </c>
      <c r="Q470" t="str">
        <f t="shared" si="23"/>
        <v>Medium Salary</v>
      </c>
    </row>
    <row r="471" spans="1:17" x14ac:dyDescent="0.25">
      <c r="A471">
        <v>596</v>
      </c>
      <c r="B471">
        <v>15680970</v>
      </c>
      <c r="C471" t="s">
        <v>499</v>
      </c>
      <c r="D471" t="s">
        <v>26</v>
      </c>
      <c r="E471" t="s">
        <v>16</v>
      </c>
      <c r="F471">
        <v>611</v>
      </c>
      <c r="G471">
        <v>41</v>
      </c>
      <c r="H471">
        <v>2</v>
      </c>
      <c r="I471">
        <v>114206.84</v>
      </c>
      <c r="J471">
        <v>1</v>
      </c>
      <c r="K471">
        <v>1</v>
      </c>
      <c r="L471">
        <v>0</v>
      </c>
      <c r="M471">
        <v>164061.6</v>
      </c>
      <c r="N471">
        <v>0</v>
      </c>
      <c r="O471" t="str">
        <f t="shared" si="21"/>
        <v>Average</v>
      </c>
      <c r="P471" t="str">
        <f t="shared" si="22"/>
        <v>Adult</v>
      </c>
      <c r="Q471" t="str">
        <f t="shared" si="23"/>
        <v>High Salary</v>
      </c>
    </row>
    <row r="472" spans="1:17" x14ac:dyDescent="0.25">
      <c r="A472">
        <v>597</v>
      </c>
      <c r="B472">
        <v>15697183</v>
      </c>
      <c r="C472" t="s">
        <v>500</v>
      </c>
      <c r="D472" t="s">
        <v>18</v>
      </c>
      <c r="E472" t="s">
        <v>23</v>
      </c>
      <c r="F472">
        <v>685</v>
      </c>
      <c r="G472">
        <v>43</v>
      </c>
      <c r="H472">
        <v>9</v>
      </c>
      <c r="I472">
        <v>0</v>
      </c>
      <c r="J472">
        <v>2</v>
      </c>
      <c r="K472">
        <v>1</v>
      </c>
      <c r="L472">
        <v>0</v>
      </c>
      <c r="M472">
        <v>107811.28</v>
      </c>
      <c r="N472">
        <v>0</v>
      </c>
      <c r="O472" t="str">
        <f t="shared" si="21"/>
        <v>Good</v>
      </c>
      <c r="P472" t="str">
        <f t="shared" si="22"/>
        <v>Adult</v>
      </c>
      <c r="Q472" t="str">
        <f t="shared" si="23"/>
        <v>High Salary</v>
      </c>
    </row>
    <row r="473" spans="1:17" x14ac:dyDescent="0.25">
      <c r="A473">
        <v>598</v>
      </c>
      <c r="B473">
        <v>15567446</v>
      </c>
      <c r="C473" t="s">
        <v>501</v>
      </c>
      <c r="D473" t="s">
        <v>26</v>
      </c>
      <c r="E473" t="s">
        <v>23</v>
      </c>
      <c r="F473">
        <v>646</v>
      </c>
      <c r="G473">
        <v>39</v>
      </c>
      <c r="H473">
        <v>9</v>
      </c>
      <c r="I473">
        <v>111574.41</v>
      </c>
      <c r="J473">
        <v>1</v>
      </c>
      <c r="K473">
        <v>1</v>
      </c>
      <c r="L473">
        <v>1</v>
      </c>
      <c r="M473">
        <v>30838.51</v>
      </c>
      <c r="N473">
        <v>0</v>
      </c>
      <c r="O473" t="str">
        <f t="shared" si="21"/>
        <v>Average</v>
      </c>
      <c r="P473" t="str">
        <f t="shared" si="22"/>
        <v>Adult</v>
      </c>
      <c r="Q473" t="str">
        <f t="shared" si="23"/>
        <v>Medium Salary</v>
      </c>
    </row>
    <row r="474" spans="1:17" x14ac:dyDescent="0.25">
      <c r="A474">
        <v>600</v>
      </c>
      <c r="B474">
        <v>15714939</v>
      </c>
      <c r="C474" t="s">
        <v>503</v>
      </c>
      <c r="D474" t="s">
        <v>26</v>
      </c>
      <c r="E474" t="s">
        <v>16</v>
      </c>
      <c r="F474">
        <v>484</v>
      </c>
      <c r="G474">
        <v>34</v>
      </c>
      <c r="H474">
        <v>4</v>
      </c>
      <c r="I474">
        <v>148249.54</v>
      </c>
      <c r="J474">
        <v>1</v>
      </c>
      <c r="K474">
        <v>0</v>
      </c>
      <c r="L474">
        <v>1</v>
      </c>
      <c r="M474">
        <v>33738.269999999997</v>
      </c>
      <c r="N474">
        <v>0</v>
      </c>
      <c r="O474" t="str">
        <f t="shared" si="21"/>
        <v>Poor</v>
      </c>
      <c r="P474" t="str">
        <f t="shared" si="22"/>
        <v>Adult</v>
      </c>
      <c r="Q474" t="str">
        <f t="shared" si="23"/>
        <v>Medium Salary</v>
      </c>
    </row>
    <row r="475" spans="1:17" x14ac:dyDescent="0.25">
      <c r="A475">
        <v>602</v>
      </c>
      <c r="B475">
        <v>15645569</v>
      </c>
      <c r="C475" t="s">
        <v>460</v>
      </c>
      <c r="D475" t="s">
        <v>18</v>
      </c>
      <c r="E475" t="s">
        <v>16</v>
      </c>
      <c r="F475">
        <v>762</v>
      </c>
      <c r="G475">
        <v>26</v>
      </c>
      <c r="H475">
        <v>7</v>
      </c>
      <c r="I475">
        <v>123709.46</v>
      </c>
      <c r="J475">
        <v>2</v>
      </c>
      <c r="K475">
        <v>1</v>
      </c>
      <c r="L475">
        <v>1</v>
      </c>
      <c r="M475">
        <v>169654.57</v>
      </c>
      <c r="N475">
        <v>0</v>
      </c>
      <c r="O475" t="str">
        <f t="shared" si="21"/>
        <v>Good</v>
      </c>
      <c r="P475" t="str">
        <f t="shared" si="22"/>
        <v>Young Adult</v>
      </c>
      <c r="Q475" t="str">
        <f t="shared" si="23"/>
        <v>High Salary</v>
      </c>
    </row>
    <row r="476" spans="1:17" x14ac:dyDescent="0.25">
      <c r="A476">
        <v>603</v>
      </c>
      <c r="B476">
        <v>15782569</v>
      </c>
      <c r="C476" t="s">
        <v>505</v>
      </c>
      <c r="D476" t="s">
        <v>15</v>
      </c>
      <c r="E476" t="s">
        <v>16</v>
      </c>
      <c r="F476">
        <v>687</v>
      </c>
      <c r="G476">
        <v>72</v>
      </c>
      <c r="H476">
        <v>9</v>
      </c>
      <c r="I476">
        <v>0</v>
      </c>
      <c r="J476">
        <v>1</v>
      </c>
      <c r="K476">
        <v>0</v>
      </c>
      <c r="L476">
        <v>1</v>
      </c>
      <c r="M476">
        <v>69829.399999999994</v>
      </c>
      <c r="N476">
        <v>0</v>
      </c>
      <c r="O476" t="str">
        <f t="shared" si="21"/>
        <v>Good</v>
      </c>
      <c r="P476" t="str">
        <f t="shared" si="22"/>
        <v>Senior</v>
      </c>
      <c r="Q476" t="str">
        <f t="shared" si="23"/>
        <v>Medium Salary</v>
      </c>
    </row>
    <row r="477" spans="1:17" x14ac:dyDescent="0.25">
      <c r="A477">
        <v>605</v>
      </c>
      <c r="B477">
        <v>15609286</v>
      </c>
      <c r="C477" t="s">
        <v>507</v>
      </c>
      <c r="D477" t="s">
        <v>15</v>
      </c>
      <c r="E477" t="s">
        <v>23</v>
      </c>
      <c r="F477">
        <v>702</v>
      </c>
      <c r="G477">
        <v>37</v>
      </c>
      <c r="H477">
        <v>10</v>
      </c>
      <c r="I477">
        <v>150525.79999999999</v>
      </c>
      <c r="J477">
        <v>1</v>
      </c>
      <c r="K477">
        <v>1</v>
      </c>
      <c r="L477">
        <v>1</v>
      </c>
      <c r="M477">
        <v>94728.49</v>
      </c>
      <c r="N477">
        <v>0</v>
      </c>
      <c r="O477" t="str">
        <f t="shared" si="21"/>
        <v>Good</v>
      </c>
      <c r="P477" t="str">
        <f t="shared" si="22"/>
        <v>Adult</v>
      </c>
      <c r="Q477" t="str">
        <f t="shared" si="23"/>
        <v>High Salary</v>
      </c>
    </row>
    <row r="478" spans="1:17" x14ac:dyDescent="0.25">
      <c r="A478">
        <v>606</v>
      </c>
      <c r="B478">
        <v>15814035</v>
      </c>
      <c r="C478" t="s">
        <v>508</v>
      </c>
      <c r="D478" t="s">
        <v>15</v>
      </c>
      <c r="E478" t="s">
        <v>23</v>
      </c>
      <c r="F478">
        <v>601</v>
      </c>
      <c r="G478">
        <v>29</v>
      </c>
      <c r="H478">
        <v>9</v>
      </c>
      <c r="I478">
        <v>0</v>
      </c>
      <c r="J478">
        <v>1</v>
      </c>
      <c r="K478">
        <v>1</v>
      </c>
      <c r="L478">
        <v>1</v>
      </c>
      <c r="M478">
        <v>80393.27</v>
      </c>
      <c r="N478">
        <v>0</v>
      </c>
      <c r="O478" t="str">
        <f t="shared" si="21"/>
        <v>Average</v>
      </c>
      <c r="P478" t="str">
        <f t="shared" si="22"/>
        <v>Young Adult</v>
      </c>
      <c r="Q478" t="str">
        <f t="shared" si="23"/>
        <v>High Salary</v>
      </c>
    </row>
    <row r="479" spans="1:17" x14ac:dyDescent="0.25">
      <c r="A479">
        <v>607</v>
      </c>
      <c r="B479">
        <v>15661249</v>
      </c>
      <c r="C479" t="s">
        <v>509</v>
      </c>
      <c r="D479" t="s">
        <v>15</v>
      </c>
      <c r="E479" t="s">
        <v>23</v>
      </c>
      <c r="F479">
        <v>699</v>
      </c>
      <c r="G479">
        <v>53</v>
      </c>
      <c r="H479">
        <v>4</v>
      </c>
      <c r="I479">
        <v>0</v>
      </c>
      <c r="J479">
        <v>2</v>
      </c>
      <c r="K479">
        <v>0</v>
      </c>
      <c r="L479">
        <v>1</v>
      </c>
      <c r="M479">
        <v>111307.98</v>
      </c>
      <c r="N479">
        <v>0</v>
      </c>
      <c r="O479" t="str">
        <f t="shared" si="21"/>
        <v>Good</v>
      </c>
      <c r="P479" t="str">
        <f t="shared" si="22"/>
        <v>Adult</v>
      </c>
      <c r="Q479" t="str">
        <f t="shared" si="23"/>
        <v>High Salary</v>
      </c>
    </row>
    <row r="480" spans="1:17" x14ac:dyDescent="0.25">
      <c r="A480">
        <v>608</v>
      </c>
      <c r="B480">
        <v>15629117</v>
      </c>
      <c r="C480" t="s">
        <v>510</v>
      </c>
      <c r="D480" t="s">
        <v>15</v>
      </c>
      <c r="E480" t="s">
        <v>23</v>
      </c>
      <c r="F480">
        <v>584</v>
      </c>
      <c r="G480">
        <v>28</v>
      </c>
      <c r="H480">
        <v>10</v>
      </c>
      <c r="I480">
        <v>0</v>
      </c>
      <c r="J480">
        <v>2</v>
      </c>
      <c r="K480">
        <v>1</v>
      </c>
      <c r="L480">
        <v>0</v>
      </c>
      <c r="M480">
        <v>19834.32</v>
      </c>
      <c r="N480">
        <v>0</v>
      </c>
      <c r="O480" t="str">
        <f t="shared" si="21"/>
        <v>Average</v>
      </c>
      <c r="P480" t="str">
        <f t="shared" si="22"/>
        <v>Young Adult</v>
      </c>
      <c r="Q480" t="str">
        <f t="shared" si="23"/>
        <v>Low Salary</v>
      </c>
    </row>
    <row r="481" spans="1:17" x14ac:dyDescent="0.25">
      <c r="A481">
        <v>609</v>
      </c>
      <c r="B481">
        <v>15607170</v>
      </c>
      <c r="C481" t="s">
        <v>267</v>
      </c>
      <c r="D481" t="s">
        <v>15</v>
      </c>
      <c r="E481" t="s">
        <v>23</v>
      </c>
      <c r="F481">
        <v>699</v>
      </c>
      <c r="G481">
        <v>35</v>
      </c>
      <c r="H481">
        <v>5</v>
      </c>
      <c r="I481">
        <v>0</v>
      </c>
      <c r="J481">
        <v>2</v>
      </c>
      <c r="K481">
        <v>1</v>
      </c>
      <c r="L481">
        <v>1</v>
      </c>
      <c r="M481">
        <v>78397.240000000005</v>
      </c>
      <c r="N481">
        <v>0</v>
      </c>
      <c r="O481" t="str">
        <f t="shared" si="21"/>
        <v>Good</v>
      </c>
      <c r="P481" t="str">
        <f t="shared" si="22"/>
        <v>Adult</v>
      </c>
      <c r="Q481" t="str">
        <f t="shared" si="23"/>
        <v>High Salary</v>
      </c>
    </row>
    <row r="482" spans="1:17" x14ac:dyDescent="0.25">
      <c r="A482">
        <v>610</v>
      </c>
      <c r="B482">
        <v>15586585</v>
      </c>
      <c r="C482" t="s">
        <v>132</v>
      </c>
      <c r="D482" t="s">
        <v>26</v>
      </c>
      <c r="E482" t="s">
        <v>16</v>
      </c>
      <c r="F482">
        <v>698</v>
      </c>
      <c r="G482">
        <v>51</v>
      </c>
      <c r="H482">
        <v>2</v>
      </c>
      <c r="I482">
        <v>111018.98</v>
      </c>
      <c r="J482">
        <v>1</v>
      </c>
      <c r="K482">
        <v>1</v>
      </c>
      <c r="L482">
        <v>0</v>
      </c>
      <c r="M482">
        <v>86410.28</v>
      </c>
      <c r="N482">
        <v>0</v>
      </c>
      <c r="O482" t="str">
        <f t="shared" si="21"/>
        <v>Good</v>
      </c>
      <c r="P482" t="str">
        <f t="shared" si="22"/>
        <v>Adult</v>
      </c>
      <c r="Q482" t="str">
        <f t="shared" si="23"/>
        <v>High Salary</v>
      </c>
    </row>
    <row r="483" spans="1:17" x14ac:dyDescent="0.25">
      <c r="A483">
        <v>611</v>
      </c>
      <c r="B483">
        <v>15686611</v>
      </c>
      <c r="C483" t="s">
        <v>511</v>
      </c>
      <c r="D483" t="s">
        <v>15</v>
      </c>
      <c r="E483" t="s">
        <v>23</v>
      </c>
      <c r="F483">
        <v>495</v>
      </c>
      <c r="G483">
        <v>30</v>
      </c>
      <c r="H483">
        <v>10</v>
      </c>
      <c r="I483">
        <v>129755.99</v>
      </c>
      <c r="J483">
        <v>1</v>
      </c>
      <c r="K483">
        <v>0</v>
      </c>
      <c r="L483">
        <v>0</v>
      </c>
      <c r="M483">
        <v>172749.65</v>
      </c>
      <c r="N483">
        <v>0</v>
      </c>
      <c r="O483" t="str">
        <f t="shared" si="21"/>
        <v>Poor</v>
      </c>
      <c r="P483" t="str">
        <f t="shared" si="22"/>
        <v>Young Adult</v>
      </c>
      <c r="Q483" t="str">
        <f t="shared" si="23"/>
        <v>High Salary</v>
      </c>
    </row>
    <row r="484" spans="1:17" x14ac:dyDescent="0.25">
      <c r="A484">
        <v>612</v>
      </c>
      <c r="B484">
        <v>15603203</v>
      </c>
      <c r="C484" t="s">
        <v>512</v>
      </c>
      <c r="D484" t="s">
        <v>15</v>
      </c>
      <c r="E484" t="s">
        <v>16</v>
      </c>
      <c r="F484">
        <v>650</v>
      </c>
      <c r="G484">
        <v>27</v>
      </c>
      <c r="H484">
        <v>6</v>
      </c>
      <c r="I484">
        <v>0</v>
      </c>
      <c r="J484">
        <v>2</v>
      </c>
      <c r="K484">
        <v>1</v>
      </c>
      <c r="L484">
        <v>0</v>
      </c>
      <c r="M484">
        <v>1002.39</v>
      </c>
      <c r="N484">
        <v>0</v>
      </c>
      <c r="O484" t="str">
        <f t="shared" si="21"/>
        <v>Average</v>
      </c>
      <c r="P484" t="str">
        <f t="shared" si="22"/>
        <v>Young Adult</v>
      </c>
      <c r="Q484" t="str">
        <f t="shared" si="23"/>
        <v>Low Salary</v>
      </c>
    </row>
    <row r="485" spans="1:17" x14ac:dyDescent="0.25">
      <c r="A485">
        <v>613</v>
      </c>
      <c r="B485">
        <v>15619857</v>
      </c>
      <c r="C485" t="s">
        <v>199</v>
      </c>
      <c r="D485" t="s">
        <v>15</v>
      </c>
      <c r="E485" t="s">
        <v>16</v>
      </c>
      <c r="F485">
        <v>605</v>
      </c>
      <c r="G485">
        <v>64</v>
      </c>
      <c r="H485">
        <v>2</v>
      </c>
      <c r="I485">
        <v>129555.7</v>
      </c>
      <c r="J485">
        <v>1</v>
      </c>
      <c r="K485">
        <v>1</v>
      </c>
      <c r="L485">
        <v>1</v>
      </c>
      <c r="M485">
        <v>13601.79</v>
      </c>
      <c r="N485">
        <v>0</v>
      </c>
      <c r="O485" t="str">
        <f t="shared" si="21"/>
        <v>Average</v>
      </c>
      <c r="P485" t="str">
        <f t="shared" si="22"/>
        <v>Senior</v>
      </c>
      <c r="Q485" t="str">
        <f t="shared" si="23"/>
        <v>Low Salary</v>
      </c>
    </row>
    <row r="486" spans="1:17" x14ac:dyDescent="0.25">
      <c r="A486">
        <v>614</v>
      </c>
      <c r="B486">
        <v>15805062</v>
      </c>
      <c r="C486" t="s">
        <v>513</v>
      </c>
      <c r="D486" t="s">
        <v>18</v>
      </c>
      <c r="E486" t="s">
        <v>23</v>
      </c>
      <c r="F486">
        <v>667</v>
      </c>
      <c r="G486">
        <v>38</v>
      </c>
      <c r="H486">
        <v>1</v>
      </c>
      <c r="I486">
        <v>87202.38</v>
      </c>
      <c r="J486">
        <v>1</v>
      </c>
      <c r="K486">
        <v>1</v>
      </c>
      <c r="L486">
        <v>1</v>
      </c>
      <c r="M486">
        <v>77866.91</v>
      </c>
      <c r="N486">
        <v>0</v>
      </c>
      <c r="O486" t="str">
        <f t="shared" si="21"/>
        <v>Average</v>
      </c>
      <c r="P486" t="str">
        <f t="shared" si="22"/>
        <v>Adult</v>
      </c>
      <c r="Q486" t="str">
        <f t="shared" si="23"/>
        <v>High Salary</v>
      </c>
    </row>
    <row r="487" spans="1:17" x14ac:dyDescent="0.25">
      <c r="A487">
        <v>615</v>
      </c>
      <c r="B487">
        <v>15660271</v>
      </c>
      <c r="C487" t="s">
        <v>132</v>
      </c>
      <c r="D487" t="s">
        <v>26</v>
      </c>
      <c r="E487" t="s">
        <v>23</v>
      </c>
      <c r="F487">
        <v>688</v>
      </c>
      <c r="G487">
        <v>26</v>
      </c>
      <c r="H487">
        <v>8</v>
      </c>
      <c r="I487">
        <v>146133.39000000001</v>
      </c>
      <c r="J487">
        <v>1</v>
      </c>
      <c r="K487">
        <v>1</v>
      </c>
      <c r="L487">
        <v>1</v>
      </c>
      <c r="M487">
        <v>175296.76</v>
      </c>
      <c r="N487">
        <v>0</v>
      </c>
      <c r="O487" t="str">
        <f t="shared" si="21"/>
        <v>Good</v>
      </c>
      <c r="P487" t="str">
        <f t="shared" si="22"/>
        <v>Young Adult</v>
      </c>
      <c r="Q487" t="str">
        <f t="shared" si="23"/>
        <v>High Salary</v>
      </c>
    </row>
    <row r="488" spans="1:17" x14ac:dyDescent="0.25">
      <c r="A488">
        <v>617</v>
      </c>
      <c r="B488">
        <v>15719352</v>
      </c>
      <c r="C488" t="s">
        <v>279</v>
      </c>
      <c r="D488" t="s">
        <v>18</v>
      </c>
      <c r="E488" t="s">
        <v>23</v>
      </c>
      <c r="F488">
        <v>754</v>
      </c>
      <c r="G488">
        <v>39</v>
      </c>
      <c r="H488">
        <v>6</v>
      </c>
      <c r="I488">
        <v>170184.99</v>
      </c>
      <c r="J488">
        <v>2</v>
      </c>
      <c r="K488">
        <v>1</v>
      </c>
      <c r="L488">
        <v>0</v>
      </c>
      <c r="M488">
        <v>89593.26</v>
      </c>
      <c r="N488">
        <v>0</v>
      </c>
      <c r="O488" t="str">
        <f t="shared" si="21"/>
        <v>Good</v>
      </c>
      <c r="P488" t="str">
        <f t="shared" si="22"/>
        <v>Adult</v>
      </c>
      <c r="Q488" t="str">
        <f t="shared" si="23"/>
        <v>High Salary</v>
      </c>
    </row>
    <row r="489" spans="1:17" x14ac:dyDescent="0.25">
      <c r="A489">
        <v>619</v>
      </c>
      <c r="B489">
        <v>15594594</v>
      </c>
      <c r="C489" t="s">
        <v>516</v>
      </c>
      <c r="D489" t="s">
        <v>18</v>
      </c>
      <c r="E489" t="s">
        <v>23</v>
      </c>
      <c r="F489">
        <v>546</v>
      </c>
      <c r="G489">
        <v>42</v>
      </c>
      <c r="H489">
        <v>7</v>
      </c>
      <c r="I489">
        <v>139070.51</v>
      </c>
      <c r="J489">
        <v>1</v>
      </c>
      <c r="K489">
        <v>1</v>
      </c>
      <c r="L489">
        <v>1</v>
      </c>
      <c r="M489">
        <v>86945</v>
      </c>
      <c r="N489">
        <v>0</v>
      </c>
      <c r="O489" t="str">
        <f t="shared" si="21"/>
        <v>Poor</v>
      </c>
      <c r="P489" t="str">
        <f t="shared" si="22"/>
        <v>Adult</v>
      </c>
      <c r="Q489" t="str">
        <f t="shared" si="23"/>
        <v>High Salary</v>
      </c>
    </row>
    <row r="490" spans="1:17" x14ac:dyDescent="0.25">
      <c r="A490">
        <v>620</v>
      </c>
      <c r="B490">
        <v>15646161</v>
      </c>
      <c r="C490" t="s">
        <v>517</v>
      </c>
      <c r="D490" t="s">
        <v>18</v>
      </c>
      <c r="E490" t="s">
        <v>16</v>
      </c>
      <c r="F490">
        <v>673</v>
      </c>
      <c r="G490">
        <v>37</v>
      </c>
      <c r="H490">
        <v>8</v>
      </c>
      <c r="I490">
        <v>0</v>
      </c>
      <c r="J490">
        <v>2</v>
      </c>
      <c r="K490">
        <v>1</v>
      </c>
      <c r="L490">
        <v>1</v>
      </c>
      <c r="M490">
        <v>183318.79</v>
      </c>
      <c r="N490">
        <v>0</v>
      </c>
      <c r="O490" t="str">
        <f t="shared" si="21"/>
        <v>Good</v>
      </c>
      <c r="P490" t="str">
        <f t="shared" si="22"/>
        <v>Adult</v>
      </c>
      <c r="Q490" t="str">
        <f t="shared" si="23"/>
        <v>High Salary</v>
      </c>
    </row>
    <row r="491" spans="1:17" x14ac:dyDescent="0.25">
      <c r="A491">
        <v>621</v>
      </c>
      <c r="B491">
        <v>15682585</v>
      </c>
      <c r="C491" t="s">
        <v>518</v>
      </c>
      <c r="D491" t="s">
        <v>15</v>
      </c>
      <c r="E491" t="s">
        <v>23</v>
      </c>
      <c r="F491">
        <v>593</v>
      </c>
      <c r="G491">
        <v>35</v>
      </c>
      <c r="H491">
        <v>9</v>
      </c>
      <c r="I491">
        <v>114193.24</v>
      </c>
      <c r="J491">
        <v>1</v>
      </c>
      <c r="K491">
        <v>1</v>
      </c>
      <c r="L491">
        <v>0</v>
      </c>
      <c r="M491">
        <v>71154.100000000006</v>
      </c>
      <c r="N491">
        <v>0</v>
      </c>
      <c r="O491" t="str">
        <f t="shared" si="21"/>
        <v>Average</v>
      </c>
      <c r="P491" t="str">
        <f t="shared" si="22"/>
        <v>Adult</v>
      </c>
      <c r="Q491" t="str">
        <f t="shared" si="23"/>
        <v>High Salary</v>
      </c>
    </row>
    <row r="492" spans="1:17" x14ac:dyDescent="0.25">
      <c r="A492">
        <v>622</v>
      </c>
      <c r="B492">
        <v>15603134</v>
      </c>
      <c r="C492" t="s">
        <v>364</v>
      </c>
      <c r="D492" t="s">
        <v>18</v>
      </c>
      <c r="E492" t="s">
        <v>16</v>
      </c>
      <c r="F492">
        <v>656</v>
      </c>
      <c r="G492">
        <v>40</v>
      </c>
      <c r="H492">
        <v>10</v>
      </c>
      <c r="I492">
        <v>167878.5</v>
      </c>
      <c r="J492">
        <v>1</v>
      </c>
      <c r="K492">
        <v>0</v>
      </c>
      <c r="L492">
        <v>1</v>
      </c>
      <c r="M492">
        <v>151887.16</v>
      </c>
      <c r="N492">
        <v>0</v>
      </c>
      <c r="O492" t="str">
        <f t="shared" si="21"/>
        <v>Average</v>
      </c>
      <c r="P492" t="str">
        <f t="shared" si="22"/>
        <v>Adult</v>
      </c>
      <c r="Q492" t="str">
        <f t="shared" si="23"/>
        <v>High Salary</v>
      </c>
    </row>
    <row r="493" spans="1:17" x14ac:dyDescent="0.25">
      <c r="A493">
        <v>623</v>
      </c>
      <c r="B493">
        <v>15636444</v>
      </c>
      <c r="C493" t="s">
        <v>519</v>
      </c>
      <c r="D493" t="s">
        <v>26</v>
      </c>
      <c r="E493" t="s">
        <v>16</v>
      </c>
      <c r="F493">
        <v>535</v>
      </c>
      <c r="G493">
        <v>53</v>
      </c>
      <c r="H493">
        <v>5</v>
      </c>
      <c r="I493">
        <v>141616.54999999999</v>
      </c>
      <c r="J493">
        <v>2</v>
      </c>
      <c r="K493">
        <v>1</v>
      </c>
      <c r="L493">
        <v>1</v>
      </c>
      <c r="M493">
        <v>75888.649999999994</v>
      </c>
      <c r="N493">
        <v>0</v>
      </c>
      <c r="O493" t="str">
        <f t="shared" si="21"/>
        <v>Poor</v>
      </c>
      <c r="P493" t="str">
        <f t="shared" si="22"/>
        <v>Adult</v>
      </c>
      <c r="Q493" t="str">
        <f t="shared" si="23"/>
        <v>High Salary</v>
      </c>
    </row>
    <row r="494" spans="1:17" x14ac:dyDescent="0.25">
      <c r="A494">
        <v>624</v>
      </c>
      <c r="B494">
        <v>15773456</v>
      </c>
      <c r="C494" t="s">
        <v>520</v>
      </c>
      <c r="D494" t="s">
        <v>26</v>
      </c>
      <c r="E494" t="s">
        <v>23</v>
      </c>
      <c r="F494">
        <v>678</v>
      </c>
      <c r="G494">
        <v>36</v>
      </c>
      <c r="H494">
        <v>3</v>
      </c>
      <c r="I494">
        <v>145747.67000000001</v>
      </c>
      <c r="J494">
        <v>2</v>
      </c>
      <c r="K494">
        <v>0</v>
      </c>
      <c r="L494">
        <v>1</v>
      </c>
      <c r="M494">
        <v>89566.74</v>
      </c>
      <c r="N494">
        <v>0</v>
      </c>
      <c r="O494" t="str">
        <f t="shared" si="21"/>
        <v>Good</v>
      </c>
      <c r="P494" t="str">
        <f t="shared" si="22"/>
        <v>Adult</v>
      </c>
      <c r="Q494" t="str">
        <f t="shared" si="23"/>
        <v>High Salary</v>
      </c>
    </row>
    <row r="495" spans="1:17" x14ac:dyDescent="0.25">
      <c r="A495">
        <v>625</v>
      </c>
      <c r="B495">
        <v>15745307</v>
      </c>
      <c r="C495" t="s">
        <v>262</v>
      </c>
      <c r="D495" t="s">
        <v>18</v>
      </c>
      <c r="E495" t="s">
        <v>16</v>
      </c>
      <c r="F495">
        <v>477</v>
      </c>
      <c r="G495">
        <v>37</v>
      </c>
      <c r="H495">
        <v>2</v>
      </c>
      <c r="I495">
        <v>129120.64</v>
      </c>
      <c r="J495">
        <v>1</v>
      </c>
      <c r="K495">
        <v>0</v>
      </c>
      <c r="L495">
        <v>1</v>
      </c>
      <c r="M495">
        <v>26475.79</v>
      </c>
      <c r="N495">
        <v>0</v>
      </c>
      <c r="O495" t="str">
        <f t="shared" si="21"/>
        <v>Poor</v>
      </c>
      <c r="P495" t="str">
        <f t="shared" si="22"/>
        <v>Adult</v>
      </c>
      <c r="Q495" t="str">
        <f t="shared" si="23"/>
        <v>Low Salary</v>
      </c>
    </row>
    <row r="496" spans="1:17" x14ac:dyDescent="0.25">
      <c r="A496">
        <v>626</v>
      </c>
      <c r="B496">
        <v>15604119</v>
      </c>
      <c r="C496" t="s">
        <v>521</v>
      </c>
      <c r="D496" t="s">
        <v>18</v>
      </c>
      <c r="E496" t="s">
        <v>23</v>
      </c>
      <c r="F496">
        <v>850</v>
      </c>
      <c r="G496">
        <v>35</v>
      </c>
      <c r="H496">
        <v>7</v>
      </c>
      <c r="I496">
        <v>110349.82</v>
      </c>
      <c r="J496">
        <v>1</v>
      </c>
      <c r="K496">
        <v>0</v>
      </c>
      <c r="L496">
        <v>0</v>
      </c>
      <c r="M496">
        <v>126355.8</v>
      </c>
      <c r="N496">
        <v>0</v>
      </c>
      <c r="O496" t="str">
        <f t="shared" si="21"/>
        <v>Good</v>
      </c>
      <c r="P496" t="str">
        <f t="shared" si="22"/>
        <v>Adult</v>
      </c>
      <c r="Q496" t="str">
        <f t="shared" si="23"/>
        <v>High Salary</v>
      </c>
    </row>
    <row r="497" spans="1:17" x14ac:dyDescent="0.25">
      <c r="A497">
        <v>627</v>
      </c>
      <c r="B497">
        <v>15626900</v>
      </c>
      <c r="C497" t="s">
        <v>455</v>
      </c>
      <c r="D497" t="s">
        <v>15</v>
      </c>
      <c r="E497" t="s">
        <v>23</v>
      </c>
      <c r="F497">
        <v>427</v>
      </c>
      <c r="G497">
        <v>29</v>
      </c>
      <c r="H497">
        <v>1</v>
      </c>
      <c r="I497">
        <v>141325.56</v>
      </c>
      <c r="J497">
        <v>1</v>
      </c>
      <c r="K497">
        <v>1</v>
      </c>
      <c r="L497">
        <v>1</v>
      </c>
      <c r="M497">
        <v>93839.3</v>
      </c>
      <c r="N497">
        <v>0</v>
      </c>
      <c r="O497" t="str">
        <f t="shared" si="21"/>
        <v>Poor</v>
      </c>
      <c r="P497" t="str">
        <f t="shared" si="22"/>
        <v>Young Adult</v>
      </c>
      <c r="Q497" t="str">
        <f t="shared" si="23"/>
        <v>High Salary</v>
      </c>
    </row>
    <row r="498" spans="1:17" x14ac:dyDescent="0.25">
      <c r="A498">
        <v>628</v>
      </c>
      <c r="B498">
        <v>15605447</v>
      </c>
      <c r="C498" t="s">
        <v>91</v>
      </c>
      <c r="D498" t="s">
        <v>15</v>
      </c>
      <c r="E498" t="s">
        <v>23</v>
      </c>
      <c r="F498">
        <v>752</v>
      </c>
      <c r="G498">
        <v>49</v>
      </c>
      <c r="H498">
        <v>2</v>
      </c>
      <c r="I498">
        <v>78653.84</v>
      </c>
      <c r="J498">
        <v>1</v>
      </c>
      <c r="K498">
        <v>1</v>
      </c>
      <c r="L498">
        <v>0</v>
      </c>
      <c r="M498">
        <v>7698.6</v>
      </c>
      <c r="N498">
        <v>0</v>
      </c>
      <c r="O498" t="str">
        <f t="shared" si="21"/>
        <v>Good</v>
      </c>
      <c r="P498" t="str">
        <f t="shared" si="22"/>
        <v>Adult</v>
      </c>
      <c r="Q498" t="str">
        <f t="shared" si="23"/>
        <v>Low Salary</v>
      </c>
    </row>
    <row r="499" spans="1:17" x14ac:dyDescent="0.25">
      <c r="A499">
        <v>629</v>
      </c>
      <c r="B499">
        <v>15589030</v>
      </c>
      <c r="C499" t="s">
        <v>305</v>
      </c>
      <c r="D499" t="s">
        <v>15</v>
      </c>
      <c r="E499" t="s">
        <v>23</v>
      </c>
      <c r="F499">
        <v>649</v>
      </c>
      <c r="G499">
        <v>47</v>
      </c>
      <c r="H499">
        <v>1</v>
      </c>
      <c r="I499">
        <v>0</v>
      </c>
      <c r="J499">
        <v>2</v>
      </c>
      <c r="K499">
        <v>1</v>
      </c>
      <c r="L499">
        <v>1</v>
      </c>
      <c r="M499">
        <v>145593.85</v>
      </c>
      <c r="N499">
        <v>0</v>
      </c>
      <c r="O499" t="str">
        <f t="shared" si="21"/>
        <v>Average</v>
      </c>
      <c r="P499" t="str">
        <f t="shared" si="22"/>
        <v>Adult</v>
      </c>
      <c r="Q499" t="str">
        <f t="shared" si="23"/>
        <v>High Salary</v>
      </c>
    </row>
    <row r="500" spans="1:17" x14ac:dyDescent="0.25">
      <c r="A500">
        <v>630</v>
      </c>
      <c r="B500">
        <v>15692463</v>
      </c>
      <c r="C500" t="s">
        <v>522</v>
      </c>
      <c r="D500" t="s">
        <v>18</v>
      </c>
      <c r="E500" t="s">
        <v>16</v>
      </c>
      <c r="F500">
        <v>799</v>
      </c>
      <c r="G500">
        <v>37</v>
      </c>
      <c r="H500">
        <v>3</v>
      </c>
      <c r="I500">
        <v>142253.65</v>
      </c>
      <c r="J500">
        <v>1</v>
      </c>
      <c r="K500">
        <v>1</v>
      </c>
      <c r="L500">
        <v>0</v>
      </c>
      <c r="M500">
        <v>45042.559999999998</v>
      </c>
      <c r="N500">
        <v>0</v>
      </c>
      <c r="O500" t="str">
        <f t="shared" si="21"/>
        <v>Good</v>
      </c>
      <c r="P500" t="str">
        <f t="shared" si="22"/>
        <v>Adult</v>
      </c>
      <c r="Q500" t="str">
        <f t="shared" si="23"/>
        <v>Medium Salary</v>
      </c>
    </row>
    <row r="501" spans="1:17" x14ac:dyDescent="0.25">
      <c r="A501">
        <v>633</v>
      </c>
      <c r="B501">
        <v>15718673</v>
      </c>
      <c r="C501" t="s">
        <v>525</v>
      </c>
      <c r="D501" t="s">
        <v>18</v>
      </c>
      <c r="E501" t="s">
        <v>16</v>
      </c>
      <c r="F501">
        <v>839</v>
      </c>
      <c r="G501">
        <v>37</v>
      </c>
      <c r="H501">
        <v>10</v>
      </c>
      <c r="I501">
        <v>75592.429999999993</v>
      </c>
      <c r="J501">
        <v>1</v>
      </c>
      <c r="K501">
        <v>1</v>
      </c>
      <c r="L501">
        <v>0</v>
      </c>
      <c r="M501">
        <v>62674.42</v>
      </c>
      <c r="N501">
        <v>0</v>
      </c>
      <c r="O501" t="str">
        <f t="shared" si="21"/>
        <v>Good</v>
      </c>
      <c r="P501" t="str">
        <f t="shared" si="22"/>
        <v>Adult</v>
      </c>
      <c r="Q501" t="str">
        <f t="shared" si="23"/>
        <v>Medium Salary</v>
      </c>
    </row>
    <row r="502" spans="1:17" x14ac:dyDescent="0.25">
      <c r="A502">
        <v>634</v>
      </c>
      <c r="B502">
        <v>15724282</v>
      </c>
      <c r="C502" t="s">
        <v>75</v>
      </c>
      <c r="D502" t="s">
        <v>26</v>
      </c>
      <c r="E502" t="s">
        <v>23</v>
      </c>
      <c r="F502">
        <v>540</v>
      </c>
      <c r="G502">
        <v>44</v>
      </c>
      <c r="H502">
        <v>3</v>
      </c>
      <c r="I502">
        <v>164113.04</v>
      </c>
      <c r="J502">
        <v>2</v>
      </c>
      <c r="K502">
        <v>1</v>
      </c>
      <c r="L502">
        <v>1</v>
      </c>
      <c r="M502">
        <v>12120.79</v>
      </c>
      <c r="N502">
        <v>0</v>
      </c>
      <c r="O502" t="str">
        <f t="shared" si="21"/>
        <v>Poor</v>
      </c>
      <c r="P502" t="str">
        <f t="shared" si="22"/>
        <v>Adult</v>
      </c>
      <c r="Q502" t="str">
        <f t="shared" si="23"/>
        <v>Low Salary</v>
      </c>
    </row>
    <row r="503" spans="1:17" x14ac:dyDescent="0.25">
      <c r="A503">
        <v>636</v>
      </c>
      <c r="B503">
        <v>15633648</v>
      </c>
      <c r="C503" t="s">
        <v>527</v>
      </c>
      <c r="D503" t="s">
        <v>18</v>
      </c>
      <c r="E503" t="s">
        <v>16</v>
      </c>
      <c r="F503">
        <v>696</v>
      </c>
      <c r="G503">
        <v>37</v>
      </c>
      <c r="H503">
        <v>5</v>
      </c>
      <c r="I503">
        <v>0</v>
      </c>
      <c r="J503">
        <v>2</v>
      </c>
      <c r="K503">
        <v>1</v>
      </c>
      <c r="L503">
        <v>0</v>
      </c>
      <c r="M503">
        <v>55022.43</v>
      </c>
      <c r="N503">
        <v>0</v>
      </c>
      <c r="O503" t="str">
        <f t="shared" si="21"/>
        <v>Good</v>
      </c>
      <c r="P503" t="str">
        <f t="shared" si="22"/>
        <v>Adult</v>
      </c>
      <c r="Q503" t="str">
        <f t="shared" si="23"/>
        <v>Medium Salary</v>
      </c>
    </row>
    <row r="504" spans="1:17" x14ac:dyDescent="0.25">
      <c r="A504">
        <v>637</v>
      </c>
      <c r="B504">
        <v>15603323</v>
      </c>
      <c r="C504" t="s">
        <v>528</v>
      </c>
      <c r="D504" t="s">
        <v>18</v>
      </c>
      <c r="E504" t="s">
        <v>16</v>
      </c>
      <c r="F504">
        <v>660</v>
      </c>
      <c r="G504">
        <v>37</v>
      </c>
      <c r="H504">
        <v>1</v>
      </c>
      <c r="I504">
        <v>0</v>
      </c>
      <c r="J504">
        <v>2</v>
      </c>
      <c r="K504">
        <v>0</v>
      </c>
      <c r="L504">
        <v>0</v>
      </c>
      <c r="M504">
        <v>117834.91</v>
      </c>
      <c r="N504">
        <v>0</v>
      </c>
      <c r="O504" t="str">
        <f t="shared" si="21"/>
        <v>Average</v>
      </c>
      <c r="P504" t="str">
        <f t="shared" si="22"/>
        <v>Adult</v>
      </c>
      <c r="Q504" t="str">
        <f t="shared" si="23"/>
        <v>High Salary</v>
      </c>
    </row>
    <row r="505" spans="1:17" x14ac:dyDescent="0.25">
      <c r="A505">
        <v>638</v>
      </c>
      <c r="B505">
        <v>15583725</v>
      </c>
      <c r="C505" t="s">
        <v>529</v>
      </c>
      <c r="D505" t="s">
        <v>15</v>
      </c>
      <c r="E505" t="s">
        <v>23</v>
      </c>
      <c r="F505">
        <v>682</v>
      </c>
      <c r="G505">
        <v>48</v>
      </c>
      <c r="H505">
        <v>1</v>
      </c>
      <c r="I505">
        <v>138778.15</v>
      </c>
      <c r="J505">
        <v>1</v>
      </c>
      <c r="K505">
        <v>0</v>
      </c>
      <c r="L505">
        <v>1</v>
      </c>
      <c r="M505">
        <v>168840.23</v>
      </c>
      <c r="N505">
        <v>0</v>
      </c>
      <c r="O505" t="str">
        <f t="shared" si="21"/>
        <v>Good</v>
      </c>
      <c r="P505" t="str">
        <f t="shared" si="22"/>
        <v>Adult</v>
      </c>
      <c r="Q505" t="str">
        <f t="shared" si="23"/>
        <v>High Salary</v>
      </c>
    </row>
    <row r="506" spans="1:17" x14ac:dyDescent="0.25">
      <c r="A506">
        <v>639</v>
      </c>
      <c r="B506">
        <v>15588350</v>
      </c>
      <c r="C506" t="s">
        <v>222</v>
      </c>
      <c r="D506" t="s">
        <v>15</v>
      </c>
      <c r="E506" t="s">
        <v>16</v>
      </c>
      <c r="F506">
        <v>744</v>
      </c>
      <c r="G506">
        <v>43</v>
      </c>
      <c r="H506">
        <v>10</v>
      </c>
      <c r="I506">
        <v>147832.15</v>
      </c>
      <c r="J506">
        <v>1</v>
      </c>
      <c r="K506">
        <v>0</v>
      </c>
      <c r="L506">
        <v>1</v>
      </c>
      <c r="M506">
        <v>24234.11</v>
      </c>
      <c r="N506">
        <v>0</v>
      </c>
      <c r="O506" t="str">
        <f t="shared" si="21"/>
        <v>Good</v>
      </c>
      <c r="P506" t="str">
        <f t="shared" si="22"/>
        <v>Adult</v>
      </c>
      <c r="Q506" t="str">
        <f t="shared" si="23"/>
        <v>Low Salary</v>
      </c>
    </row>
    <row r="507" spans="1:17" x14ac:dyDescent="0.25">
      <c r="A507">
        <v>640</v>
      </c>
      <c r="B507">
        <v>15798398</v>
      </c>
      <c r="C507" t="s">
        <v>530</v>
      </c>
      <c r="D507" t="s">
        <v>15</v>
      </c>
      <c r="E507" t="s">
        <v>16</v>
      </c>
      <c r="F507">
        <v>785</v>
      </c>
      <c r="G507">
        <v>36</v>
      </c>
      <c r="H507">
        <v>4</v>
      </c>
      <c r="I507">
        <v>135438.39999999999</v>
      </c>
      <c r="J507">
        <v>1</v>
      </c>
      <c r="K507">
        <v>0</v>
      </c>
      <c r="L507">
        <v>0</v>
      </c>
      <c r="M507">
        <v>190627.01</v>
      </c>
      <c r="N507">
        <v>0</v>
      </c>
      <c r="O507" t="str">
        <f t="shared" si="21"/>
        <v>Good</v>
      </c>
      <c r="P507" t="str">
        <f t="shared" si="22"/>
        <v>Adult</v>
      </c>
      <c r="Q507" t="str">
        <f t="shared" si="23"/>
        <v>High Salary</v>
      </c>
    </row>
    <row r="508" spans="1:17" x14ac:dyDescent="0.25">
      <c r="A508">
        <v>642</v>
      </c>
      <c r="B508">
        <v>15580684</v>
      </c>
      <c r="C508" t="s">
        <v>531</v>
      </c>
      <c r="D508" t="s">
        <v>15</v>
      </c>
      <c r="E508" t="s">
        <v>16</v>
      </c>
      <c r="F508">
        <v>706</v>
      </c>
      <c r="G508">
        <v>29</v>
      </c>
      <c r="H508">
        <v>5</v>
      </c>
      <c r="I508">
        <v>112564.62</v>
      </c>
      <c r="J508">
        <v>1</v>
      </c>
      <c r="K508">
        <v>1</v>
      </c>
      <c r="L508">
        <v>0</v>
      </c>
      <c r="M508">
        <v>42334.38</v>
      </c>
      <c r="N508">
        <v>0</v>
      </c>
      <c r="O508" t="str">
        <f t="shared" si="21"/>
        <v>Good</v>
      </c>
      <c r="P508" t="str">
        <f t="shared" si="22"/>
        <v>Young Adult</v>
      </c>
      <c r="Q508" t="str">
        <f t="shared" si="23"/>
        <v>Medium Salary</v>
      </c>
    </row>
    <row r="509" spans="1:17" x14ac:dyDescent="0.25">
      <c r="A509">
        <v>643</v>
      </c>
      <c r="B509">
        <v>15809663</v>
      </c>
      <c r="C509" t="s">
        <v>532</v>
      </c>
      <c r="D509" t="s">
        <v>15</v>
      </c>
      <c r="E509" t="s">
        <v>16</v>
      </c>
      <c r="F509">
        <v>583</v>
      </c>
      <c r="G509">
        <v>27</v>
      </c>
      <c r="H509">
        <v>1</v>
      </c>
      <c r="I509">
        <v>125406.58</v>
      </c>
      <c r="J509">
        <v>1</v>
      </c>
      <c r="K509">
        <v>1</v>
      </c>
      <c r="L509">
        <v>1</v>
      </c>
      <c r="M509">
        <v>110784.42</v>
      </c>
      <c r="N509">
        <v>0</v>
      </c>
      <c r="O509" t="str">
        <f t="shared" si="21"/>
        <v>Average</v>
      </c>
      <c r="P509" t="str">
        <f t="shared" si="22"/>
        <v>Young Adult</v>
      </c>
      <c r="Q509" t="str">
        <f t="shared" si="23"/>
        <v>High Salary</v>
      </c>
    </row>
    <row r="510" spans="1:17" x14ac:dyDescent="0.25">
      <c r="A510">
        <v>647</v>
      </c>
      <c r="B510">
        <v>15730830</v>
      </c>
      <c r="C510" t="s">
        <v>536</v>
      </c>
      <c r="D510" t="s">
        <v>15</v>
      </c>
      <c r="E510" t="s">
        <v>16</v>
      </c>
      <c r="F510">
        <v>752</v>
      </c>
      <c r="G510">
        <v>30</v>
      </c>
      <c r="H510">
        <v>3</v>
      </c>
      <c r="I510">
        <v>0</v>
      </c>
      <c r="J510">
        <v>2</v>
      </c>
      <c r="K510">
        <v>1</v>
      </c>
      <c r="L510">
        <v>1</v>
      </c>
      <c r="M510">
        <v>104991.28</v>
      </c>
      <c r="N510">
        <v>0</v>
      </c>
      <c r="O510" t="str">
        <f t="shared" si="21"/>
        <v>Good</v>
      </c>
      <c r="P510" t="str">
        <f t="shared" si="22"/>
        <v>Young Adult</v>
      </c>
      <c r="Q510" t="str">
        <f t="shared" si="23"/>
        <v>High Salary</v>
      </c>
    </row>
    <row r="511" spans="1:17" x14ac:dyDescent="0.25">
      <c r="A511">
        <v>648</v>
      </c>
      <c r="B511">
        <v>15805112</v>
      </c>
      <c r="C511" t="s">
        <v>537</v>
      </c>
      <c r="D511" t="s">
        <v>15</v>
      </c>
      <c r="E511" t="s">
        <v>23</v>
      </c>
      <c r="F511">
        <v>578</v>
      </c>
      <c r="G511">
        <v>38</v>
      </c>
      <c r="H511">
        <v>7</v>
      </c>
      <c r="I511">
        <v>82259.289999999994</v>
      </c>
      <c r="J511">
        <v>1</v>
      </c>
      <c r="K511">
        <v>1</v>
      </c>
      <c r="L511">
        <v>0</v>
      </c>
      <c r="M511">
        <v>8996.9699999999993</v>
      </c>
      <c r="N511">
        <v>0</v>
      </c>
      <c r="O511" t="str">
        <f t="shared" si="21"/>
        <v>Poor</v>
      </c>
      <c r="P511" t="str">
        <f t="shared" si="22"/>
        <v>Adult</v>
      </c>
      <c r="Q511" t="str">
        <f t="shared" si="23"/>
        <v>Low Salary</v>
      </c>
    </row>
    <row r="512" spans="1:17" x14ac:dyDescent="0.25">
      <c r="A512">
        <v>649</v>
      </c>
      <c r="B512">
        <v>15633064</v>
      </c>
      <c r="C512" t="s">
        <v>538</v>
      </c>
      <c r="D512" t="s">
        <v>15</v>
      </c>
      <c r="E512" t="s">
        <v>16</v>
      </c>
      <c r="F512">
        <v>438</v>
      </c>
      <c r="G512">
        <v>36</v>
      </c>
      <c r="H512">
        <v>4</v>
      </c>
      <c r="I512">
        <v>0</v>
      </c>
      <c r="J512">
        <v>2</v>
      </c>
      <c r="K512">
        <v>1</v>
      </c>
      <c r="L512">
        <v>0</v>
      </c>
      <c r="M512">
        <v>64420.5</v>
      </c>
      <c r="N512">
        <v>0</v>
      </c>
      <c r="O512" t="str">
        <f t="shared" si="21"/>
        <v>Poor</v>
      </c>
      <c r="P512" t="str">
        <f t="shared" si="22"/>
        <v>Adult</v>
      </c>
      <c r="Q512" t="str">
        <f t="shared" si="23"/>
        <v>Medium Salary</v>
      </c>
    </row>
    <row r="513" spans="1:17" x14ac:dyDescent="0.25">
      <c r="A513">
        <v>650</v>
      </c>
      <c r="B513">
        <v>15703119</v>
      </c>
      <c r="C513" t="s">
        <v>539</v>
      </c>
      <c r="D513" t="s">
        <v>15</v>
      </c>
      <c r="E513" t="s">
        <v>23</v>
      </c>
      <c r="F513">
        <v>652</v>
      </c>
      <c r="G513">
        <v>38</v>
      </c>
      <c r="H513">
        <v>6</v>
      </c>
      <c r="I513">
        <v>0</v>
      </c>
      <c r="J513">
        <v>2</v>
      </c>
      <c r="K513">
        <v>1</v>
      </c>
      <c r="L513">
        <v>1</v>
      </c>
      <c r="M513">
        <v>145700.22</v>
      </c>
      <c r="N513">
        <v>0</v>
      </c>
      <c r="O513" t="str">
        <f t="shared" si="21"/>
        <v>Average</v>
      </c>
      <c r="P513" t="str">
        <f t="shared" si="22"/>
        <v>Adult</v>
      </c>
      <c r="Q513" t="str">
        <f t="shared" si="23"/>
        <v>High Salary</v>
      </c>
    </row>
    <row r="514" spans="1:17" x14ac:dyDescent="0.25">
      <c r="A514">
        <v>651</v>
      </c>
      <c r="B514">
        <v>15730447</v>
      </c>
      <c r="C514" t="s">
        <v>540</v>
      </c>
      <c r="D514" t="s">
        <v>15</v>
      </c>
      <c r="E514" t="s">
        <v>16</v>
      </c>
      <c r="F514">
        <v>629</v>
      </c>
      <c r="G514">
        <v>49</v>
      </c>
      <c r="H514">
        <v>4</v>
      </c>
      <c r="I514">
        <v>0</v>
      </c>
      <c r="J514">
        <v>2</v>
      </c>
      <c r="K514">
        <v>1</v>
      </c>
      <c r="L514">
        <v>1</v>
      </c>
      <c r="M514">
        <v>196335.48</v>
      </c>
      <c r="N514">
        <v>0</v>
      </c>
      <c r="O514" t="str">
        <f t="shared" si="21"/>
        <v>Average</v>
      </c>
      <c r="P514" t="str">
        <f t="shared" si="22"/>
        <v>Adult</v>
      </c>
      <c r="Q514" t="str">
        <f t="shared" si="23"/>
        <v>High Salary</v>
      </c>
    </row>
    <row r="515" spans="1:17" x14ac:dyDescent="0.25">
      <c r="A515">
        <v>652</v>
      </c>
      <c r="B515">
        <v>15813850</v>
      </c>
      <c r="C515" t="s">
        <v>541</v>
      </c>
      <c r="D515" t="s">
        <v>15</v>
      </c>
      <c r="E515" t="s">
        <v>23</v>
      </c>
      <c r="F515">
        <v>720</v>
      </c>
      <c r="G515">
        <v>52</v>
      </c>
      <c r="H515">
        <v>7</v>
      </c>
      <c r="I515">
        <v>0</v>
      </c>
      <c r="J515">
        <v>1</v>
      </c>
      <c r="K515">
        <v>1</v>
      </c>
      <c r="L515">
        <v>1</v>
      </c>
      <c r="M515">
        <v>14781.12</v>
      </c>
      <c r="N515">
        <v>0</v>
      </c>
      <c r="O515" t="str">
        <f t="shared" ref="O515:O578" si="24">IF(F515&lt;580, "Poor", IF(AND(F515&gt;=580, F515&lt;=669), "Average", "Good"))</f>
        <v>Good</v>
      </c>
      <c r="P515" t="str">
        <f t="shared" ref="P515:P578" si="25">IF(G515&lt;=30, "Young Adult", IF(AND(G515&gt;=31, G515&lt;=60), "Adult", "Senior"))</f>
        <v>Adult</v>
      </c>
      <c r="Q515" t="str">
        <f t="shared" ref="Q515:Q578" si="26">IF(M515&lt;30000, "Low Salary", IF(AND(M515&gt;=30000, M515&lt;=70000), "Medium Salary", "High Salary"))</f>
        <v>Low Salary</v>
      </c>
    </row>
    <row r="516" spans="1:17" x14ac:dyDescent="0.25">
      <c r="A516">
        <v>653</v>
      </c>
      <c r="B516">
        <v>15711889</v>
      </c>
      <c r="C516" t="s">
        <v>542</v>
      </c>
      <c r="D516" t="s">
        <v>15</v>
      </c>
      <c r="E516" t="s">
        <v>23</v>
      </c>
      <c r="F516">
        <v>668</v>
      </c>
      <c r="G516">
        <v>42</v>
      </c>
      <c r="H516">
        <v>3</v>
      </c>
      <c r="I516">
        <v>150461.07</v>
      </c>
      <c r="J516">
        <v>1</v>
      </c>
      <c r="K516">
        <v>1</v>
      </c>
      <c r="L516">
        <v>0</v>
      </c>
      <c r="M516">
        <v>108139.23</v>
      </c>
      <c r="N516">
        <v>0</v>
      </c>
      <c r="O516" t="str">
        <f t="shared" si="24"/>
        <v>Average</v>
      </c>
      <c r="P516" t="str">
        <f t="shared" si="25"/>
        <v>Adult</v>
      </c>
      <c r="Q516" t="str">
        <f t="shared" si="26"/>
        <v>High Salary</v>
      </c>
    </row>
    <row r="517" spans="1:17" x14ac:dyDescent="0.25">
      <c r="A517">
        <v>655</v>
      </c>
      <c r="B517">
        <v>15751710</v>
      </c>
      <c r="C517" t="s">
        <v>208</v>
      </c>
      <c r="D517" t="s">
        <v>18</v>
      </c>
      <c r="E517" t="s">
        <v>23</v>
      </c>
      <c r="F517">
        <v>729</v>
      </c>
      <c r="G517">
        <v>31</v>
      </c>
      <c r="H517">
        <v>8</v>
      </c>
      <c r="I517">
        <v>164870.81</v>
      </c>
      <c r="J517">
        <v>2</v>
      </c>
      <c r="K517">
        <v>1</v>
      </c>
      <c r="L517">
        <v>1</v>
      </c>
      <c r="M517">
        <v>9567.39</v>
      </c>
      <c r="N517">
        <v>0</v>
      </c>
      <c r="O517" t="str">
        <f t="shared" si="24"/>
        <v>Good</v>
      </c>
      <c r="P517" t="str">
        <f t="shared" si="25"/>
        <v>Adult</v>
      </c>
      <c r="Q517" t="str">
        <f t="shared" si="26"/>
        <v>Low Salary</v>
      </c>
    </row>
    <row r="518" spans="1:17" x14ac:dyDescent="0.25">
      <c r="A518">
        <v>656</v>
      </c>
      <c r="B518">
        <v>15692926</v>
      </c>
      <c r="C518" t="s">
        <v>271</v>
      </c>
      <c r="D518" t="s">
        <v>26</v>
      </c>
      <c r="E518" t="s">
        <v>23</v>
      </c>
      <c r="F518">
        <v>498</v>
      </c>
      <c r="G518">
        <v>25</v>
      </c>
      <c r="H518">
        <v>8</v>
      </c>
      <c r="I518">
        <v>121702.73</v>
      </c>
      <c r="J518">
        <v>1</v>
      </c>
      <c r="K518">
        <v>1</v>
      </c>
      <c r="L518">
        <v>1</v>
      </c>
      <c r="M518">
        <v>132210.49</v>
      </c>
      <c r="N518">
        <v>0</v>
      </c>
      <c r="O518" t="str">
        <f t="shared" si="24"/>
        <v>Poor</v>
      </c>
      <c r="P518" t="str">
        <f t="shared" si="25"/>
        <v>Young Adult</v>
      </c>
      <c r="Q518" t="str">
        <f t="shared" si="26"/>
        <v>High Salary</v>
      </c>
    </row>
    <row r="519" spans="1:17" x14ac:dyDescent="0.25">
      <c r="A519">
        <v>657</v>
      </c>
      <c r="B519">
        <v>15813741</v>
      </c>
      <c r="C519" t="s">
        <v>281</v>
      </c>
      <c r="D519" t="s">
        <v>18</v>
      </c>
      <c r="E519" t="s">
        <v>23</v>
      </c>
      <c r="F519">
        <v>549</v>
      </c>
      <c r="G519">
        <v>25</v>
      </c>
      <c r="H519">
        <v>6</v>
      </c>
      <c r="I519">
        <v>193858.2</v>
      </c>
      <c r="J519">
        <v>1</v>
      </c>
      <c r="K519">
        <v>0</v>
      </c>
      <c r="L519">
        <v>1</v>
      </c>
      <c r="M519">
        <v>21600.11</v>
      </c>
      <c r="N519">
        <v>0</v>
      </c>
      <c r="O519" t="str">
        <f t="shared" si="24"/>
        <v>Poor</v>
      </c>
      <c r="P519" t="str">
        <f t="shared" si="25"/>
        <v>Young Adult</v>
      </c>
      <c r="Q519" t="str">
        <f t="shared" si="26"/>
        <v>Low Salary</v>
      </c>
    </row>
    <row r="520" spans="1:17" x14ac:dyDescent="0.25">
      <c r="A520">
        <v>658</v>
      </c>
      <c r="B520">
        <v>15698474</v>
      </c>
      <c r="C520" t="s">
        <v>543</v>
      </c>
      <c r="D520" t="s">
        <v>26</v>
      </c>
      <c r="E520" t="s">
        <v>16</v>
      </c>
      <c r="F520">
        <v>601</v>
      </c>
      <c r="G520">
        <v>54</v>
      </c>
      <c r="H520">
        <v>1</v>
      </c>
      <c r="I520">
        <v>131039.97</v>
      </c>
      <c r="J520">
        <v>2</v>
      </c>
      <c r="K520">
        <v>1</v>
      </c>
      <c r="L520">
        <v>1</v>
      </c>
      <c r="M520">
        <v>199661.5</v>
      </c>
      <c r="N520">
        <v>0</v>
      </c>
      <c r="O520" t="str">
        <f t="shared" si="24"/>
        <v>Average</v>
      </c>
      <c r="P520" t="str">
        <f t="shared" si="25"/>
        <v>Adult</v>
      </c>
      <c r="Q520" t="str">
        <f t="shared" si="26"/>
        <v>High Salary</v>
      </c>
    </row>
    <row r="521" spans="1:17" x14ac:dyDescent="0.25">
      <c r="A521">
        <v>659</v>
      </c>
      <c r="B521">
        <v>15568595</v>
      </c>
      <c r="C521" t="s">
        <v>544</v>
      </c>
      <c r="D521" t="s">
        <v>15</v>
      </c>
      <c r="E521" t="s">
        <v>23</v>
      </c>
      <c r="F521">
        <v>544</v>
      </c>
      <c r="G521">
        <v>64</v>
      </c>
      <c r="H521">
        <v>9</v>
      </c>
      <c r="I521">
        <v>113829.45</v>
      </c>
      <c r="J521">
        <v>1</v>
      </c>
      <c r="K521">
        <v>1</v>
      </c>
      <c r="L521">
        <v>1</v>
      </c>
      <c r="M521">
        <v>124341.49</v>
      </c>
      <c r="N521">
        <v>0</v>
      </c>
      <c r="O521" t="str">
        <f t="shared" si="24"/>
        <v>Poor</v>
      </c>
      <c r="P521" t="str">
        <f t="shared" si="25"/>
        <v>Senior</v>
      </c>
      <c r="Q521" t="str">
        <f t="shared" si="26"/>
        <v>High Salary</v>
      </c>
    </row>
    <row r="522" spans="1:17" x14ac:dyDescent="0.25">
      <c r="A522">
        <v>660</v>
      </c>
      <c r="B522">
        <v>15603065</v>
      </c>
      <c r="C522" t="s">
        <v>545</v>
      </c>
      <c r="D522" t="s">
        <v>15</v>
      </c>
      <c r="E522" t="s">
        <v>16</v>
      </c>
      <c r="F522">
        <v>751</v>
      </c>
      <c r="G522">
        <v>30</v>
      </c>
      <c r="H522">
        <v>6</v>
      </c>
      <c r="I522">
        <v>0</v>
      </c>
      <c r="J522">
        <v>2</v>
      </c>
      <c r="K522">
        <v>1</v>
      </c>
      <c r="L522">
        <v>0</v>
      </c>
      <c r="M522">
        <v>15766.1</v>
      </c>
      <c r="N522">
        <v>0</v>
      </c>
      <c r="O522" t="str">
        <f t="shared" si="24"/>
        <v>Good</v>
      </c>
      <c r="P522" t="str">
        <f t="shared" si="25"/>
        <v>Young Adult</v>
      </c>
      <c r="Q522" t="str">
        <f t="shared" si="26"/>
        <v>Low Salary</v>
      </c>
    </row>
    <row r="523" spans="1:17" x14ac:dyDescent="0.25">
      <c r="A523">
        <v>661</v>
      </c>
      <c r="B523">
        <v>15592937</v>
      </c>
      <c r="C523" t="s">
        <v>546</v>
      </c>
      <c r="D523" t="s">
        <v>26</v>
      </c>
      <c r="E523" t="s">
        <v>16</v>
      </c>
      <c r="F523">
        <v>632</v>
      </c>
      <c r="G523">
        <v>41</v>
      </c>
      <c r="H523">
        <v>3</v>
      </c>
      <c r="I523">
        <v>81877.38</v>
      </c>
      <c r="J523">
        <v>1</v>
      </c>
      <c r="K523">
        <v>1</v>
      </c>
      <c r="L523">
        <v>1</v>
      </c>
      <c r="M523">
        <v>33642.21</v>
      </c>
      <c r="N523">
        <v>0</v>
      </c>
      <c r="O523" t="str">
        <f t="shared" si="24"/>
        <v>Average</v>
      </c>
      <c r="P523" t="str">
        <f t="shared" si="25"/>
        <v>Adult</v>
      </c>
      <c r="Q523" t="str">
        <f t="shared" si="26"/>
        <v>Medium Salary</v>
      </c>
    </row>
    <row r="524" spans="1:17" x14ac:dyDescent="0.25">
      <c r="A524">
        <v>662</v>
      </c>
      <c r="B524">
        <v>15699637</v>
      </c>
      <c r="C524" t="s">
        <v>547</v>
      </c>
      <c r="D524" t="s">
        <v>18</v>
      </c>
      <c r="E524" t="s">
        <v>23</v>
      </c>
      <c r="F524">
        <v>694</v>
      </c>
      <c r="G524">
        <v>57</v>
      </c>
      <c r="H524">
        <v>8</v>
      </c>
      <c r="I524">
        <v>116326.07</v>
      </c>
      <c r="J524">
        <v>1</v>
      </c>
      <c r="K524">
        <v>1</v>
      </c>
      <c r="L524">
        <v>1</v>
      </c>
      <c r="M524">
        <v>117704.65</v>
      </c>
      <c r="N524">
        <v>0</v>
      </c>
      <c r="O524" t="str">
        <f t="shared" si="24"/>
        <v>Good</v>
      </c>
      <c r="P524" t="str">
        <f t="shared" si="25"/>
        <v>Adult</v>
      </c>
      <c r="Q524" t="str">
        <f t="shared" si="26"/>
        <v>High Salary</v>
      </c>
    </row>
    <row r="525" spans="1:17" x14ac:dyDescent="0.25">
      <c r="A525">
        <v>663</v>
      </c>
      <c r="B525">
        <v>15667215</v>
      </c>
      <c r="C525" t="s">
        <v>548</v>
      </c>
      <c r="D525" t="s">
        <v>15</v>
      </c>
      <c r="E525" t="s">
        <v>23</v>
      </c>
      <c r="F525">
        <v>678</v>
      </c>
      <c r="G525">
        <v>31</v>
      </c>
      <c r="H525">
        <v>2</v>
      </c>
      <c r="I525">
        <v>0</v>
      </c>
      <c r="J525">
        <v>2</v>
      </c>
      <c r="K525">
        <v>1</v>
      </c>
      <c r="L525">
        <v>1</v>
      </c>
      <c r="M525">
        <v>58803.28</v>
      </c>
      <c r="N525">
        <v>0</v>
      </c>
      <c r="O525" t="str">
        <f t="shared" si="24"/>
        <v>Good</v>
      </c>
      <c r="P525" t="str">
        <f t="shared" si="25"/>
        <v>Adult</v>
      </c>
      <c r="Q525" t="str">
        <f t="shared" si="26"/>
        <v>Medium Salary</v>
      </c>
    </row>
    <row r="526" spans="1:17" x14ac:dyDescent="0.25">
      <c r="A526">
        <v>664</v>
      </c>
      <c r="B526">
        <v>15788659</v>
      </c>
      <c r="C526" t="s">
        <v>549</v>
      </c>
      <c r="D526" t="s">
        <v>15</v>
      </c>
      <c r="E526" t="s">
        <v>23</v>
      </c>
      <c r="F526">
        <v>695</v>
      </c>
      <c r="G526">
        <v>46</v>
      </c>
      <c r="H526">
        <v>4</v>
      </c>
      <c r="I526">
        <v>0</v>
      </c>
      <c r="J526">
        <v>2</v>
      </c>
      <c r="K526">
        <v>1</v>
      </c>
      <c r="L526">
        <v>1</v>
      </c>
      <c r="M526">
        <v>137537.22</v>
      </c>
      <c r="N526">
        <v>0</v>
      </c>
      <c r="O526" t="str">
        <f t="shared" si="24"/>
        <v>Good</v>
      </c>
      <c r="P526" t="str">
        <f t="shared" si="25"/>
        <v>Adult</v>
      </c>
      <c r="Q526" t="str">
        <f t="shared" si="26"/>
        <v>High Salary</v>
      </c>
    </row>
    <row r="527" spans="1:17" x14ac:dyDescent="0.25">
      <c r="A527">
        <v>665</v>
      </c>
      <c r="B527">
        <v>15763218</v>
      </c>
      <c r="C527" t="s">
        <v>550</v>
      </c>
      <c r="D527" t="s">
        <v>15</v>
      </c>
      <c r="E527" t="s">
        <v>16</v>
      </c>
      <c r="F527">
        <v>661</v>
      </c>
      <c r="G527">
        <v>41</v>
      </c>
      <c r="H527">
        <v>1</v>
      </c>
      <c r="I527">
        <v>0</v>
      </c>
      <c r="J527">
        <v>2</v>
      </c>
      <c r="K527">
        <v>0</v>
      </c>
      <c r="L527">
        <v>1</v>
      </c>
      <c r="M527">
        <v>131300.68</v>
      </c>
      <c r="N527">
        <v>0</v>
      </c>
      <c r="O527" t="str">
        <f t="shared" si="24"/>
        <v>Average</v>
      </c>
      <c r="P527" t="str">
        <f t="shared" si="25"/>
        <v>Adult</v>
      </c>
      <c r="Q527" t="str">
        <f t="shared" si="26"/>
        <v>High Salary</v>
      </c>
    </row>
    <row r="528" spans="1:17" x14ac:dyDescent="0.25">
      <c r="A528">
        <v>666</v>
      </c>
      <c r="B528">
        <v>15645772</v>
      </c>
      <c r="C528" t="s">
        <v>196</v>
      </c>
      <c r="D528" t="s">
        <v>15</v>
      </c>
      <c r="E528" t="s">
        <v>23</v>
      </c>
      <c r="F528">
        <v>661</v>
      </c>
      <c r="G528">
        <v>33</v>
      </c>
      <c r="H528">
        <v>9</v>
      </c>
      <c r="I528">
        <v>0</v>
      </c>
      <c r="J528">
        <v>2</v>
      </c>
      <c r="K528">
        <v>1</v>
      </c>
      <c r="L528">
        <v>1</v>
      </c>
      <c r="M528">
        <v>84174.81</v>
      </c>
      <c r="N528">
        <v>0</v>
      </c>
      <c r="O528" t="str">
        <f t="shared" si="24"/>
        <v>Average</v>
      </c>
      <c r="P528" t="str">
        <f t="shared" si="25"/>
        <v>Adult</v>
      </c>
      <c r="Q528" t="str">
        <f t="shared" si="26"/>
        <v>High Salary</v>
      </c>
    </row>
    <row r="529" spans="1:17" x14ac:dyDescent="0.25">
      <c r="A529">
        <v>667</v>
      </c>
      <c r="B529">
        <v>15725511</v>
      </c>
      <c r="C529" t="s">
        <v>93</v>
      </c>
      <c r="D529" t="s">
        <v>15</v>
      </c>
      <c r="E529" t="s">
        <v>16</v>
      </c>
      <c r="F529">
        <v>559</v>
      </c>
      <c r="G529">
        <v>31</v>
      </c>
      <c r="H529">
        <v>3</v>
      </c>
      <c r="I529">
        <v>127070.73</v>
      </c>
      <c r="J529">
        <v>1</v>
      </c>
      <c r="K529">
        <v>0</v>
      </c>
      <c r="L529">
        <v>1</v>
      </c>
      <c r="M529">
        <v>160941.78</v>
      </c>
      <c r="N529">
        <v>0</v>
      </c>
      <c r="O529" t="str">
        <f t="shared" si="24"/>
        <v>Poor</v>
      </c>
      <c r="P529" t="str">
        <f t="shared" si="25"/>
        <v>Adult</v>
      </c>
      <c r="Q529" t="str">
        <f t="shared" si="26"/>
        <v>High Salary</v>
      </c>
    </row>
    <row r="530" spans="1:17" x14ac:dyDescent="0.25">
      <c r="A530">
        <v>668</v>
      </c>
      <c r="B530">
        <v>15575024</v>
      </c>
      <c r="C530" t="s">
        <v>551</v>
      </c>
      <c r="D530" t="s">
        <v>15</v>
      </c>
      <c r="E530" t="s">
        <v>23</v>
      </c>
      <c r="F530">
        <v>503</v>
      </c>
      <c r="G530">
        <v>29</v>
      </c>
      <c r="H530">
        <v>3</v>
      </c>
      <c r="I530">
        <v>0</v>
      </c>
      <c r="J530">
        <v>2</v>
      </c>
      <c r="K530">
        <v>1</v>
      </c>
      <c r="L530">
        <v>1</v>
      </c>
      <c r="M530">
        <v>143954.99</v>
      </c>
      <c r="N530">
        <v>0</v>
      </c>
      <c r="O530" t="str">
        <f t="shared" si="24"/>
        <v>Poor</v>
      </c>
      <c r="P530" t="str">
        <f t="shared" si="25"/>
        <v>Young Adult</v>
      </c>
      <c r="Q530" t="str">
        <f t="shared" si="26"/>
        <v>High Salary</v>
      </c>
    </row>
    <row r="531" spans="1:17" x14ac:dyDescent="0.25">
      <c r="A531">
        <v>669</v>
      </c>
      <c r="B531">
        <v>15640825</v>
      </c>
      <c r="C531" t="s">
        <v>552</v>
      </c>
      <c r="D531" t="s">
        <v>18</v>
      </c>
      <c r="E531" t="s">
        <v>23</v>
      </c>
      <c r="F531">
        <v>695</v>
      </c>
      <c r="G531">
        <v>46</v>
      </c>
      <c r="H531">
        <v>3</v>
      </c>
      <c r="I531">
        <v>122549.64</v>
      </c>
      <c r="J531">
        <v>1</v>
      </c>
      <c r="K531">
        <v>1</v>
      </c>
      <c r="L531">
        <v>1</v>
      </c>
      <c r="M531">
        <v>56297.85</v>
      </c>
      <c r="N531">
        <v>0</v>
      </c>
      <c r="O531" t="str">
        <f t="shared" si="24"/>
        <v>Good</v>
      </c>
      <c r="P531" t="str">
        <f t="shared" si="25"/>
        <v>Adult</v>
      </c>
      <c r="Q531" t="str">
        <f t="shared" si="26"/>
        <v>Medium Salary</v>
      </c>
    </row>
    <row r="532" spans="1:17" x14ac:dyDescent="0.25">
      <c r="A532">
        <v>670</v>
      </c>
      <c r="B532">
        <v>15662397</v>
      </c>
      <c r="C532" t="s">
        <v>553</v>
      </c>
      <c r="D532" t="s">
        <v>15</v>
      </c>
      <c r="E532" t="s">
        <v>16</v>
      </c>
      <c r="F532">
        <v>640</v>
      </c>
      <c r="G532">
        <v>42</v>
      </c>
      <c r="H532">
        <v>5</v>
      </c>
      <c r="I532">
        <v>176099.13</v>
      </c>
      <c r="J532">
        <v>1</v>
      </c>
      <c r="K532">
        <v>1</v>
      </c>
      <c r="L532">
        <v>1</v>
      </c>
      <c r="M532">
        <v>8404.73</v>
      </c>
      <c r="N532">
        <v>0</v>
      </c>
      <c r="O532" t="str">
        <f t="shared" si="24"/>
        <v>Average</v>
      </c>
      <c r="P532" t="str">
        <f t="shared" si="25"/>
        <v>Adult</v>
      </c>
      <c r="Q532" t="str">
        <f t="shared" si="26"/>
        <v>Low Salary</v>
      </c>
    </row>
    <row r="533" spans="1:17" x14ac:dyDescent="0.25">
      <c r="A533">
        <v>671</v>
      </c>
      <c r="B533">
        <v>15576368</v>
      </c>
      <c r="C533" t="s">
        <v>554</v>
      </c>
      <c r="D533" t="s">
        <v>26</v>
      </c>
      <c r="E533" t="s">
        <v>16</v>
      </c>
      <c r="F533">
        <v>624</v>
      </c>
      <c r="G533">
        <v>48</v>
      </c>
      <c r="H533">
        <v>3</v>
      </c>
      <c r="I533">
        <v>122388.38</v>
      </c>
      <c r="J533">
        <v>2</v>
      </c>
      <c r="K533">
        <v>0</v>
      </c>
      <c r="L533">
        <v>0</v>
      </c>
      <c r="M533">
        <v>30020.09</v>
      </c>
      <c r="N533">
        <v>0</v>
      </c>
      <c r="O533" t="str">
        <f t="shared" si="24"/>
        <v>Average</v>
      </c>
      <c r="P533" t="str">
        <f t="shared" si="25"/>
        <v>Adult</v>
      </c>
      <c r="Q533" t="str">
        <f t="shared" si="26"/>
        <v>Medium Salary</v>
      </c>
    </row>
    <row r="534" spans="1:17" x14ac:dyDescent="0.25">
      <c r="A534">
        <v>672</v>
      </c>
      <c r="B534">
        <v>15674991</v>
      </c>
      <c r="C534" t="s">
        <v>555</v>
      </c>
      <c r="D534" t="s">
        <v>15</v>
      </c>
      <c r="E534" t="s">
        <v>23</v>
      </c>
      <c r="F534">
        <v>667</v>
      </c>
      <c r="G534">
        <v>42</v>
      </c>
      <c r="H534">
        <v>9</v>
      </c>
      <c r="I534">
        <v>0</v>
      </c>
      <c r="J534">
        <v>2</v>
      </c>
      <c r="K534">
        <v>0</v>
      </c>
      <c r="L534">
        <v>1</v>
      </c>
      <c r="M534">
        <v>58137.42</v>
      </c>
      <c r="N534">
        <v>0</v>
      </c>
      <c r="O534" t="str">
        <f t="shared" si="24"/>
        <v>Average</v>
      </c>
      <c r="P534" t="str">
        <f t="shared" si="25"/>
        <v>Adult</v>
      </c>
      <c r="Q534" t="str">
        <f t="shared" si="26"/>
        <v>Medium Salary</v>
      </c>
    </row>
    <row r="535" spans="1:17" x14ac:dyDescent="0.25">
      <c r="A535">
        <v>673</v>
      </c>
      <c r="B535">
        <v>15721024</v>
      </c>
      <c r="C535" t="s">
        <v>556</v>
      </c>
      <c r="D535" t="s">
        <v>15</v>
      </c>
      <c r="E535" t="s">
        <v>23</v>
      </c>
      <c r="F535">
        <v>642</v>
      </c>
      <c r="G535">
        <v>26</v>
      </c>
      <c r="H535">
        <v>0</v>
      </c>
      <c r="I535">
        <v>0</v>
      </c>
      <c r="J535">
        <v>1</v>
      </c>
      <c r="K535">
        <v>0</v>
      </c>
      <c r="L535">
        <v>0</v>
      </c>
      <c r="M535">
        <v>47472.68</v>
      </c>
      <c r="N535">
        <v>0</v>
      </c>
      <c r="O535" t="str">
        <f t="shared" si="24"/>
        <v>Average</v>
      </c>
      <c r="P535" t="str">
        <f t="shared" si="25"/>
        <v>Young Adult</v>
      </c>
      <c r="Q535" t="str">
        <f t="shared" si="26"/>
        <v>Medium Salary</v>
      </c>
    </row>
    <row r="536" spans="1:17" x14ac:dyDescent="0.25">
      <c r="A536">
        <v>674</v>
      </c>
      <c r="B536">
        <v>15745621</v>
      </c>
      <c r="C536" t="s">
        <v>557</v>
      </c>
      <c r="D536" t="s">
        <v>18</v>
      </c>
      <c r="E536" t="s">
        <v>16</v>
      </c>
      <c r="F536">
        <v>640</v>
      </c>
      <c r="G536">
        <v>37</v>
      </c>
      <c r="H536">
        <v>6</v>
      </c>
      <c r="I536">
        <v>118879.35</v>
      </c>
      <c r="J536">
        <v>2</v>
      </c>
      <c r="K536">
        <v>1</v>
      </c>
      <c r="L536">
        <v>1</v>
      </c>
      <c r="M536">
        <v>19131.71</v>
      </c>
      <c r="N536">
        <v>0</v>
      </c>
      <c r="O536" t="str">
        <f t="shared" si="24"/>
        <v>Average</v>
      </c>
      <c r="P536" t="str">
        <f t="shared" si="25"/>
        <v>Adult</v>
      </c>
      <c r="Q536" t="str">
        <f t="shared" si="26"/>
        <v>Low Salary</v>
      </c>
    </row>
    <row r="537" spans="1:17" x14ac:dyDescent="0.25">
      <c r="A537">
        <v>675</v>
      </c>
      <c r="B537">
        <v>15642394</v>
      </c>
      <c r="C537" t="s">
        <v>27</v>
      </c>
      <c r="D537" t="s">
        <v>18</v>
      </c>
      <c r="E537" t="s">
        <v>23</v>
      </c>
      <c r="F537">
        <v>529</v>
      </c>
      <c r="G537">
        <v>35</v>
      </c>
      <c r="H537">
        <v>5</v>
      </c>
      <c r="I537">
        <v>0</v>
      </c>
      <c r="J537">
        <v>2</v>
      </c>
      <c r="K537">
        <v>1</v>
      </c>
      <c r="L537">
        <v>1</v>
      </c>
      <c r="M537">
        <v>187288.5</v>
      </c>
      <c r="N537">
        <v>0</v>
      </c>
      <c r="O537" t="str">
        <f t="shared" si="24"/>
        <v>Poor</v>
      </c>
      <c r="P537" t="str">
        <f t="shared" si="25"/>
        <v>Adult</v>
      </c>
      <c r="Q537" t="str">
        <f t="shared" si="26"/>
        <v>High Salary</v>
      </c>
    </row>
    <row r="538" spans="1:17" x14ac:dyDescent="0.25">
      <c r="A538">
        <v>676</v>
      </c>
      <c r="B538">
        <v>15754605</v>
      </c>
      <c r="C538" t="s">
        <v>558</v>
      </c>
      <c r="D538" t="s">
        <v>15</v>
      </c>
      <c r="E538" t="s">
        <v>16</v>
      </c>
      <c r="F538">
        <v>563</v>
      </c>
      <c r="G538">
        <v>39</v>
      </c>
      <c r="H538">
        <v>5</v>
      </c>
      <c r="I538">
        <v>0</v>
      </c>
      <c r="J538">
        <v>2</v>
      </c>
      <c r="K538">
        <v>1</v>
      </c>
      <c r="L538">
        <v>1</v>
      </c>
      <c r="M538">
        <v>17603.810000000001</v>
      </c>
      <c r="N538">
        <v>0</v>
      </c>
      <c r="O538" t="str">
        <f t="shared" si="24"/>
        <v>Poor</v>
      </c>
      <c r="P538" t="str">
        <f t="shared" si="25"/>
        <v>Adult</v>
      </c>
      <c r="Q538" t="str">
        <f t="shared" si="26"/>
        <v>Low Salary</v>
      </c>
    </row>
    <row r="539" spans="1:17" x14ac:dyDescent="0.25">
      <c r="A539">
        <v>677</v>
      </c>
      <c r="B539">
        <v>15607040</v>
      </c>
      <c r="C539" t="s">
        <v>559</v>
      </c>
      <c r="D539" t="s">
        <v>18</v>
      </c>
      <c r="E539" t="s">
        <v>16</v>
      </c>
      <c r="F539">
        <v>593</v>
      </c>
      <c r="G539">
        <v>37</v>
      </c>
      <c r="H539">
        <v>4</v>
      </c>
      <c r="I539">
        <v>88736.44</v>
      </c>
      <c r="J539">
        <v>2</v>
      </c>
      <c r="K539">
        <v>1</v>
      </c>
      <c r="L539">
        <v>0</v>
      </c>
      <c r="M539">
        <v>67020.03</v>
      </c>
      <c r="N539">
        <v>0</v>
      </c>
      <c r="O539" t="str">
        <f t="shared" si="24"/>
        <v>Average</v>
      </c>
      <c r="P539" t="str">
        <f t="shared" si="25"/>
        <v>Adult</v>
      </c>
      <c r="Q539" t="str">
        <f t="shared" si="26"/>
        <v>Medium Salary</v>
      </c>
    </row>
    <row r="540" spans="1:17" x14ac:dyDescent="0.25">
      <c r="A540">
        <v>679</v>
      </c>
      <c r="B540">
        <v>15810978</v>
      </c>
      <c r="C540" t="s">
        <v>561</v>
      </c>
      <c r="D540" t="s">
        <v>18</v>
      </c>
      <c r="E540" t="s">
        <v>16</v>
      </c>
      <c r="F540">
        <v>788</v>
      </c>
      <c r="G540">
        <v>37</v>
      </c>
      <c r="H540">
        <v>1</v>
      </c>
      <c r="I540">
        <v>0</v>
      </c>
      <c r="J540">
        <v>2</v>
      </c>
      <c r="K540">
        <v>1</v>
      </c>
      <c r="L540">
        <v>1</v>
      </c>
      <c r="M540">
        <v>41610.620000000003</v>
      </c>
      <c r="N540">
        <v>0</v>
      </c>
      <c r="O540" t="str">
        <f t="shared" si="24"/>
        <v>Good</v>
      </c>
      <c r="P540" t="str">
        <f t="shared" si="25"/>
        <v>Adult</v>
      </c>
      <c r="Q540" t="str">
        <f t="shared" si="26"/>
        <v>Medium Salary</v>
      </c>
    </row>
    <row r="541" spans="1:17" x14ac:dyDescent="0.25">
      <c r="A541">
        <v>680</v>
      </c>
      <c r="B541">
        <v>15668886</v>
      </c>
      <c r="C541" t="s">
        <v>562</v>
      </c>
      <c r="D541" t="s">
        <v>18</v>
      </c>
      <c r="E541" t="s">
        <v>16</v>
      </c>
      <c r="F541">
        <v>684</v>
      </c>
      <c r="G541">
        <v>37</v>
      </c>
      <c r="H541">
        <v>3</v>
      </c>
      <c r="I541">
        <v>0</v>
      </c>
      <c r="J541">
        <v>2</v>
      </c>
      <c r="K541">
        <v>1</v>
      </c>
      <c r="L541">
        <v>0</v>
      </c>
      <c r="M541">
        <v>44255.65</v>
      </c>
      <c r="N541">
        <v>0</v>
      </c>
      <c r="O541" t="str">
        <f t="shared" si="24"/>
        <v>Good</v>
      </c>
      <c r="P541" t="str">
        <f t="shared" si="25"/>
        <v>Adult</v>
      </c>
      <c r="Q541" t="str">
        <f t="shared" si="26"/>
        <v>Medium Salary</v>
      </c>
    </row>
    <row r="542" spans="1:17" x14ac:dyDescent="0.25">
      <c r="A542">
        <v>681</v>
      </c>
      <c r="B542">
        <v>15780804</v>
      </c>
      <c r="C542" t="s">
        <v>563</v>
      </c>
      <c r="D542" t="s">
        <v>15</v>
      </c>
      <c r="E542" t="s">
        <v>23</v>
      </c>
      <c r="F542">
        <v>482</v>
      </c>
      <c r="G542">
        <v>55</v>
      </c>
      <c r="H542">
        <v>5</v>
      </c>
      <c r="I542">
        <v>97318.25</v>
      </c>
      <c r="J542">
        <v>1</v>
      </c>
      <c r="K542">
        <v>0</v>
      </c>
      <c r="L542">
        <v>1</v>
      </c>
      <c r="M542">
        <v>78416.14</v>
      </c>
      <c r="N542">
        <v>0</v>
      </c>
      <c r="O542" t="str">
        <f t="shared" si="24"/>
        <v>Poor</v>
      </c>
      <c r="P542" t="str">
        <f t="shared" si="25"/>
        <v>Adult</v>
      </c>
      <c r="Q542" t="str">
        <f t="shared" si="26"/>
        <v>High Salary</v>
      </c>
    </row>
    <row r="543" spans="1:17" x14ac:dyDescent="0.25">
      <c r="A543">
        <v>682</v>
      </c>
      <c r="B543">
        <v>15613880</v>
      </c>
      <c r="C543" t="s">
        <v>564</v>
      </c>
      <c r="D543" t="s">
        <v>18</v>
      </c>
      <c r="E543" t="s">
        <v>23</v>
      </c>
      <c r="F543">
        <v>591</v>
      </c>
      <c r="G543">
        <v>58</v>
      </c>
      <c r="H543">
        <v>5</v>
      </c>
      <c r="I543">
        <v>128468.69</v>
      </c>
      <c r="J543">
        <v>1</v>
      </c>
      <c r="K543">
        <v>0</v>
      </c>
      <c r="L543">
        <v>1</v>
      </c>
      <c r="M543">
        <v>137254.54999999999</v>
      </c>
      <c r="N543">
        <v>0</v>
      </c>
      <c r="O543" t="str">
        <f t="shared" si="24"/>
        <v>Average</v>
      </c>
      <c r="P543" t="str">
        <f t="shared" si="25"/>
        <v>Adult</v>
      </c>
      <c r="Q543" t="str">
        <f t="shared" si="26"/>
        <v>High Salary</v>
      </c>
    </row>
    <row r="544" spans="1:17" x14ac:dyDescent="0.25">
      <c r="A544">
        <v>683</v>
      </c>
      <c r="B544">
        <v>15775238</v>
      </c>
      <c r="C544" t="s">
        <v>565</v>
      </c>
      <c r="D544" t="s">
        <v>26</v>
      </c>
      <c r="E544" t="s">
        <v>16</v>
      </c>
      <c r="F544">
        <v>651</v>
      </c>
      <c r="G544">
        <v>41</v>
      </c>
      <c r="H544">
        <v>4</v>
      </c>
      <c r="I544">
        <v>133432.59</v>
      </c>
      <c r="J544">
        <v>1</v>
      </c>
      <c r="K544">
        <v>0</v>
      </c>
      <c r="L544">
        <v>1</v>
      </c>
      <c r="M544">
        <v>151303.48000000001</v>
      </c>
      <c r="N544">
        <v>0</v>
      </c>
      <c r="O544" t="str">
        <f t="shared" si="24"/>
        <v>Average</v>
      </c>
      <c r="P544" t="str">
        <f t="shared" si="25"/>
        <v>Adult</v>
      </c>
      <c r="Q544" t="str">
        <f t="shared" si="26"/>
        <v>High Salary</v>
      </c>
    </row>
    <row r="545" spans="1:17" x14ac:dyDescent="0.25">
      <c r="A545">
        <v>684</v>
      </c>
      <c r="B545">
        <v>15786905</v>
      </c>
      <c r="C545" t="s">
        <v>298</v>
      </c>
      <c r="D545" t="s">
        <v>26</v>
      </c>
      <c r="E545" t="s">
        <v>16</v>
      </c>
      <c r="F545">
        <v>749</v>
      </c>
      <c r="G545">
        <v>40</v>
      </c>
      <c r="H545">
        <v>8</v>
      </c>
      <c r="I545">
        <v>141782.57</v>
      </c>
      <c r="J545">
        <v>2</v>
      </c>
      <c r="K545">
        <v>0</v>
      </c>
      <c r="L545">
        <v>0</v>
      </c>
      <c r="M545">
        <v>86333.63</v>
      </c>
      <c r="N545">
        <v>0</v>
      </c>
      <c r="O545" t="str">
        <f t="shared" si="24"/>
        <v>Good</v>
      </c>
      <c r="P545" t="str">
        <f t="shared" si="25"/>
        <v>Adult</v>
      </c>
      <c r="Q545" t="str">
        <f t="shared" si="26"/>
        <v>High Salary</v>
      </c>
    </row>
    <row r="546" spans="1:17" x14ac:dyDescent="0.25">
      <c r="A546">
        <v>685</v>
      </c>
      <c r="B546">
        <v>15747867</v>
      </c>
      <c r="C546" t="s">
        <v>70</v>
      </c>
      <c r="D546" t="s">
        <v>15</v>
      </c>
      <c r="E546" t="s">
        <v>23</v>
      </c>
      <c r="F546">
        <v>583</v>
      </c>
      <c r="G546">
        <v>24</v>
      </c>
      <c r="H546">
        <v>9</v>
      </c>
      <c r="I546">
        <v>135125.28</v>
      </c>
      <c r="J546">
        <v>1</v>
      </c>
      <c r="K546">
        <v>0</v>
      </c>
      <c r="L546">
        <v>0</v>
      </c>
      <c r="M546">
        <v>89801.9</v>
      </c>
      <c r="N546">
        <v>0</v>
      </c>
      <c r="O546" t="str">
        <f t="shared" si="24"/>
        <v>Average</v>
      </c>
      <c r="P546" t="str">
        <f t="shared" si="25"/>
        <v>Young Adult</v>
      </c>
      <c r="Q546" t="str">
        <f t="shared" si="26"/>
        <v>High Salary</v>
      </c>
    </row>
    <row r="547" spans="1:17" x14ac:dyDescent="0.25">
      <c r="A547">
        <v>687</v>
      </c>
      <c r="B547">
        <v>15801277</v>
      </c>
      <c r="C547" t="s">
        <v>567</v>
      </c>
      <c r="D547" t="s">
        <v>15</v>
      </c>
      <c r="E547" t="s">
        <v>16</v>
      </c>
      <c r="F547">
        <v>715</v>
      </c>
      <c r="G547">
        <v>31</v>
      </c>
      <c r="H547">
        <v>2</v>
      </c>
      <c r="I547">
        <v>112212.14</v>
      </c>
      <c r="J547">
        <v>2</v>
      </c>
      <c r="K547">
        <v>1</v>
      </c>
      <c r="L547">
        <v>1</v>
      </c>
      <c r="M547">
        <v>181600.72</v>
      </c>
      <c r="N547">
        <v>0</v>
      </c>
      <c r="O547" t="str">
        <f t="shared" si="24"/>
        <v>Good</v>
      </c>
      <c r="P547" t="str">
        <f t="shared" si="25"/>
        <v>Adult</v>
      </c>
      <c r="Q547" t="str">
        <f t="shared" si="26"/>
        <v>High Salary</v>
      </c>
    </row>
    <row r="548" spans="1:17" x14ac:dyDescent="0.25">
      <c r="A548">
        <v>690</v>
      </c>
      <c r="B548">
        <v>15720649</v>
      </c>
      <c r="C548" t="s">
        <v>570</v>
      </c>
      <c r="D548" t="s">
        <v>15</v>
      </c>
      <c r="E548" t="s">
        <v>16</v>
      </c>
      <c r="F548">
        <v>641</v>
      </c>
      <c r="G548">
        <v>36</v>
      </c>
      <c r="H548">
        <v>5</v>
      </c>
      <c r="I548">
        <v>66392.639999999999</v>
      </c>
      <c r="J548">
        <v>1</v>
      </c>
      <c r="K548">
        <v>1</v>
      </c>
      <c r="L548">
        <v>0</v>
      </c>
      <c r="M548">
        <v>31106.67</v>
      </c>
      <c r="N548">
        <v>0</v>
      </c>
      <c r="O548" t="str">
        <f t="shared" si="24"/>
        <v>Average</v>
      </c>
      <c r="P548" t="str">
        <f t="shared" si="25"/>
        <v>Adult</v>
      </c>
      <c r="Q548" t="str">
        <f t="shared" si="26"/>
        <v>Medium Salary</v>
      </c>
    </row>
    <row r="549" spans="1:17" x14ac:dyDescent="0.25">
      <c r="A549">
        <v>691</v>
      </c>
      <c r="B549">
        <v>15589493</v>
      </c>
      <c r="C549" t="s">
        <v>571</v>
      </c>
      <c r="D549" t="s">
        <v>26</v>
      </c>
      <c r="E549" t="s">
        <v>23</v>
      </c>
      <c r="F549">
        <v>716</v>
      </c>
      <c r="G549">
        <v>27</v>
      </c>
      <c r="H549">
        <v>1</v>
      </c>
      <c r="I549">
        <v>122552.34</v>
      </c>
      <c r="J549">
        <v>2</v>
      </c>
      <c r="K549">
        <v>1</v>
      </c>
      <c r="L549">
        <v>0</v>
      </c>
      <c r="M549">
        <v>67611.360000000001</v>
      </c>
      <c r="N549">
        <v>0</v>
      </c>
      <c r="O549" t="str">
        <f t="shared" si="24"/>
        <v>Good</v>
      </c>
      <c r="P549" t="str">
        <f t="shared" si="25"/>
        <v>Young Adult</v>
      </c>
      <c r="Q549" t="str">
        <f t="shared" si="26"/>
        <v>Medium Salary</v>
      </c>
    </row>
    <row r="550" spans="1:17" x14ac:dyDescent="0.25">
      <c r="A550">
        <v>692</v>
      </c>
      <c r="B550">
        <v>15688251</v>
      </c>
      <c r="C550" t="s">
        <v>572</v>
      </c>
      <c r="D550" t="s">
        <v>15</v>
      </c>
      <c r="E550" t="s">
        <v>23</v>
      </c>
      <c r="F550">
        <v>767</v>
      </c>
      <c r="G550">
        <v>43</v>
      </c>
      <c r="H550">
        <v>1</v>
      </c>
      <c r="I550">
        <v>76408.850000000006</v>
      </c>
      <c r="J550">
        <v>2</v>
      </c>
      <c r="K550">
        <v>1</v>
      </c>
      <c r="L550">
        <v>0</v>
      </c>
      <c r="M550">
        <v>77837.63</v>
      </c>
      <c r="N550">
        <v>0</v>
      </c>
      <c r="O550" t="str">
        <f t="shared" si="24"/>
        <v>Good</v>
      </c>
      <c r="P550" t="str">
        <f t="shared" si="25"/>
        <v>Adult</v>
      </c>
      <c r="Q550" t="str">
        <f t="shared" si="26"/>
        <v>High Salary</v>
      </c>
    </row>
    <row r="551" spans="1:17" x14ac:dyDescent="0.25">
      <c r="A551">
        <v>693</v>
      </c>
      <c r="B551">
        <v>15665238</v>
      </c>
      <c r="C551" t="s">
        <v>573</v>
      </c>
      <c r="D551" t="s">
        <v>26</v>
      </c>
      <c r="E551" t="s">
        <v>23</v>
      </c>
      <c r="F551">
        <v>745</v>
      </c>
      <c r="G551">
        <v>36</v>
      </c>
      <c r="H551">
        <v>8</v>
      </c>
      <c r="I551">
        <v>145071.24</v>
      </c>
      <c r="J551">
        <v>1</v>
      </c>
      <c r="K551">
        <v>0</v>
      </c>
      <c r="L551">
        <v>0</v>
      </c>
      <c r="M551">
        <v>6078.46</v>
      </c>
      <c r="N551">
        <v>0</v>
      </c>
      <c r="O551" t="str">
        <f t="shared" si="24"/>
        <v>Good</v>
      </c>
      <c r="P551" t="str">
        <f t="shared" si="25"/>
        <v>Adult</v>
      </c>
      <c r="Q551" t="str">
        <f t="shared" si="26"/>
        <v>Low Salary</v>
      </c>
    </row>
    <row r="552" spans="1:17" x14ac:dyDescent="0.25">
      <c r="A552">
        <v>694</v>
      </c>
      <c r="B552">
        <v>15740900</v>
      </c>
      <c r="C552" t="s">
        <v>574</v>
      </c>
      <c r="D552" t="s">
        <v>15</v>
      </c>
      <c r="E552" t="s">
        <v>23</v>
      </c>
      <c r="F552">
        <v>589</v>
      </c>
      <c r="G552">
        <v>34</v>
      </c>
      <c r="H552">
        <v>6</v>
      </c>
      <c r="I552">
        <v>0</v>
      </c>
      <c r="J552">
        <v>2</v>
      </c>
      <c r="K552">
        <v>1</v>
      </c>
      <c r="L552">
        <v>1</v>
      </c>
      <c r="M552">
        <v>177896.92</v>
      </c>
      <c r="N552">
        <v>0</v>
      </c>
      <c r="O552" t="str">
        <f t="shared" si="24"/>
        <v>Average</v>
      </c>
      <c r="P552" t="str">
        <f t="shared" si="25"/>
        <v>Adult</v>
      </c>
      <c r="Q552" t="str">
        <f t="shared" si="26"/>
        <v>High Salary</v>
      </c>
    </row>
    <row r="553" spans="1:17" x14ac:dyDescent="0.25">
      <c r="A553">
        <v>695</v>
      </c>
      <c r="B553">
        <v>15681068</v>
      </c>
      <c r="C553" t="s">
        <v>575</v>
      </c>
      <c r="D553" t="s">
        <v>15</v>
      </c>
      <c r="E553" t="s">
        <v>16</v>
      </c>
      <c r="F553">
        <v>796</v>
      </c>
      <c r="G553">
        <v>45</v>
      </c>
      <c r="H553">
        <v>2</v>
      </c>
      <c r="I553">
        <v>109730.22</v>
      </c>
      <c r="J553">
        <v>1</v>
      </c>
      <c r="K553">
        <v>1</v>
      </c>
      <c r="L553">
        <v>1</v>
      </c>
      <c r="M553">
        <v>123882.73</v>
      </c>
      <c r="N553">
        <v>0</v>
      </c>
      <c r="O553" t="str">
        <f t="shared" si="24"/>
        <v>Good</v>
      </c>
      <c r="P553" t="str">
        <f t="shared" si="25"/>
        <v>Adult</v>
      </c>
      <c r="Q553" t="str">
        <f t="shared" si="26"/>
        <v>High Salary</v>
      </c>
    </row>
    <row r="554" spans="1:17" x14ac:dyDescent="0.25">
      <c r="A554">
        <v>696</v>
      </c>
      <c r="B554">
        <v>15748625</v>
      </c>
      <c r="C554" t="s">
        <v>576</v>
      </c>
      <c r="D554" t="s">
        <v>15</v>
      </c>
      <c r="E554" t="s">
        <v>23</v>
      </c>
      <c r="F554">
        <v>664</v>
      </c>
      <c r="G554">
        <v>57</v>
      </c>
      <c r="H554">
        <v>6</v>
      </c>
      <c r="I554">
        <v>0</v>
      </c>
      <c r="J554">
        <v>2</v>
      </c>
      <c r="K554">
        <v>1</v>
      </c>
      <c r="L554">
        <v>1</v>
      </c>
      <c r="M554">
        <v>15304.08</v>
      </c>
      <c r="N554">
        <v>0</v>
      </c>
      <c r="O554" t="str">
        <f t="shared" si="24"/>
        <v>Average</v>
      </c>
      <c r="P554" t="str">
        <f t="shared" si="25"/>
        <v>Adult</v>
      </c>
      <c r="Q554" t="str">
        <f t="shared" si="26"/>
        <v>Low Salary</v>
      </c>
    </row>
    <row r="555" spans="1:17" x14ac:dyDescent="0.25">
      <c r="A555">
        <v>699</v>
      </c>
      <c r="B555">
        <v>15669516</v>
      </c>
      <c r="C555" t="s">
        <v>579</v>
      </c>
      <c r="D555" t="s">
        <v>18</v>
      </c>
      <c r="E555" t="s">
        <v>23</v>
      </c>
      <c r="F555">
        <v>746</v>
      </c>
      <c r="G555">
        <v>36</v>
      </c>
      <c r="H555">
        <v>2</v>
      </c>
      <c r="I555">
        <v>0</v>
      </c>
      <c r="J555">
        <v>2</v>
      </c>
      <c r="K555">
        <v>1</v>
      </c>
      <c r="L555">
        <v>1</v>
      </c>
      <c r="M555">
        <v>16436.560000000001</v>
      </c>
      <c r="N555">
        <v>0</v>
      </c>
      <c r="O555" t="str">
        <f t="shared" si="24"/>
        <v>Good</v>
      </c>
      <c r="P555" t="str">
        <f t="shared" si="25"/>
        <v>Adult</v>
      </c>
      <c r="Q555" t="str">
        <f t="shared" si="26"/>
        <v>Low Salary</v>
      </c>
    </row>
    <row r="556" spans="1:17" x14ac:dyDescent="0.25">
      <c r="A556">
        <v>700</v>
      </c>
      <c r="B556">
        <v>15736534</v>
      </c>
      <c r="C556" t="s">
        <v>580</v>
      </c>
      <c r="D556" t="s">
        <v>26</v>
      </c>
      <c r="E556" t="s">
        <v>23</v>
      </c>
      <c r="F556">
        <v>742</v>
      </c>
      <c r="G556">
        <v>33</v>
      </c>
      <c r="H556">
        <v>0</v>
      </c>
      <c r="I556">
        <v>181656.51</v>
      </c>
      <c r="J556">
        <v>1</v>
      </c>
      <c r="K556">
        <v>1</v>
      </c>
      <c r="L556">
        <v>1</v>
      </c>
      <c r="M556">
        <v>107667.91</v>
      </c>
      <c r="N556">
        <v>0</v>
      </c>
      <c r="O556" t="str">
        <f t="shared" si="24"/>
        <v>Good</v>
      </c>
      <c r="P556" t="str">
        <f t="shared" si="25"/>
        <v>Adult</v>
      </c>
      <c r="Q556" t="str">
        <f t="shared" si="26"/>
        <v>High Salary</v>
      </c>
    </row>
    <row r="557" spans="1:17" x14ac:dyDescent="0.25">
      <c r="A557">
        <v>701</v>
      </c>
      <c r="B557">
        <v>15803457</v>
      </c>
      <c r="C557" t="s">
        <v>38</v>
      </c>
      <c r="D557" t="s">
        <v>15</v>
      </c>
      <c r="E557" t="s">
        <v>16</v>
      </c>
      <c r="F557">
        <v>750</v>
      </c>
      <c r="G557">
        <v>32</v>
      </c>
      <c r="H557">
        <v>5</v>
      </c>
      <c r="I557">
        <v>0</v>
      </c>
      <c r="J557">
        <v>2</v>
      </c>
      <c r="K557">
        <v>1</v>
      </c>
      <c r="L557">
        <v>0</v>
      </c>
      <c r="M557">
        <v>95611.47</v>
      </c>
      <c r="N557">
        <v>0</v>
      </c>
      <c r="O557" t="str">
        <f t="shared" si="24"/>
        <v>Good</v>
      </c>
      <c r="P557" t="str">
        <f t="shared" si="25"/>
        <v>Adult</v>
      </c>
      <c r="Q557" t="str">
        <f t="shared" si="26"/>
        <v>High Salary</v>
      </c>
    </row>
    <row r="558" spans="1:17" x14ac:dyDescent="0.25">
      <c r="A558">
        <v>702</v>
      </c>
      <c r="B558">
        <v>15659098</v>
      </c>
      <c r="C558" t="s">
        <v>581</v>
      </c>
      <c r="D558" t="s">
        <v>15</v>
      </c>
      <c r="E558" t="s">
        <v>23</v>
      </c>
      <c r="F558">
        <v>669</v>
      </c>
      <c r="G558">
        <v>30</v>
      </c>
      <c r="H558">
        <v>7</v>
      </c>
      <c r="I558">
        <v>95128.86</v>
      </c>
      <c r="J558">
        <v>1</v>
      </c>
      <c r="K558">
        <v>0</v>
      </c>
      <c r="L558">
        <v>0</v>
      </c>
      <c r="M558">
        <v>19799.259999999998</v>
      </c>
      <c r="N558">
        <v>0</v>
      </c>
      <c r="O558" t="str">
        <f t="shared" si="24"/>
        <v>Average</v>
      </c>
      <c r="P558" t="str">
        <f t="shared" si="25"/>
        <v>Young Adult</v>
      </c>
      <c r="Q558" t="str">
        <f t="shared" si="26"/>
        <v>Low Salary</v>
      </c>
    </row>
    <row r="559" spans="1:17" x14ac:dyDescent="0.25">
      <c r="A559">
        <v>703</v>
      </c>
      <c r="B559">
        <v>15603436</v>
      </c>
      <c r="C559" t="s">
        <v>582</v>
      </c>
      <c r="D559" t="s">
        <v>18</v>
      </c>
      <c r="E559" t="s">
        <v>16</v>
      </c>
      <c r="F559">
        <v>594</v>
      </c>
      <c r="G559">
        <v>37</v>
      </c>
      <c r="H559">
        <v>2</v>
      </c>
      <c r="I559">
        <v>126615.94</v>
      </c>
      <c r="J559">
        <v>2</v>
      </c>
      <c r="K559">
        <v>0</v>
      </c>
      <c r="L559">
        <v>1</v>
      </c>
      <c r="M559">
        <v>123214.74</v>
      </c>
      <c r="N559">
        <v>0</v>
      </c>
      <c r="O559" t="str">
        <f t="shared" si="24"/>
        <v>Average</v>
      </c>
      <c r="P559" t="str">
        <f t="shared" si="25"/>
        <v>Adult</v>
      </c>
      <c r="Q559" t="str">
        <f t="shared" si="26"/>
        <v>High Salary</v>
      </c>
    </row>
    <row r="560" spans="1:17" x14ac:dyDescent="0.25">
      <c r="A560">
        <v>704</v>
      </c>
      <c r="B560">
        <v>15566292</v>
      </c>
      <c r="C560" t="s">
        <v>496</v>
      </c>
      <c r="D560" t="s">
        <v>18</v>
      </c>
      <c r="E560" t="s">
        <v>23</v>
      </c>
      <c r="F560">
        <v>574</v>
      </c>
      <c r="G560">
        <v>36</v>
      </c>
      <c r="H560">
        <v>1</v>
      </c>
      <c r="I560">
        <v>0</v>
      </c>
      <c r="J560">
        <v>2</v>
      </c>
      <c r="K560">
        <v>0</v>
      </c>
      <c r="L560">
        <v>1</v>
      </c>
      <c r="M560">
        <v>71709.119999999995</v>
      </c>
      <c r="N560">
        <v>0</v>
      </c>
      <c r="O560" t="str">
        <f t="shared" si="24"/>
        <v>Poor</v>
      </c>
      <c r="P560" t="str">
        <f t="shared" si="25"/>
        <v>Adult</v>
      </c>
      <c r="Q560" t="str">
        <f t="shared" si="26"/>
        <v>High Salary</v>
      </c>
    </row>
    <row r="561" spans="1:17" x14ac:dyDescent="0.25">
      <c r="A561">
        <v>705</v>
      </c>
      <c r="B561">
        <v>15808621</v>
      </c>
      <c r="C561" t="s">
        <v>583</v>
      </c>
      <c r="D561" t="s">
        <v>26</v>
      </c>
      <c r="E561" t="s">
        <v>23</v>
      </c>
      <c r="F561">
        <v>659</v>
      </c>
      <c r="G561">
        <v>36</v>
      </c>
      <c r="H561">
        <v>2</v>
      </c>
      <c r="I561">
        <v>76190.48</v>
      </c>
      <c r="J561">
        <v>2</v>
      </c>
      <c r="K561">
        <v>1</v>
      </c>
      <c r="L561">
        <v>1</v>
      </c>
      <c r="M561">
        <v>149066.14000000001</v>
      </c>
      <c r="N561">
        <v>0</v>
      </c>
      <c r="O561" t="str">
        <f t="shared" si="24"/>
        <v>Average</v>
      </c>
      <c r="P561" t="str">
        <f t="shared" si="25"/>
        <v>Adult</v>
      </c>
      <c r="Q561" t="str">
        <f t="shared" si="26"/>
        <v>High Salary</v>
      </c>
    </row>
    <row r="562" spans="1:17" x14ac:dyDescent="0.25">
      <c r="A562">
        <v>707</v>
      </c>
      <c r="B562">
        <v>15776231</v>
      </c>
      <c r="C562" t="s">
        <v>584</v>
      </c>
      <c r="D562" t="s">
        <v>26</v>
      </c>
      <c r="E562" t="s">
        <v>23</v>
      </c>
      <c r="F562">
        <v>626</v>
      </c>
      <c r="G562">
        <v>35</v>
      </c>
      <c r="H562">
        <v>4</v>
      </c>
      <c r="I562">
        <v>88109.81</v>
      </c>
      <c r="J562">
        <v>1</v>
      </c>
      <c r="K562">
        <v>1</v>
      </c>
      <c r="L562">
        <v>1</v>
      </c>
      <c r="M562">
        <v>32825.5</v>
      </c>
      <c r="N562">
        <v>0</v>
      </c>
      <c r="O562" t="str">
        <f t="shared" si="24"/>
        <v>Average</v>
      </c>
      <c r="P562" t="str">
        <f t="shared" si="25"/>
        <v>Adult</v>
      </c>
      <c r="Q562" t="str">
        <f t="shared" si="26"/>
        <v>Medium Salary</v>
      </c>
    </row>
    <row r="563" spans="1:17" x14ac:dyDescent="0.25">
      <c r="A563">
        <v>708</v>
      </c>
      <c r="B563">
        <v>15773809</v>
      </c>
      <c r="C563" t="s">
        <v>186</v>
      </c>
      <c r="D563" t="s">
        <v>15</v>
      </c>
      <c r="E563" t="s">
        <v>23</v>
      </c>
      <c r="F563">
        <v>620</v>
      </c>
      <c r="G563">
        <v>42</v>
      </c>
      <c r="H563">
        <v>4</v>
      </c>
      <c r="I563">
        <v>0</v>
      </c>
      <c r="J563">
        <v>2</v>
      </c>
      <c r="K563">
        <v>1</v>
      </c>
      <c r="L563">
        <v>0</v>
      </c>
      <c r="M563">
        <v>6232.31</v>
      </c>
      <c r="N563">
        <v>0</v>
      </c>
      <c r="O563" t="str">
        <f t="shared" si="24"/>
        <v>Average</v>
      </c>
      <c r="P563" t="str">
        <f t="shared" si="25"/>
        <v>Adult</v>
      </c>
      <c r="Q563" t="str">
        <f t="shared" si="26"/>
        <v>Low Salary</v>
      </c>
    </row>
    <row r="564" spans="1:17" x14ac:dyDescent="0.25">
      <c r="A564">
        <v>709</v>
      </c>
      <c r="B564">
        <v>15649423</v>
      </c>
      <c r="C564" t="s">
        <v>585</v>
      </c>
      <c r="D564" t="s">
        <v>15</v>
      </c>
      <c r="E564" t="s">
        <v>16</v>
      </c>
      <c r="F564">
        <v>580</v>
      </c>
      <c r="G564">
        <v>35</v>
      </c>
      <c r="H564">
        <v>8</v>
      </c>
      <c r="I564">
        <v>0</v>
      </c>
      <c r="J564">
        <v>2</v>
      </c>
      <c r="K564">
        <v>0</v>
      </c>
      <c r="L564">
        <v>1</v>
      </c>
      <c r="M564">
        <v>10357.030000000001</v>
      </c>
      <c r="N564">
        <v>0</v>
      </c>
      <c r="O564" t="str">
        <f t="shared" si="24"/>
        <v>Average</v>
      </c>
      <c r="P564" t="str">
        <f t="shared" si="25"/>
        <v>Adult</v>
      </c>
      <c r="Q564" t="str">
        <f t="shared" si="26"/>
        <v>Low Salary</v>
      </c>
    </row>
    <row r="565" spans="1:17" x14ac:dyDescent="0.25">
      <c r="A565">
        <v>710</v>
      </c>
      <c r="B565">
        <v>15734886</v>
      </c>
      <c r="C565" t="s">
        <v>586</v>
      </c>
      <c r="D565" t="s">
        <v>15</v>
      </c>
      <c r="E565" t="s">
        <v>16</v>
      </c>
      <c r="F565">
        <v>686</v>
      </c>
      <c r="G565">
        <v>34</v>
      </c>
      <c r="H565">
        <v>3</v>
      </c>
      <c r="I565">
        <v>123971.51</v>
      </c>
      <c r="J565">
        <v>2</v>
      </c>
      <c r="K565">
        <v>1</v>
      </c>
      <c r="L565">
        <v>0</v>
      </c>
      <c r="M565">
        <v>147794.63</v>
      </c>
      <c r="N565">
        <v>0</v>
      </c>
      <c r="O565" t="str">
        <f t="shared" si="24"/>
        <v>Good</v>
      </c>
      <c r="P565" t="str">
        <f t="shared" si="25"/>
        <v>Adult</v>
      </c>
      <c r="Q565" t="str">
        <f t="shared" si="26"/>
        <v>High Salary</v>
      </c>
    </row>
    <row r="566" spans="1:17" x14ac:dyDescent="0.25">
      <c r="A566">
        <v>711</v>
      </c>
      <c r="B566">
        <v>15722548</v>
      </c>
      <c r="C566" t="s">
        <v>587</v>
      </c>
      <c r="D566" t="s">
        <v>15</v>
      </c>
      <c r="E566" t="s">
        <v>23</v>
      </c>
      <c r="F566">
        <v>540</v>
      </c>
      <c r="G566">
        <v>48</v>
      </c>
      <c r="H566">
        <v>0</v>
      </c>
      <c r="I566">
        <v>148116.48000000001</v>
      </c>
      <c r="J566">
        <v>1</v>
      </c>
      <c r="K566">
        <v>0</v>
      </c>
      <c r="L566">
        <v>0</v>
      </c>
      <c r="M566">
        <v>116973.48</v>
      </c>
      <c r="N566">
        <v>0</v>
      </c>
      <c r="O566" t="str">
        <f t="shared" si="24"/>
        <v>Poor</v>
      </c>
      <c r="P566" t="str">
        <f t="shared" si="25"/>
        <v>Adult</v>
      </c>
      <c r="Q566" t="str">
        <f t="shared" si="26"/>
        <v>High Salary</v>
      </c>
    </row>
    <row r="567" spans="1:17" x14ac:dyDescent="0.25">
      <c r="A567">
        <v>712</v>
      </c>
      <c r="B567">
        <v>15650288</v>
      </c>
      <c r="C567" t="s">
        <v>588</v>
      </c>
      <c r="D567" t="s">
        <v>26</v>
      </c>
      <c r="E567" t="s">
        <v>23</v>
      </c>
      <c r="F567">
        <v>634</v>
      </c>
      <c r="G567">
        <v>35</v>
      </c>
      <c r="H567">
        <v>6</v>
      </c>
      <c r="I567">
        <v>116269.01</v>
      </c>
      <c r="J567">
        <v>1</v>
      </c>
      <c r="K567">
        <v>1</v>
      </c>
      <c r="L567">
        <v>0</v>
      </c>
      <c r="M567">
        <v>129964.94</v>
      </c>
      <c r="N567">
        <v>0</v>
      </c>
      <c r="O567" t="str">
        <f t="shared" si="24"/>
        <v>Average</v>
      </c>
      <c r="P567" t="str">
        <f t="shared" si="25"/>
        <v>Adult</v>
      </c>
      <c r="Q567" t="str">
        <f t="shared" si="26"/>
        <v>High Salary</v>
      </c>
    </row>
    <row r="568" spans="1:17" x14ac:dyDescent="0.25">
      <c r="A568">
        <v>713</v>
      </c>
      <c r="B568">
        <v>15629448</v>
      </c>
      <c r="C568" t="s">
        <v>589</v>
      </c>
      <c r="D568" t="s">
        <v>18</v>
      </c>
      <c r="E568" t="s">
        <v>23</v>
      </c>
      <c r="F568">
        <v>632</v>
      </c>
      <c r="G568">
        <v>38</v>
      </c>
      <c r="H568">
        <v>1</v>
      </c>
      <c r="I568">
        <v>120599.21</v>
      </c>
      <c r="J568">
        <v>1</v>
      </c>
      <c r="K568">
        <v>1</v>
      </c>
      <c r="L568">
        <v>0</v>
      </c>
      <c r="M568">
        <v>92816.86</v>
      </c>
      <c r="N568">
        <v>0</v>
      </c>
      <c r="O568" t="str">
        <f t="shared" si="24"/>
        <v>Average</v>
      </c>
      <c r="P568" t="str">
        <f t="shared" si="25"/>
        <v>Adult</v>
      </c>
      <c r="Q568" t="str">
        <f t="shared" si="26"/>
        <v>High Salary</v>
      </c>
    </row>
    <row r="569" spans="1:17" x14ac:dyDescent="0.25">
      <c r="A569">
        <v>714</v>
      </c>
      <c r="B569">
        <v>15716164</v>
      </c>
      <c r="C569" t="s">
        <v>590</v>
      </c>
      <c r="D569" t="s">
        <v>15</v>
      </c>
      <c r="E569" t="s">
        <v>16</v>
      </c>
      <c r="F569">
        <v>501</v>
      </c>
      <c r="G569">
        <v>41</v>
      </c>
      <c r="H569">
        <v>3</v>
      </c>
      <c r="I569">
        <v>144260.5</v>
      </c>
      <c r="J569">
        <v>1</v>
      </c>
      <c r="K569">
        <v>1</v>
      </c>
      <c r="L569">
        <v>0</v>
      </c>
      <c r="M569">
        <v>172114.67</v>
      </c>
      <c r="N569">
        <v>0</v>
      </c>
      <c r="O569" t="str">
        <f t="shared" si="24"/>
        <v>Poor</v>
      </c>
      <c r="P569" t="str">
        <f t="shared" si="25"/>
        <v>Adult</v>
      </c>
      <c r="Q569" t="str">
        <f t="shared" si="26"/>
        <v>High Salary</v>
      </c>
    </row>
    <row r="570" spans="1:17" x14ac:dyDescent="0.25">
      <c r="A570">
        <v>716</v>
      </c>
      <c r="B570">
        <v>15578977</v>
      </c>
      <c r="C570" t="s">
        <v>176</v>
      </c>
      <c r="D570" t="s">
        <v>15</v>
      </c>
      <c r="E570" t="s">
        <v>23</v>
      </c>
      <c r="F570">
        <v>786</v>
      </c>
      <c r="G570">
        <v>34</v>
      </c>
      <c r="H570">
        <v>9</v>
      </c>
      <c r="I570">
        <v>0</v>
      </c>
      <c r="J570">
        <v>2</v>
      </c>
      <c r="K570">
        <v>1</v>
      </c>
      <c r="L570">
        <v>0</v>
      </c>
      <c r="M570">
        <v>144517.19</v>
      </c>
      <c r="N570">
        <v>0</v>
      </c>
      <c r="O570" t="str">
        <f t="shared" si="24"/>
        <v>Good</v>
      </c>
      <c r="P570" t="str">
        <f t="shared" si="25"/>
        <v>Adult</v>
      </c>
      <c r="Q570" t="str">
        <f t="shared" si="26"/>
        <v>High Salary</v>
      </c>
    </row>
    <row r="571" spans="1:17" x14ac:dyDescent="0.25">
      <c r="A571">
        <v>717</v>
      </c>
      <c r="B571">
        <v>15677369</v>
      </c>
      <c r="C571" t="s">
        <v>591</v>
      </c>
      <c r="D571" t="s">
        <v>26</v>
      </c>
      <c r="E571" t="s">
        <v>16</v>
      </c>
      <c r="F571">
        <v>554</v>
      </c>
      <c r="G571">
        <v>37</v>
      </c>
      <c r="H571">
        <v>4</v>
      </c>
      <c r="I571">
        <v>58629.97</v>
      </c>
      <c r="J571">
        <v>1</v>
      </c>
      <c r="K571">
        <v>0</v>
      </c>
      <c r="L571">
        <v>0</v>
      </c>
      <c r="M571">
        <v>182038.6</v>
      </c>
      <c r="N571">
        <v>0</v>
      </c>
      <c r="O571" t="str">
        <f t="shared" si="24"/>
        <v>Poor</v>
      </c>
      <c r="P571" t="str">
        <f t="shared" si="25"/>
        <v>Adult</v>
      </c>
      <c r="Q571" t="str">
        <f t="shared" si="26"/>
        <v>High Salary</v>
      </c>
    </row>
    <row r="572" spans="1:17" x14ac:dyDescent="0.25">
      <c r="A572">
        <v>718</v>
      </c>
      <c r="B572">
        <v>15804072</v>
      </c>
      <c r="C572" t="s">
        <v>334</v>
      </c>
      <c r="D572" t="s">
        <v>18</v>
      </c>
      <c r="E572" t="s">
        <v>16</v>
      </c>
      <c r="F572">
        <v>701</v>
      </c>
      <c r="G572">
        <v>42</v>
      </c>
      <c r="H572">
        <v>5</v>
      </c>
      <c r="I572">
        <v>0</v>
      </c>
      <c r="J572">
        <v>2</v>
      </c>
      <c r="K572">
        <v>0</v>
      </c>
      <c r="L572">
        <v>0</v>
      </c>
      <c r="M572">
        <v>24210.560000000001</v>
      </c>
      <c r="N572">
        <v>0</v>
      </c>
      <c r="O572" t="str">
        <f t="shared" si="24"/>
        <v>Good</v>
      </c>
      <c r="P572" t="str">
        <f t="shared" si="25"/>
        <v>Adult</v>
      </c>
      <c r="Q572" t="str">
        <f t="shared" si="26"/>
        <v>Low Salary</v>
      </c>
    </row>
    <row r="573" spans="1:17" x14ac:dyDescent="0.25">
      <c r="A573">
        <v>719</v>
      </c>
      <c r="B573">
        <v>15696859</v>
      </c>
      <c r="C573" t="s">
        <v>592</v>
      </c>
      <c r="D573" t="s">
        <v>15</v>
      </c>
      <c r="E573" t="s">
        <v>23</v>
      </c>
      <c r="F573">
        <v>474</v>
      </c>
      <c r="G573">
        <v>45</v>
      </c>
      <c r="H573">
        <v>10</v>
      </c>
      <c r="I573">
        <v>0</v>
      </c>
      <c r="J573">
        <v>2</v>
      </c>
      <c r="K573">
        <v>0</v>
      </c>
      <c r="L573">
        <v>0</v>
      </c>
      <c r="M573">
        <v>172175.9</v>
      </c>
      <c r="N573">
        <v>0</v>
      </c>
      <c r="O573" t="str">
        <f t="shared" si="24"/>
        <v>Poor</v>
      </c>
      <c r="P573" t="str">
        <f t="shared" si="25"/>
        <v>Adult</v>
      </c>
      <c r="Q573" t="str">
        <f t="shared" si="26"/>
        <v>High Salary</v>
      </c>
    </row>
    <row r="574" spans="1:17" x14ac:dyDescent="0.25">
      <c r="A574">
        <v>720</v>
      </c>
      <c r="B574">
        <v>15653780</v>
      </c>
      <c r="C574" t="s">
        <v>593</v>
      </c>
      <c r="D574" t="s">
        <v>15</v>
      </c>
      <c r="E574" t="s">
        <v>16</v>
      </c>
      <c r="F574">
        <v>621</v>
      </c>
      <c r="G574">
        <v>43</v>
      </c>
      <c r="H574">
        <v>5</v>
      </c>
      <c r="I574">
        <v>0</v>
      </c>
      <c r="J574">
        <v>1</v>
      </c>
      <c r="K574">
        <v>1</v>
      </c>
      <c r="L574">
        <v>1</v>
      </c>
      <c r="M574">
        <v>47578.45</v>
      </c>
      <c r="N574">
        <v>0</v>
      </c>
      <c r="O574" t="str">
        <f t="shared" si="24"/>
        <v>Average</v>
      </c>
      <c r="P574" t="str">
        <f t="shared" si="25"/>
        <v>Adult</v>
      </c>
      <c r="Q574" t="str">
        <f t="shared" si="26"/>
        <v>Medium Salary</v>
      </c>
    </row>
    <row r="575" spans="1:17" x14ac:dyDescent="0.25">
      <c r="A575">
        <v>723</v>
      </c>
      <c r="B575">
        <v>15736879</v>
      </c>
      <c r="C575" t="s">
        <v>25</v>
      </c>
      <c r="D575" t="s">
        <v>15</v>
      </c>
      <c r="E575" t="s">
        <v>23</v>
      </c>
      <c r="F575">
        <v>669</v>
      </c>
      <c r="G575">
        <v>23</v>
      </c>
      <c r="H575">
        <v>1</v>
      </c>
      <c r="I575">
        <v>0</v>
      </c>
      <c r="J575">
        <v>2</v>
      </c>
      <c r="K575">
        <v>0</v>
      </c>
      <c r="L575">
        <v>0</v>
      </c>
      <c r="M575">
        <v>66088.83</v>
      </c>
      <c r="N575">
        <v>0</v>
      </c>
      <c r="O575" t="str">
        <f t="shared" si="24"/>
        <v>Average</v>
      </c>
      <c r="P575" t="str">
        <f t="shared" si="25"/>
        <v>Young Adult</v>
      </c>
      <c r="Q575" t="str">
        <f t="shared" si="26"/>
        <v>Medium Salary</v>
      </c>
    </row>
    <row r="576" spans="1:17" x14ac:dyDescent="0.25">
      <c r="A576">
        <v>724</v>
      </c>
      <c r="B576">
        <v>15571973</v>
      </c>
      <c r="C576" t="s">
        <v>594</v>
      </c>
      <c r="D576" t="s">
        <v>15</v>
      </c>
      <c r="E576" t="s">
        <v>16</v>
      </c>
      <c r="F576">
        <v>776</v>
      </c>
      <c r="G576">
        <v>38</v>
      </c>
      <c r="H576">
        <v>2</v>
      </c>
      <c r="I576">
        <v>169824.46</v>
      </c>
      <c r="J576">
        <v>1</v>
      </c>
      <c r="K576">
        <v>1</v>
      </c>
      <c r="L576">
        <v>0</v>
      </c>
      <c r="M576">
        <v>169291.7</v>
      </c>
      <c r="N576">
        <v>0</v>
      </c>
      <c r="O576" t="str">
        <f t="shared" si="24"/>
        <v>Good</v>
      </c>
      <c r="P576" t="str">
        <f t="shared" si="25"/>
        <v>Adult</v>
      </c>
      <c r="Q576" t="str">
        <f t="shared" si="26"/>
        <v>High Salary</v>
      </c>
    </row>
    <row r="577" spans="1:17" x14ac:dyDescent="0.25">
      <c r="A577">
        <v>725</v>
      </c>
      <c r="B577">
        <v>15626742</v>
      </c>
      <c r="C577" t="s">
        <v>365</v>
      </c>
      <c r="D577" t="s">
        <v>15</v>
      </c>
      <c r="E577" t="s">
        <v>23</v>
      </c>
      <c r="F577">
        <v>694</v>
      </c>
      <c r="G577">
        <v>36</v>
      </c>
      <c r="H577">
        <v>3</v>
      </c>
      <c r="I577">
        <v>97530.25</v>
      </c>
      <c r="J577">
        <v>1</v>
      </c>
      <c r="K577">
        <v>1</v>
      </c>
      <c r="L577">
        <v>1</v>
      </c>
      <c r="M577">
        <v>117140.41</v>
      </c>
      <c r="N577">
        <v>0</v>
      </c>
      <c r="O577" t="str">
        <f t="shared" si="24"/>
        <v>Good</v>
      </c>
      <c r="P577" t="str">
        <f t="shared" si="25"/>
        <v>Adult</v>
      </c>
      <c r="Q577" t="str">
        <f t="shared" si="26"/>
        <v>High Salary</v>
      </c>
    </row>
    <row r="578" spans="1:17" x14ac:dyDescent="0.25">
      <c r="A578">
        <v>726</v>
      </c>
      <c r="B578">
        <v>15672692</v>
      </c>
      <c r="C578" t="s">
        <v>67</v>
      </c>
      <c r="D578" t="s">
        <v>15</v>
      </c>
      <c r="E578" t="s">
        <v>16</v>
      </c>
      <c r="F578">
        <v>787</v>
      </c>
      <c r="G578">
        <v>42</v>
      </c>
      <c r="H578">
        <v>10</v>
      </c>
      <c r="I578">
        <v>145988.65</v>
      </c>
      <c r="J578">
        <v>2</v>
      </c>
      <c r="K578">
        <v>1</v>
      </c>
      <c r="L578">
        <v>1</v>
      </c>
      <c r="M578">
        <v>79510.37</v>
      </c>
      <c r="N578">
        <v>0</v>
      </c>
      <c r="O578" t="str">
        <f t="shared" si="24"/>
        <v>Good</v>
      </c>
      <c r="P578" t="str">
        <f t="shared" si="25"/>
        <v>Adult</v>
      </c>
      <c r="Q578" t="str">
        <f t="shared" si="26"/>
        <v>High Salary</v>
      </c>
    </row>
    <row r="579" spans="1:17" x14ac:dyDescent="0.25">
      <c r="A579">
        <v>727</v>
      </c>
      <c r="B579">
        <v>15673570</v>
      </c>
      <c r="C579" t="s">
        <v>595</v>
      </c>
      <c r="D579" t="s">
        <v>15</v>
      </c>
      <c r="E579" t="s">
        <v>23</v>
      </c>
      <c r="F579">
        <v>580</v>
      </c>
      <c r="G579">
        <v>37</v>
      </c>
      <c r="H579">
        <v>9</v>
      </c>
      <c r="I579">
        <v>0</v>
      </c>
      <c r="J579">
        <v>2</v>
      </c>
      <c r="K579">
        <v>0</v>
      </c>
      <c r="L579">
        <v>1</v>
      </c>
      <c r="M579">
        <v>77108.66</v>
      </c>
      <c r="N579">
        <v>0</v>
      </c>
      <c r="O579" t="str">
        <f t="shared" ref="O579:O642" si="27">IF(F579&lt;580, "Poor", IF(AND(F579&gt;=580, F579&lt;=669), "Average", "Good"))</f>
        <v>Average</v>
      </c>
      <c r="P579" t="str">
        <f t="shared" ref="P579:P642" si="28">IF(G579&lt;=30, "Young Adult", IF(AND(G579&gt;=31, G579&lt;=60), "Adult", "Senior"))</f>
        <v>Adult</v>
      </c>
      <c r="Q579" t="str">
        <f t="shared" ref="Q579:Q642" si="29">IF(M579&lt;30000, "Low Salary", IF(AND(M579&gt;=30000, M579&lt;=70000), "Medium Salary", "High Salary"))</f>
        <v>High Salary</v>
      </c>
    </row>
    <row r="580" spans="1:17" x14ac:dyDescent="0.25">
      <c r="A580">
        <v>728</v>
      </c>
      <c r="B580">
        <v>15767432</v>
      </c>
      <c r="C580" t="s">
        <v>305</v>
      </c>
      <c r="D580" t="s">
        <v>15</v>
      </c>
      <c r="E580" t="s">
        <v>16</v>
      </c>
      <c r="F580">
        <v>711</v>
      </c>
      <c r="G580">
        <v>25</v>
      </c>
      <c r="H580">
        <v>7</v>
      </c>
      <c r="I580">
        <v>0</v>
      </c>
      <c r="J580">
        <v>3</v>
      </c>
      <c r="K580">
        <v>1</v>
      </c>
      <c r="L580">
        <v>1</v>
      </c>
      <c r="M580">
        <v>9679.2800000000007</v>
      </c>
      <c r="N580">
        <v>0</v>
      </c>
      <c r="O580" t="str">
        <f t="shared" si="27"/>
        <v>Good</v>
      </c>
      <c r="P580" t="str">
        <f t="shared" si="28"/>
        <v>Young Adult</v>
      </c>
      <c r="Q580" t="str">
        <f t="shared" si="29"/>
        <v>Low Salary</v>
      </c>
    </row>
    <row r="581" spans="1:17" x14ac:dyDescent="0.25">
      <c r="A581">
        <v>729</v>
      </c>
      <c r="B581">
        <v>15654238</v>
      </c>
      <c r="C581" t="s">
        <v>596</v>
      </c>
      <c r="D581" t="s">
        <v>15</v>
      </c>
      <c r="E581" t="s">
        <v>16</v>
      </c>
      <c r="F581">
        <v>673</v>
      </c>
      <c r="G581">
        <v>40</v>
      </c>
      <c r="H581">
        <v>5</v>
      </c>
      <c r="I581">
        <v>137494.28</v>
      </c>
      <c r="J581">
        <v>1</v>
      </c>
      <c r="K581">
        <v>1</v>
      </c>
      <c r="L581">
        <v>0</v>
      </c>
      <c r="M581">
        <v>81753.919999999998</v>
      </c>
      <c r="N581">
        <v>0</v>
      </c>
      <c r="O581" t="str">
        <f t="shared" si="27"/>
        <v>Good</v>
      </c>
      <c r="P581" t="str">
        <f t="shared" si="28"/>
        <v>Adult</v>
      </c>
      <c r="Q581" t="str">
        <f t="shared" si="29"/>
        <v>High Salary</v>
      </c>
    </row>
    <row r="582" spans="1:17" x14ac:dyDescent="0.25">
      <c r="A582">
        <v>731</v>
      </c>
      <c r="B582">
        <v>15812750</v>
      </c>
      <c r="C582" t="s">
        <v>598</v>
      </c>
      <c r="D582" t="s">
        <v>15</v>
      </c>
      <c r="E582" t="s">
        <v>23</v>
      </c>
      <c r="F582">
        <v>591</v>
      </c>
      <c r="G582">
        <v>24</v>
      </c>
      <c r="H582">
        <v>6</v>
      </c>
      <c r="I582">
        <v>147360</v>
      </c>
      <c r="J582">
        <v>1</v>
      </c>
      <c r="K582">
        <v>1</v>
      </c>
      <c r="L582">
        <v>1</v>
      </c>
      <c r="M582">
        <v>25310.82</v>
      </c>
      <c r="N582">
        <v>0</v>
      </c>
      <c r="O582" t="str">
        <f t="shared" si="27"/>
        <v>Average</v>
      </c>
      <c r="P582" t="str">
        <f t="shared" si="28"/>
        <v>Young Adult</v>
      </c>
      <c r="Q582" t="str">
        <f t="shared" si="29"/>
        <v>Low Salary</v>
      </c>
    </row>
    <row r="583" spans="1:17" x14ac:dyDescent="0.25">
      <c r="A583">
        <v>732</v>
      </c>
      <c r="B583">
        <v>15790757</v>
      </c>
      <c r="C583" t="s">
        <v>599</v>
      </c>
      <c r="D583" t="s">
        <v>15</v>
      </c>
      <c r="E583" t="s">
        <v>16</v>
      </c>
      <c r="F583">
        <v>769</v>
      </c>
      <c r="G583">
        <v>25</v>
      </c>
      <c r="H583">
        <v>10</v>
      </c>
      <c r="I583">
        <v>0</v>
      </c>
      <c r="J583">
        <v>2</v>
      </c>
      <c r="K583">
        <v>0</v>
      </c>
      <c r="L583">
        <v>0</v>
      </c>
      <c r="M583">
        <v>187925.75</v>
      </c>
      <c r="N583">
        <v>0</v>
      </c>
      <c r="O583" t="str">
        <f t="shared" si="27"/>
        <v>Good</v>
      </c>
      <c r="P583" t="str">
        <f t="shared" si="28"/>
        <v>Young Adult</v>
      </c>
      <c r="Q583" t="str">
        <f t="shared" si="29"/>
        <v>High Salary</v>
      </c>
    </row>
    <row r="584" spans="1:17" x14ac:dyDescent="0.25">
      <c r="A584">
        <v>733</v>
      </c>
      <c r="B584">
        <v>15723873</v>
      </c>
      <c r="C584" t="s">
        <v>600</v>
      </c>
      <c r="D584" t="s">
        <v>18</v>
      </c>
      <c r="E584" t="s">
        <v>23</v>
      </c>
      <c r="F584">
        <v>657</v>
      </c>
      <c r="G584">
        <v>31</v>
      </c>
      <c r="H584">
        <v>3</v>
      </c>
      <c r="I584">
        <v>125167.02</v>
      </c>
      <c r="J584">
        <v>1</v>
      </c>
      <c r="K584">
        <v>0</v>
      </c>
      <c r="L584">
        <v>0</v>
      </c>
      <c r="M584">
        <v>98820.39</v>
      </c>
      <c r="N584">
        <v>0</v>
      </c>
      <c r="O584" t="str">
        <f t="shared" si="27"/>
        <v>Average</v>
      </c>
      <c r="P584" t="str">
        <f t="shared" si="28"/>
        <v>Adult</v>
      </c>
      <c r="Q584" t="str">
        <f t="shared" si="29"/>
        <v>High Salary</v>
      </c>
    </row>
    <row r="585" spans="1:17" x14ac:dyDescent="0.25">
      <c r="A585">
        <v>736</v>
      </c>
      <c r="B585">
        <v>15784209</v>
      </c>
      <c r="C585" t="s">
        <v>602</v>
      </c>
      <c r="D585" t="s">
        <v>15</v>
      </c>
      <c r="E585" t="s">
        <v>23</v>
      </c>
      <c r="F585">
        <v>497</v>
      </c>
      <c r="G585">
        <v>47</v>
      </c>
      <c r="H585">
        <v>6</v>
      </c>
      <c r="I585">
        <v>0</v>
      </c>
      <c r="J585">
        <v>1</v>
      </c>
      <c r="K585">
        <v>1</v>
      </c>
      <c r="L585">
        <v>1</v>
      </c>
      <c r="M585">
        <v>90055.08</v>
      </c>
      <c r="N585">
        <v>0</v>
      </c>
      <c r="O585" t="str">
        <f t="shared" si="27"/>
        <v>Poor</v>
      </c>
      <c r="P585" t="str">
        <f t="shared" si="28"/>
        <v>Adult</v>
      </c>
      <c r="Q585" t="str">
        <f t="shared" si="29"/>
        <v>High Salary</v>
      </c>
    </row>
    <row r="586" spans="1:17" x14ac:dyDescent="0.25">
      <c r="A586">
        <v>737</v>
      </c>
      <c r="B586">
        <v>15794278</v>
      </c>
      <c r="C586" t="s">
        <v>603</v>
      </c>
      <c r="D586" t="s">
        <v>18</v>
      </c>
      <c r="E586" t="s">
        <v>23</v>
      </c>
      <c r="F586">
        <v>816</v>
      </c>
      <c r="G586">
        <v>67</v>
      </c>
      <c r="H586">
        <v>6</v>
      </c>
      <c r="I586">
        <v>151858.98000000001</v>
      </c>
      <c r="J586">
        <v>1</v>
      </c>
      <c r="K586">
        <v>1</v>
      </c>
      <c r="L586">
        <v>1</v>
      </c>
      <c r="M586">
        <v>72814.31</v>
      </c>
      <c r="N586">
        <v>0</v>
      </c>
      <c r="O586" t="str">
        <f t="shared" si="27"/>
        <v>Good</v>
      </c>
      <c r="P586" t="str">
        <f t="shared" si="28"/>
        <v>Senior</v>
      </c>
      <c r="Q586" t="str">
        <f t="shared" si="29"/>
        <v>High Salary</v>
      </c>
    </row>
    <row r="587" spans="1:17" x14ac:dyDescent="0.25">
      <c r="A587">
        <v>738</v>
      </c>
      <c r="B587">
        <v>15766741</v>
      </c>
      <c r="C587" t="s">
        <v>222</v>
      </c>
      <c r="D587" t="s">
        <v>15</v>
      </c>
      <c r="E587" t="s">
        <v>23</v>
      </c>
      <c r="F587">
        <v>525</v>
      </c>
      <c r="G587">
        <v>36</v>
      </c>
      <c r="H587">
        <v>2</v>
      </c>
      <c r="I587">
        <v>114628.4</v>
      </c>
      <c r="J587">
        <v>1</v>
      </c>
      <c r="K587">
        <v>0</v>
      </c>
      <c r="L587">
        <v>1</v>
      </c>
      <c r="M587">
        <v>168290.06</v>
      </c>
      <c r="N587">
        <v>0</v>
      </c>
      <c r="O587" t="str">
        <f t="shared" si="27"/>
        <v>Poor</v>
      </c>
      <c r="P587" t="str">
        <f t="shared" si="28"/>
        <v>Adult</v>
      </c>
      <c r="Q587" t="str">
        <f t="shared" si="29"/>
        <v>High Salary</v>
      </c>
    </row>
    <row r="588" spans="1:17" x14ac:dyDescent="0.25">
      <c r="A588">
        <v>739</v>
      </c>
      <c r="B588">
        <v>15661036</v>
      </c>
      <c r="C588" t="s">
        <v>604</v>
      </c>
      <c r="D588" t="s">
        <v>15</v>
      </c>
      <c r="E588" t="s">
        <v>23</v>
      </c>
      <c r="F588">
        <v>725</v>
      </c>
      <c r="G588">
        <v>46</v>
      </c>
      <c r="H588">
        <v>6</v>
      </c>
      <c r="I588">
        <v>0</v>
      </c>
      <c r="J588">
        <v>2</v>
      </c>
      <c r="K588">
        <v>1</v>
      </c>
      <c r="L588">
        <v>0</v>
      </c>
      <c r="M588">
        <v>161767.38</v>
      </c>
      <c r="N588">
        <v>0</v>
      </c>
      <c r="O588" t="str">
        <f t="shared" si="27"/>
        <v>Good</v>
      </c>
      <c r="P588" t="str">
        <f t="shared" si="28"/>
        <v>Adult</v>
      </c>
      <c r="Q588" t="str">
        <f t="shared" si="29"/>
        <v>High Salary</v>
      </c>
    </row>
    <row r="589" spans="1:17" x14ac:dyDescent="0.25">
      <c r="A589">
        <v>740</v>
      </c>
      <c r="B589">
        <v>15705639</v>
      </c>
      <c r="C589" t="s">
        <v>605</v>
      </c>
      <c r="D589" t="s">
        <v>15</v>
      </c>
      <c r="E589" t="s">
        <v>16</v>
      </c>
      <c r="F589">
        <v>692</v>
      </c>
      <c r="G589">
        <v>28</v>
      </c>
      <c r="H589">
        <v>8</v>
      </c>
      <c r="I589">
        <v>95059.02</v>
      </c>
      <c r="J589">
        <v>2</v>
      </c>
      <c r="K589">
        <v>1</v>
      </c>
      <c r="L589">
        <v>0</v>
      </c>
      <c r="M589">
        <v>44420.18</v>
      </c>
      <c r="N589">
        <v>0</v>
      </c>
      <c r="O589" t="str">
        <f t="shared" si="27"/>
        <v>Good</v>
      </c>
      <c r="P589" t="str">
        <f t="shared" si="28"/>
        <v>Young Adult</v>
      </c>
      <c r="Q589" t="str">
        <f t="shared" si="29"/>
        <v>Medium Salary</v>
      </c>
    </row>
    <row r="590" spans="1:17" x14ac:dyDescent="0.25">
      <c r="A590">
        <v>741</v>
      </c>
      <c r="B590">
        <v>15637414</v>
      </c>
      <c r="C590" t="s">
        <v>606</v>
      </c>
      <c r="D590" t="s">
        <v>15</v>
      </c>
      <c r="E590" t="s">
        <v>16</v>
      </c>
      <c r="F590">
        <v>618</v>
      </c>
      <c r="G590">
        <v>24</v>
      </c>
      <c r="H590">
        <v>7</v>
      </c>
      <c r="I590">
        <v>128736.39</v>
      </c>
      <c r="J590">
        <v>1</v>
      </c>
      <c r="K590">
        <v>0</v>
      </c>
      <c r="L590">
        <v>1</v>
      </c>
      <c r="M590">
        <v>37147.61</v>
      </c>
      <c r="N590">
        <v>0</v>
      </c>
      <c r="O590" t="str">
        <f t="shared" si="27"/>
        <v>Average</v>
      </c>
      <c r="P590" t="str">
        <f t="shared" si="28"/>
        <v>Young Adult</v>
      </c>
      <c r="Q590" t="str">
        <f t="shared" si="29"/>
        <v>Medium Salary</v>
      </c>
    </row>
    <row r="591" spans="1:17" x14ac:dyDescent="0.25">
      <c r="A591">
        <v>742</v>
      </c>
      <c r="B591">
        <v>15716835</v>
      </c>
      <c r="C591" t="s">
        <v>259</v>
      </c>
      <c r="D591" t="s">
        <v>15</v>
      </c>
      <c r="E591" t="s">
        <v>23</v>
      </c>
      <c r="F591">
        <v>546</v>
      </c>
      <c r="G591">
        <v>24</v>
      </c>
      <c r="H591">
        <v>8</v>
      </c>
      <c r="I591">
        <v>156325.38</v>
      </c>
      <c r="J591">
        <v>1</v>
      </c>
      <c r="K591">
        <v>1</v>
      </c>
      <c r="L591">
        <v>1</v>
      </c>
      <c r="M591">
        <v>125381.02</v>
      </c>
      <c r="N591">
        <v>0</v>
      </c>
      <c r="O591" t="str">
        <f t="shared" si="27"/>
        <v>Poor</v>
      </c>
      <c r="P591" t="str">
        <f t="shared" si="28"/>
        <v>Young Adult</v>
      </c>
      <c r="Q591" t="str">
        <f t="shared" si="29"/>
        <v>High Salary</v>
      </c>
    </row>
    <row r="592" spans="1:17" x14ac:dyDescent="0.25">
      <c r="A592">
        <v>743</v>
      </c>
      <c r="B592">
        <v>15696231</v>
      </c>
      <c r="C592" t="s">
        <v>607</v>
      </c>
      <c r="D592" t="s">
        <v>15</v>
      </c>
      <c r="E592" t="s">
        <v>23</v>
      </c>
      <c r="F592">
        <v>635</v>
      </c>
      <c r="G592">
        <v>29</v>
      </c>
      <c r="H592">
        <v>7</v>
      </c>
      <c r="I592">
        <v>105405.97</v>
      </c>
      <c r="J592">
        <v>1</v>
      </c>
      <c r="K592">
        <v>1</v>
      </c>
      <c r="L592">
        <v>1</v>
      </c>
      <c r="M592">
        <v>149853.89000000001</v>
      </c>
      <c r="N592">
        <v>0</v>
      </c>
      <c r="O592" t="str">
        <f t="shared" si="27"/>
        <v>Average</v>
      </c>
      <c r="P592" t="str">
        <f t="shared" si="28"/>
        <v>Young Adult</v>
      </c>
      <c r="Q592" t="str">
        <f t="shared" si="29"/>
        <v>High Salary</v>
      </c>
    </row>
    <row r="593" spans="1:17" x14ac:dyDescent="0.25">
      <c r="A593">
        <v>745</v>
      </c>
      <c r="B593">
        <v>15670755</v>
      </c>
      <c r="C593" t="s">
        <v>609</v>
      </c>
      <c r="D593" t="s">
        <v>15</v>
      </c>
      <c r="E593" t="s">
        <v>23</v>
      </c>
      <c r="F593">
        <v>650</v>
      </c>
      <c r="G593">
        <v>60</v>
      </c>
      <c r="H593">
        <v>8</v>
      </c>
      <c r="I593">
        <v>0</v>
      </c>
      <c r="J593">
        <v>2</v>
      </c>
      <c r="K593">
        <v>1</v>
      </c>
      <c r="L593">
        <v>1</v>
      </c>
      <c r="M593">
        <v>102925.75999999999</v>
      </c>
      <c r="N593">
        <v>0</v>
      </c>
      <c r="O593" t="str">
        <f t="shared" si="27"/>
        <v>Average</v>
      </c>
      <c r="P593" t="str">
        <f t="shared" si="28"/>
        <v>Adult</v>
      </c>
      <c r="Q593" t="str">
        <f t="shared" si="29"/>
        <v>High Salary</v>
      </c>
    </row>
    <row r="594" spans="1:17" x14ac:dyDescent="0.25">
      <c r="A594">
        <v>746</v>
      </c>
      <c r="B594">
        <v>15640059</v>
      </c>
      <c r="C594" t="s">
        <v>234</v>
      </c>
      <c r="D594" t="s">
        <v>15</v>
      </c>
      <c r="E594" t="s">
        <v>23</v>
      </c>
      <c r="F594">
        <v>606</v>
      </c>
      <c r="G594">
        <v>40</v>
      </c>
      <c r="H594">
        <v>5</v>
      </c>
      <c r="I594">
        <v>0</v>
      </c>
      <c r="J594">
        <v>2</v>
      </c>
      <c r="K594">
        <v>1</v>
      </c>
      <c r="L594">
        <v>1</v>
      </c>
      <c r="M594">
        <v>70899.27</v>
      </c>
      <c r="N594">
        <v>0</v>
      </c>
      <c r="O594" t="str">
        <f t="shared" si="27"/>
        <v>Average</v>
      </c>
      <c r="P594" t="str">
        <f t="shared" si="28"/>
        <v>Adult</v>
      </c>
      <c r="Q594" t="str">
        <f t="shared" si="29"/>
        <v>High Salary</v>
      </c>
    </row>
    <row r="595" spans="1:17" x14ac:dyDescent="0.25">
      <c r="A595">
        <v>747</v>
      </c>
      <c r="B595">
        <v>15787619</v>
      </c>
      <c r="C595" t="s">
        <v>313</v>
      </c>
      <c r="D595" t="s">
        <v>15</v>
      </c>
      <c r="E595" t="s">
        <v>23</v>
      </c>
      <c r="F595">
        <v>844</v>
      </c>
      <c r="G595">
        <v>18</v>
      </c>
      <c r="H595">
        <v>2</v>
      </c>
      <c r="I595">
        <v>160980.03</v>
      </c>
      <c r="J595">
        <v>1</v>
      </c>
      <c r="K595">
        <v>0</v>
      </c>
      <c r="L595">
        <v>0</v>
      </c>
      <c r="M595">
        <v>145936.28</v>
      </c>
      <c r="N595">
        <v>0</v>
      </c>
      <c r="O595" t="str">
        <f t="shared" si="27"/>
        <v>Good</v>
      </c>
      <c r="P595" t="str">
        <f t="shared" si="28"/>
        <v>Young Adult</v>
      </c>
      <c r="Q595" t="str">
        <f t="shared" si="29"/>
        <v>High Salary</v>
      </c>
    </row>
    <row r="596" spans="1:17" x14ac:dyDescent="0.25">
      <c r="A596">
        <v>748</v>
      </c>
      <c r="B596">
        <v>15587535</v>
      </c>
      <c r="C596" t="s">
        <v>605</v>
      </c>
      <c r="D596" t="s">
        <v>18</v>
      </c>
      <c r="E596" t="s">
        <v>16</v>
      </c>
      <c r="F596">
        <v>450</v>
      </c>
      <c r="G596">
        <v>46</v>
      </c>
      <c r="H596">
        <v>5</v>
      </c>
      <c r="I596">
        <v>177619.71</v>
      </c>
      <c r="J596">
        <v>1</v>
      </c>
      <c r="K596">
        <v>1</v>
      </c>
      <c r="L596">
        <v>0</v>
      </c>
      <c r="M596">
        <v>54227.06</v>
      </c>
      <c r="N596">
        <v>0</v>
      </c>
      <c r="O596" t="str">
        <f t="shared" si="27"/>
        <v>Poor</v>
      </c>
      <c r="P596" t="str">
        <f t="shared" si="28"/>
        <v>Adult</v>
      </c>
      <c r="Q596" t="str">
        <f t="shared" si="29"/>
        <v>Medium Salary</v>
      </c>
    </row>
    <row r="597" spans="1:17" x14ac:dyDescent="0.25">
      <c r="A597">
        <v>749</v>
      </c>
      <c r="B597">
        <v>15813034</v>
      </c>
      <c r="C597" t="s">
        <v>65</v>
      </c>
      <c r="D597" t="s">
        <v>18</v>
      </c>
      <c r="E597" t="s">
        <v>23</v>
      </c>
      <c r="F597">
        <v>727</v>
      </c>
      <c r="G597">
        <v>38</v>
      </c>
      <c r="H597">
        <v>2</v>
      </c>
      <c r="I597">
        <v>62276.99</v>
      </c>
      <c r="J597">
        <v>1</v>
      </c>
      <c r="K597">
        <v>1</v>
      </c>
      <c r="L597">
        <v>1</v>
      </c>
      <c r="M597">
        <v>59280.79</v>
      </c>
      <c r="N597">
        <v>0</v>
      </c>
      <c r="O597" t="str">
        <f t="shared" si="27"/>
        <v>Good</v>
      </c>
      <c r="P597" t="str">
        <f t="shared" si="28"/>
        <v>Adult</v>
      </c>
      <c r="Q597" t="str">
        <f t="shared" si="29"/>
        <v>Medium Salary</v>
      </c>
    </row>
    <row r="598" spans="1:17" x14ac:dyDescent="0.25">
      <c r="A598">
        <v>750</v>
      </c>
      <c r="B598">
        <v>15698839</v>
      </c>
      <c r="C598" t="s">
        <v>610</v>
      </c>
      <c r="D598" t="s">
        <v>26</v>
      </c>
      <c r="E598" t="s">
        <v>23</v>
      </c>
      <c r="F598">
        <v>460</v>
      </c>
      <c r="G598">
        <v>46</v>
      </c>
      <c r="H598">
        <v>4</v>
      </c>
      <c r="I598">
        <v>127559.97</v>
      </c>
      <c r="J598">
        <v>2</v>
      </c>
      <c r="K598">
        <v>1</v>
      </c>
      <c r="L598">
        <v>1</v>
      </c>
      <c r="M598">
        <v>126952.5</v>
      </c>
      <c r="N598">
        <v>0</v>
      </c>
      <c r="O598" t="str">
        <f t="shared" si="27"/>
        <v>Poor</v>
      </c>
      <c r="P598" t="str">
        <f t="shared" si="28"/>
        <v>Adult</v>
      </c>
      <c r="Q598" t="str">
        <f t="shared" si="29"/>
        <v>High Salary</v>
      </c>
    </row>
    <row r="599" spans="1:17" x14ac:dyDescent="0.25">
      <c r="A599">
        <v>751</v>
      </c>
      <c r="B599">
        <v>15790314</v>
      </c>
      <c r="C599" t="s">
        <v>611</v>
      </c>
      <c r="D599" t="s">
        <v>15</v>
      </c>
      <c r="E599" t="s">
        <v>23</v>
      </c>
      <c r="F599">
        <v>649</v>
      </c>
      <c r="G599">
        <v>41</v>
      </c>
      <c r="H599">
        <v>0</v>
      </c>
      <c r="I599">
        <v>0</v>
      </c>
      <c r="J599">
        <v>2</v>
      </c>
      <c r="K599">
        <v>0</v>
      </c>
      <c r="L599">
        <v>1</v>
      </c>
      <c r="M599">
        <v>130567.02</v>
      </c>
      <c r="N599">
        <v>0</v>
      </c>
      <c r="O599" t="str">
        <f t="shared" si="27"/>
        <v>Average</v>
      </c>
      <c r="P599" t="str">
        <f t="shared" si="28"/>
        <v>Adult</v>
      </c>
      <c r="Q599" t="str">
        <f t="shared" si="29"/>
        <v>High Salary</v>
      </c>
    </row>
    <row r="600" spans="1:17" x14ac:dyDescent="0.25">
      <c r="A600">
        <v>752</v>
      </c>
      <c r="B600">
        <v>15634245</v>
      </c>
      <c r="C600" t="s">
        <v>612</v>
      </c>
      <c r="D600" t="s">
        <v>26</v>
      </c>
      <c r="E600" t="s">
        <v>16</v>
      </c>
      <c r="F600">
        <v>758</v>
      </c>
      <c r="G600">
        <v>47</v>
      </c>
      <c r="H600">
        <v>9</v>
      </c>
      <c r="I600">
        <v>95523.16</v>
      </c>
      <c r="J600">
        <v>1</v>
      </c>
      <c r="K600">
        <v>1</v>
      </c>
      <c r="L600">
        <v>0</v>
      </c>
      <c r="M600">
        <v>73294.48</v>
      </c>
      <c r="N600">
        <v>0</v>
      </c>
      <c r="O600" t="str">
        <f t="shared" si="27"/>
        <v>Good</v>
      </c>
      <c r="P600" t="str">
        <f t="shared" si="28"/>
        <v>Adult</v>
      </c>
      <c r="Q600" t="str">
        <f t="shared" si="29"/>
        <v>High Salary</v>
      </c>
    </row>
    <row r="601" spans="1:17" x14ac:dyDescent="0.25">
      <c r="A601">
        <v>753</v>
      </c>
      <c r="B601">
        <v>15677305</v>
      </c>
      <c r="C601" t="s">
        <v>313</v>
      </c>
      <c r="D601" t="s">
        <v>15</v>
      </c>
      <c r="E601" t="s">
        <v>16</v>
      </c>
      <c r="F601">
        <v>490</v>
      </c>
      <c r="G601">
        <v>35</v>
      </c>
      <c r="H601">
        <v>7</v>
      </c>
      <c r="I601">
        <v>107749.03</v>
      </c>
      <c r="J601">
        <v>1</v>
      </c>
      <c r="K601">
        <v>1</v>
      </c>
      <c r="L601">
        <v>1</v>
      </c>
      <c r="M601">
        <v>3937.37</v>
      </c>
      <c r="N601">
        <v>0</v>
      </c>
      <c r="O601" t="str">
        <f t="shared" si="27"/>
        <v>Poor</v>
      </c>
      <c r="P601" t="str">
        <f t="shared" si="28"/>
        <v>Adult</v>
      </c>
      <c r="Q601" t="str">
        <f t="shared" si="29"/>
        <v>Low Salary</v>
      </c>
    </row>
    <row r="602" spans="1:17" x14ac:dyDescent="0.25">
      <c r="A602">
        <v>754</v>
      </c>
      <c r="B602">
        <v>15661526</v>
      </c>
      <c r="C602" t="s">
        <v>540</v>
      </c>
      <c r="D602" t="s">
        <v>26</v>
      </c>
      <c r="E602" t="s">
        <v>23</v>
      </c>
      <c r="F602">
        <v>815</v>
      </c>
      <c r="G602">
        <v>37</v>
      </c>
      <c r="H602">
        <v>2</v>
      </c>
      <c r="I602">
        <v>110777.26</v>
      </c>
      <c r="J602">
        <v>2</v>
      </c>
      <c r="K602">
        <v>1</v>
      </c>
      <c r="L602">
        <v>0</v>
      </c>
      <c r="M602">
        <v>2383.59</v>
      </c>
      <c r="N602">
        <v>0</v>
      </c>
      <c r="O602" t="str">
        <f t="shared" si="27"/>
        <v>Good</v>
      </c>
      <c r="P602" t="str">
        <f t="shared" si="28"/>
        <v>Adult</v>
      </c>
      <c r="Q602" t="str">
        <f t="shared" si="29"/>
        <v>Low Salary</v>
      </c>
    </row>
    <row r="603" spans="1:17" x14ac:dyDescent="0.25">
      <c r="A603">
        <v>755</v>
      </c>
      <c r="B603">
        <v>15685997</v>
      </c>
      <c r="C603" t="s">
        <v>613</v>
      </c>
      <c r="D603" t="s">
        <v>18</v>
      </c>
      <c r="E603" t="s">
        <v>16</v>
      </c>
      <c r="F603">
        <v>838</v>
      </c>
      <c r="G603">
        <v>39</v>
      </c>
      <c r="H603">
        <v>5</v>
      </c>
      <c r="I603">
        <v>166733.92000000001</v>
      </c>
      <c r="J603">
        <v>2</v>
      </c>
      <c r="K603">
        <v>1</v>
      </c>
      <c r="L603">
        <v>0</v>
      </c>
      <c r="M603">
        <v>14279.44</v>
      </c>
      <c r="N603">
        <v>0</v>
      </c>
      <c r="O603" t="str">
        <f t="shared" si="27"/>
        <v>Good</v>
      </c>
      <c r="P603" t="str">
        <f t="shared" si="28"/>
        <v>Adult</v>
      </c>
      <c r="Q603" t="str">
        <f t="shared" si="29"/>
        <v>Low Salary</v>
      </c>
    </row>
    <row r="604" spans="1:17" x14ac:dyDescent="0.25">
      <c r="A604">
        <v>756</v>
      </c>
      <c r="B604">
        <v>15660101</v>
      </c>
      <c r="C604" t="s">
        <v>614</v>
      </c>
      <c r="D604" t="s">
        <v>15</v>
      </c>
      <c r="E604" t="s">
        <v>23</v>
      </c>
      <c r="F604">
        <v>803</v>
      </c>
      <c r="G604">
        <v>31</v>
      </c>
      <c r="H604">
        <v>9</v>
      </c>
      <c r="I604">
        <v>157120.85999999999</v>
      </c>
      <c r="J604">
        <v>2</v>
      </c>
      <c r="K604">
        <v>1</v>
      </c>
      <c r="L604">
        <v>0</v>
      </c>
      <c r="M604">
        <v>141300.53</v>
      </c>
      <c r="N604">
        <v>0</v>
      </c>
      <c r="O604" t="str">
        <f t="shared" si="27"/>
        <v>Good</v>
      </c>
      <c r="P604" t="str">
        <f t="shared" si="28"/>
        <v>Adult</v>
      </c>
      <c r="Q604" t="str">
        <f t="shared" si="29"/>
        <v>High Salary</v>
      </c>
    </row>
    <row r="605" spans="1:17" x14ac:dyDescent="0.25">
      <c r="A605">
        <v>757</v>
      </c>
      <c r="B605">
        <v>15637979</v>
      </c>
      <c r="C605" t="s">
        <v>139</v>
      </c>
      <c r="D605" t="s">
        <v>26</v>
      </c>
      <c r="E605" t="s">
        <v>16</v>
      </c>
      <c r="F605">
        <v>664</v>
      </c>
      <c r="G605">
        <v>36</v>
      </c>
      <c r="H605">
        <v>2</v>
      </c>
      <c r="I605">
        <v>127160.78</v>
      </c>
      <c r="J605">
        <v>2</v>
      </c>
      <c r="K605">
        <v>1</v>
      </c>
      <c r="L605">
        <v>0</v>
      </c>
      <c r="M605">
        <v>78140.75</v>
      </c>
      <c r="N605">
        <v>0</v>
      </c>
      <c r="O605" t="str">
        <f t="shared" si="27"/>
        <v>Average</v>
      </c>
      <c r="P605" t="str">
        <f t="shared" si="28"/>
        <v>Adult</v>
      </c>
      <c r="Q605" t="str">
        <f t="shared" si="29"/>
        <v>High Salary</v>
      </c>
    </row>
    <row r="606" spans="1:17" x14ac:dyDescent="0.25">
      <c r="A606">
        <v>758</v>
      </c>
      <c r="B606">
        <v>15815364</v>
      </c>
      <c r="C606" t="s">
        <v>615</v>
      </c>
      <c r="D606" t="s">
        <v>18</v>
      </c>
      <c r="E606" t="s">
        <v>16</v>
      </c>
      <c r="F606">
        <v>736</v>
      </c>
      <c r="G606">
        <v>28</v>
      </c>
      <c r="H606">
        <v>2</v>
      </c>
      <c r="I606">
        <v>0</v>
      </c>
      <c r="J606">
        <v>2</v>
      </c>
      <c r="K606">
        <v>1</v>
      </c>
      <c r="L606">
        <v>1</v>
      </c>
      <c r="M606">
        <v>117431.1</v>
      </c>
      <c r="N606">
        <v>0</v>
      </c>
      <c r="O606" t="str">
        <f t="shared" si="27"/>
        <v>Good</v>
      </c>
      <c r="P606" t="str">
        <f t="shared" si="28"/>
        <v>Young Adult</v>
      </c>
      <c r="Q606" t="str">
        <f t="shared" si="29"/>
        <v>High Salary</v>
      </c>
    </row>
    <row r="607" spans="1:17" x14ac:dyDescent="0.25">
      <c r="A607">
        <v>759</v>
      </c>
      <c r="B607">
        <v>15647099</v>
      </c>
      <c r="C607" t="s">
        <v>616</v>
      </c>
      <c r="D607" t="s">
        <v>15</v>
      </c>
      <c r="E607" t="s">
        <v>16</v>
      </c>
      <c r="F607">
        <v>633</v>
      </c>
      <c r="G607">
        <v>37</v>
      </c>
      <c r="H607">
        <v>9</v>
      </c>
      <c r="I607">
        <v>156091.97</v>
      </c>
      <c r="J607">
        <v>1</v>
      </c>
      <c r="K607">
        <v>1</v>
      </c>
      <c r="L607">
        <v>0</v>
      </c>
      <c r="M607">
        <v>72008.61</v>
      </c>
      <c r="N607">
        <v>0</v>
      </c>
      <c r="O607" t="str">
        <f t="shared" si="27"/>
        <v>Average</v>
      </c>
      <c r="P607" t="str">
        <f t="shared" si="28"/>
        <v>Adult</v>
      </c>
      <c r="Q607" t="str">
        <f t="shared" si="29"/>
        <v>High Salary</v>
      </c>
    </row>
    <row r="608" spans="1:17" x14ac:dyDescent="0.25">
      <c r="A608">
        <v>760</v>
      </c>
      <c r="B608">
        <v>15625944</v>
      </c>
      <c r="C608" t="s">
        <v>68</v>
      </c>
      <c r="D608" t="s">
        <v>15</v>
      </c>
      <c r="E608" t="s">
        <v>23</v>
      </c>
      <c r="F608">
        <v>664</v>
      </c>
      <c r="G608">
        <v>58</v>
      </c>
      <c r="H608">
        <v>5</v>
      </c>
      <c r="I608">
        <v>98668.18</v>
      </c>
      <c r="J608">
        <v>1</v>
      </c>
      <c r="K608">
        <v>1</v>
      </c>
      <c r="L608">
        <v>1</v>
      </c>
      <c r="M608">
        <v>60887.58</v>
      </c>
      <c r="N608">
        <v>0</v>
      </c>
      <c r="O608" t="str">
        <f t="shared" si="27"/>
        <v>Average</v>
      </c>
      <c r="P608" t="str">
        <f t="shared" si="28"/>
        <v>Adult</v>
      </c>
      <c r="Q608" t="str">
        <f t="shared" si="29"/>
        <v>Medium Salary</v>
      </c>
    </row>
    <row r="609" spans="1:17" x14ac:dyDescent="0.25">
      <c r="A609">
        <v>761</v>
      </c>
      <c r="B609">
        <v>15583212</v>
      </c>
      <c r="C609" t="s">
        <v>133</v>
      </c>
      <c r="D609" t="s">
        <v>15</v>
      </c>
      <c r="E609" t="s">
        <v>16</v>
      </c>
      <c r="F609">
        <v>600</v>
      </c>
      <c r="G609">
        <v>43</v>
      </c>
      <c r="H609">
        <v>5</v>
      </c>
      <c r="I609">
        <v>134022.06</v>
      </c>
      <c r="J609">
        <v>1</v>
      </c>
      <c r="K609">
        <v>1</v>
      </c>
      <c r="L609">
        <v>0</v>
      </c>
      <c r="M609">
        <v>194764.83</v>
      </c>
      <c r="N609">
        <v>0</v>
      </c>
      <c r="O609" t="str">
        <f t="shared" si="27"/>
        <v>Average</v>
      </c>
      <c r="P609" t="str">
        <f t="shared" si="28"/>
        <v>Adult</v>
      </c>
      <c r="Q609" t="str">
        <f t="shared" si="29"/>
        <v>High Salary</v>
      </c>
    </row>
    <row r="610" spans="1:17" x14ac:dyDescent="0.25">
      <c r="A610">
        <v>764</v>
      </c>
      <c r="B610">
        <v>15622750</v>
      </c>
      <c r="C610" t="s">
        <v>22</v>
      </c>
      <c r="D610" t="s">
        <v>26</v>
      </c>
      <c r="E610" t="s">
        <v>16</v>
      </c>
      <c r="F610">
        <v>742</v>
      </c>
      <c r="G610">
        <v>21</v>
      </c>
      <c r="H610">
        <v>1</v>
      </c>
      <c r="I610">
        <v>114292.48</v>
      </c>
      <c r="J610">
        <v>1</v>
      </c>
      <c r="K610">
        <v>1</v>
      </c>
      <c r="L610">
        <v>0</v>
      </c>
      <c r="M610">
        <v>31520.400000000001</v>
      </c>
      <c r="N610">
        <v>0</v>
      </c>
      <c r="O610" t="str">
        <f t="shared" si="27"/>
        <v>Good</v>
      </c>
      <c r="P610" t="str">
        <f t="shared" si="28"/>
        <v>Young Adult</v>
      </c>
      <c r="Q610" t="str">
        <f t="shared" si="29"/>
        <v>Medium Salary</v>
      </c>
    </row>
    <row r="611" spans="1:17" x14ac:dyDescent="0.25">
      <c r="A611">
        <v>766</v>
      </c>
      <c r="B611">
        <v>15812351</v>
      </c>
      <c r="C611" t="s">
        <v>618</v>
      </c>
      <c r="D611" t="s">
        <v>18</v>
      </c>
      <c r="E611" t="s">
        <v>16</v>
      </c>
      <c r="F611">
        <v>710</v>
      </c>
      <c r="G611">
        <v>27</v>
      </c>
      <c r="H611">
        <v>2</v>
      </c>
      <c r="I611">
        <v>135277.96</v>
      </c>
      <c r="J611">
        <v>1</v>
      </c>
      <c r="K611">
        <v>1</v>
      </c>
      <c r="L611">
        <v>0</v>
      </c>
      <c r="M611">
        <v>142200.15</v>
      </c>
      <c r="N611">
        <v>0</v>
      </c>
      <c r="O611" t="str">
        <f t="shared" si="27"/>
        <v>Good</v>
      </c>
      <c r="P611" t="str">
        <f t="shared" si="28"/>
        <v>Young Adult</v>
      </c>
      <c r="Q611" t="str">
        <f t="shared" si="29"/>
        <v>High Salary</v>
      </c>
    </row>
    <row r="612" spans="1:17" x14ac:dyDescent="0.25">
      <c r="A612">
        <v>767</v>
      </c>
      <c r="B612">
        <v>15810864</v>
      </c>
      <c r="C612" t="s">
        <v>619</v>
      </c>
      <c r="D612" t="s">
        <v>15</v>
      </c>
      <c r="E612" t="s">
        <v>16</v>
      </c>
      <c r="F612">
        <v>700</v>
      </c>
      <c r="G612">
        <v>82</v>
      </c>
      <c r="H612">
        <v>2</v>
      </c>
      <c r="I612">
        <v>0</v>
      </c>
      <c r="J612">
        <v>2</v>
      </c>
      <c r="K612">
        <v>0</v>
      </c>
      <c r="L612">
        <v>1</v>
      </c>
      <c r="M612">
        <v>182055.36</v>
      </c>
      <c r="N612">
        <v>0</v>
      </c>
      <c r="O612" t="str">
        <f t="shared" si="27"/>
        <v>Good</v>
      </c>
      <c r="P612" t="str">
        <f t="shared" si="28"/>
        <v>Senior</v>
      </c>
      <c r="Q612" t="str">
        <f t="shared" si="29"/>
        <v>High Salary</v>
      </c>
    </row>
    <row r="613" spans="1:17" x14ac:dyDescent="0.25">
      <c r="A613">
        <v>769</v>
      </c>
      <c r="B613">
        <v>15724296</v>
      </c>
      <c r="C613" t="s">
        <v>319</v>
      </c>
      <c r="D613" t="s">
        <v>18</v>
      </c>
      <c r="E613" t="s">
        <v>23</v>
      </c>
      <c r="F613">
        <v>684</v>
      </c>
      <c r="G613">
        <v>41</v>
      </c>
      <c r="H613">
        <v>2</v>
      </c>
      <c r="I613">
        <v>119782.72</v>
      </c>
      <c r="J613">
        <v>2</v>
      </c>
      <c r="K613">
        <v>0</v>
      </c>
      <c r="L613">
        <v>0</v>
      </c>
      <c r="M613">
        <v>120284.67</v>
      </c>
      <c r="N613">
        <v>0</v>
      </c>
      <c r="O613" t="str">
        <f t="shared" si="27"/>
        <v>Good</v>
      </c>
      <c r="P613" t="str">
        <f t="shared" si="28"/>
        <v>Adult</v>
      </c>
      <c r="Q613" t="str">
        <f t="shared" si="29"/>
        <v>High Salary</v>
      </c>
    </row>
    <row r="614" spans="1:17" x14ac:dyDescent="0.25">
      <c r="A614">
        <v>772</v>
      </c>
      <c r="B614">
        <v>15640442</v>
      </c>
      <c r="C614" t="s">
        <v>622</v>
      </c>
      <c r="D614" t="s">
        <v>15</v>
      </c>
      <c r="E614" t="s">
        <v>23</v>
      </c>
      <c r="F614">
        <v>717</v>
      </c>
      <c r="G614">
        <v>31</v>
      </c>
      <c r="H614">
        <v>4</v>
      </c>
      <c r="I614">
        <v>129722.57</v>
      </c>
      <c r="J614">
        <v>1</v>
      </c>
      <c r="K614">
        <v>0</v>
      </c>
      <c r="L614">
        <v>0</v>
      </c>
      <c r="M614">
        <v>41176.6</v>
      </c>
      <c r="N614">
        <v>0</v>
      </c>
      <c r="O614" t="str">
        <f t="shared" si="27"/>
        <v>Good</v>
      </c>
      <c r="P614" t="str">
        <f t="shared" si="28"/>
        <v>Adult</v>
      </c>
      <c r="Q614" t="str">
        <f t="shared" si="29"/>
        <v>Medium Salary</v>
      </c>
    </row>
    <row r="615" spans="1:17" x14ac:dyDescent="0.25">
      <c r="A615">
        <v>773</v>
      </c>
      <c r="B615">
        <v>15639314</v>
      </c>
      <c r="C615" t="s">
        <v>623</v>
      </c>
      <c r="D615" t="s">
        <v>15</v>
      </c>
      <c r="E615" t="s">
        <v>23</v>
      </c>
      <c r="F615">
        <v>589</v>
      </c>
      <c r="G615">
        <v>32</v>
      </c>
      <c r="H615">
        <v>2</v>
      </c>
      <c r="I615">
        <v>0</v>
      </c>
      <c r="J615">
        <v>2</v>
      </c>
      <c r="K615">
        <v>0</v>
      </c>
      <c r="L615">
        <v>1</v>
      </c>
      <c r="M615">
        <v>9468.64</v>
      </c>
      <c r="N615">
        <v>0</v>
      </c>
      <c r="O615" t="str">
        <f t="shared" si="27"/>
        <v>Average</v>
      </c>
      <c r="P615" t="str">
        <f t="shared" si="28"/>
        <v>Adult</v>
      </c>
      <c r="Q615" t="str">
        <f t="shared" si="29"/>
        <v>Low Salary</v>
      </c>
    </row>
    <row r="616" spans="1:17" x14ac:dyDescent="0.25">
      <c r="A616">
        <v>774</v>
      </c>
      <c r="B616">
        <v>15685320</v>
      </c>
      <c r="C616" t="s">
        <v>624</v>
      </c>
      <c r="D616" t="s">
        <v>15</v>
      </c>
      <c r="E616" t="s">
        <v>23</v>
      </c>
      <c r="F616">
        <v>767</v>
      </c>
      <c r="G616">
        <v>36</v>
      </c>
      <c r="H616">
        <v>3</v>
      </c>
      <c r="I616">
        <v>139180.20000000001</v>
      </c>
      <c r="J616">
        <v>1</v>
      </c>
      <c r="K616">
        <v>0</v>
      </c>
      <c r="L616">
        <v>0</v>
      </c>
      <c r="M616">
        <v>123880.19</v>
      </c>
      <c r="N616">
        <v>0</v>
      </c>
      <c r="O616" t="str">
        <f t="shared" si="27"/>
        <v>Good</v>
      </c>
      <c r="P616" t="str">
        <f t="shared" si="28"/>
        <v>Adult</v>
      </c>
      <c r="Q616" t="str">
        <f t="shared" si="29"/>
        <v>High Salary</v>
      </c>
    </row>
    <row r="617" spans="1:17" x14ac:dyDescent="0.25">
      <c r="A617">
        <v>776</v>
      </c>
      <c r="B617">
        <v>15752137</v>
      </c>
      <c r="C617" t="s">
        <v>626</v>
      </c>
      <c r="D617" t="s">
        <v>15</v>
      </c>
      <c r="E617" t="s">
        <v>23</v>
      </c>
      <c r="F617">
        <v>648</v>
      </c>
      <c r="G617">
        <v>33</v>
      </c>
      <c r="H617">
        <v>7</v>
      </c>
      <c r="I617">
        <v>134944</v>
      </c>
      <c r="J617">
        <v>1</v>
      </c>
      <c r="K617">
        <v>1</v>
      </c>
      <c r="L617">
        <v>1</v>
      </c>
      <c r="M617">
        <v>117036.38</v>
      </c>
      <c r="N617">
        <v>0</v>
      </c>
      <c r="O617" t="str">
        <f t="shared" si="27"/>
        <v>Average</v>
      </c>
      <c r="P617" t="str">
        <f t="shared" si="28"/>
        <v>Adult</v>
      </c>
      <c r="Q617" t="str">
        <f t="shared" si="29"/>
        <v>High Salary</v>
      </c>
    </row>
    <row r="618" spans="1:17" x14ac:dyDescent="0.25">
      <c r="A618">
        <v>779</v>
      </c>
      <c r="B618">
        <v>15797227</v>
      </c>
      <c r="C618" t="s">
        <v>629</v>
      </c>
      <c r="D618" t="s">
        <v>15</v>
      </c>
      <c r="E618" t="s">
        <v>23</v>
      </c>
      <c r="F618">
        <v>754</v>
      </c>
      <c r="G618">
        <v>28</v>
      </c>
      <c r="H618">
        <v>8</v>
      </c>
      <c r="I618">
        <v>0</v>
      </c>
      <c r="J618">
        <v>2</v>
      </c>
      <c r="K618">
        <v>1</v>
      </c>
      <c r="L618">
        <v>1</v>
      </c>
      <c r="M618">
        <v>52615.62</v>
      </c>
      <c r="N618">
        <v>0</v>
      </c>
      <c r="O618" t="str">
        <f t="shared" si="27"/>
        <v>Good</v>
      </c>
      <c r="P618" t="str">
        <f t="shared" si="28"/>
        <v>Young Adult</v>
      </c>
      <c r="Q618" t="str">
        <f t="shared" si="29"/>
        <v>Medium Salary</v>
      </c>
    </row>
    <row r="619" spans="1:17" x14ac:dyDescent="0.25">
      <c r="A619">
        <v>780</v>
      </c>
      <c r="B619">
        <v>15769974</v>
      </c>
      <c r="C619" t="s">
        <v>219</v>
      </c>
      <c r="D619" t="s">
        <v>18</v>
      </c>
      <c r="E619" t="s">
        <v>16</v>
      </c>
      <c r="F619">
        <v>679</v>
      </c>
      <c r="G619">
        <v>35</v>
      </c>
      <c r="H619">
        <v>8</v>
      </c>
      <c r="I619">
        <v>119182.73</v>
      </c>
      <c r="J619">
        <v>1</v>
      </c>
      <c r="K619">
        <v>0</v>
      </c>
      <c r="L619">
        <v>0</v>
      </c>
      <c r="M619">
        <v>121210.09</v>
      </c>
      <c r="N619">
        <v>0</v>
      </c>
      <c r="O619" t="str">
        <f t="shared" si="27"/>
        <v>Good</v>
      </c>
      <c r="P619" t="str">
        <f t="shared" si="28"/>
        <v>Adult</v>
      </c>
      <c r="Q619" t="str">
        <f t="shared" si="29"/>
        <v>High Salary</v>
      </c>
    </row>
    <row r="620" spans="1:17" x14ac:dyDescent="0.25">
      <c r="A620">
        <v>781</v>
      </c>
      <c r="B620">
        <v>15737051</v>
      </c>
      <c r="C620" t="s">
        <v>630</v>
      </c>
      <c r="D620" t="s">
        <v>15</v>
      </c>
      <c r="E620" t="s">
        <v>23</v>
      </c>
      <c r="F620">
        <v>639</v>
      </c>
      <c r="G620">
        <v>27</v>
      </c>
      <c r="H620">
        <v>8</v>
      </c>
      <c r="I620">
        <v>0</v>
      </c>
      <c r="J620">
        <v>2</v>
      </c>
      <c r="K620">
        <v>1</v>
      </c>
      <c r="L620">
        <v>0</v>
      </c>
      <c r="M620">
        <v>192247.35</v>
      </c>
      <c r="N620">
        <v>0</v>
      </c>
      <c r="O620" t="str">
        <f t="shared" si="27"/>
        <v>Average</v>
      </c>
      <c r="P620" t="str">
        <f t="shared" si="28"/>
        <v>Young Adult</v>
      </c>
      <c r="Q620" t="str">
        <f t="shared" si="29"/>
        <v>High Salary</v>
      </c>
    </row>
    <row r="621" spans="1:17" x14ac:dyDescent="0.25">
      <c r="A621">
        <v>782</v>
      </c>
      <c r="B621">
        <v>15585595</v>
      </c>
      <c r="C621" t="s">
        <v>631</v>
      </c>
      <c r="D621" t="s">
        <v>15</v>
      </c>
      <c r="E621" t="s">
        <v>16</v>
      </c>
      <c r="F621">
        <v>774</v>
      </c>
      <c r="G621">
        <v>28</v>
      </c>
      <c r="H621">
        <v>1</v>
      </c>
      <c r="I621">
        <v>71264.02</v>
      </c>
      <c r="J621">
        <v>2</v>
      </c>
      <c r="K621">
        <v>0</v>
      </c>
      <c r="L621">
        <v>1</v>
      </c>
      <c r="M621">
        <v>68759.570000000007</v>
      </c>
      <c r="N621">
        <v>0</v>
      </c>
      <c r="O621" t="str">
        <f t="shared" si="27"/>
        <v>Good</v>
      </c>
      <c r="P621" t="str">
        <f t="shared" si="28"/>
        <v>Young Adult</v>
      </c>
      <c r="Q621" t="str">
        <f t="shared" si="29"/>
        <v>Medium Salary</v>
      </c>
    </row>
    <row r="622" spans="1:17" x14ac:dyDescent="0.25">
      <c r="A622">
        <v>783</v>
      </c>
      <c r="B622">
        <v>15654060</v>
      </c>
      <c r="C622" t="s">
        <v>632</v>
      </c>
      <c r="D622" t="s">
        <v>15</v>
      </c>
      <c r="E622" t="s">
        <v>23</v>
      </c>
      <c r="F622">
        <v>517</v>
      </c>
      <c r="G622">
        <v>41</v>
      </c>
      <c r="H622">
        <v>2</v>
      </c>
      <c r="I622">
        <v>0</v>
      </c>
      <c r="J622">
        <v>2</v>
      </c>
      <c r="K622">
        <v>0</v>
      </c>
      <c r="L622">
        <v>1</v>
      </c>
      <c r="M622">
        <v>75937.47</v>
      </c>
      <c r="N622">
        <v>0</v>
      </c>
      <c r="O622" t="str">
        <f t="shared" si="27"/>
        <v>Poor</v>
      </c>
      <c r="P622" t="str">
        <f t="shared" si="28"/>
        <v>Adult</v>
      </c>
      <c r="Q622" t="str">
        <f t="shared" si="29"/>
        <v>High Salary</v>
      </c>
    </row>
    <row r="623" spans="1:17" x14ac:dyDescent="0.25">
      <c r="A623">
        <v>784</v>
      </c>
      <c r="B623">
        <v>15745196</v>
      </c>
      <c r="C623" t="s">
        <v>633</v>
      </c>
      <c r="D623" t="s">
        <v>15</v>
      </c>
      <c r="E623" t="s">
        <v>16</v>
      </c>
      <c r="F623">
        <v>571</v>
      </c>
      <c r="G623">
        <v>35</v>
      </c>
      <c r="H623">
        <v>8</v>
      </c>
      <c r="I623">
        <v>0</v>
      </c>
      <c r="J623">
        <v>2</v>
      </c>
      <c r="K623">
        <v>0</v>
      </c>
      <c r="L623">
        <v>0</v>
      </c>
      <c r="M623">
        <v>84569.13</v>
      </c>
      <c r="N623">
        <v>0</v>
      </c>
      <c r="O623" t="str">
        <f t="shared" si="27"/>
        <v>Poor</v>
      </c>
      <c r="P623" t="str">
        <f t="shared" si="28"/>
        <v>Adult</v>
      </c>
      <c r="Q623" t="str">
        <f t="shared" si="29"/>
        <v>High Salary</v>
      </c>
    </row>
    <row r="624" spans="1:17" x14ac:dyDescent="0.25">
      <c r="A624">
        <v>786</v>
      </c>
      <c r="B624">
        <v>15660155</v>
      </c>
      <c r="C624" t="s">
        <v>56</v>
      </c>
      <c r="D624" t="s">
        <v>18</v>
      </c>
      <c r="E624" t="s">
        <v>23</v>
      </c>
      <c r="F624">
        <v>792</v>
      </c>
      <c r="G624">
        <v>36</v>
      </c>
      <c r="H624">
        <v>5</v>
      </c>
      <c r="I624">
        <v>92140.15</v>
      </c>
      <c r="J624">
        <v>1</v>
      </c>
      <c r="K624">
        <v>0</v>
      </c>
      <c r="L624">
        <v>1</v>
      </c>
      <c r="M624">
        <v>67468.67</v>
      </c>
      <c r="N624">
        <v>0</v>
      </c>
      <c r="O624" t="str">
        <f t="shared" si="27"/>
        <v>Good</v>
      </c>
      <c r="P624" t="str">
        <f t="shared" si="28"/>
        <v>Adult</v>
      </c>
      <c r="Q624" t="str">
        <f t="shared" si="29"/>
        <v>Medium Salary</v>
      </c>
    </row>
    <row r="625" spans="1:17" x14ac:dyDescent="0.25">
      <c r="A625">
        <v>787</v>
      </c>
      <c r="B625">
        <v>15605284</v>
      </c>
      <c r="C625" t="s">
        <v>635</v>
      </c>
      <c r="D625" t="s">
        <v>15</v>
      </c>
      <c r="E625" t="s">
        <v>23</v>
      </c>
      <c r="F625">
        <v>688</v>
      </c>
      <c r="G625">
        <v>26</v>
      </c>
      <c r="H625">
        <v>1</v>
      </c>
      <c r="I625">
        <v>0</v>
      </c>
      <c r="J625">
        <v>2</v>
      </c>
      <c r="K625">
        <v>1</v>
      </c>
      <c r="L625">
        <v>1</v>
      </c>
      <c r="M625">
        <v>104435.94</v>
      </c>
      <c r="N625">
        <v>0</v>
      </c>
      <c r="O625" t="str">
        <f t="shared" si="27"/>
        <v>Good</v>
      </c>
      <c r="P625" t="str">
        <f t="shared" si="28"/>
        <v>Young Adult</v>
      </c>
      <c r="Q625" t="str">
        <f t="shared" si="29"/>
        <v>High Salary</v>
      </c>
    </row>
    <row r="626" spans="1:17" x14ac:dyDescent="0.25">
      <c r="A626">
        <v>788</v>
      </c>
      <c r="B626">
        <v>15694366</v>
      </c>
      <c r="C626" t="s">
        <v>636</v>
      </c>
      <c r="D626" t="s">
        <v>26</v>
      </c>
      <c r="E626" t="s">
        <v>23</v>
      </c>
      <c r="F626">
        <v>714</v>
      </c>
      <c r="G626">
        <v>42</v>
      </c>
      <c r="H626">
        <v>2</v>
      </c>
      <c r="I626">
        <v>177640.09</v>
      </c>
      <c r="J626">
        <v>1</v>
      </c>
      <c r="K626">
        <v>0</v>
      </c>
      <c r="L626">
        <v>1</v>
      </c>
      <c r="M626">
        <v>47166.55</v>
      </c>
      <c r="N626">
        <v>0</v>
      </c>
      <c r="O626" t="str">
        <f t="shared" si="27"/>
        <v>Good</v>
      </c>
      <c r="P626" t="str">
        <f t="shared" si="28"/>
        <v>Adult</v>
      </c>
      <c r="Q626" t="str">
        <f t="shared" si="29"/>
        <v>Medium Salary</v>
      </c>
    </row>
    <row r="627" spans="1:17" x14ac:dyDescent="0.25">
      <c r="A627">
        <v>789</v>
      </c>
      <c r="B627">
        <v>15600739</v>
      </c>
      <c r="C627" t="s">
        <v>637</v>
      </c>
      <c r="D627" t="s">
        <v>18</v>
      </c>
      <c r="E627" t="s">
        <v>16</v>
      </c>
      <c r="F627">
        <v>562</v>
      </c>
      <c r="G627">
        <v>35</v>
      </c>
      <c r="H627">
        <v>0</v>
      </c>
      <c r="I627">
        <v>0</v>
      </c>
      <c r="J627">
        <v>2</v>
      </c>
      <c r="K627">
        <v>1</v>
      </c>
      <c r="L627">
        <v>0</v>
      </c>
      <c r="M627">
        <v>119899.52</v>
      </c>
      <c r="N627">
        <v>0</v>
      </c>
      <c r="O627" t="str">
        <f t="shared" si="27"/>
        <v>Poor</v>
      </c>
      <c r="P627" t="str">
        <f t="shared" si="28"/>
        <v>Adult</v>
      </c>
      <c r="Q627" t="str">
        <f t="shared" si="29"/>
        <v>High Salary</v>
      </c>
    </row>
    <row r="628" spans="1:17" x14ac:dyDescent="0.25">
      <c r="A628">
        <v>790</v>
      </c>
      <c r="B628">
        <v>15653253</v>
      </c>
      <c r="C628" t="s">
        <v>530</v>
      </c>
      <c r="D628" t="s">
        <v>18</v>
      </c>
      <c r="E628" t="s">
        <v>23</v>
      </c>
      <c r="F628">
        <v>704</v>
      </c>
      <c r="G628">
        <v>48</v>
      </c>
      <c r="H628">
        <v>8</v>
      </c>
      <c r="I628">
        <v>167997.6</v>
      </c>
      <c r="J628">
        <v>1</v>
      </c>
      <c r="K628">
        <v>1</v>
      </c>
      <c r="L628">
        <v>1</v>
      </c>
      <c r="M628">
        <v>173498.45</v>
      </c>
      <c r="N628">
        <v>0</v>
      </c>
      <c r="O628" t="str">
        <f t="shared" si="27"/>
        <v>Good</v>
      </c>
      <c r="P628" t="str">
        <f t="shared" si="28"/>
        <v>Adult</v>
      </c>
      <c r="Q628" t="str">
        <f t="shared" si="29"/>
        <v>High Salary</v>
      </c>
    </row>
    <row r="629" spans="1:17" x14ac:dyDescent="0.25">
      <c r="A629">
        <v>791</v>
      </c>
      <c r="B629">
        <v>15763431</v>
      </c>
      <c r="C629" t="s">
        <v>638</v>
      </c>
      <c r="D629" t="s">
        <v>15</v>
      </c>
      <c r="E629" t="s">
        <v>23</v>
      </c>
      <c r="F629">
        <v>698</v>
      </c>
      <c r="G629">
        <v>36</v>
      </c>
      <c r="H629">
        <v>2</v>
      </c>
      <c r="I629">
        <v>82275.350000000006</v>
      </c>
      <c r="J629">
        <v>2</v>
      </c>
      <c r="K629">
        <v>1</v>
      </c>
      <c r="L629">
        <v>1</v>
      </c>
      <c r="M629">
        <v>93249.26</v>
      </c>
      <c r="N629">
        <v>0</v>
      </c>
      <c r="O629" t="str">
        <f t="shared" si="27"/>
        <v>Good</v>
      </c>
      <c r="P629" t="str">
        <f t="shared" si="28"/>
        <v>Adult</v>
      </c>
      <c r="Q629" t="str">
        <f t="shared" si="29"/>
        <v>High Salary</v>
      </c>
    </row>
    <row r="630" spans="1:17" x14ac:dyDescent="0.25">
      <c r="A630">
        <v>792</v>
      </c>
      <c r="B630">
        <v>15643696</v>
      </c>
      <c r="C630" t="s">
        <v>45</v>
      </c>
      <c r="D630" t="s">
        <v>15</v>
      </c>
      <c r="E630" t="s">
        <v>23</v>
      </c>
      <c r="F630">
        <v>611</v>
      </c>
      <c r="G630">
        <v>49</v>
      </c>
      <c r="H630">
        <v>3</v>
      </c>
      <c r="I630">
        <v>0</v>
      </c>
      <c r="J630">
        <v>2</v>
      </c>
      <c r="K630">
        <v>1</v>
      </c>
      <c r="L630">
        <v>1</v>
      </c>
      <c r="M630">
        <v>142917.54</v>
      </c>
      <c r="N630">
        <v>0</v>
      </c>
      <c r="O630" t="str">
        <f t="shared" si="27"/>
        <v>Average</v>
      </c>
      <c r="P630" t="str">
        <f t="shared" si="28"/>
        <v>Adult</v>
      </c>
      <c r="Q630" t="str">
        <f t="shared" si="29"/>
        <v>High Salary</v>
      </c>
    </row>
    <row r="631" spans="1:17" x14ac:dyDescent="0.25">
      <c r="A631">
        <v>793</v>
      </c>
      <c r="B631">
        <v>15707473</v>
      </c>
      <c r="C631" t="s">
        <v>588</v>
      </c>
      <c r="D631" t="s">
        <v>26</v>
      </c>
      <c r="E631" t="s">
        <v>16</v>
      </c>
      <c r="F631">
        <v>850</v>
      </c>
      <c r="G631">
        <v>48</v>
      </c>
      <c r="H631">
        <v>6</v>
      </c>
      <c r="I631">
        <v>111962.99</v>
      </c>
      <c r="J631">
        <v>1</v>
      </c>
      <c r="K631">
        <v>1</v>
      </c>
      <c r="L631">
        <v>0</v>
      </c>
      <c r="M631">
        <v>111755.8</v>
      </c>
      <c r="N631">
        <v>0</v>
      </c>
      <c r="O631" t="str">
        <f t="shared" si="27"/>
        <v>Good</v>
      </c>
      <c r="P631" t="str">
        <f t="shared" si="28"/>
        <v>Adult</v>
      </c>
      <c r="Q631" t="str">
        <f t="shared" si="29"/>
        <v>High Salary</v>
      </c>
    </row>
    <row r="632" spans="1:17" x14ac:dyDescent="0.25">
      <c r="A632">
        <v>794</v>
      </c>
      <c r="B632">
        <v>15769504</v>
      </c>
      <c r="C632" t="s">
        <v>639</v>
      </c>
      <c r="D632" t="s">
        <v>26</v>
      </c>
      <c r="E632" t="s">
        <v>16</v>
      </c>
      <c r="F632">
        <v>743</v>
      </c>
      <c r="G632">
        <v>34</v>
      </c>
      <c r="H632">
        <v>1</v>
      </c>
      <c r="I632">
        <v>131736.88</v>
      </c>
      <c r="J632">
        <v>1</v>
      </c>
      <c r="K632">
        <v>1</v>
      </c>
      <c r="L632">
        <v>1</v>
      </c>
      <c r="M632">
        <v>108543.21</v>
      </c>
      <c r="N632">
        <v>0</v>
      </c>
      <c r="O632" t="str">
        <f t="shared" si="27"/>
        <v>Good</v>
      </c>
      <c r="P632" t="str">
        <f t="shared" si="28"/>
        <v>Adult</v>
      </c>
      <c r="Q632" t="str">
        <f t="shared" si="29"/>
        <v>High Salary</v>
      </c>
    </row>
    <row r="633" spans="1:17" x14ac:dyDescent="0.25">
      <c r="A633">
        <v>795</v>
      </c>
      <c r="B633">
        <v>15776807</v>
      </c>
      <c r="C633" t="s">
        <v>292</v>
      </c>
      <c r="D633" t="s">
        <v>15</v>
      </c>
      <c r="E633" t="s">
        <v>23</v>
      </c>
      <c r="F633">
        <v>654</v>
      </c>
      <c r="G633">
        <v>29</v>
      </c>
      <c r="H633">
        <v>1</v>
      </c>
      <c r="I633">
        <v>0</v>
      </c>
      <c r="J633">
        <v>1</v>
      </c>
      <c r="K633">
        <v>1</v>
      </c>
      <c r="L633">
        <v>0</v>
      </c>
      <c r="M633">
        <v>180345.44</v>
      </c>
      <c r="N633">
        <v>0</v>
      </c>
      <c r="O633" t="str">
        <f t="shared" si="27"/>
        <v>Average</v>
      </c>
      <c r="P633" t="str">
        <f t="shared" si="28"/>
        <v>Young Adult</v>
      </c>
      <c r="Q633" t="str">
        <f t="shared" si="29"/>
        <v>High Salary</v>
      </c>
    </row>
    <row r="634" spans="1:17" x14ac:dyDescent="0.25">
      <c r="A634">
        <v>796</v>
      </c>
      <c r="B634">
        <v>15686870</v>
      </c>
      <c r="C634" t="s">
        <v>640</v>
      </c>
      <c r="D634" t="s">
        <v>26</v>
      </c>
      <c r="E634" t="s">
        <v>23</v>
      </c>
      <c r="F634">
        <v>761</v>
      </c>
      <c r="G634">
        <v>36</v>
      </c>
      <c r="H634">
        <v>8</v>
      </c>
      <c r="I634">
        <v>108239.11</v>
      </c>
      <c r="J634">
        <v>2</v>
      </c>
      <c r="K634">
        <v>0</v>
      </c>
      <c r="L634">
        <v>0</v>
      </c>
      <c r="M634">
        <v>99444.02</v>
      </c>
      <c r="N634">
        <v>0</v>
      </c>
      <c r="O634" t="str">
        <f t="shared" si="27"/>
        <v>Good</v>
      </c>
      <c r="P634" t="str">
        <f t="shared" si="28"/>
        <v>Adult</v>
      </c>
      <c r="Q634" t="str">
        <f t="shared" si="29"/>
        <v>High Salary</v>
      </c>
    </row>
    <row r="635" spans="1:17" x14ac:dyDescent="0.25">
      <c r="A635">
        <v>797</v>
      </c>
      <c r="B635">
        <v>15668747</v>
      </c>
      <c r="C635" t="s">
        <v>641</v>
      </c>
      <c r="D635" t="s">
        <v>15</v>
      </c>
      <c r="E635" t="s">
        <v>16</v>
      </c>
      <c r="F635">
        <v>702</v>
      </c>
      <c r="G635">
        <v>46</v>
      </c>
      <c r="H635">
        <v>9</v>
      </c>
      <c r="I635">
        <v>98444.19</v>
      </c>
      <c r="J635">
        <v>1</v>
      </c>
      <c r="K635">
        <v>0</v>
      </c>
      <c r="L635">
        <v>1</v>
      </c>
      <c r="M635">
        <v>109563.28</v>
      </c>
      <c r="N635">
        <v>0</v>
      </c>
      <c r="O635" t="str">
        <f t="shared" si="27"/>
        <v>Good</v>
      </c>
      <c r="P635" t="str">
        <f t="shared" si="28"/>
        <v>Adult</v>
      </c>
      <c r="Q635" t="str">
        <f t="shared" si="29"/>
        <v>High Salary</v>
      </c>
    </row>
    <row r="636" spans="1:17" x14ac:dyDescent="0.25">
      <c r="A636">
        <v>798</v>
      </c>
      <c r="B636">
        <v>15766908</v>
      </c>
      <c r="C636" t="s">
        <v>70</v>
      </c>
      <c r="D636" t="s">
        <v>26</v>
      </c>
      <c r="E636" t="s">
        <v>23</v>
      </c>
      <c r="F636">
        <v>488</v>
      </c>
      <c r="G636">
        <v>32</v>
      </c>
      <c r="H636">
        <v>3</v>
      </c>
      <c r="I636">
        <v>114540.38</v>
      </c>
      <c r="J636">
        <v>1</v>
      </c>
      <c r="K636">
        <v>1</v>
      </c>
      <c r="L636">
        <v>0</v>
      </c>
      <c r="M636">
        <v>92568.07</v>
      </c>
      <c r="N636">
        <v>0</v>
      </c>
      <c r="O636" t="str">
        <f t="shared" si="27"/>
        <v>Poor</v>
      </c>
      <c r="P636" t="str">
        <f t="shared" si="28"/>
        <v>Adult</v>
      </c>
      <c r="Q636" t="str">
        <f t="shared" si="29"/>
        <v>High Salary</v>
      </c>
    </row>
    <row r="637" spans="1:17" x14ac:dyDescent="0.25">
      <c r="A637">
        <v>799</v>
      </c>
      <c r="B637">
        <v>15570134</v>
      </c>
      <c r="C637" t="s">
        <v>415</v>
      </c>
      <c r="D637" t="s">
        <v>15</v>
      </c>
      <c r="E637" t="s">
        <v>16</v>
      </c>
      <c r="F637">
        <v>683</v>
      </c>
      <c r="G637">
        <v>35</v>
      </c>
      <c r="H637">
        <v>6</v>
      </c>
      <c r="I637">
        <v>187530.66</v>
      </c>
      <c r="J637">
        <v>2</v>
      </c>
      <c r="K637">
        <v>1</v>
      </c>
      <c r="L637">
        <v>1</v>
      </c>
      <c r="M637">
        <v>37976.36</v>
      </c>
      <c r="N637">
        <v>0</v>
      </c>
      <c r="O637" t="str">
        <f t="shared" si="27"/>
        <v>Good</v>
      </c>
      <c r="P637" t="str">
        <f t="shared" si="28"/>
        <v>Adult</v>
      </c>
      <c r="Q637" t="str">
        <f t="shared" si="29"/>
        <v>Medium Salary</v>
      </c>
    </row>
    <row r="638" spans="1:17" x14ac:dyDescent="0.25">
      <c r="A638">
        <v>800</v>
      </c>
      <c r="B638">
        <v>15567367</v>
      </c>
      <c r="C638" t="s">
        <v>642</v>
      </c>
      <c r="D638" t="s">
        <v>26</v>
      </c>
      <c r="E638" t="s">
        <v>16</v>
      </c>
      <c r="F638">
        <v>601</v>
      </c>
      <c r="G638">
        <v>42</v>
      </c>
      <c r="H638">
        <v>9</v>
      </c>
      <c r="I638">
        <v>133636.16</v>
      </c>
      <c r="J638">
        <v>1</v>
      </c>
      <c r="K638">
        <v>0</v>
      </c>
      <c r="L638">
        <v>1</v>
      </c>
      <c r="M638">
        <v>103315.74</v>
      </c>
      <c r="N638">
        <v>0</v>
      </c>
      <c r="O638" t="str">
        <f t="shared" si="27"/>
        <v>Average</v>
      </c>
      <c r="P638" t="str">
        <f t="shared" si="28"/>
        <v>Adult</v>
      </c>
      <c r="Q638" t="str">
        <f t="shared" si="29"/>
        <v>High Salary</v>
      </c>
    </row>
    <row r="639" spans="1:17" x14ac:dyDescent="0.25">
      <c r="A639">
        <v>801</v>
      </c>
      <c r="B639">
        <v>15747542</v>
      </c>
      <c r="C639" t="s">
        <v>643</v>
      </c>
      <c r="D639" t="s">
        <v>15</v>
      </c>
      <c r="E639" t="s">
        <v>23</v>
      </c>
      <c r="F639">
        <v>605</v>
      </c>
      <c r="G639">
        <v>52</v>
      </c>
      <c r="H639">
        <v>7</v>
      </c>
      <c r="I639">
        <v>0</v>
      </c>
      <c r="J639">
        <v>2</v>
      </c>
      <c r="K639">
        <v>1</v>
      </c>
      <c r="L639">
        <v>1</v>
      </c>
      <c r="M639">
        <v>173952.5</v>
      </c>
      <c r="N639">
        <v>0</v>
      </c>
      <c r="O639" t="str">
        <f t="shared" si="27"/>
        <v>Average</v>
      </c>
      <c r="P639" t="str">
        <f t="shared" si="28"/>
        <v>Adult</v>
      </c>
      <c r="Q639" t="str">
        <f t="shared" si="29"/>
        <v>High Salary</v>
      </c>
    </row>
    <row r="640" spans="1:17" x14ac:dyDescent="0.25">
      <c r="A640">
        <v>802</v>
      </c>
      <c r="B640">
        <v>15762238</v>
      </c>
      <c r="C640" t="s">
        <v>644</v>
      </c>
      <c r="D640" t="s">
        <v>26</v>
      </c>
      <c r="E640" t="s">
        <v>16</v>
      </c>
      <c r="F640">
        <v>671</v>
      </c>
      <c r="G640">
        <v>44</v>
      </c>
      <c r="H640">
        <v>0</v>
      </c>
      <c r="I640">
        <v>84745.03</v>
      </c>
      <c r="J640">
        <v>2</v>
      </c>
      <c r="K640">
        <v>0</v>
      </c>
      <c r="L640">
        <v>1</v>
      </c>
      <c r="M640">
        <v>34673.980000000003</v>
      </c>
      <c r="N640">
        <v>0</v>
      </c>
      <c r="O640" t="str">
        <f t="shared" si="27"/>
        <v>Good</v>
      </c>
      <c r="P640" t="str">
        <f t="shared" si="28"/>
        <v>Adult</v>
      </c>
      <c r="Q640" t="str">
        <f t="shared" si="29"/>
        <v>Medium Salary</v>
      </c>
    </row>
    <row r="641" spans="1:17" x14ac:dyDescent="0.25">
      <c r="A641">
        <v>803</v>
      </c>
      <c r="B641">
        <v>15681554</v>
      </c>
      <c r="C641" t="s">
        <v>645</v>
      </c>
      <c r="D641" t="s">
        <v>26</v>
      </c>
      <c r="E641" t="s">
        <v>16</v>
      </c>
      <c r="F641">
        <v>614</v>
      </c>
      <c r="G641">
        <v>31</v>
      </c>
      <c r="H641">
        <v>7</v>
      </c>
      <c r="I641">
        <v>120599.38</v>
      </c>
      <c r="J641">
        <v>2</v>
      </c>
      <c r="K641">
        <v>1</v>
      </c>
      <c r="L641">
        <v>1</v>
      </c>
      <c r="M641">
        <v>46163.44</v>
      </c>
      <c r="N641">
        <v>0</v>
      </c>
      <c r="O641" t="str">
        <f t="shared" si="27"/>
        <v>Average</v>
      </c>
      <c r="P641" t="str">
        <f t="shared" si="28"/>
        <v>Adult</v>
      </c>
      <c r="Q641" t="str">
        <f t="shared" si="29"/>
        <v>Medium Salary</v>
      </c>
    </row>
    <row r="642" spans="1:17" x14ac:dyDescent="0.25">
      <c r="A642">
        <v>804</v>
      </c>
      <c r="B642">
        <v>15712825</v>
      </c>
      <c r="C642" t="s">
        <v>549</v>
      </c>
      <c r="D642" t="s">
        <v>18</v>
      </c>
      <c r="E642" t="s">
        <v>16</v>
      </c>
      <c r="F642">
        <v>511</v>
      </c>
      <c r="G642">
        <v>29</v>
      </c>
      <c r="H642">
        <v>9</v>
      </c>
      <c r="I642">
        <v>0</v>
      </c>
      <c r="J642">
        <v>2</v>
      </c>
      <c r="K642">
        <v>0</v>
      </c>
      <c r="L642">
        <v>1</v>
      </c>
      <c r="M642">
        <v>140676.98000000001</v>
      </c>
      <c r="N642">
        <v>0</v>
      </c>
      <c r="O642" t="str">
        <f t="shared" si="27"/>
        <v>Poor</v>
      </c>
      <c r="P642" t="str">
        <f t="shared" si="28"/>
        <v>Young Adult</v>
      </c>
      <c r="Q642" t="str">
        <f t="shared" si="29"/>
        <v>High Salary</v>
      </c>
    </row>
    <row r="643" spans="1:17" x14ac:dyDescent="0.25">
      <c r="A643">
        <v>805</v>
      </c>
      <c r="B643">
        <v>15640280</v>
      </c>
      <c r="C643" t="s">
        <v>58</v>
      </c>
      <c r="D643" t="s">
        <v>15</v>
      </c>
      <c r="E643" t="s">
        <v>23</v>
      </c>
      <c r="F643">
        <v>850</v>
      </c>
      <c r="G643">
        <v>39</v>
      </c>
      <c r="H643">
        <v>4</v>
      </c>
      <c r="I643">
        <v>127771.35</v>
      </c>
      <c r="J643">
        <v>2</v>
      </c>
      <c r="K643">
        <v>0</v>
      </c>
      <c r="L643">
        <v>1</v>
      </c>
      <c r="M643">
        <v>151738.54</v>
      </c>
      <c r="N643">
        <v>0</v>
      </c>
      <c r="O643" t="str">
        <f t="shared" ref="O643:O706" si="30">IF(F643&lt;580, "Poor", IF(AND(F643&gt;=580, F643&lt;=669), "Average", "Good"))</f>
        <v>Good</v>
      </c>
      <c r="P643" t="str">
        <f t="shared" ref="P643:P706" si="31">IF(G643&lt;=30, "Young Adult", IF(AND(G643&gt;=31, G643&lt;=60), "Adult", "Senior"))</f>
        <v>Adult</v>
      </c>
      <c r="Q643" t="str">
        <f t="shared" ref="Q643:Q706" si="32">IF(M643&lt;30000, "Low Salary", IF(AND(M643&gt;=30000, M643&lt;=70000), "Medium Salary", "High Salary"))</f>
        <v>High Salary</v>
      </c>
    </row>
    <row r="644" spans="1:17" x14ac:dyDescent="0.25">
      <c r="A644">
        <v>807</v>
      </c>
      <c r="B644">
        <v>15613319</v>
      </c>
      <c r="C644" t="s">
        <v>647</v>
      </c>
      <c r="D644" t="s">
        <v>15</v>
      </c>
      <c r="E644" t="s">
        <v>16</v>
      </c>
      <c r="F644">
        <v>793</v>
      </c>
      <c r="G644">
        <v>33</v>
      </c>
      <c r="H644">
        <v>0</v>
      </c>
      <c r="I644">
        <v>0</v>
      </c>
      <c r="J644">
        <v>1</v>
      </c>
      <c r="K644">
        <v>0</v>
      </c>
      <c r="L644">
        <v>0</v>
      </c>
      <c r="M644">
        <v>175544.02</v>
      </c>
      <c r="N644">
        <v>0</v>
      </c>
      <c r="O644" t="str">
        <f t="shared" si="30"/>
        <v>Good</v>
      </c>
      <c r="P644" t="str">
        <f t="shared" si="31"/>
        <v>Adult</v>
      </c>
      <c r="Q644" t="str">
        <f t="shared" si="32"/>
        <v>High Salary</v>
      </c>
    </row>
    <row r="645" spans="1:17" x14ac:dyDescent="0.25">
      <c r="A645">
        <v>808</v>
      </c>
      <c r="B645">
        <v>15798906</v>
      </c>
      <c r="C645" t="s">
        <v>648</v>
      </c>
      <c r="D645" t="s">
        <v>15</v>
      </c>
      <c r="E645" t="s">
        <v>23</v>
      </c>
      <c r="F645">
        <v>628</v>
      </c>
      <c r="G645">
        <v>69</v>
      </c>
      <c r="H645">
        <v>5</v>
      </c>
      <c r="I645">
        <v>0</v>
      </c>
      <c r="J645">
        <v>2</v>
      </c>
      <c r="K645">
        <v>1</v>
      </c>
      <c r="L645">
        <v>1</v>
      </c>
      <c r="M645">
        <v>181964.6</v>
      </c>
      <c r="N645">
        <v>0</v>
      </c>
      <c r="O645" t="str">
        <f t="shared" si="30"/>
        <v>Average</v>
      </c>
      <c r="P645" t="str">
        <f t="shared" si="31"/>
        <v>Senior</v>
      </c>
      <c r="Q645" t="str">
        <f t="shared" si="32"/>
        <v>High Salary</v>
      </c>
    </row>
    <row r="646" spans="1:17" x14ac:dyDescent="0.25">
      <c r="A646">
        <v>809</v>
      </c>
      <c r="B646">
        <v>15708917</v>
      </c>
      <c r="C646" t="s">
        <v>65</v>
      </c>
      <c r="D646" t="s">
        <v>26</v>
      </c>
      <c r="E646" t="s">
        <v>23</v>
      </c>
      <c r="F646">
        <v>598</v>
      </c>
      <c r="G646">
        <v>53</v>
      </c>
      <c r="H646">
        <v>10</v>
      </c>
      <c r="I646">
        <v>167772.96</v>
      </c>
      <c r="J646">
        <v>1</v>
      </c>
      <c r="K646">
        <v>1</v>
      </c>
      <c r="L646">
        <v>1</v>
      </c>
      <c r="M646">
        <v>136886.85999999999</v>
      </c>
      <c r="N646">
        <v>0</v>
      </c>
      <c r="O646" t="str">
        <f t="shared" si="30"/>
        <v>Average</v>
      </c>
      <c r="P646" t="str">
        <f t="shared" si="31"/>
        <v>Adult</v>
      </c>
      <c r="Q646" t="str">
        <f t="shared" si="32"/>
        <v>High Salary</v>
      </c>
    </row>
    <row r="647" spans="1:17" x14ac:dyDescent="0.25">
      <c r="A647">
        <v>810</v>
      </c>
      <c r="B647">
        <v>15778463</v>
      </c>
      <c r="C647" t="s">
        <v>649</v>
      </c>
      <c r="D647" t="s">
        <v>15</v>
      </c>
      <c r="E647" t="s">
        <v>16</v>
      </c>
      <c r="F647">
        <v>657</v>
      </c>
      <c r="G647">
        <v>37</v>
      </c>
      <c r="H647">
        <v>6</v>
      </c>
      <c r="I647">
        <v>95845.6</v>
      </c>
      <c r="J647">
        <v>1</v>
      </c>
      <c r="K647">
        <v>1</v>
      </c>
      <c r="L647">
        <v>0</v>
      </c>
      <c r="M647">
        <v>122218.23</v>
      </c>
      <c r="N647">
        <v>0</v>
      </c>
      <c r="O647" t="str">
        <f t="shared" si="30"/>
        <v>Average</v>
      </c>
      <c r="P647" t="str">
        <f t="shared" si="31"/>
        <v>Adult</v>
      </c>
      <c r="Q647" t="str">
        <f t="shared" si="32"/>
        <v>High Salary</v>
      </c>
    </row>
    <row r="648" spans="1:17" x14ac:dyDescent="0.25">
      <c r="A648">
        <v>811</v>
      </c>
      <c r="B648">
        <v>15699430</v>
      </c>
      <c r="C648" t="s">
        <v>464</v>
      </c>
      <c r="D648" t="s">
        <v>15</v>
      </c>
      <c r="E648" t="s">
        <v>16</v>
      </c>
      <c r="F648">
        <v>618</v>
      </c>
      <c r="G648">
        <v>35</v>
      </c>
      <c r="H648">
        <v>10</v>
      </c>
      <c r="I648">
        <v>0</v>
      </c>
      <c r="J648">
        <v>2</v>
      </c>
      <c r="K648">
        <v>1</v>
      </c>
      <c r="L648">
        <v>0</v>
      </c>
      <c r="M648">
        <v>180439.75</v>
      </c>
      <c r="N648">
        <v>0</v>
      </c>
      <c r="O648" t="str">
        <f t="shared" si="30"/>
        <v>Average</v>
      </c>
      <c r="P648" t="str">
        <f t="shared" si="31"/>
        <v>Adult</v>
      </c>
      <c r="Q648" t="str">
        <f t="shared" si="32"/>
        <v>High Salary</v>
      </c>
    </row>
    <row r="649" spans="1:17" x14ac:dyDescent="0.25">
      <c r="A649">
        <v>812</v>
      </c>
      <c r="B649">
        <v>15649992</v>
      </c>
      <c r="C649" t="s">
        <v>650</v>
      </c>
      <c r="D649" t="s">
        <v>18</v>
      </c>
      <c r="E649" t="s">
        <v>23</v>
      </c>
      <c r="F649">
        <v>681</v>
      </c>
      <c r="G649">
        <v>65</v>
      </c>
      <c r="H649">
        <v>7</v>
      </c>
      <c r="I649">
        <v>134714.70000000001</v>
      </c>
      <c r="J649">
        <v>2</v>
      </c>
      <c r="K649">
        <v>0</v>
      </c>
      <c r="L649">
        <v>1</v>
      </c>
      <c r="M649">
        <v>190419.81</v>
      </c>
      <c r="N649">
        <v>0</v>
      </c>
      <c r="O649" t="str">
        <f t="shared" si="30"/>
        <v>Good</v>
      </c>
      <c r="P649" t="str">
        <f t="shared" si="31"/>
        <v>Senior</v>
      </c>
      <c r="Q649" t="str">
        <f t="shared" si="32"/>
        <v>High Salary</v>
      </c>
    </row>
    <row r="650" spans="1:17" x14ac:dyDescent="0.25">
      <c r="A650">
        <v>813</v>
      </c>
      <c r="B650">
        <v>15578980</v>
      </c>
      <c r="C650" t="s">
        <v>651</v>
      </c>
      <c r="D650" t="s">
        <v>18</v>
      </c>
      <c r="E650" t="s">
        <v>16</v>
      </c>
      <c r="F650">
        <v>516</v>
      </c>
      <c r="G650">
        <v>33</v>
      </c>
      <c r="H650">
        <v>3</v>
      </c>
      <c r="I650">
        <v>0</v>
      </c>
      <c r="J650">
        <v>2</v>
      </c>
      <c r="K650">
        <v>1</v>
      </c>
      <c r="L650">
        <v>1</v>
      </c>
      <c r="M650">
        <v>58685.59</v>
      </c>
      <c r="N650">
        <v>0</v>
      </c>
      <c r="O650" t="str">
        <f t="shared" si="30"/>
        <v>Poor</v>
      </c>
      <c r="P650" t="str">
        <f t="shared" si="31"/>
        <v>Adult</v>
      </c>
      <c r="Q650" t="str">
        <f t="shared" si="32"/>
        <v>Medium Salary</v>
      </c>
    </row>
    <row r="651" spans="1:17" x14ac:dyDescent="0.25">
      <c r="A651">
        <v>815</v>
      </c>
      <c r="B651">
        <v>15641655</v>
      </c>
      <c r="C651" t="s">
        <v>350</v>
      </c>
      <c r="D651" t="s">
        <v>15</v>
      </c>
      <c r="E651" t="s">
        <v>16</v>
      </c>
      <c r="F651">
        <v>700</v>
      </c>
      <c r="G651">
        <v>26</v>
      </c>
      <c r="H651">
        <v>2</v>
      </c>
      <c r="I651">
        <v>0</v>
      </c>
      <c r="J651">
        <v>2</v>
      </c>
      <c r="K651">
        <v>0</v>
      </c>
      <c r="L651">
        <v>0</v>
      </c>
      <c r="M651">
        <v>50051.42</v>
      </c>
      <c r="N651">
        <v>0</v>
      </c>
      <c r="O651" t="str">
        <f t="shared" si="30"/>
        <v>Good</v>
      </c>
      <c r="P651" t="str">
        <f t="shared" si="31"/>
        <v>Young Adult</v>
      </c>
      <c r="Q651" t="str">
        <f t="shared" si="32"/>
        <v>Medium Salary</v>
      </c>
    </row>
    <row r="652" spans="1:17" x14ac:dyDescent="0.25">
      <c r="A652">
        <v>816</v>
      </c>
      <c r="B652">
        <v>15619708</v>
      </c>
      <c r="C652" t="s">
        <v>653</v>
      </c>
      <c r="D652" t="s">
        <v>15</v>
      </c>
      <c r="E652" t="s">
        <v>23</v>
      </c>
      <c r="F652">
        <v>745</v>
      </c>
      <c r="G652">
        <v>25</v>
      </c>
      <c r="H652">
        <v>5</v>
      </c>
      <c r="I652">
        <v>157993.15</v>
      </c>
      <c r="J652">
        <v>2</v>
      </c>
      <c r="K652">
        <v>1</v>
      </c>
      <c r="L652">
        <v>0</v>
      </c>
      <c r="M652">
        <v>146041.45000000001</v>
      </c>
      <c r="N652">
        <v>0</v>
      </c>
      <c r="O652" t="str">
        <f t="shared" si="30"/>
        <v>Good</v>
      </c>
      <c r="P652" t="str">
        <f t="shared" si="31"/>
        <v>Young Adult</v>
      </c>
      <c r="Q652" t="str">
        <f t="shared" si="32"/>
        <v>High Salary</v>
      </c>
    </row>
    <row r="653" spans="1:17" x14ac:dyDescent="0.25">
      <c r="A653">
        <v>817</v>
      </c>
      <c r="B653">
        <v>15734565</v>
      </c>
      <c r="C653" t="s">
        <v>249</v>
      </c>
      <c r="D653" t="s">
        <v>15</v>
      </c>
      <c r="E653" t="s">
        <v>23</v>
      </c>
      <c r="F653">
        <v>696</v>
      </c>
      <c r="G653">
        <v>29</v>
      </c>
      <c r="H653">
        <v>8</v>
      </c>
      <c r="I653">
        <v>0</v>
      </c>
      <c r="J653">
        <v>2</v>
      </c>
      <c r="K653">
        <v>1</v>
      </c>
      <c r="L653">
        <v>0</v>
      </c>
      <c r="M653">
        <v>191166.09</v>
      </c>
      <c r="N653">
        <v>0</v>
      </c>
      <c r="O653" t="str">
        <f t="shared" si="30"/>
        <v>Good</v>
      </c>
      <c r="P653" t="str">
        <f t="shared" si="31"/>
        <v>Young Adult</v>
      </c>
      <c r="Q653" t="str">
        <f t="shared" si="32"/>
        <v>High Salary</v>
      </c>
    </row>
    <row r="654" spans="1:17" x14ac:dyDescent="0.25">
      <c r="A654">
        <v>819</v>
      </c>
      <c r="B654">
        <v>15591969</v>
      </c>
      <c r="C654" t="s">
        <v>655</v>
      </c>
      <c r="D654" t="s">
        <v>18</v>
      </c>
      <c r="E654" t="s">
        <v>23</v>
      </c>
      <c r="F654">
        <v>497</v>
      </c>
      <c r="G654">
        <v>27</v>
      </c>
      <c r="H654">
        <v>9</v>
      </c>
      <c r="I654">
        <v>75263.16</v>
      </c>
      <c r="J654">
        <v>1</v>
      </c>
      <c r="K654">
        <v>1</v>
      </c>
      <c r="L654">
        <v>1</v>
      </c>
      <c r="M654">
        <v>164825.04</v>
      </c>
      <c r="N654">
        <v>0</v>
      </c>
      <c r="O654" t="str">
        <f t="shared" si="30"/>
        <v>Poor</v>
      </c>
      <c r="P654" t="str">
        <f t="shared" si="31"/>
        <v>Young Adult</v>
      </c>
      <c r="Q654" t="str">
        <f t="shared" si="32"/>
        <v>High Salary</v>
      </c>
    </row>
    <row r="655" spans="1:17" x14ac:dyDescent="0.25">
      <c r="A655">
        <v>820</v>
      </c>
      <c r="B655">
        <v>15747807</v>
      </c>
      <c r="C655" t="s">
        <v>656</v>
      </c>
      <c r="D655" t="s">
        <v>15</v>
      </c>
      <c r="E655" t="s">
        <v>16</v>
      </c>
      <c r="F655">
        <v>720</v>
      </c>
      <c r="G655">
        <v>43</v>
      </c>
      <c r="H655">
        <v>6</v>
      </c>
      <c r="I655">
        <v>137824.03</v>
      </c>
      <c r="J655">
        <v>2</v>
      </c>
      <c r="K655">
        <v>1</v>
      </c>
      <c r="L655">
        <v>0</v>
      </c>
      <c r="M655">
        <v>172557.77</v>
      </c>
      <c r="N655">
        <v>0</v>
      </c>
      <c r="O655" t="str">
        <f t="shared" si="30"/>
        <v>Good</v>
      </c>
      <c r="P655" t="str">
        <f t="shared" si="31"/>
        <v>Adult</v>
      </c>
      <c r="Q655" t="str">
        <f t="shared" si="32"/>
        <v>High Salary</v>
      </c>
    </row>
    <row r="656" spans="1:17" x14ac:dyDescent="0.25">
      <c r="A656">
        <v>821</v>
      </c>
      <c r="B656">
        <v>15596939</v>
      </c>
      <c r="C656" t="s">
        <v>137</v>
      </c>
      <c r="D656" t="s">
        <v>26</v>
      </c>
      <c r="E656" t="s">
        <v>23</v>
      </c>
      <c r="F656">
        <v>659</v>
      </c>
      <c r="G656">
        <v>36</v>
      </c>
      <c r="H656">
        <v>4</v>
      </c>
      <c r="I656">
        <v>132578.92000000001</v>
      </c>
      <c r="J656">
        <v>2</v>
      </c>
      <c r="K656">
        <v>1</v>
      </c>
      <c r="L656">
        <v>0</v>
      </c>
      <c r="M656">
        <v>84320.94</v>
      </c>
      <c r="N656">
        <v>0</v>
      </c>
      <c r="O656" t="str">
        <f t="shared" si="30"/>
        <v>Average</v>
      </c>
      <c r="P656" t="str">
        <f t="shared" si="31"/>
        <v>Adult</v>
      </c>
      <c r="Q656" t="str">
        <f t="shared" si="32"/>
        <v>High Salary</v>
      </c>
    </row>
    <row r="657" spans="1:17" x14ac:dyDescent="0.25">
      <c r="A657">
        <v>822</v>
      </c>
      <c r="B657">
        <v>15716155</v>
      </c>
      <c r="C657" t="s">
        <v>609</v>
      </c>
      <c r="D657" t="s">
        <v>15</v>
      </c>
      <c r="E657" t="s">
        <v>16</v>
      </c>
      <c r="F657">
        <v>841</v>
      </c>
      <c r="G657">
        <v>36</v>
      </c>
      <c r="H657">
        <v>5</v>
      </c>
      <c r="I657">
        <v>156021.31</v>
      </c>
      <c r="J657">
        <v>1</v>
      </c>
      <c r="K657">
        <v>0</v>
      </c>
      <c r="L657">
        <v>0</v>
      </c>
      <c r="M657">
        <v>122662.98</v>
      </c>
      <c r="N657">
        <v>0</v>
      </c>
      <c r="O657" t="str">
        <f t="shared" si="30"/>
        <v>Good</v>
      </c>
      <c r="P657" t="str">
        <f t="shared" si="31"/>
        <v>Adult</v>
      </c>
      <c r="Q657" t="str">
        <f t="shared" si="32"/>
        <v>High Salary</v>
      </c>
    </row>
    <row r="658" spans="1:17" x14ac:dyDescent="0.25">
      <c r="A658">
        <v>823</v>
      </c>
      <c r="B658">
        <v>15765311</v>
      </c>
      <c r="C658" t="s">
        <v>657</v>
      </c>
      <c r="D658" t="s">
        <v>18</v>
      </c>
      <c r="E658" t="s">
        <v>23</v>
      </c>
      <c r="F658">
        <v>642</v>
      </c>
      <c r="G658">
        <v>34</v>
      </c>
      <c r="H658">
        <v>8</v>
      </c>
      <c r="I658">
        <v>0</v>
      </c>
      <c r="J658">
        <v>1</v>
      </c>
      <c r="K658">
        <v>1</v>
      </c>
      <c r="L658">
        <v>0</v>
      </c>
      <c r="M658">
        <v>72085.100000000006</v>
      </c>
      <c r="N658">
        <v>0</v>
      </c>
      <c r="O658" t="str">
        <f t="shared" si="30"/>
        <v>Average</v>
      </c>
      <c r="P658" t="str">
        <f t="shared" si="31"/>
        <v>Adult</v>
      </c>
      <c r="Q658" t="str">
        <f t="shared" si="32"/>
        <v>High Salary</v>
      </c>
    </row>
    <row r="659" spans="1:17" x14ac:dyDescent="0.25">
      <c r="A659">
        <v>825</v>
      </c>
      <c r="B659">
        <v>15603830</v>
      </c>
      <c r="C659" t="s">
        <v>659</v>
      </c>
      <c r="D659" t="s">
        <v>18</v>
      </c>
      <c r="E659" t="s">
        <v>23</v>
      </c>
      <c r="F659">
        <v>600</v>
      </c>
      <c r="G659">
        <v>36</v>
      </c>
      <c r="H659">
        <v>4</v>
      </c>
      <c r="I659">
        <v>0</v>
      </c>
      <c r="J659">
        <v>2</v>
      </c>
      <c r="K659">
        <v>1</v>
      </c>
      <c r="L659">
        <v>0</v>
      </c>
      <c r="M659">
        <v>143635.35999999999</v>
      </c>
      <c r="N659">
        <v>0</v>
      </c>
      <c r="O659" t="str">
        <f t="shared" si="30"/>
        <v>Average</v>
      </c>
      <c r="P659" t="str">
        <f t="shared" si="31"/>
        <v>Adult</v>
      </c>
      <c r="Q659" t="str">
        <f t="shared" si="32"/>
        <v>High Salary</v>
      </c>
    </row>
    <row r="660" spans="1:17" x14ac:dyDescent="0.25">
      <c r="A660">
        <v>826</v>
      </c>
      <c r="B660">
        <v>15660602</v>
      </c>
      <c r="C660" t="s">
        <v>660</v>
      </c>
      <c r="D660" t="s">
        <v>26</v>
      </c>
      <c r="E660" t="s">
        <v>23</v>
      </c>
      <c r="F660">
        <v>464</v>
      </c>
      <c r="G660">
        <v>33</v>
      </c>
      <c r="H660">
        <v>8</v>
      </c>
      <c r="I660">
        <v>164284.72</v>
      </c>
      <c r="J660">
        <v>2</v>
      </c>
      <c r="K660">
        <v>1</v>
      </c>
      <c r="L660">
        <v>1</v>
      </c>
      <c r="M660">
        <v>3710.34</v>
      </c>
      <c r="N660">
        <v>0</v>
      </c>
      <c r="O660" t="str">
        <f t="shared" si="30"/>
        <v>Poor</v>
      </c>
      <c r="P660" t="str">
        <f t="shared" si="31"/>
        <v>Adult</v>
      </c>
      <c r="Q660" t="str">
        <f t="shared" si="32"/>
        <v>Low Salary</v>
      </c>
    </row>
    <row r="661" spans="1:17" x14ac:dyDescent="0.25">
      <c r="A661">
        <v>827</v>
      </c>
      <c r="B661">
        <v>15660535</v>
      </c>
      <c r="C661" t="s">
        <v>661</v>
      </c>
      <c r="D661" t="s">
        <v>15</v>
      </c>
      <c r="E661" t="s">
        <v>16</v>
      </c>
      <c r="F661">
        <v>680</v>
      </c>
      <c r="G661">
        <v>47</v>
      </c>
      <c r="H661">
        <v>5</v>
      </c>
      <c r="I661">
        <v>0</v>
      </c>
      <c r="J661">
        <v>2</v>
      </c>
      <c r="K661">
        <v>1</v>
      </c>
      <c r="L661">
        <v>1</v>
      </c>
      <c r="M661">
        <v>179843.33</v>
      </c>
      <c r="N661">
        <v>0</v>
      </c>
      <c r="O661" t="str">
        <f t="shared" si="30"/>
        <v>Good</v>
      </c>
      <c r="P661" t="str">
        <f t="shared" si="31"/>
        <v>Adult</v>
      </c>
      <c r="Q661" t="str">
        <f t="shared" si="32"/>
        <v>High Salary</v>
      </c>
    </row>
    <row r="662" spans="1:17" x14ac:dyDescent="0.25">
      <c r="A662">
        <v>828</v>
      </c>
      <c r="B662">
        <v>15666633</v>
      </c>
      <c r="C662" t="s">
        <v>277</v>
      </c>
      <c r="D662" t="s">
        <v>18</v>
      </c>
      <c r="E662" t="s">
        <v>23</v>
      </c>
      <c r="F662">
        <v>758</v>
      </c>
      <c r="G662">
        <v>56</v>
      </c>
      <c r="H662">
        <v>1</v>
      </c>
      <c r="I662">
        <v>0</v>
      </c>
      <c r="J662">
        <v>2</v>
      </c>
      <c r="K662">
        <v>1</v>
      </c>
      <c r="L662">
        <v>1</v>
      </c>
      <c r="M662">
        <v>10643.38</v>
      </c>
      <c r="N662">
        <v>0</v>
      </c>
      <c r="O662" t="str">
        <f t="shared" si="30"/>
        <v>Good</v>
      </c>
      <c r="P662" t="str">
        <f t="shared" si="31"/>
        <v>Adult</v>
      </c>
      <c r="Q662" t="str">
        <f t="shared" si="32"/>
        <v>Low Salary</v>
      </c>
    </row>
    <row r="663" spans="1:17" x14ac:dyDescent="0.25">
      <c r="A663">
        <v>829</v>
      </c>
      <c r="B663">
        <v>15596914</v>
      </c>
      <c r="C663" t="s">
        <v>609</v>
      </c>
      <c r="D663" t="s">
        <v>26</v>
      </c>
      <c r="E663" t="s">
        <v>16</v>
      </c>
      <c r="F663">
        <v>630</v>
      </c>
      <c r="G663">
        <v>31</v>
      </c>
      <c r="H663">
        <v>2</v>
      </c>
      <c r="I663">
        <v>112373.49</v>
      </c>
      <c r="J663">
        <v>2</v>
      </c>
      <c r="K663">
        <v>1</v>
      </c>
      <c r="L663">
        <v>1</v>
      </c>
      <c r="M663">
        <v>131167.98000000001</v>
      </c>
      <c r="N663">
        <v>0</v>
      </c>
      <c r="O663" t="str">
        <f t="shared" si="30"/>
        <v>Average</v>
      </c>
      <c r="P663" t="str">
        <f t="shared" si="31"/>
        <v>Adult</v>
      </c>
      <c r="Q663" t="str">
        <f t="shared" si="32"/>
        <v>High Salary</v>
      </c>
    </row>
    <row r="664" spans="1:17" x14ac:dyDescent="0.25">
      <c r="A664">
        <v>830</v>
      </c>
      <c r="B664">
        <v>15639788</v>
      </c>
      <c r="C664" t="s">
        <v>307</v>
      </c>
      <c r="D664" t="s">
        <v>15</v>
      </c>
      <c r="E664" t="s">
        <v>16</v>
      </c>
      <c r="F664">
        <v>577</v>
      </c>
      <c r="G664">
        <v>39</v>
      </c>
      <c r="H664">
        <v>10</v>
      </c>
      <c r="I664">
        <v>0</v>
      </c>
      <c r="J664">
        <v>2</v>
      </c>
      <c r="K664">
        <v>1</v>
      </c>
      <c r="L664">
        <v>0</v>
      </c>
      <c r="M664">
        <v>10553.31</v>
      </c>
      <c r="N664">
        <v>0</v>
      </c>
      <c r="O664" t="str">
        <f t="shared" si="30"/>
        <v>Poor</v>
      </c>
      <c r="P664" t="str">
        <f t="shared" si="31"/>
        <v>Adult</v>
      </c>
      <c r="Q664" t="str">
        <f t="shared" si="32"/>
        <v>Low Salary</v>
      </c>
    </row>
    <row r="665" spans="1:17" x14ac:dyDescent="0.25">
      <c r="A665">
        <v>831</v>
      </c>
      <c r="B665">
        <v>15695846</v>
      </c>
      <c r="C665" t="s">
        <v>179</v>
      </c>
      <c r="D665" t="s">
        <v>15</v>
      </c>
      <c r="E665" t="s">
        <v>16</v>
      </c>
      <c r="F665">
        <v>684</v>
      </c>
      <c r="G665">
        <v>34</v>
      </c>
      <c r="H665">
        <v>6</v>
      </c>
      <c r="I665">
        <v>0</v>
      </c>
      <c r="J665">
        <v>2</v>
      </c>
      <c r="K665">
        <v>1</v>
      </c>
      <c r="L665">
        <v>1</v>
      </c>
      <c r="M665">
        <v>130928.22</v>
      </c>
      <c r="N665">
        <v>0</v>
      </c>
      <c r="O665" t="str">
        <f t="shared" si="30"/>
        <v>Good</v>
      </c>
      <c r="P665" t="str">
        <f t="shared" si="31"/>
        <v>Adult</v>
      </c>
      <c r="Q665" t="str">
        <f t="shared" si="32"/>
        <v>High Salary</v>
      </c>
    </row>
    <row r="666" spans="1:17" x14ac:dyDescent="0.25">
      <c r="A666">
        <v>832</v>
      </c>
      <c r="B666">
        <v>15726234</v>
      </c>
      <c r="C666" t="s">
        <v>662</v>
      </c>
      <c r="D666" t="s">
        <v>18</v>
      </c>
      <c r="E666" t="s">
        <v>16</v>
      </c>
      <c r="F666">
        <v>708</v>
      </c>
      <c r="G666">
        <v>41</v>
      </c>
      <c r="H666">
        <v>5</v>
      </c>
      <c r="I666">
        <v>0</v>
      </c>
      <c r="J666">
        <v>1</v>
      </c>
      <c r="K666">
        <v>0</v>
      </c>
      <c r="L666">
        <v>1</v>
      </c>
      <c r="M666">
        <v>157003.99</v>
      </c>
      <c r="N666">
        <v>0</v>
      </c>
      <c r="O666" t="str">
        <f t="shared" si="30"/>
        <v>Good</v>
      </c>
      <c r="P666" t="str">
        <f t="shared" si="31"/>
        <v>Adult</v>
      </c>
      <c r="Q666" t="str">
        <f t="shared" si="32"/>
        <v>High Salary</v>
      </c>
    </row>
    <row r="667" spans="1:17" x14ac:dyDescent="0.25">
      <c r="A667">
        <v>833</v>
      </c>
      <c r="B667">
        <v>15797964</v>
      </c>
      <c r="C667" t="s">
        <v>58</v>
      </c>
      <c r="D667" t="s">
        <v>26</v>
      </c>
      <c r="E667" t="s">
        <v>16</v>
      </c>
      <c r="F667">
        <v>732</v>
      </c>
      <c r="G667">
        <v>29</v>
      </c>
      <c r="H667">
        <v>1</v>
      </c>
      <c r="I667">
        <v>154333.82</v>
      </c>
      <c r="J667">
        <v>1</v>
      </c>
      <c r="K667">
        <v>1</v>
      </c>
      <c r="L667">
        <v>1</v>
      </c>
      <c r="M667">
        <v>138527.56</v>
      </c>
      <c r="N667">
        <v>0</v>
      </c>
      <c r="O667" t="str">
        <f t="shared" si="30"/>
        <v>Good</v>
      </c>
      <c r="P667" t="str">
        <f t="shared" si="31"/>
        <v>Young Adult</v>
      </c>
      <c r="Q667" t="str">
        <f t="shared" si="32"/>
        <v>High Salary</v>
      </c>
    </row>
    <row r="668" spans="1:17" x14ac:dyDescent="0.25">
      <c r="A668">
        <v>834</v>
      </c>
      <c r="B668">
        <v>15625881</v>
      </c>
      <c r="C668" t="s">
        <v>663</v>
      </c>
      <c r="D668" t="s">
        <v>26</v>
      </c>
      <c r="E668" t="s">
        <v>23</v>
      </c>
      <c r="F668">
        <v>634</v>
      </c>
      <c r="G668">
        <v>37</v>
      </c>
      <c r="H668">
        <v>3</v>
      </c>
      <c r="I668">
        <v>111432.77</v>
      </c>
      <c r="J668">
        <v>2</v>
      </c>
      <c r="K668">
        <v>1</v>
      </c>
      <c r="L668">
        <v>1</v>
      </c>
      <c r="M668">
        <v>167032.49</v>
      </c>
      <c r="N668">
        <v>0</v>
      </c>
      <c r="O668" t="str">
        <f t="shared" si="30"/>
        <v>Average</v>
      </c>
      <c r="P668" t="str">
        <f t="shared" si="31"/>
        <v>Adult</v>
      </c>
      <c r="Q668" t="str">
        <f t="shared" si="32"/>
        <v>High Salary</v>
      </c>
    </row>
    <row r="669" spans="1:17" x14ac:dyDescent="0.25">
      <c r="A669">
        <v>835</v>
      </c>
      <c r="B669">
        <v>15780628</v>
      </c>
      <c r="C669" t="s">
        <v>134</v>
      </c>
      <c r="D669" t="s">
        <v>15</v>
      </c>
      <c r="E669" t="s">
        <v>16</v>
      </c>
      <c r="F669">
        <v>633</v>
      </c>
      <c r="G669">
        <v>30</v>
      </c>
      <c r="H669">
        <v>6</v>
      </c>
      <c r="I669">
        <v>0</v>
      </c>
      <c r="J669">
        <v>2</v>
      </c>
      <c r="K669">
        <v>0</v>
      </c>
      <c r="L669">
        <v>0</v>
      </c>
      <c r="M669">
        <v>41642.29</v>
      </c>
      <c r="N669">
        <v>0</v>
      </c>
      <c r="O669" t="str">
        <f t="shared" si="30"/>
        <v>Average</v>
      </c>
      <c r="P669" t="str">
        <f t="shared" si="31"/>
        <v>Young Adult</v>
      </c>
      <c r="Q669" t="str">
        <f t="shared" si="32"/>
        <v>Medium Salary</v>
      </c>
    </row>
    <row r="670" spans="1:17" x14ac:dyDescent="0.25">
      <c r="A670">
        <v>836</v>
      </c>
      <c r="B670">
        <v>15575883</v>
      </c>
      <c r="C670" t="s">
        <v>387</v>
      </c>
      <c r="D670" t="s">
        <v>15</v>
      </c>
      <c r="E670" t="s">
        <v>23</v>
      </c>
      <c r="F670">
        <v>559</v>
      </c>
      <c r="G670">
        <v>34</v>
      </c>
      <c r="H670">
        <v>2</v>
      </c>
      <c r="I670">
        <v>137390.10999999999</v>
      </c>
      <c r="J670">
        <v>2</v>
      </c>
      <c r="K670">
        <v>1</v>
      </c>
      <c r="L670">
        <v>0</v>
      </c>
      <c r="M670">
        <v>9677</v>
      </c>
      <c r="N670">
        <v>0</v>
      </c>
      <c r="O670" t="str">
        <f t="shared" si="30"/>
        <v>Poor</v>
      </c>
      <c r="P670" t="str">
        <f t="shared" si="31"/>
        <v>Adult</v>
      </c>
      <c r="Q670" t="str">
        <f t="shared" si="32"/>
        <v>Low Salary</v>
      </c>
    </row>
    <row r="671" spans="1:17" x14ac:dyDescent="0.25">
      <c r="A671">
        <v>837</v>
      </c>
      <c r="B671">
        <v>15585036</v>
      </c>
      <c r="C671" t="s">
        <v>664</v>
      </c>
      <c r="D671" t="s">
        <v>18</v>
      </c>
      <c r="E671" t="s">
        <v>16</v>
      </c>
      <c r="F671">
        <v>694</v>
      </c>
      <c r="G671">
        <v>37</v>
      </c>
      <c r="H671">
        <v>3</v>
      </c>
      <c r="I671">
        <v>0</v>
      </c>
      <c r="J671">
        <v>2</v>
      </c>
      <c r="K671">
        <v>1</v>
      </c>
      <c r="L671">
        <v>1</v>
      </c>
      <c r="M671">
        <v>147012.22</v>
      </c>
      <c r="N671">
        <v>0</v>
      </c>
      <c r="O671" t="str">
        <f t="shared" si="30"/>
        <v>Good</v>
      </c>
      <c r="P671" t="str">
        <f t="shared" si="31"/>
        <v>Adult</v>
      </c>
      <c r="Q671" t="str">
        <f t="shared" si="32"/>
        <v>High Salary</v>
      </c>
    </row>
    <row r="672" spans="1:17" x14ac:dyDescent="0.25">
      <c r="A672">
        <v>838</v>
      </c>
      <c r="B672">
        <v>15589488</v>
      </c>
      <c r="C672" t="s">
        <v>660</v>
      </c>
      <c r="D672" t="s">
        <v>26</v>
      </c>
      <c r="E672" t="s">
        <v>16</v>
      </c>
      <c r="F672">
        <v>686</v>
      </c>
      <c r="G672">
        <v>56</v>
      </c>
      <c r="H672">
        <v>5</v>
      </c>
      <c r="I672">
        <v>111642.08</v>
      </c>
      <c r="J672">
        <v>1</v>
      </c>
      <c r="K672">
        <v>1</v>
      </c>
      <c r="L672">
        <v>1</v>
      </c>
      <c r="M672">
        <v>80553.87</v>
      </c>
      <c r="N672">
        <v>0</v>
      </c>
      <c r="O672" t="str">
        <f t="shared" si="30"/>
        <v>Good</v>
      </c>
      <c r="P672" t="str">
        <f t="shared" si="31"/>
        <v>Adult</v>
      </c>
      <c r="Q672" t="str">
        <f t="shared" si="32"/>
        <v>High Salary</v>
      </c>
    </row>
    <row r="673" spans="1:17" x14ac:dyDescent="0.25">
      <c r="A673">
        <v>840</v>
      </c>
      <c r="B673">
        <v>15727915</v>
      </c>
      <c r="C673" t="s">
        <v>666</v>
      </c>
      <c r="D673" t="s">
        <v>15</v>
      </c>
      <c r="E673" t="s">
        <v>23</v>
      </c>
      <c r="F673">
        <v>507</v>
      </c>
      <c r="G673">
        <v>36</v>
      </c>
      <c r="H673">
        <v>4</v>
      </c>
      <c r="I673">
        <v>83543.37</v>
      </c>
      <c r="J673">
        <v>1</v>
      </c>
      <c r="K673">
        <v>0</v>
      </c>
      <c r="L673">
        <v>0</v>
      </c>
      <c r="M673">
        <v>140134.43</v>
      </c>
      <c r="N673">
        <v>0</v>
      </c>
      <c r="O673" t="str">
        <f t="shared" si="30"/>
        <v>Poor</v>
      </c>
      <c r="P673" t="str">
        <f t="shared" si="31"/>
        <v>Adult</v>
      </c>
      <c r="Q673" t="str">
        <f t="shared" si="32"/>
        <v>High Salary</v>
      </c>
    </row>
    <row r="674" spans="1:17" x14ac:dyDescent="0.25">
      <c r="A674">
        <v>842</v>
      </c>
      <c r="B674">
        <v>15737792</v>
      </c>
      <c r="C674" t="s">
        <v>668</v>
      </c>
      <c r="D674" t="s">
        <v>15</v>
      </c>
      <c r="E674" t="s">
        <v>16</v>
      </c>
      <c r="F674">
        <v>818</v>
      </c>
      <c r="G674">
        <v>31</v>
      </c>
      <c r="H674">
        <v>1</v>
      </c>
      <c r="I674">
        <v>186796.37</v>
      </c>
      <c r="J674">
        <v>1</v>
      </c>
      <c r="K674">
        <v>0</v>
      </c>
      <c r="L674">
        <v>0</v>
      </c>
      <c r="M674">
        <v>178252.63</v>
      </c>
      <c r="N674">
        <v>0</v>
      </c>
      <c r="O674" t="str">
        <f t="shared" si="30"/>
        <v>Good</v>
      </c>
      <c r="P674" t="str">
        <f t="shared" si="31"/>
        <v>Adult</v>
      </c>
      <c r="Q674" t="str">
        <f t="shared" si="32"/>
        <v>High Salary</v>
      </c>
    </row>
    <row r="675" spans="1:17" x14ac:dyDescent="0.25">
      <c r="A675">
        <v>843</v>
      </c>
      <c r="B675">
        <v>15599433</v>
      </c>
      <c r="C675" t="s">
        <v>116</v>
      </c>
      <c r="D675" t="s">
        <v>26</v>
      </c>
      <c r="E675" t="s">
        <v>23</v>
      </c>
      <c r="F675">
        <v>660</v>
      </c>
      <c r="G675">
        <v>35</v>
      </c>
      <c r="H675">
        <v>8</v>
      </c>
      <c r="I675">
        <v>58641.43</v>
      </c>
      <c r="J675">
        <v>1</v>
      </c>
      <c r="K675">
        <v>0</v>
      </c>
      <c r="L675">
        <v>1</v>
      </c>
      <c r="M675">
        <v>198674.08</v>
      </c>
      <c r="N675">
        <v>0</v>
      </c>
      <c r="O675" t="str">
        <f t="shared" si="30"/>
        <v>Average</v>
      </c>
      <c r="P675" t="str">
        <f t="shared" si="31"/>
        <v>Adult</v>
      </c>
      <c r="Q675" t="str">
        <f t="shared" si="32"/>
        <v>High Salary</v>
      </c>
    </row>
    <row r="676" spans="1:17" x14ac:dyDescent="0.25">
      <c r="A676">
        <v>845</v>
      </c>
      <c r="B676">
        <v>15806983</v>
      </c>
      <c r="C676" t="s">
        <v>511</v>
      </c>
      <c r="D676" t="s">
        <v>15</v>
      </c>
      <c r="E676" t="s">
        <v>23</v>
      </c>
      <c r="F676">
        <v>640</v>
      </c>
      <c r="G676">
        <v>44</v>
      </c>
      <c r="H676">
        <v>3</v>
      </c>
      <c r="I676">
        <v>137148.68</v>
      </c>
      <c r="J676">
        <v>1</v>
      </c>
      <c r="K676">
        <v>1</v>
      </c>
      <c r="L676">
        <v>0</v>
      </c>
      <c r="M676">
        <v>92381.01</v>
      </c>
      <c r="N676">
        <v>0</v>
      </c>
      <c r="O676" t="str">
        <f t="shared" si="30"/>
        <v>Average</v>
      </c>
      <c r="P676" t="str">
        <f t="shared" si="31"/>
        <v>Adult</v>
      </c>
      <c r="Q676" t="str">
        <f t="shared" si="32"/>
        <v>High Salary</v>
      </c>
    </row>
    <row r="677" spans="1:17" x14ac:dyDescent="0.25">
      <c r="A677">
        <v>846</v>
      </c>
      <c r="B677">
        <v>15592222</v>
      </c>
      <c r="C677" t="s">
        <v>441</v>
      </c>
      <c r="D677" t="s">
        <v>15</v>
      </c>
      <c r="E677" t="s">
        <v>23</v>
      </c>
      <c r="F677">
        <v>505</v>
      </c>
      <c r="G677">
        <v>49</v>
      </c>
      <c r="H677">
        <v>7</v>
      </c>
      <c r="I677">
        <v>80001.23</v>
      </c>
      <c r="J677">
        <v>1</v>
      </c>
      <c r="K677">
        <v>0</v>
      </c>
      <c r="L677">
        <v>0</v>
      </c>
      <c r="M677">
        <v>135180.10999999999</v>
      </c>
      <c r="N677">
        <v>0</v>
      </c>
      <c r="O677" t="str">
        <f t="shared" si="30"/>
        <v>Poor</v>
      </c>
      <c r="P677" t="str">
        <f t="shared" si="31"/>
        <v>Adult</v>
      </c>
      <c r="Q677" t="str">
        <f t="shared" si="32"/>
        <v>High Salary</v>
      </c>
    </row>
    <row r="678" spans="1:17" x14ac:dyDescent="0.25">
      <c r="A678">
        <v>847</v>
      </c>
      <c r="B678">
        <v>15608968</v>
      </c>
      <c r="C678" t="s">
        <v>669</v>
      </c>
      <c r="D678" t="s">
        <v>26</v>
      </c>
      <c r="E678" t="s">
        <v>23</v>
      </c>
      <c r="F678">
        <v>714</v>
      </c>
      <c r="G678">
        <v>21</v>
      </c>
      <c r="H678">
        <v>6</v>
      </c>
      <c r="I678">
        <v>86402.52</v>
      </c>
      <c r="J678">
        <v>2</v>
      </c>
      <c r="K678">
        <v>0</v>
      </c>
      <c r="L678">
        <v>0</v>
      </c>
      <c r="M678">
        <v>27330.59</v>
      </c>
      <c r="N678">
        <v>0</v>
      </c>
      <c r="O678" t="str">
        <f t="shared" si="30"/>
        <v>Good</v>
      </c>
      <c r="P678" t="str">
        <f t="shared" si="31"/>
        <v>Young Adult</v>
      </c>
      <c r="Q678" t="str">
        <f t="shared" si="32"/>
        <v>Low Salary</v>
      </c>
    </row>
    <row r="679" spans="1:17" x14ac:dyDescent="0.25">
      <c r="A679">
        <v>848</v>
      </c>
      <c r="B679">
        <v>15586959</v>
      </c>
      <c r="C679" t="s">
        <v>670</v>
      </c>
      <c r="D679" t="s">
        <v>15</v>
      </c>
      <c r="E679" t="s">
        <v>16</v>
      </c>
      <c r="F679">
        <v>468</v>
      </c>
      <c r="G679">
        <v>42</v>
      </c>
      <c r="H679">
        <v>5</v>
      </c>
      <c r="I679">
        <v>0</v>
      </c>
      <c r="J679">
        <v>2</v>
      </c>
      <c r="K679">
        <v>1</v>
      </c>
      <c r="L679">
        <v>0</v>
      </c>
      <c r="M679">
        <v>125305.34</v>
      </c>
      <c r="N679">
        <v>0</v>
      </c>
      <c r="O679" t="str">
        <f t="shared" si="30"/>
        <v>Poor</v>
      </c>
      <c r="P679" t="str">
        <f t="shared" si="31"/>
        <v>Adult</v>
      </c>
      <c r="Q679" t="str">
        <f t="shared" si="32"/>
        <v>High Salary</v>
      </c>
    </row>
    <row r="680" spans="1:17" x14ac:dyDescent="0.25">
      <c r="A680">
        <v>849</v>
      </c>
      <c r="B680">
        <v>15646558</v>
      </c>
      <c r="C680" t="s">
        <v>671</v>
      </c>
      <c r="D680" t="s">
        <v>18</v>
      </c>
      <c r="E680" t="s">
        <v>23</v>
      </c>
      <c r="F680">
        <v>611</v>
      </c>
      <c r="G680">
        <v>51</v>
      </c>
      <c r="H680">
        <v>1</v>
      </c>
      <c r="I680">
        <v>122874.74</v>
      </c>
      <c r="J680">
        <v>1</v>
      </c>
      <c r="K680">
        <v>1</v>
      </c>
      <c r="L680">
        <v>1</v>
      </c>
      <c r="M680">
        <v>149648.45000000001</v>
      </c>
      <c r="N680">
        <v>0</v>
      </c>
      <c r="O680" t="str">
        <f t="shared" si="30"/>
        <v>Average</v>
      </c>
      <c r="P680" t="str">
        <f t="shared" si="31"/>
        <v>Adult</v>
      </c>
      <c r="Q680" t="str">
        <f t="shared" si="32"/>
        <v>High Salary</v>
      </c>
    </row>
    <row r="681" spans="1:17" x14ac:dyDescent="0.25">
      <c r="A681">
        <v>850</v>
      </c>
      <c r="B681">
        <v>15725811</v>
      </c>
      <c r="C681" t="s">
        <v>672</v>
      </c>
      <c r="D681" t="s">
        <v>15</v>
      </c>
      <c r="E681" t="s">
        <v>23</v>
      </c>
      <c r="F681">
        <v>705</v>
      </c>
      <c r="G681">
        <v>25</v>
      </c>
      <c r="H681">
        <v>0</v>
      </c>
      <c r="I681">
        <v>97544.29</v>
      </c>
      <c r="J681">
        <v>1</v>
      </c>
      <c r="K681">
        <v>0</v>
      </c>
      <c r="L681">
        <v>1</v>
      </c>
      <c r="M681">
        <v>59887.15</v>
      </c>
      <c r="N681">
        <v>0</v>
      </c>
      <c r="O681" t="str">
        <f t="shared" si="30"/>
        <v>Good</v>
      </c>
      <c r="P681" t="str">
        <f t="shared" si="31"/>
        <v>Young Adult</v>
      </c>
      <c r="Q681" t="str">
        <f t="shared" si="32"/>
        <v>Medium Salary</v>
      </c>
    </row>
    <row r="682" spans="1:17" x14ac:dyDescent="0.25">
      <c r="A682">
        <v>851</v>
      </c>
      <c r="B682">
        <v>15572265</v>
      </c>
      <c r="C682" t="s">
        <v>134</v>
      </c>
      <c r="D682" t="s">
        <v>26</v>
      </c>
      <c r="E682" t="s">
        <v>23</v>
      </c>
      <c r="F682">
        <v>646</v>
      </c>
      <c r="G682">
        <v>46</v>
      </c>
      <c r="H682">
        <v>1</v>
      </c>
      <c r="I682">
        <v>170826.55</v>
      </c>
      <c r="J682">
        <v>2</v>
      </c>
      <c r="K682">
        <v>1</v>
      </c>
      <c r="L682">
        <v>0</v>
      </c>
      <c r="M682">
        <v>45041.32</v>
      </c>
      <c r="N682">
        <v>0</v>
      </c>
      <c r="O682" t="str">
        <f t="shared" si="30"/>
        <v>Average</v>
      </c>
      <c r="P682" t="str">
        <f t="shared" si="31"/>
        <v>Adult</v>
      </c>
      <c r="Q682" t="str">
        <f t="shared" si="32"/>
        <v>Medium Salary</v>
      </c>
    </row>
    <row r="683" spans="1:17" x14ac:dyDescent="0.25">
      <c r="A683">
        <v>853</v>
      </c>
      <c r="B683">
        <v>15677610</v>
      </c>
      <c r="C683" t="s">
        <v>533</v>
      </c>
      <c r="D683" t="s">
        <v>26</v>
      </c>
      <c r="E683" t="s">
        <v>16</v>
      </c>
      <c r="F683">
        <v>511</v>
      </c>
      <c r="G683">
        <v>41</v>
      </c>
      <c r="H683">
        <v>8</v>
      </c>
      <c r="I683">
        <v>153895.65</v>
      </c>
      <c r="J683">
        <v>1</v>
      </c>
      <c r="K683">
        <v>1</v>
      </c>
      <c r="L683">
        <v>1</v>
      </c>
      <c r="M683">
        <v>39087.42</v>
      </c>
      <c r="N683">
        <v>0</v>
      </c>
      <c r="O683" t="str">
        <f t="shared" si="30"/>
        <v>Poor</v>
      </c>
      <c r="P683" t="str">
        <f t="shared" si="31"/>
        <v>Adult</v>
      </c>
      <c r="Q683" t="str">
        <f t="shared" si="32"/>
        <v>Medium Salary</v>
      </c>
    </row>
    <row r="684" spans="1:17" x14ac:dyDescent="0.25">
      <c r="A684">
        <v>854</v>
      </c>
      <c r="B684">
        <v>15745012</v>
      </c>
      <c r="C684" t="s">
        <v>674</v>
      </c>
      <c r="D684" t="s">
        <v>15</v>
      </c>
      <c r="E684" t="s">
        <v>16</v>
      </c>
      <c r="F684">
        <v>653</v>
      </c>
      <c r="G684">
        <v>43</v>
      </c>
      <c r="H684">
        <v>6</v>
      </c>
      <c r="I684">
        <v>0</v>
      </c>
      <c r="J684">
        <v>2</v>
      </c>
      <c r="K684">
        <v>1</v>
      </c>
      <c r="L684">
        <v>1</v>
      </c>
      <c r="M684">
        <v>7330.59</v>
      </c>
      <c r="N684">
        <v>0</v>
      </c>
      <c r="O684" t="str">
        <f t="shared" si="30"/>
        <v>Average</v>
      </c>
      <c r="P684" t="str">
        <f t="shared" si="31"/>
        <v>Adult</v>
      </c>
      <c r="Q684" t="str">
        <f t="shared" si="32"/>
        <v>Low Salary</v>
      </c>
    </row>
    <row r="685" spans="1:17" x14ac:dyDescent="0.25">
      <c r="A685">
        <v>855</v>
      </c>
      <c r="B685">
        <v>15601589</v>
      </c>
      <c r="C685" t="s">
        <v>675</v>
      </c>
      <c r="D685" t="s">
        <v>15</v>
      </c>
      <c r="E685" t="s">
        <v>16</v>
      </c>
      <c r="F685">
        <v>675</v>
      </c>
      <c r="G685">
        <v>57</v>
      </c>
      <c r="H685">
        <v>8</v>
      </c>
      <c r="I685">
        <v>0</v>
      </c>
      <c r="J685">
        <v>2</v>
      </c>
      <c r="K685">
        <v>0</v>
      </c>
      <c r="L685">
        <v>1</v>
      </c>
      <c r="M685">
        <v>95463.29</v>
      </c>
      <c r="N685">
        <v>0</v>
      </c>
      <c r="O685" t="str">
        <f t="shared" si="30"/>
        <v>Good</v>
      </c>
      <c r="P685" t="str">
        <f t="shared" si="31"/>
        <v>Adult</v>
      </c>
      <c r="Q685" t="str">
        <f t="shared" si="32"/>
        <v>High Salary</v>
      </c>
    </row>
    <row r="686" spans="1:17" x14ac:dyDescent="0.25">
      <c r="A686">
        <v>856</v>
      </c>
      <c r="B686">
        <v>15686436</v>
      </c>
      <c r="C686" t="s">
        <v>676</v>
      </c>
      <c r="D686" t="s">
        <v>18</v>
      </c>
      <c r="E686" t="s">
        <v>23</v>
      </c>
      <c r="F686">
        <v>523</v>
      </c>
      <c r="G686">
        <v>32</v>
      </c>
      <c r="H686">
        <v>4</v>
      </c>
      <c r="I686">
        <v>0</v>
      </c>
      <c r="J686">
        <v>2</v>
      </c>
      <c r="K686">
        <v>1</v>
      </c>
      <c r="L686">
        <v>0</v>
      </c>
      <c r="M686">
        <v>167848.02</v>
      </c>
      <c r="N686">
        <v>0</v>
      </c>
      <c r="O686" t="str">
        <f t="shared" si="30"/>
        <v>Poor</v>
      </c>
      <c r="P686" t="str">
        <f t="shared" si="31"/>
        <v>Adult</v>
      </c>
      <c r="Q686" t="str">
        <f t="shared" si="32"/>
        <v>High Salary</v>
      </c>
    </row>
    <row r="687" spans="1:17" x14ac:dyDescent="0.25">
      <c r="A687">
        <v>858</v>
      </c>
      <c r="B687">
        <v>15760550</v>
      </c>
      <c r="C687" t="s">
        <v>132</v>
      </c>
      <c r="D687" t="s">
        <v>18</v>
      </c>
      <c r="E687" t="s">
        <v>23</v>
      </c>
      <c r="F687">
        <v>741</v>
      </c>
      <c r="G687">
        <v>39</v>
      </c>
      <c r="H687">
        <v>7</v>
      </c>
      <c r="I687">
        <v>143637.57999999999</v>
      </c>
      <c r="J687">
        <v>2</v>
      </c>
      <c r="K687">
        <v>0</v>
      </c>
      <c r="L687">
        <v>1</v>
      </c>
      <c r="M687">
        <v>174227.66</v>
      </c>
      <c r="N687">
        <v>0</v>
      </c>
      <c r="O687" t="str">
        <f t="shared" si="30"/>
        <v>Good</v>
      </c>
      <c r="P687" t="str">
        <f t="shared" si="31"/>
        <v>Adult</v>
      </c>
      <c r="Q687" t="str">
        <f t="shared" si="32"/>
        <v>High Salary</v>
      </c>
    </row>
    <row r="688" spans="1:17" x14ac:dyDescent="0.25">
      <c r="A688">
        <v>859</v>
      </c>
      <c r="B688">
        <v>15686137</v>
      </c>
      <c r="C688" t="s">
        <v>434</v>
      </c>
      <c r="D688" t="s">
        <v>18</v>
      </c>
      <c r="E688" t="s">
        <v>23</v>
      </c>
      <c r="F688">
        <v>456</v>
      </c>
      <c r="G688">
        <v>32</v>
      </c>
      <c r="H688">
        <v>9</v>
      </c>
      <c r="I688">
        <v>147506.25</v>
      </c>
      <c r="J688">
        <v>1</v>
      </c>
      <c r="K688">
        <v>1</v>
      </c>
      <c r="L688">
        <v>1</v>
      </c>
      <c r="M688">
        <v>135399.21</v>
      </c>
      <c r="N688">
        <v>0</v>
      </c>
      <c r="O688" t="str">
        <f t="shared" si="30"/>
        <v>Poor</v>
      </c>
      <c r="P688" t="str">
        <f t="shared" si="31"/>
        <v>Adult</v>
      </c>
      <c r="Q688" t="str">
        <f t="shared" si="32"/>
        <v>High Salary</v>
      </c>
    </row>
    <row r="689" spans="1:17" x14ac:dyDescent="0.25">
      <c r="A689">
        <v>863</v>
      </c>
      <c r="B689">
        <v>15794916</v>
      </c>
      <c r="C689" t="s">
        <v>680</v>
      </c>
      <c r="D689" t="s">
        <v>15</v>
      </c>
      <c r="E689" t="s">
        <v>23</v>
      </c>
      <c r="F689">
        <v>725</v>
      </c>
      <c r="G689">
        <v>41</v>
      </c>
      <c r="H689">
        <v>7</v>
      </c>
      <c r="I689">
        <v>113980.21</v>
      </c>
      <c r="J689">
        <v>1</v>
      </c>
      <c r="K689">
        <v>1</v>
      </c>
      <c r="L689">
        <v>1</v>
      </c>
      <c r="M689">
        <v>116704.25</v>
      </c>
      <c r="N689">
        <v>0</v>
      </c>
      <c r="O689" t="str">
        <f t="shared" si="30"/>
        <v>Good</v>
      </c>
      <c r="P689" t="str">
        <f t="shared" si="31"/>
        <v>Adult</v>
      </c>
      <c r="Q689" t="str">
        <f t="shared" si="32"/>
        <v>High Salary</v>
      </c>
    </row>
    <row r="690" spans="1:17" x14ac:dyDescent="0.25">
      <c r="A690">
        <v>864</v>
      </c>
      <c r="B690">
        <v>15614215</v>
      </c>
      <c r="C690" t="s">
        <v>681</v>
      </c>
      <c r="D690" t="s">
        <v>15</v>
      </c>
      <c r="E690" t="s">
        <v>23</v>
      </c>
      <c r="F690">
        <v>717</v>
      </c>
      <c r="G690">
        <v>53</v>
      </c>
      <c r="H690">
        <v>6</v>
      </c>
      <c r="I690">
        <v>0</v>
      </c>
      <c r="J690">
        <v>2</v>
      </c>
      <c r="K690">
        <v>0</v>
      </c>
      <c r="L690">
        <v>1</v>
      </c>
      <c r="M690">
        <v>97614.87</v>
      </c>
      <c r="N690">
        <v>0</v>
      </c>
      <c r="O690" t="str">
        <f t="shared" si="30"/>
        <v>Good</v>
      </c>
      <c r="P690" t="str">
        <f t="shared" si="31"/>
        <v>Adult</v>
      </c>
      <c r="Q690" t="str">
        <f t="shared" si="32"/>
        <v>High Salary</v>
      </c>
    </row>
    <row r="691" spans="1:17" x14ac:dyDescent="0.25">
      <c r="A691">
        <v>865</v>
      </c>
      <c r="B691">
        <v>15805449</v>
      </c>
      <c r="C691" t="s">
        <v>682</v>
      </c>
      <c r="D691" t="s">
        <v>15</v>
      </c>
      <c r="E691" t="s">
        <v>23</v>
      </c>
      <c r="F691">
        <v>594</v>
      </c>
      <c r="G691">
        <v>38</v>
      </c>
      <c r="H691">
        <v>4</v>
      </c>
      <c r="I691">
        <v>0</v>
      </c>
      <c r="J691">
        <v>2</v>
      </c>
      <c r="K691">
        <v>0</v>
      </c>
      <c r="L691">
        <v>0</v>
      </c>
      <c r="M691">
        <v>186884.04</v>
      </c>
      <c r="N691">
        <v>0</v>
      </c>
      <c r="O691" t="str">
        <f t="shared" si="30"/>
        <v>Average</v>
      </c>
      <c r="P691" t="str">
        <f t="shared" si="31"/>
        <v>Adult</v>
      </c>
      <c r="Q691" t="str">
        <f t="shared" si="32"/>
        <v>High Salary</v>
      </c>
    </row>
    <row r="692" spans="1:17" x14ac:dyDescent="0.25">
      <c r="A692">
        <v>866</v>
      </c>
      <c r="B692">
        <v>15686983</v>
      </c>
      <c r="C692" t="s">
        <v>683</v>
      </c>
      <c r="D692" t="s">
        <v>26</v>
      </c>
      <c r="E692" t="s">
        <v>16</v>
      </c>
      <c r="F692">
        <v>678</v>
      </c>
      <c r="G692">
        <v>25</v>
      </c>
      <c r="H692">
        <v>10</v>
      </c>
      <c r="I692">
        <v>76968.12</v>
      </c>
      <c r="J692">
        <v>2</v>
      </c>
      <c r="K692">
        <v>0</v>
      </c>
      <c r="L692">
        <v>1</v>
      </c>
      <c r="M692">
        <v>131501.72</v>
      </c>
      <c r="N692">
        <v>0</v>
      </c>
      <c r="O692" t="str">
        <f t="shared" si="30"/>
        <v>Good</v>
      </c>
      <c r="P692" t="str">
        <f t="shared" si="31"/>
        <v>Young Adult</v>
      </c>
      <c r="Q692" t="str">
        <f t="shared" si="32"/>
        <v>High Salary</v>
      </c>
    </row>
    <row r="693" spans="1:17" x14ac:dyDescent="0.25">
      <c r="A693">
        <v>867</v>
      </c>
      <c r="B693">
        <v>15808017</v>
      </c>
      <c r="C693" t="s">
        <v>684</v>
      </c>
      <c r="D693" t="s">
        <v>15</v>
      </c>
      <c r="E693" t="s">
        <v>23</v>
      </c>
      <c r="F693">
        <v>545</v>
      </c>
      <c r="G693">
        <v>38</v>
      </c>
      <c r="H693">
        <v>1</v>
      </c>
      <c r="I693">
        <v>88293.13</v>
      </c>
      <c r="J693">
        <v>2</v>
      </c>
      <c r="K693">
        <v>1</v>
      </c>
      <c r="L693">
        <v>1</v>
      </c>
      <c r="M693">
        <v>24302.95</v>
      </c>
      <c r="N693">
        <v>0</v>
      </c>
      <c r="O693" t="str">
        <f t="shared" si="30"/>
        <v>Poor</v>
      </c>
      <c r="P693" t="str">
        <f t="shared" si="31"/>
        <v>Adult</v>
      </c>
      <c r="Q693" t="str">
        <f t="shared" si="32"/>
        <v>Low Salary</v>
      </c>
    </row>
    <row r="694" spans="1:17" x14ac:dyDescent="0.25">
      <c r="A694">
        <v>870</v>
      </c>
      <c r="B694">
        <v>15710424</v>
      </c>
      <c r="C694" t="s">
        <v>687</v>
      </c>
      <c r="D694" t="s">
        <v>15</v>
      </c>
      <c r="E694" t="s">
        <v>23</v>
      </c>
      <c r="F694">
        <v>435</v>
      </c>
      <c r="G694">
        <v>36</v>
      </c>
      <c r="H694">
        <v>4</v>
      </c>
      <c r="I694">
        <v>0</v>
      </c>
      <c r="J694">
        <v>1</v>
      </c>
      <c r="K694">
        <v>1</v>
      </c>
      <c r="L694">
        <v>1</v>
      </c>
      <c r="M694">
        <v>197015.2</v>
      </c>
      <c r="N694">
        <v>0</v>
      </c>
      <c r="O694" t="str">
        <f t="shared" si="30"/>
        <v>Poor</v>
      </c>
      <c r="P694" t="str">
        <f t="shared" si="31"/>
        <v>Adult</v>
      </c>
      <c r="Q694" t="str">
        <f t="shared" si="32"/>
        <v>High Salary</v>
      </c>
    </row>
    <row r="695" spans="1:17" x14ac:dyDescent="0.25">
      <c r="A695">
        <v>871</v>
      </c>
      <c r="B695">
        <v>15799422</v>
      </c>
      <c r="C695" t="s">
        <v>412</v>
      </c>
      <c r="D695" t="s">
        <v>15</v>
      </c>
      <c r="E695" t="s">
        <v>16</v>
      </c>
      <c r="F695">
        <v>535</v>
      </c>
      <c r="G695">
        <v>40</v>
      </c>
      <c r="H695">
        <v>8</v>
      </c>
      <c r="I695">
        <v>0</v>
      </c>
      <c r="J695">
        <v>1</v>
      </c>
      <c r="K695">
        <v>1</v>
      </c>
      <c r="L695">
        <v>1</v>
      </c>
      <c r="M695">
        <v>27689.77</v>
      </c>
      <c r="N695">
        <v>0</v>
      </c>
      <c r="O695" t="str">
        <f t="shared" si="30"/>
        <v>Poor</v>
      </c>
      <c r="P695" t="str">
        <f t="shared" si="31"/>
        <v>Adult</v>
      </c>
      <c r="Q695" t="str">
        <f t="shared" si="32"/>
        <v>Low Salary</v>
      </c>
    </row>
    <row r="696" spans="1:17" x14ac:dyDescent="0.25">
      <c r="A696">
        <v>873</v>
      </c>
      <c r="B696">
        <v>15794549</v>
      </c>
      <c r="C696" t="s">
        <v>30</v>
      </c>
      <c r="D696" t="s">
        <v>15</v>
      </c>
      <c r="E696" t="s">
        <v>16</v>
      </c>
      <c r="F696">
        <v>722</v>
      </c>
      <c r="G696">
        <v>35</v>
      </c>
      <c r="H696">
        <v>2</v>
      </c>
      <c r="I696">
        <v>163943.89000000001</v>
      </c>
      <c r="J696">
        <v>2</v>
      </c>
      <c r="K696">
        <v>1</v>
      </c>
      <c r="L696">
        <v>1</v>
      </c>
      <c r="M696">
        <v>15068.18</v>
      </c>
      <c r="N696">
        <v>0</v>
      </c>
      <c r="O696" t="str">
        <f t="shared" si="30"/>
        <v>Good</v>
      </c>
      <c r="P696" t="str">
        <f t="shared" si="31"/>
        <v>Adult</v>
      </c>
      <c r="Q696" t="str">
        <f t="shared" si="32"/>
        <v>Low Salary</v>
      </c>
    </row>
    <row r="697" spans="1:17" x14ac:dyDescent="0.25">
      <c r="A697">
        <v>874</v>
      </c>
      <c r="B697">
        <v>15803764</v>
      </c>
      <c r="C697" t="s">
        <v>688</v>
      </c>
      <c r="D697" t="s">
        <v>15</v>
      </c>
      <c r="E697" t="s">
        <v>23</v>
      </c>
      <c r="F697">
        <v>561</v>
      </c>
      <c r="G697">
        <v>28</v>
      </c>
      <c r="H697">
        <v>7</v>
      </c>
      <c r="I697">
        <v>0</v>
      </c>
      <c r="J697">
        <v>2</v>
      </c>
      <c r="K697">
        <v>1</v>
      </c>
      <c r="L697">
        <v>0</v>
      </c>
      <c r="M697">
        <v>7797.01</v>
      </c>
      <c r="N697">
        <v>0</v>
      </c>
      <c r="O697" t="str">
        <f t="shared" si="30"/>
        <v>Poor</v>
      </c>
      <c r="P697" t="str">
        <f t="shared" si="31"/>
        <v>Young Adult</v>
      </c>
      <c r="Q697" t="str">
        <f t="shared" si="32"/>
        <v>Low Salary</v>
      </c>
    </row>
    <row r="698" spans="1:17" x14ac:dyDescent="0.25">
      <c r="A698">
        <v>875</v>
      </c>
      <c r="B698">
        <v>15674840</v>
      </c>
      <c r="C698" t="s">
        <v>272</v>
      </c>
      <c r="D698" t="s">
        <v>15</v>
      </c>
      <c r="E698" t="s">
        <v>16</v>
      </c>
      <c r="F698">
        <v>645</v>
      </c>
      <c r="G698">
        <v>38</v>
      </c>
      <c r="H698">
        <v>5</v>
      </c>
      <c r="I698">
        <v>101430.3</v>
      </c>
      <c r="J698">
        <v>2</v>
      </c>
      <c r="K698">
        <v>0</v>
      </c>
      <c r="L698">
        <v>1</v>
      </c>
      <c r="M698">
        <v>4400.32</v>
      </c>
      <c r="N698">
        <v>0</v>
      </c>
      <c r="O698" t="str">
        <f t="shared" si="30"/>
        <v>Average</v>
      </c>
      <c r="P698" t="str">
        <f t="shared" si="31"/>
        <v>Adult</v>
      </c>
      <c r="Q698" t="str">
        <f t="shared" si="32"/>
        <v>Low Salary</v>
      </c>
    </row>
    <row r="699" spans="1:17" x14ac:dyDescent="0.25">
      <c r="A699">
        <v>876</v>
      </c>
      <c r="B699">
        <v>15653762</v>
      </c>
      <c r="C699" t="s">
        <v>69</v>
      </c>
      <c r="D699" t="s">
        <v>15</v>
      </c>
      <c r="E699" t="s">
        <v>16</v>
      </c>
      <c r="F699">
        <v>501</v>
      </c>
      <c r="G699">
        <v>39</v>
      </c>
      <c r="H699">
        <v>9</v>
      </c>
      <c r="I699">
        <v>117301.66</v>
      </c>
      <c r="J699">
        <v>1</v>
      </c>
      <c r="K699">
        <v>0</v>
      </c>
      <c r="L699">
        <v>0</v>
      </c>
      <c r="M699">
        <v>182025.95</v>
      </c>
      <c r="N699">
        <v>0</v>
      </c>
      <c r="O699" t="str">
        <f t="shared" si="30"/>
        <v>Poor</v>
      </c>
      <c r="P699" t="str">
        <f t="shared" si="31"/>
        <v>Adult</v>
      </c>
      <c r="Q699" t="str">
        <f t="shared" si="32"/>
        <v>High Salary</v>
      </c>
    </row>
    <row r="700" spans="1:17" x14ac:dyDescent="0.25">
      <c r="A700">
        <v>877</v>
      </c>
      <c r="B700">
        <v>15581229</v>
      </c>
      <c r="C700" t="s">
        <v>342</v>
      </c>
      <c r="D700" t="s">
        <v>26</v>
      </c>
      <c r="E700" t="s">
        <v>16</v>
      </c>
      <c r="F700">
        <v>502</v>
      </c>
      <c r="G700">
        <v>32</v>
      </c>
      <c r="H700">
        <v>1</v>
      </c>
      <c r="I700">
        <v>173340.83</v>
      </c>
      <c r="J700">
        <v>1</v>
      </c>
      <c r="K700">
        <v>0</v>
      </c>
      <c r="L700">
        <v>1</v>
      </c>
      <c r="M700">
        <v>122763.95</v>
      </c>
      <c r="N700">
        <v>0</v>
      </c>
      <c r="O700" t="str">
        <f t="shared" si="30"/>
        <v>Poor</v>
      </c>
      <c r="P700" t="str">
        <f t="shared" si="31"/>
        <v>Adult</v>
      </c>
      <c r="Q700" t="str">
        <f t="shared" si="32"/>
        <v>High Salary</v>
      </c>
    </row>
    <row r="701" spans="1:17" x14ac:dyDescent="0.25">
      <c r="A701">
        <v>878</v>
      </c>
      <c r="B701">
        <v>15800228</v>
      </c>
      <c r="C701" t="s">
        <v>689</v>
      </c>
      <c r="D701" t="s">
        <v>18</v>
      </c>
      <c r="E701" t="s">
        <v>16</v>
      </c>
      <c r="F701">
        <v>652</v>
      </c>
      <c r="G701">
        <v>42</v>
      </c>
      <c r="H701">
        <v>4</v>
      </c>
      <c r="I701">
        <v>0</v>
      </c>
      <c r="J701">
        <v>2</v>
      </c>
      <c r="K701">
        <v>1</v>
      </c>
      <c r="L701">
        <v>1</v>
      </c>
      <c r="M701">
        <v>38152.01</v>
      </c>
      <c r="N701">
        <v>0</v>
      </c>
      <c r="O701" t="str">
        <f t="shared" si="30"/>
        <v>Average</v>
      </c>
      <c r="P701" t="str">
        <f t="shared" si="31"/>
        <v>Adult</v>
      </c>
      <c r="Q701" t="str">
        <f t="shared" si="32"/>
        <v>Medium Salary</v>
      </c>
    </row>
    <row r="702" spans="1:17" x14ac:dyDescent="0.25">
      <c r="A702">
        <v>879</v>
      </c>
      <c r="B702">
        <v>15656333</v>
      </c>
      <c r="C702" t="s">
        <v>596</v>
      </c>
      <c r="D702" t="s">
        <v>15</v>
      </c>
      <c r="E702" t="s">
        <v>16</v>
      </c>
      <c r="F702">
        <v>574</v>
      </c>
      <c r="G702">
        <v>33</v>
      </c>
      <c r="H702">
        <v>3</v>
      </c>
      <c r="I702">
        <v>134348.57</v>
      </c>
      <c r="J702">
        <v>1</v>
      </c>
      <c r="K702">
        <v>1</v>
      </c>
      <c r="L702">
        <v>0</v>
      </c>
      <c r="M702">
        <v>63163.99</v>
      </c>
      <c r="N702">
        <v>0</v>
      </c>
      <c r="O702" t="str">
        <f t="shared" si="30"/>
        <v>Poor</v>
      </c>
      <c r="P702" t="str">
        <f t="shared" si="31"/>
        <v>Adult</v>
      </c>
      <c r="Q702" t="str">
        <f t="shared" si="32"/>
        <v>Medium Salary</v>
      </c>
    </row>
    <row r="703" spans="1:17" x14ac:dyDescent="0.25">
      <c r="A703">
        <v>880</v>
      </c>
      <c r="B703">
        <v>15697497</v>
      </c>
      <c r="C703" t="s">
        <v>690</v>
      </c>
      <c r="D703" t="s">
        <v>15</v>
      </c>
      <c r="E703" t="s">
        <v>16</v>
      </c>
      <c r="F703">
        <v>518</v>
      </c>
      <c r="G703">
        <v>45</v>
      </c>
      <c r="H703">
        <v>9</v>
      </c>
      <c r="I703">
        <v>105525.65</v>
      </c>
      <c r="J703">
        <v>2</v>
      </c>
      <c r="K703">
        <v>1</v>
      </c>
      <c r="L703">
        <v>1</v>
      </c>
      <c r="M703">
        <v>73418.289999999994</v>
      </c>
      <c r="N703">
        <v>0</v>
      </c>
      <c r="O703" t="str">
        <f t="shared" si="30"/>
        <v>Poor</v>
      </c>
      <c r="P703" t="str">
        <f t="shared" si="31"/>
        <v>Adult</v>
      </c>
      <c r="Q703" t="str">
        <f t="shared" si="32"/>
        <v>High Salary</v>
      </c>
    </row>
    <row r="704" spans="1:17" x14ac:dyDescent="0.25">
      <c r="A704">
        <v>883</v>
      </c>
      <c r="B704">
        <v>15785519</v>
      </c>
      <c r="C704" t="s">
        <v>691</v>
      </c>
      <c r="D704" t="s">
        <v>15</v>
      </c>
      <c r="E704" t="s">
        <v>23</v>
      </c>
      <c r="F704">
        <v>565</v>
      </c>
      <c r="G704">
        <v>36</v>
      </c>
      <c r="H704">
        <v>6</v>
      </c>
      <c r="I704">
        <v>106192.1</v>
      </c>
      <c r="J704">
        <v>1</v>
      </c>
      <c r="K704">
        <v>1</v>
      </c>
      <c r="L704">
        <v>0</v>
      </c>
      <c r="M704">
        <v>149575.59</v>
      </c>
      <c r="N704">
        <v>0</v>
      </c>
      <c r="O704" t="str">
        <f t="shared" si="30"/>
        <v>Poor</v>
      </c>
      <c r="P704" t="str">
        <f t="shared" si="31"/>
        <v>Adult</v>
      </c>
      <c r="Q704" t="str">
        <f t="shared" si="32"/>
        <v>High Salary</v>
      </c>
    </row>
    <row r="705" spans="1:17" x14ac:dyDescent="0.25">
      <c r="A705">
        <v>885</v>
      </c>
      <c r="B705">
        <v>15777211</v>
      </c>
      <c r="C705" t="s">
        <v>693</v>
      </c>
      <c r="D705" t="s">
        <v>15</v>
      </c>
      <c r="E705" t="s">
        <v>23</v>
      </c>
      <c r="F705">
        <v>515</v>
      </c>
      <c r="G705">
        <v>65</v>
      </c>
      <c r="H705">
        <v>7</v>
      </c>
      <c r="I705">
        <v>92113.61</v>
      </c>
      <c r="J705">
        <v>1</v>
      </c>
      <c r="K705">
        <v>1</v>
      </c>
      <c r="L705">
        <v>1</v>
      </c>
      <c r="M705">
        <v>142548.32999999999</v>
      </c>
      <c r="N705">
        <v>0</v>
      </c>
      <c r="O705" t="str">
        <f t="shared" si="30"/>
        <v>Poor</v>
      </c>
      <c r="P705" t="str">
        <f t="shared" si="31"/>
        <v>Senior</v>
      </c>
      <c r="Q705" t="str">
        <f t="shared" si="32"/>
        <v>High Salary</v>
      </c>
    </row>
    <row r="706" spans="1:17" x14ac:dyDescent="0.25">
      <c r="A706">
        <v>886</v>
      </c>
      <c r="B706">
        <v>15721935</v>
      </c>
      <c r="C706" t="s">
        <v>694</v>
      </c>
      <c r="D706" t="s">
        <v>15</v>
      </c>
      <c r="E706" t="s">
        <v>23</v>
      </c>
      <c r="F706">
        <v>521</v>
      </c>
      <c r="G706">
        <v>25</v>
      </c>
      <c r="H706">
        <v>7</v>
      </c>
      <c r="I706">
        <v>0</v>
      </c>
      <c r="J706">
        <v>2</v>
      </c>
      <c r="K706">
        <v>1</v>
      </c>
      <c r="L706">
        <v>1</v>
      </c>
      <c r="M706">
        <v>157878.67000000001</v>
      </c>
      <c r="N706">
        <v>0</v>
      </c>
      <c r="O706" t="str">
        <f t="shared" si="30"/>
        <v>Poor</v>
      </c>
      <c r="P706" t="str">
        <f t="shared" si="31"/>
        <v>Young Adult</v>
      </c>
      <c r="Q706" t="str">
        <f t="shared" si="32"/>
        <v>High Salary</v>
      </c>
    </row>
    <row r="707" spans="1:17" x14ac:dyDescent="0.25">
      <c r="A707">
        <v>887</v>
      </c>
      <c r="B707">
        <v>15591711</v>
      </c>
      <c r="C707" t="s">
        <v>695</v>
      </c>
      <c r="D707" t="s">
        <v>18</v>
      </c>
      <c r="E707" t="s">
        <v>23</v>
      </c>
      <c r="F707">
        <v>739</v>
      </c>
      <c r="G707">
        <v>38</v>
      </c>
      <c r="H707">
        <v>0</v>
      </c>
      <c r="I707">
        <v>128366.44</v>
      </c>
      <c r="J707">
        <v>1</v>
      </c>
      <c r="K707">
        <v>1</v>
      </c>
      <c r="L707">
        <v>0</v>
      </c>
      <c r="M707">
        <v>12796.43</v>
      </c>
      <c r="N707">
        <v>0</v>
      </c>
      <c r="O707" t="str">
        <f t="shared" ref="O707:O770" si="33">IF(F707&lt;580, "Poor", IF(AND(F707&gt;=580, F707&lt;=669), "Average", "Good"))</f>
        <v>Good</v>
      </c>
      <c r="P707" t="str">
        <f t="shared" ref="P707:P770" si="34">IF(G707&lt;=30, "Young Adult", IF(AND(G707&gt;=31, G707&lt;=60), "Adult", "Senior"))</f>
        <v>Adult</v>
      </c>
      <c r="Q707" t="str">
        <f t="shared" ref="Q707:Q770" si="35">IF(M707&lt;30000, "Low Salary", IF(AND(M707&gt;=30000, M707&lt;=70000), "Medium Salary", "High Salary"))</f>
        <v>Low Salary</v>
      </c>
    </row>
    <row r="708" spans="1:17" x14ac:dyDescent="0.25">
      <c r="A708">
        <v>888</v>
      </c>
      <c r="B708">
        <v>15625021</v>
      </c>
      <c r="C708" t="s">
        <v>118</v>
      </c>
      <c r="D708" t="s">
        <v>15</v>
      </c>
      <c r="E708" t="s">
        <v>23</v>
      </c>
      <c r="F708">
        <v>585</v>
      </c>
      <c r="G708">
        <v>42</v>
      </c>
      <c r="H708">
        <v>2</v>
      </c>
      <c r="I708">
        <v>0</v>
      </c>
      <c r="J708">
        <v>2</v>
      </c>
      <c r="K708">
        <v>1</v>
      </c>
      <c r="L708">
        <v>1</v>
      </c>
      <c r="M708">
        <v>18657.77</v>
      </c>
      <c r="N708">
        <v>0</v>
      </c>
      <c r="O708" t="str">
        <f t="shared" si="33"/>
        <v>Average</v>
      </c>
      <c r="P708" t="str">
        <f t="shared" si="34"/>
        <v>Adult</v>
      </c>
      <c r="Q708" t="str">
        <f t="shared" si="35"/>
        <v>Low Salary</v>
      </c>
    </row>
    <row r="709" spans="1:17" x14ac:dyDescent="0.25">
      <c r="A709">
        <v>889</v>
      </c>
      <c r="B709">
        <v>15702968</v>
      </c>
      <c r="C709" t="s">
        <v>696</v>
      </c>
      <c r="D709" t="s">
        <v>26</v>
      </c>
      <c r="E709" t="s">
        <v>23</v>
      </c>
      <c r="F709">
        <v>733</v>
      </c>
      <c r="G709">
        <v>74</v>
      </c>
      <c r="H709">
        <v>3</v>
      </c>
      <c r="I709">
        <v>106545.53</v>
      </c>
      <c r="J709">
        <v>1</v>
      </c>
      <c r="K709">
        <v>1</v>
      </c>
      <c r="L709">
        <v>1</v>
      </c>
      <c r="M709">
        <v>134589.57999999999</v>
      </c>
      <c r="N709">
        <v>0</v>
      </c>
      <c r="O709" t="str">
        <f t="shared" si="33"/>
        <v>Good</v>
      </c>
      <c r="P709" t="str">
        <f t="shared" si="34"/>
        <v>Senior</v>
      </c>
      <c r="Q709" t="str">
        <f t="shared" si="35"/>
        <v>High Salary</v>
      </c>
    </row>
    <row r="710" spans="1:17" x14ac:dyDescent="0.25">
      <c r="A710">
        <v>890</v>
      </c>
      <c r="B710">
        <v>15600462</v>
      </c>
      <c r="C710" t="s">
        <v>697</v>
      </c>
      <c r="D710" t="s">
        <v>15</v>
      </c>
      <c r="E710" t="s">
        <v>16</v>
      </c>
      <c r="F710">
        <v>542</v>
      </c>
      <c r="G710">
        <v>43</v>
      </c>
      <c r="H710">
        <v>8</v>
      </c>
      <c r="I710">
        <v>145618.37</v>
      </c>
      <c r="J710">
        <v>1</v>
      </c>
      <c r="K710">
        <v>0</v>
      </c>
      <c r="L710">
        <v>1</v>
      </c>
      <c r="M710">
        <v>10350.74</v>
      </c>
      <c r="N710">
        <v>0</v>
      </c>
      <c r="O710" t="str">
        <f t="shared" si="33"/>
        <v>Poor</v>
      </c>
      <c r="P710" t="str">
        <f t="shared" si="34"/>
        <v>Adult</v>
      </c>
      <c r="Q710" t="str">
        <f t="shared" si="35"/>
        <v>Low Salary</v>
      </c>
    </row>
    <row r="711" spans="1:17" x14ac:dyDescent="0.25">
      <c r="A711">
        <v>891</v>
      </c>
      <c r="B711">
        <v>15768104</v>
      </c>
      <c r="C711" t="s">
        <v>698</v>
      </c>
      <c r="D711" t="s">
        <v>18</v>
      </c>
      <c r="E711" t="s">
        <v>23</v>
      </c>
      <c r="F711">
        <v>788</v>
      </c>
      <c r="G711">
        <v>37</v>
      </c>
      <c r="H711">
        <v>8</v>
      </c>
      <c r="I711">
        <v>141541.25</v>
      </c>
      <c r="J711">
        <v>1</v>
      </c>
      <c r="K711">
        <v>0</v>
      </c>
      <c r="L711">
        <v>0</v>
      </c>
      <c r="M711">
        <v>66013.27</v>
      </c>
      <c r="N711">
        <v>0</v>
      </c>
      <c r="O711" t="str">
        <f t="shared" si="33"/>
        <v>Good</v>
      </c>
      <c r="P711" t="str">
        <f t="shared" si="34"/>
        <v>Adult</v>
      </c>
      <c r="Q711" t="str">
        <f t="shared" si="35"/>
        <v>Medium Salary</v>
      </c>
    </row>
    <row r="712" spans="1:17" x14ac:dyDescent="0.25">
      <c r="A712">
        <v>892</v>
      </c>
      <c r="B712">
        <v>15780140</v>
      </c>
      <c r="C712" t="s">
        <v>509</v>
      </c>
      <c r="D712" t="s">
        <v>26</v>
      </c>
      <c r="E712" t="s">
        <v>23</v>
      </c>
      <c r="F712">
        <v>435</v>
      </c>
      <c r="G712">
        <v>32</v>
      </c>
      <c r="H712">
        <v>2</v>
      </c>
      <c r="I712">
        <v>57017.06</v>
      </c>
      <c r="J712">
        <v>2</v>
      </c>
      <c r="K712">
        <v>1</v>
      </c>
      <c r="L712">
        <v>1</v>
      </c>
      <c r="M712">
        <v>5907.11</v>
      </c>
      <c r="N712">
        <v>0</v>
      </c>
      <c r="O712" t="str">
        <f t="shared" si="33"/>
        <v>Poor</v>
      </c>
      <c r="P712" t="str">
        <f t="shared" si="34"/>
        <v>Adult</v>
      </c>
      <c r="Q712" t="str">
        <f t="shared" si="35"/>
        <v>Low Salary</v>
      </c>
    </row>
    <row r="713" spans="1:17" x14ac:dyDescent="0.25">
      <c r="A713">
        <v>893</v>
      </c>
      <c r="B713">
        <v>15585255</v>
      </c>
      <c r="C713" t="s">
        <v>699</v>
      </c>
      <c r="D713" t="s">
        <v>15</v>
      </c>
      <c r="E713" t="s">
        <v>23</v>
      </c>
      <c r="F713">
        <v>577</v>
      </c>
      <c r="G713">
        <v>42</v>
      </c>
      <c r="H713">
        <v>9</v>
      </c>
      <c r="I713">
        <v>0</v>
      </c>
      <c r="J713">
        <v>1</v>
      </c>
      <c r="K713">
        <v>1</v>
      </c>
      <c r="L713">
        <v>0</v>
      </c>
      <c r="M713">
        <v>74077.91</v>
      </c>
      <c r="N713">
        <v>0</v>
      </c>
      <c r="O713" t="str">
        <f t="shared" si="33"/>
        <v>Poor</v>
      </c>
      <c r="P713" t="str">
        <f t="shared" si="34"/>
        <v>Adult</v>
      </c>
      <c r="Q713" t="str">
        <f t="shared" si="35"/>
        <v>High Salary</v>
      </c>
    </row>
    <row r="714" spans="1:17" x14ac:dyDescent="0.25">
      <c r="A714">
        <v>896</v>
      </c>
      <c r="B714">
        <v>15697000</v>
      </c>
      <c r="C714" t="s">
        <v>701</v>
      </c>
      <c r="D714" t="s">
        <v>26</v>
      </c>
      <c r="E714" t="s">
        <v>23</v>
      </c>
      <c r="F714">
        <v>728</v>
      </c>
      <c r="G714">
        <v>32</v>
      </c>
      <c r="H714">
        <v>5</v>
      </c>
      <c r="I714">
        <v>61825.5</v>
      </c>
      <c r="J714">
        <v>1</v>
      </c>
      <c r="K714">
        <v>1</v>
      </c>
      <c r="L714">
        <v>1</v>
      </c>
      <c r="M714">
        <v>156124.93</v>
      </c>
      <c r="N714">
        <v>0</v>
      </c>
      <c r="O714" t="str">
        <f t="shared" si="33"/>
        <v>Good</v>
      </c>
      <c r="P714" t="str">
        <f t="shared" si="34"/>
        <v>Adult</v>
      </c>
      <c r="Q714" t="str">
        <f t="shared" si="35"/>
        <v>High Salary</v>
      </c>
    </row>
    <row r="715" spans="1:17" x14ac:dyDescent="0.25">
      <c r="A715">
        <v>897</v>
      </c>
      <c r="B715">
        <v>15733119</v>
      </c>
      <c r="C715" t="s">
        <v>702</v>
      </c>
      <c r="D715" t="s">
        <v>15</v>
      </c>
      <c r="E715" t="s">
        <v>23</v>
      </c>
      <c r="F715">
        <v>718</v>
      </c>
      <c r="G715">
        <v>35</v>
      </c>
      <c r="H715">
        <v>8</v>
      </c>
      <c r="I715">
        <v>0</v>
      </c>
      <c r="J715">
        <v>2</v>
      </c>
      <c r="K715">
        <v>1</v>
      </c>
      <c r="L715">
        <v>0</v>
      </c>
      <c r="M715">
        <v>94820.85</v>
      </c>
      <c r="N715">
        <v>0</v>
      </c>
      <c r="O715" t="str">
        <f t="shared" si="33"/>
        <v>Good</v>
      </c>
      <c r="P715" t="str">
        <f t="shared" si="34"/>
        <v>Adult</v>
      </c>
      <c r="Q715" t="str">
        <f t="shared" si="35"/>
        <v>High Salary</v>
      </c>
    </row>
    <row r="716" spans="1:17" x14ac:dyDescent="0.25">
      <c r="A716">
        <v>898</v>
      </c>
      <c r="B716">
        <v>15782390</v>
      </c>
      <c r="C716" t="s">
        <v>77</v>
      </c>
      <c r="D716" t="s">
        <v>15</v>
      </c>
      <c r="E716" t="s">
        <v>16</v>
      </c>
      <c r="F716">
        <v>621</v>
      </c>
      <c r="G716">
        <v>40</v>
      </c>
      <c r="H716">
        <v>6</v>
      </c>
      <c r="I716">
        <v>0</v>
      </c>
      <c r="J716">
        <v>1</v>
      </c>
      <c r="K716">
        <v>1</v>
      </c>
      <c r="L716">
        <v>0</v>
      </c>
      <c r="M716">
        <v>155155.25</v>
      </c>
      <c r="N716">
        <v>0</v>
      </c>
      <c r="O716" t="str">
        <f t="shared" si="33"/>
        <v>Average</v>
      </c>
      <c r="P716" t="str">
        <f t="shared" si="34"/>
        <v>Adult</v>
      </c>
      <c r="Q716" t="str">
        <f t="shared" si="35"/>
        <v>High Salary</v>
      </c>
    </row>
    <row r="717" spans="1:17" x14ac:dyDescent="0.25">
      <c r="A717">
        <v>900</v>
      </c>
      <c r="B717">
        <v>15632210</v>
      </c>
      <c r="C717" t="s">
        <v>17</v>
      </c>
      <c r="D717" t="s">
        <v>26</v>
      </c>
      <c r="E717" t="s">
        <v>23</v>
      </c>
      <c r="F717">
        <v>657</v>
      </c>
      <c r="G717">
        <v>25</v>
      </c>
      <c r="H717">
        <v>2</v>
      </c>
      <c r="I717">
        <v>171770.55</v>
      </c>
      <c r="J717">
        <v>1</v>
      </c>
      <c r="K717">
        <v>1</v>
      </c>
      <c r="L717">
        <v>0</v>
      </c>
      <c r="M717">
        <v>22745.5</v>
      </c>
      <c r="N717">
        <v>0</v>
      </c>
      <c r="O717" t="str">
        <f t="shared" si="33"/>
        <v>Average</v>
      </c>
      <c r="P717" t="str">
        <f t="shared" si="34"/>
        <v>Young Adult</v>
      </c>
      <c r="Q717" t="str">
        <f t="shared" si="35"/>
        <v>Low Salary</v>
      </c>
    </row>
    <row r="718" spans="1:17" x14ac:dyDescent="0.25">
      <c r="A718">
        <v>902</v>
      </c>
      <c r="B718">
        <v>15709737</v>
      </c>
      <c r="C718" t="s">
        <v>79</v>
      </c>
      <c r="D718" t="s">
        <v>15</v>
      </c>
      <c r="E718" t="s">
        <v>23</v>
      </c>
      <c r="F718">
        <v>643</v>
      </c>
      <c r="G718">
        <v>36</v>
      </c>
      <c r="H718">
        <v>7</v>
      </c>
      <c r="I718">
        <v>161064.64000000001</v>
      </c>
      <c r="J718">
        <v>2</v>
      </c>
      <c r="K718">
        <v>0</v>
      </c>
      <c r="L718">
        <v>1</v>
      </c>
      <c r="M718">
        <v>84294.82</v>
      </c>
      <c r="N718">
        <v>0</v>
      </c>
      <c r="O718" t="str">
        <f t="shared" si="33"/>
        <v>Average</v>
      </c>
      <c r="P718" t="str">
        <f t="shared" si="34"/>
        <v>Adult</v>
      </c>
      <c r="Q718" t="str">
        <f t="shared" si="35"/>
        <v>High Salary</v>
      </c>
    </row>
    <row r="719" spans="1:17" x14ac:dyDescent="0.25">
      <c r="A719">
        <v>903</v>
      </c>
      <c r="B719">
        <v>15792388</v>
      </c>
      <c r="C719" t="s">
        <v>148</v>
      </c>
      <c r="D719" t="s">
        <v>15</v>
      </c>
      <c r="E719" t="s">
        <v>16</v>
      </c>
      <c r="F719">
        <v>645</v>
      </c>
      <c r="G719">
        <v>48</v>
      </c>
      <c r="H719">
        <v>7</v>
      </c>
      <c r="I719">
        <v>90612.34</v>
      </c>
      <c r="J719">
        <v>1</v>
      </c>
      <c r="K719">
        <v>1</v>
      </c>
      <c r="L719">
        <v>1</v>
      </c>
      <c r="M719">
        <v>149139.13</v>
      </c>
      <c r="N719">
        <v>0</v>
      </c>
      <c r="O719" t="str">
        <f t="shared" si="33"/>
        <v>Average</v>
      </c>
      <c r="P719" t="str">
        <f t="shared" si="34"/>
        <v>Adult</v>
      </c>
      <c r="Q719" t="str">
        <f t="shared" si="35"/>
        <v>High Salary</v>
      </c>
    </row>
    <row r="720" spans="1:17" x14ac:dyDescent="0.25">
      <c r="A720">
        <v>904</v>
      </c>
      <c r="B720">
        <v>15786014</v>
      </c>
      <c r="C720" t="s">
        <v>209</v>
      </c>
      <c r="D720" t="s">
        <v>15</v>
      </c>
      <c r="E720" t="s">
        <v>23</v>
      </c>
      <c r="F720">
        <v>568</v>
      </c>
      <c r="G720">
        <v>28</v>
      </c>
      <c r="H720">
        <v>5</v>
      </c>
      <c r="I720">
        <v>145105.64000000001</v>
      </c>
      <c r="J720">
        <v>2</v>
      </c>
      <c r="K720">
        <v>1</v>
      </c>
      <c r="L720">
        <v>0</v>
      </c>
      <c r="M720">
        <v>185489.11</v>
      </c>
      <c r="N720">
        <v>0</v>
      </c>
      <c r="O720" t="str">
        <f t="shared" si="33"/>
        <v>Poor</v>
      </c>
      <c r="P720" t="str">
        <f t="shared" si="34"/>
        <v>Young Adult</v>
      </c>
      <c r="Q720" t="str">
        <f t="shared" si="35"/>
        <v>High Salary</v>
      </c>
    </row>
    <row r="721" spans="1:17" x14ac:dyDescent="0.25">
      <c r="A721">
        <v>907</v>
      </c>
      <c r="B721">
        <v>15814275</v>
      </c>
      <c r="C721" t="s">
        <v>704</v>
      </c>
      <c r="D721" t="s">
        <v>15</v>
      </c>
      <c r="E721" t="s">
        <v>23</v>
      </c>
      <c r="F721">
        <v>685</v>
      </c>
      <c r="G721">
        <v>33</v>
      </c>
      <c r="H721">
        <v>6</v>
      </c>
      <c r="I721">
        <v>174912.72</v>
      </c>
      <c r="J721">
        <v>1</v>
      </c>
      <c r="K721">
        <v>1</v>
      </c>
      <c r="L721">
        <v>1</v>
      </c>
      <c r="M721">
        <v>43932.54</v>
      </c>
      <c r="N721">
        <v>0</v>
      </c>
      <c r="O721" t="str">
        <f t="shared" si="33"/>
        <v>Good</v>
      </c>
      <c r="P721" t="str">
        <f t="shared" si="34"/>
        <v>Adult</v>
      </c>
      <c r="Q721" t="str">
        <f t="shared" si="35"/>
        <v>Medium Salary</v>
      </c>
    </row>
    <row r="722" spans="1:17" x14ac:dyDescent="0.25">
      <c r="A722">
        <v>909</v>
      </c>
      <c r="B722">
        <v>15754713</v>
      </c>
      <c r="C722" t="s">
        <v>706</v>
      </c>
      <c r="D722" t="s">
        <v>18</v>
      </c>
      <c r="E722" t="s">
        <v>23</v>
      </c>
      <c r="F722">
        <v>685</v>
      </c>
      <c r="G722">
        <v>31</v>
      </c>
      <c r="H722">
        <v>10</v>
      </c>
      <c r="I722">
        <v>135213.71</v>
      </c>
      <c r="J722">
        <v>1</v>
      </c>
      <c r="K722">
        <v>1</v>
      </c>
      <c r="L722">
        <v>1</v>
      </c>
      <c r="M722">
        <v>125777.28</v>
      </c>
      <c r="N722">
        <v>0</v>
      </c>
      <c r="O722" t="str">
        <f t="shared" si="33"/>
        <v>Good</v>
      </c>
      <c r="P722" t="str">
        <f t="shared" si="34"/>
        <v>Adult</v>
      </c>
      <c r="Q722" t="str">
        <f t="shared" si="35"/>
        <v>High Salary</v>
      </c>
    </row>
    <row r="723" spans="1:17" x14ac:dyDescent="0.25">
      <c r="A723">
        <v>910</v>
      </c>
      <c r="B723">
        <v>15693814</v>
      </c>
      <c r="C723" t="s">
        <v>707</v>
      </c>
      <c r="D723" t="s">
        <v>18</v>
      </c>
      <c r="E723" t="s">
        <v>23</v>
      </c>
      <c r="F723">
        <v>806</v>
      </c>
      <c r="G723">
        <v>25</v>
      </c>
      <c r="H723">
        <v>7</v>
      </c>
      <c r="I723">
        <v>0</v>
      </c>
      <c r="J723">
        <v>2</v>
      </c>
      <c r="K723">
        <v>1</v>
      </c>
      <c r="L723">
        <v>0</v>
      </c>
      <c r="M723">
        <v>18461.900000000001</v>
      </c>
      <c r="N723">
        <v>0</v>
      </c>
      <c r="O723" t="str">
        <f t="shared" si="33"/>
        <v>Good</v>
      </c>
      <c r="P723" t="str">
        <f t="shared" si="34"/>
        <v>Young Adult</v>
      </c>
      <c r="Q723" t="str">
        <f t="shared" si="35"/>
        <v>Low Salary</v>
      </c>
    </row>
    <row r="724" spans="1:17" x14ac:dyDescent="0.25">
      <c r="A724">
        <v>911</v>
      </c>
      <c r="B724">
        <v>15599660</v>
      </c>
      <c r="C724" t="s">
        <v>708</v>
      </c>
      <c r="D724" t="s">
        <v>15</v>
      </c>
      <c r="E724" t="s">
        <v>23</v>
      </c>
      <c r="F724">
        <v>604</v>
      </c>
      <c r="G724">
        <v>36</v>
      </c>
      <c r="H724">
        <v>6</v>
      </c>
      <c r="I724">
        <v>116229.85</v>
      </c>
      <c r="J724">
        <v>2</v>
      </c>
      <c r="K724">
        <v>1</v>
      </c>
      <c r="L724">
        <v>1</v>
      </c>
      <c r="M724">
        <v>79633.38</v>
      </c>
      <c r="N724">
        <v>0</v>
      </c>
      <c r="O724" t="str">
        <f t="shared" si="33"/>
        <v>Average</v>
      </c>
      <c r="P724" t="str">
        <f t="shared" si="34"/>
        <v>Adult</v>
      </c>
      <c r="Q724" t="str">
        <f t="shared" si="35"/>
        <v>High Salary</v>
      </c>
    </row>
    <row r="725" spans="1:17" x14ac:dyDescent="0.25">
      <c r="A725">
        <v>912</v>
      </c>
      <c r="B725">
        <v>15746490</v>
      </c>
      <c r="C725" t="s">
        <v>709</v>
      </c>
      <c r="D725" t="s">
        <v>18</v>
      </c>
      <c r="E725" t="s">
        <v>16</v>
      </c>
      <c r="F725">
        <v>648</v>
      </c>
      <c r="G725">
        <v>53</v>
      </c>
      <c r="H725">
        <v>6</v>
      </c>
      <c r="I725">
        <v>111201.41</v>
      </c>
      <c r="J725">
        <v>1</v>
      </c>
      <c r="K725">
        <v>1</v>
      </c>
      <c r="L725">
        <v>1</v>
      </c>
      <c r="M725">
        <v>121542.29</v>
      </c>
      <c r="N725">
        <v>0</v>
      </c>
      <c r="O725" t="str">
        <f t="shared" si="33"/>
        <v>Average</v>
      </c>
      <c r="P725" t="str">
        <f t="shared" si="34"/>
        <v>Adult</v>
      </c>
      <c r="Q725" t="str">
        <f t="shared" si="35"/>
        <v>High Salary</v>
      </c>
    </row>
    <row r="726" spans="1:17" x14ac:dyDescent="0.25">
      <c r="A726">
        <v>913</v>
      </c>
      <c r="B726">
        <v>15566091</v>
      </c>
      <c r="C726" t="s">
        <v>710</v>
      </c>
      <c r="D726" t="s">
        <v>18</v>
      </c>
      <c r="E726" t="s">
        <v>16</v>
      </c>
      <c r="F726">
        <v>545</v>
      </c>
      <c r="G726">
        <v>32</v>
      </c>
      <c r="H726">
        <v>4</v>
      </c>
      <c r="I726">
        <v>0</v>
      </c>
      <c r="J726">
        <v>1</v>
      </c>
      <c r="K726">
        <v>1</v>
      </c>
      <c r="L726">
        <v>0</v>
      </c>
      <c r="M726">
        <v>94739.199999999997</v>
      </c>
      <c r="N726">
        <v>0</v>
      </c>
      <c r="O726" t="str">
        <f t="shared" si="33"/>
        <v>Poor</v>
      </c>
      <c r="P726" t="str">
        <f t="shared" si="34"/>
        <v>Adult</v>
      </c>
      <c r="Q726" t="str">
        <f t="shared" si="35"/>
        <v>High Salary</v>
      </c>
    </row>
    <row r="727" spans="1:17" x14ac:dyDescent="0.25">
      <c r="A727">
        <v>914</v>
      </c>
      <c r="B727">
        <v>15655961</v>
      </c>
      <c r="C727" t="s">
        <v>91</v>
      </c>
      <c r="D727" t="s">
        <v>26</v>
      </c>
      <c r="E727" t="s">
        <v>23</v>
      </c>
      <c r="F727">
        <v>756</v>
      </c>
      <c r="G727">
        <v>27</v>
      </c>
      <c r="H727">
        <v>1</v>
      </c>
      <c r="I727">
        <v>131899</v>
      </c>
      <c r="J727">
        <v>1</v>
      </c>
      <c r="K727">
        <v>1</v>
      </c>
      <c r="L727">
        <v>0</v>
      </c>
      <c r="M727">
        <v>93302.29</v>
      </c>
      <c r="N727">
        <v>0</v>
      </c>
      <c r="O727" t="str">
        <f t="shared" si="33"/>
        <v>Good</v>
      </c>
      <c r="P727" t="str">
        <f t="shared" si="34"/>
        <v>Young Adult</v>
      </c>
      <c r="Q727" t="str">
        <f t="shared" si="35"/>
        <v>High Salary</v>
      </c>
    </row>
    <row r="728" spans="1:17" x14ac:dyDescent="0.25">
      <c r="A728">
        <v>915</v>
      </c>
      <c r="B728">
        <v>15710404</v>
      </c>
      <c r="C728" t="s">
        <v>711</v>
      </c>
      <c r="D728" t="s">
        <v>15</v>
      </c>
      <c r="E728" t="s">
        <v>23</v>
      </c>
      <c r="F728">
        <v>569</v>
      </c>
      <c r="G728">
        <v>35</v>
      </c>
      <c r="H728">
        <v>10</v>
      </c>
      <c r="I728">
        <v>124525.52</v>
      </c>
      <c r="J728">
        <v>1</v>
      </c>
      <c r="K728">
        <v>1</v>
      </c>
      <c r="L728">
        <v>1</v>
      </c>
      <c r="M728">
        <v>193793.78</v>
      </c>
      <c r="N728">
        <v>0</v>
      </c>
      <c r="O728" t="str">
        <f t="shared" si="33"/>
        <v>Poor</v>
      </c>
      <c r="P728" t="str">
        <f t="shared" si="34"/>
        <v>Adult</v>
      </c>
      <c r="Q728" t="str">
        <f t="shared" si="35"/>
        <v>High Salary</v>
      </c>
    </row>
    <row r="729" spans="1:17" x14ac:dyDescent="0.25">
      <c r="A729">
        <v>916</v>
      </c>
      <c r="B729">
        <v>15775625</v>
      </c>
      <c r="C729" t="s">
        <v>370</v>
      </c>
      <c r="D729" t="s">
        <v>15</v>
      </c>
      <c r="E729" t="s">
        <v>23</v>
      </c>
      <c r="F729">
        <v>596</v>
      </c>
      <c r="G729">
        <v>47</v>
      </c>
      <c r="H729">
        <v>6</v>
      </c>
      <c r="I729">
        <v>0</v>
      </c>
      <c r="J729">
        <v>1</v>
      </c>
      <c r="K729">
        <v>1</v>
      </c>
      <c r="L729">
        <v>0</v>
      </c>
      <c r="M729">
        <v>74835.649999999994</v>
      </c>
      <c r="N729">
        <v>0</v>
      </c>
      <c r="O729" t="str">
        <f t="shared" si="33"/>
        <v>Average</v>
      </c>
      <c r="P729" t="str">
        <f t="shared" si="34"/>
        <v>Adult</v>
      </c>
      <c r="Q729" t="str">
        <f t="shared" si="35"/>
        <v>High Salary</v>
      </c>
    </row>
    <row r="730" spans="1:17" x14ac:dyDescent="0.25">
      <c r="A730">
        <v>918</v>
      </c>
      <c r="B730">
        <v>15719856</v>
      </c>
      <c r="C730" t="s">
        <v>713</v>
      </c>
      <c r="D730" t="s">
        <v>15</v>
      </c>
      <c r="E730" t="s">
        <v>16</v>
      </c>
      <c r="F730">
        <v>646</v>
      </c>
      <c r="G730">
        <v>45</v>
      </c>
      <c r="H730">
        <v>3</v>
      </c>
      <c r="I730">
        <v>47134.75</v>
      </c>
      <c r="J730">
        <v>1</v>
      </c>
      <c r="K730">
        <v>1</v>
      </c>
      <c r="L730">
        <v>1</v>
      </c>
      <c r="M730">
        <v>57236.44</v>
      </c>
      <c r="N730">
        <v>0</v>
      </c>
      <c r="O730" t="str">
        <f t="shared" si="33"/>
        <v>Average</v>
      </c>
      <c r="P730" t="str">
        <f t="shared" si="34"/>
        <v>Adult</v>
      </c>
      <c r="Q730" t="str">
        <f t="shared" si="35"/>
        <v>Medium Salary</v>
      </c>
    </row>
    <row r="731" spans="1:17" x14ac:dyDescent="0.25">
      <c r="A731">
        <v>919</v>
      </c>
      <c r="B731">
        <v>15593773</v>
      </c>
      <c r="C731" t="s">
        <v>714</v>
      </c>
      <c r="D731" t="s">
        <v>18</v>
      </c>
      <c r="E731" t="s">
        <v>23</v>
      </c>
      <c r="F731">
        <v>784</v>
      </c>
      <c r="G731">
        <v>35</v>
      </c>
      <c r="H731">
        <v>3</v>
      </c>
      <c r="I731">
        <v>0</v>
      </c>
      <c r="J731">
        <v>2</v>
      </c>
      <c r="K731">
        <v>0</v>
      </c>
      <c r="L731">
        <v>0</v>
      </c>
      <c r="M731">
        <v>81483.64</v>
      </c>
      <c r="N731">
        <v>0</v>
      </c>
      <c r="O731" t="str">
        <f t="shared" si="33"/>
        <v>Good</v>
      </c>
      <c r="P731" t="str">
        <f t="shared" si="34"/>
        <v>Adult</v>
      </c>
      <c r="Q731" t="str">
        <f t="shared" si="35"/>
        <v>High Salary</v>
      </c>
    </row>
    <row r="732" spans="1:17" x14ac:dyDescent="0.25">
      <c r="A732">
        <v>920</v>
      </c>
      <c r="B732">
        <v>15733114</v>
      </c>
      <c r="C732" t="s">
        <v>220</v>
      </c>
      <c r="D732" t="s">
        <v>18</v>
      </c>
      <c r="E732" t="s">
        <v>23</v>
      </c>
      <c r="F732">
        <v>552</v>
      </c>
      <c r="G732">
        <v>45</v>
      </c>
      <c r="H732">
        <v>9</v>
      </c>
      <c r="I732">
        <v>0</v>
      </c>
      <c r="J732">
        <v>2</v>
      </c>
      <c r="K732">
        <v>1</v>
      </c>
      <c r="L732">
        <v>0</v>
      </c>
      <c r="M732">
        <v>26752.560000000001</v>
      </c>
      <c r="N732">
        <v>0</v>
      </c>
      <c r="O732" t="str">
        <f t="shared" si="33"/>
        <v>Poor</v>
      </c>
      <c r="P732" t="str">
        <f t="shared" si="34"/>
        <v>Adult</v>
      </c>
      <c r="Q732" t="str">
        <f t="shared" si="35"/>
        <v>Low Salary</v>
      </c>
    </row>
    <row r="733" spans="1:17" x14ac:dyDescent="0.25">
      <c r="A733">
        <v>921</v>
      </c>
      <c r="B733">
        <v>15797748</v>
      </c>
      <c r="C733" t="s">
        <v>456</v>
      </c>
      <c r="D733" t="s">
        <v>15</v>
      </c>
      <c r="E733" t="s">
        <v>23</v>
      </c>
      <c r="F733">
        <v>729</v>
      </c>
      <c r="G733">
        <v>44</v>
      </c>
      <c r="H733">
        <v>5</v>
      </c>
      <c r="I733">
        <v>0</v>
      </c>
      <c r="J733">
        <v>2</v>
      </c>
      <c r="K733">
        <v>0</v>
      </c>
      <c r="L733">
        <v>1</v>
      </c>
      <c r="M733">
        <v>9200.5400000000009</v>
      </c>
      <c r="N733">
        <v>0</v>
      </c>
      <c r="O733" t="str">
        <f t="shared" si="33"/>
        <v>Good</v>
      </c>
      <c r="P733" t="str">
        <f t="shared" si="34"/>
        <v>Adult</v>
      </c>
      <c r="Q733" t="str">
        <f t="shared" si="35"/>
        <v>Low Salary</v>
      </c>
    </row>
    <row r="734" spans="1:17" x14ac:dyDescent="0.25">
      <c r="A734">
        <v>924</v>
      </c>
      <c r="B734">
        <v>15601026</v>
      </c>
      <c r="C734" t="s">
        <v>656</v>
      </c>
      <c r="D734" t="s">
        <v>26</v>
      </c>
      <c r="E734" t="s">
        <v>16</v>
      </c>
      <c r="F734">
        <v>572</v>
      </c>
      <c r="G734">
        <v>19</v>
      </c>
      <c r="H734">
        <v>1</v>
      </c>
      <c r="I734">
        <v>138657.07999999999</v>
      </c>
      <c r="J734">
        <v>1</v>
      </c>
      <c r="K734">
        <v>1</v>
      </c>
      <c r="L734">
        <v>1</v>
      </c>
      <c r="M734">
        <v>16161.82</v>
      </c>
      <c r="N734">
        <v>0</v>
      </c>
      <c r="O734" t="str">
        <f t="shared" si="33"/>
        <v>Poor</v>
      </c>
      <c r="P734" t="str">
        <f t="shared" si="34"/>
        <v>Young Adult</v>
      </c>
      <c r="Q734" t="str">
        <f t="shared" si="35"/>
        <v>Low Salary</v>
      </c>
    </row>
    <row r="735" spans="1:17" x14ac:dyDescent="0.25">
      <c r="A735">
        <v>925</v>
      </c>
      <c r="B735">
        <v>15658485</v>
      </c>
      <c r="C735" t="s">
        <v>376</v>
      </c>
      <c r="D735" t="s">
        <v>15</v>
      </c>
      <c r="E735" t="s">
        <v>16</v>
      </c>
      <c r="F735">
        <v>785</v>
      </c>
      <c r="G735">
        <v>34</v>
      </c>
      <c r="H735">
        <v>9</v>
      </c>
      <c r="I735">
        <v>70302.48</v>
      </c>
      <c r="J735">
        <v>1</v>
      </c>
      <c r="K735">
        <v>1</v>
      </c>
      <c r="L735">
        <v>1</v>
      </c>
      <c r="M735">
        <v>68600.36</v>
      </c>
      <c r="N735">
        <v>0</v>
      </c>
      <c r="O735" t="str">
        <f t="shared" si="33"/>
        <v>Good</v>
      </c>
      <c r="P735" t="str">
        <f t="shared" si="34"/>
        <v>Adult</v>
      </c>
      <c r="Q735" t="str">
        <f t="shared" si="35"/>
        <v>Medium Salary</v>
      </c>
    </row>
    <row r="736" spans="1:17" x14ac:dyDescent="0.25">
      <c r="A736">
        <v>926</v>
      </c>
      <c r="B736">
        <v>15636731</v>
      </c>
      <c r="C736" t="s">
        <v>305</v>
      </c>
      <c r="D736" t="s">
        <v>26</v>
      </c>
      <c r="E736" t="s">
        <v>16</v>
      </c>
      <c r="F736">
        <v>714</v>
      </c>
      <c r="G736">
        <v>36</v>
      </c>
      <c r="H736">
        <v>1</v>
      </c>
      <c r="I736">
        <v>101609.01</v>
      </c>
      <c r="J736">
        <v>2</v>
      </c>
      <c r="K736">
        <v>1</v>
      </c>
      <c r="L736">
        <v>1</v>
      </c>
      <c r="M736">
        <v>447.73</v>
      </c>
      <c r="N736">
        <v>0</v>
      </c>
      <c r="O736" t="str">
        <f t="shared" si="33"/>
        <v>Good</v>
      </c>
      <c r="P736" t="str">
        <f t="shared" si="34"/>
        <v>Adult</v>
      </c>
      <c r="Q736" t="str">
        <f t="shared" si="35"/>
        <v>Low Salary</v>
      </c>
    </row>
    <row r="737" spans="1:17" x14ac:dyDescent="0.25">
      <c r="A737">
        <v>927</v>
      </c>
      <c r="B737">
        <v>15628303</v>
      </c>
      <c r="C737" t="s">
        <v>717</v>
      </c>
      <c r="D737" t="s">
        <v>18</v>
      </c>
      <c r="E737" t="s">
        <v>23</v>
      </c>
      <c r="F737">
        <v>738</v>
      </c>
      <c r="G737">
        <v>35</v>
      </c>
      <c r="H737">
        <v>3</v>
      </c>
      <c r="I737">
        <v>0</v>
      </c>
      <c r="J737">
        <v>1</v>
      </c>
      <c r="K737">
        <v>1</v>
      </c>
      <c r="L737">
        <v>1</v>
      </c>
      <c r="M737">
        <v>15650.73</v>
      </c>
      <c r="N737">
        <v>0</v>
      </c>
      <c r="O737" t="str">
        <f t="shared" si="33"/>
        <v>Good</v>
      </c>
      <c r="P737" t="str">
        <f t="shared" si="34"/>
        <v>Adult</v>
      </c>
      <c r="Q737" t="str">
        <f t="shared" si="35"/>
        <v>Low Salary</v>
      </c>
    </row>
    <row r="738" spans="1:17" x14ac:dyDescent="0.25">
      <c r="A738">
        <v>928</v>
      </c>
      <c r="B738">
        <v>15633461</v>
      </c>
      <c r="C738" t="s">
        <v>364</v>
      </c>
      <c r="D738" t="s">
        <v>26</v>
      </c>
      <c r="E738" t="s">
        <v>23</v>
      </c>
      <c r="F738">
        <v>639</v>
      </c>
      <c r="G738">
        <v>38</v>
      </c>
      <c r="H738">
        <v>5</v>
      </c>
      <c r="I738">
        <v>130170.82</v>
      </c>
      <c r="J738">
        <v>1</v>
      </c>
      <c r="K738">
        <v>1</v>
      </c>
      <c r="L738">
        <v>1</v>
      </c>
      <c r="M738">
        <v>149599.62</v>
      </c>
      <c r="N738">
        <v>0</v>
      </c>
      <c r="O738" t="str">
        <f t="shared" si="33"/>
        <v>Average</v>
      </c>
      <c r="P738" t="str">
        <f t="shared" si="34"/>
        <v>Adult</v>
      </c>
      <c r="Q738" t="str">
        <f t="shared" si="35"/>
        <v>High Salary</v>
      </c>
    </row>
    <row r="739" spans="1:17" x14ac:dyDescent="0.25">
      <c r="A739">
        <v>929</v>
      </c>
      <c r="B739">
        <v>15677135</v>
      </c>
      <c r="C739" t="s">
        <v>56</v>
      </c>
      <c r="D739" t="s">
        <v>26</v>
      </c>
      <c r="E739" t="s">
        <v>23</v>
      </c>
      <c r="F739">
        <v>520</v>
      </c>
      <c r="G739">
        <v>61</v>
      </c>
      <c r="H739">
        <v>8</v>
      </c>
      <c r="I739">
        <v>133802.29</v>
      </c>
      <c r="J739">
        <v>2</v>
      </c>
      <c r="K739">
        <v>1</v>
      </c>
      <c r="L739">
        <v>1</v>
      </c>
      <c r="M739">
        <v>90304.01</v>
      </c>
      <c r="N739">
        <v>0</v>
      </c>
      <c r="O739" t="str">
        <f t="shared" si="33"/>
        <v>Poor</v>
      </c>
      <c r="P739" t="str">
        <f t="shared" si="34"/>
        <v>Senior</v>
      </c>
      <c r="Q739" t="str">
        <f t="shared" si="35"/>
        <v>High Salary</v>
      </c>
    </row>
    <row r="740" spans="1:17" x14ac:dyDescent="0.25">
      <c r="A740">
        <v>930</v>
      </c>
      <c r="B740">
        <v>15590876</v>
      </c>
      <c r="C740" t="s">
        <v>718</v>
      </c>
      <c r="D740" t="s">
        <v>15</v>
      </c>
      <c r="E740" t="s">
        <v>16</v>
      </c>
      <c r="F740">
        <v>764</v>
      </c>
      <c r="G740">
        <v>24</v>
      </c>
      <c r="H740">
        <v>7</v>
      </c>
      <c r="I740">
        <v>106234.02</v>
      </c>
      <c r="J740">
        <v>1</v>
      </c>
      <c r="K740">
        <v>0</v>
      </c>
      <c r="L740">
        <v>0</v>
      </c>
      <c r="M740">
        <v>115676.38</v>
      </c>
      <c r="N740">
        <v>0</v>
      </c>
      <c r="O740" t="str">
        <f t="shared" si="33"/>
        <v>Good</v>
      </c>
      <c r="P740" t="str">
        <f t="shared" si="34"/>
        <v>Young Adult</v>
      </c>
      <c r="Q740" t="str">
        <f t="shared" si="35"/>
        <v>High Salary</v>
      </c>
    </row>
    <row r="741" spans="1:17" x14ac:dyDescent="0.25">
      <c r="A741">
        <v>931</v>
      </c>
      <c r="B741">
        <v>15790782</v>
      </c>
      <c r="C741" t="s">
        <v>719</v>
      </c>
      <c r="D741" t="s">
        <v>18</v>
      </c>
      <c r="E741" t="s">
        <v>23</v>
      </c>
      <c r="F741">
        <v>661</v>
      </c>
      <c r="G741">
        <v>39</v>
      </c>
      <c r="H741">
        <v>6</v>
      </c>
      <c r="I741">
        <v>132628.98000000001</v>
      </c>
      <c r="J741">
        <v>1</v>
      </c>
      <c r="K741">
        <v>0</v>
      </c>
      <c r="L741">
        <v>0</v>
      </c>
      <c r="M741">
        <v>38812.67</v>
      </c>
      <c r="N741">
        <v>0</v>
      </c>
      <c r="O741" t="str">
        <f t="shared" si="33"/>
        <v>Average</v>
      </c>
      <c r="P741" t="str">
        <f t="shared" si="34"/>
        <v>Adult</v>
      </c>
      <c r="Q741" t="str">
        <f t="shared" si="35"/>
        <v>Medium Salary</v>
      </c>
    </row>
    <row r="742" spans="1:17" x14ac:dyDescent="0.25">
      <c r="A742">
        <v>932</v>
      </c>
      <c r="B742">
        <v>15700476</v>
      </c>
      <c r="C742" t="s">
        <v>613</v>
      </c>
      <c r="D742" t="s">
        <v>26</v>
      </c>
      <c r="E742" t="s">
        <v>23</v>
      </c>
      <c r="F742">
        <v>564</v>
      </c>
      <c r="G742">
        <v>41</v>
      </c>
      <c r="H742">
        <v>9</v>
      </c>
      <c r="I742">
        <v>103522.75</v>
      </c>
      <c r="J742">
        <v>2</v>
      </c>
      <c r="K742">
        <v>1</v>
      </c>
      <c r="L742">
        <v>1</v>
      </c>
      <c r="M742">
        <v>34338.21</v>
      </c>
      <c r="N742">
        <v>0</v>
      </c>
      <c r="O742" t="str">
        <f t="shared" si="33"/>
        <v>Poor</v>
      </c>
      <c r="P742" t="str">
        <f t="shared" si="34"/>
        <v>Adult</v>
      </c>
      <c r="Q742" t="str">
        <f t="shared" si="35"/>
        <v>Medium Salary</v>
      </c>
    </row>
    <row r="743" spans="1:17" x14ac:dyDescent="0.25">
      <c r="A743">
        <v>933</v>
      </c>
      <c r="B743">
        <v>15634141</v>
      </c>
      <c r="C743" t="s">
        <v>720</v>
      </c>
      <c r="D743" t="s">
        <v>26</v>
      </c>
      <c r="E743" t="s">
        <v>16</v>
      </c>
      <c r="F743">
        <v>708</v>
      </c>
      <c r="G743">
        <v>42</v>
      </c>
      <c r="H743">
        <v>8</v>
      </c>
      <c r="I743">
        <v>192390.52</v>
      </c>
      <c r="J743">
        <v>2</v>
      </c>
      <c r="K743">
        <v>1</v>
      </c>
      <c r="L743">
        <v>0</v>
      </c>
      <c r="M743">
        <v>823.36</v>
      </c>
      <c r="N743">
        <v>0</v>
      </c>
      <c r="O743" t="str">
        <f t="shared" si="33"/>
        <v>Good</v>
      </c>
      <c r="P743" t="str">
        <f t="shared" si="34"/>
        <v>Adult</v>
      </c>
      <c r="Q743" t="str">
        <f t="shared" si="35"/>
        <v>Low Salary</v>
      </c>
    </row>
    <row r="744" spans="1:17" x14ac:dyDescent="0.25">
      <c r="A744">
        <v>935</v>
      </c>
      <c r="B744">
        <v>15790299</v>
      </c>
      <c r="C744" t="s">
        <v>619</v>
      </c>
      <c r="D744" t="s">
        <v>18</v>
      </c>
      <c r="E744" t="s">
        <v>23</v>
      </c>
      <c r="F744">
        <v>592</v>
      </c>
      <c r="G744">
        <v>37</v>
      </c>
      <c r="H744">
        <v>9</v>
      </c>
      <c r="I744">
        <v>0</v>
      </c>
      <c r="J744">
        <v>3</v>
      </c>
      <c r="K744">
        <v>1</v>
      </c>
      <c r="L744">
        <v>1</v>
      </c>
      <c r="M744">
        <v>10656.89</v>
      </c>
      <c r="N744">
        <v>0</v>
      </c>
      <c r="O744" t="str">
        <f t="shared" si="33"/>
        <v>Average</v>
      </c>
      <c r="P744" t="str">
        <f t="shared" si="34"/>
        <v>Adult</v>
      </c>
      <c r="Q744" t="str">
        <f t="shared" si="35"/>
        <v>Low Salary</v>
      </c>
    </row>
    <row r="745" spans="1:17" x14ac:dyDescent="0.25">
      <c r="A745">
        <v>936</v>
      </c>
      <c r="B745">
        <v>15675316</v>
      </c>
      <c r="C745" t="s">
        <v>721</v>
      </c>
      <c r="D745" t="s">
        <v>15</v>
      </c>
      <c r="E745" t="s">
        <v>16</v>
      </c>
      <c r="F745">
        <v>619</v>
      </c>
      <c r="G745">
        <v>38</v>
      </c>
      <c r="H745">
        <v>3</v>
      </c>
      <c r="I745">
        <v>0</v>
      </c>
      <c r="J745">
        <v>2</v>
      </c>
      <c r="K745">
        <v>0</v>
      </c>
      <c r="L745">
        <v>1</v>
      </c>
      <c r="M745">
        <v>116467.35</v>
      </c>
      <c r="N745">
        <v>0</v>
      </c>
      <c r="O745" t="str">
        <f t="shared" si="33"/>
        <v>Average</v>
      </c>
      <c r="P745" t="str">
        <f t="shared" si="34"/>
        <v>Adult</v>
      </c>
      <c r="Q745" t="str">
        <f t="shared" si="35"/>
        <v>High Salary</v>
      </c>
    </row>
    <row r="746" spans="1:17" x14ac:dyDescent="0.25">
      <c r="A746">
        <v>938</v>
      </c>
      <c r="B746">
        <v>15662100</v>
      </c>
      <c r="C746" t="s">
        <v>722</v>
      </c>
      <c r="D746" t="s">
        <v>26</v>
      </c>
      <c r="E746" t="s">
        <v>16</v>
      </c>
      <c r="F746">
        <v>850</v>
      </c>
      <c r="G746">
        <v>44</v>
      </c>
      <c r="H746">
        <v>5</v>
      </c>
      <c r="I746">
        <v>128605.32</v>
      </c>
      <c r="J746">
        <v>1</v>
      </c>
      <c r="K746">
        <v>0</v>
      </c>
      <c r="L746">
        <v>1</v>
      </c>
      <c r="M746">
        <v>171096.2</v>
      </c>
      <c r="N746">
        <v>0</v>
      </c>
      <c r="O746" t="str">
        <f t="shared" si="33"/>
        <v>Good</v>
      </c>
      <c r="P746" t="str">
        <f t="shared" si="34"/>
        <v>Adult</v>
      </c>
      <c r="Q746" t="str">
        <f t="shared" si="35"/>
        <v>High Salary</v>
      </c>
    </row>
    <row r="747" spans="1:17" x14ac:dyDescent="0.25">
      <c r="A747">
        <v>939</v>
      </c>
      <c r="B747">
        <v>15668032</v>
      </c>
      <c r="C747" t="s">
        <v>723</v>
      </c>
      <c r="D747" t="s">
        <v>15</v>
      </c>
      <c r="E747" t="s">
        <v>16</v>
      </c>
      <c r="F747">
        <v>577</v>
      </c>
      <c r="G747">
        <v>37</v>
      </c>
      <c r="H747">
        <v>4</v>
      </c>
      <c r="I747">
        <v>0</v>
      </c>
      <c r="J747">
        <v>1</v>
      </c>
      <c r="K747">
        <v>1</v>
      </c>
      <c r="L747">
        <v>1</v>
      </c>
      <c r="M747">
        <v>79881.39</v>
      </c>
      <c r="N747">
        <v>0</v>
      </c>
      <c r="O747" t="str">
        <f t="shared" si="33"/>
        <v>Poor</v>
      </c>
      <c r="P747" t="str">
        <f t="shared" si="34"/>
        <v>Adult</v>
      </c>
      <c r="Q747" t="str">
        <f t="shared" si="35"/>
        <v>High Salary</v>
      </c>
    </row>
    <row r="748" spans="1:17" x14ac:dyDescent="0.25">
      <c r="A748">
        <v>940</v>
      </c>
      <c r="B748">
        <v>15599289</v>
      </c>
      <c r="C748" t="s">
        <v>724</v>
      </c>
      <c r="D748" t="s">
        <v>15</v>
      </c>
      <c r="E748" t="s">
        <v>16</v>
      </c>
      <c r="F748">
        <v>724</v>
      </c>
      <c r="G748">
        <v>37</v>
      </c>
      <c r="H748">
        <v>10</v>
      </c>
      <c r="I748">
        <v>68598.559999999998</v>
      </c>
      <c r="J748">
        <v>1</v>
      </c>
      <c r="K748">
        <v>1</v>
      </c>
      <c r="L748">
        <v>0</v>
      </c>
      <c r="M748">
        <v>157862.82</v>
      </c>
      <c r="N748">
        <v>0</v>
      </c>
      <c r="O748" t="str">
        <f t="shared" si="33"/>
        <v>Good</v>
      </c>
      <c r="P748" t="str">
        <f t="shared" si="34"/>
        <v>Adult</v>
      </c>
      <c r="Q748" t="str">
        <f t="shared" si="35"/>
        <v>High Salary</v>
      </c>
    </row>
    <row r="749" spans="1:17" x14ac:dyDescent="0.25">
      <c r="A749">
        <v>941</v>
      </c>
      <c r="B749">
        <v>15754084</v>
      </c>
      <c r="C749" t="s">
        <v>725</v>
      </c>
      <c r="D749" t="s">
        <v>18</v>
      </c>
      <c r="E749" t="s">
        <v>23</v>
      </c>
      <c r="F749">
        <v>710</v>
      </c>
      <c r="G749">
        <v>35</v>
      </c>
      <c r="H749">
        <v>1</v>
      </c>
      <c r="I749">
        <v>106518.52</v>
      </c>
      <c r="J749">
        <v>1</v>
      </c>
      <c r="K749">
        <v>1</v>
      </c>
      <c r="L749">
        <v>1</v>
      </c>
      <c r="M749">
        <v>127951.81</v>
      </c>
      <c r="N749">
        <v>0</v>
      </c>
      <c r="O749" t="str">
        <f t="shared" si="33"/>
        <v>Good</v>
      </c>
      <c r="P749" t="str">
        <f t="shared" si="34"/>
        <v>Adult</v>
      </c>
      <c r="Q749" t="str">
        <f t="shared" si="35"/>
        <v>High Salary</v>
      </c>
    </row>
    <row r="750" spans="1:17" x14ac:dyDescent="0.25">
      <c r="A750">
        <v>942</v>
      </c>
      <c r="B750">
        <v>15676521</v>
      </c>
      <c r="C750" t="s">
        <v>726</v>
      </c>
      <c r="D750" t="s">
        <v>15</v>
      </c>
      <c r="E750" t="s">
        <v>16</v>
      </c>
      <c r="F750">
        <v>696</v>
      </c>
      <c r="G750">
        <v>31</v>
      </c>
      <c r="H750">
        <v>8</v>
      </c>
      <c r="I750">
        <v>0</v>
      </c>
      <c r="J750">
        <v>2</v>
      </c>
      <c r="K750">
        <v>0</v>
      </c>
      <c r="L750">
        <v>0</v>
      </c>
      <c r="M750">
        <v>191074.11</v>
      </c>
      <c r="N750">
        <v>0</v>
      </c>
      <c r="O750" t="str">
        <f t="shared" si="33"/>
        <v>Good</v>
      </c>
      <c r="P750" t="str">
        <f t="shared" si="34"/>
        <v>Adult</v>
      </c>
      <c r="Q750" t="str">
        <f t="shared" si="35"/>
        <v>High Salary</v>
      </c>
    </row>
    <row r="751" spans="1:17" x14ac:dyDescent="0.25">
      <c r="A751">
        <v>944</v>
      </c>
      <c r="B751">
        <v>15781465</v>
      </c>
      <c r="C751" t="s">
        <v>727</v>
      </c>
      <c r="D751" t="s">
        <v>26</v>
      </c>
      <c r="E751" t="s">
        <v>16</v>
      </c>
      <c r="F751">
        <v>675</v>
      </c>
      <c r="G751">
        <v>29</v>
      </c>
      <c r="H751">
        <v>8</v>
      </c>
      <c r="I751">
        <v>121326.42</v>
      </c>
      <c r="J751">
        <v>1</v>
      </c>
      <c r="K751">
        <v>1</v>
      </c>
      <c r="L751">
        <v>0</v>
      </c>
      <c r="M751">
        <v>133457.51999999999</v>
      </c>
      <c r="N751">
        <v>0</v>
      </c>
      <c r="O751" t="str">
        <f t="shared" si="33"/>
        <v>Good</v>
      </c>
      <c r="P751" t="str">
        <f t="shared" si="34"/>
        <v>Young Adult</v>
      </c>
      <c r="Q751" t="str">
        <f t="shared" si="35"/>
        <v>High Salary</v>
      </c>
    </row>
    <row r="752" spans="1:17" x14ac:dyDescent="0.25">
      <c r="A752">
        <v>945</v>
      </c>
      <c r="B752">
        <v>15729362</v>
      </c>
      <c r="C752" t="s">
        <v>499</v>
      </c>
      <c r="D752" t="s">
        <v>15</v>
      </c>
      <c r="E752" t="s">
        <v>23</v>
      </c>
      <c r="F752">
        <v>745</v>
      </c>
      <c r="G752">
        <v>36</v>
      </c>
      <c r="H752">
        <v>8</v>
      </c>
      <c r="I752">
        <v>67226.37</v>
      </c>
      <c r="J752">
        <v>1</v>
      </c>
      <c r="K752">
        <v>1</v>
      </c>
      <c r="L752">
        <v>0</v>
      </c>
      <c r="M752">
        <v>130789.6</v>
      </c>
      <c r="N752">
        <v>0</v>
      </c>
      <c r="O752" t="str">
        <f t="shared" si="33"/>
        <v>Good</v>
      </c>
      <c r="P752" t="str">
        <f t="shared" si="34"/>
        <v>Adult</v>
      </c>
      <c r="Q752" t="str">
        <f t="shared" si="35"/>
        <v>High Salary</v>
      </c>
    </row>
    <row r="753" spans="1:17" x14ac:dyDescent="0.25">
      <c r="A753">
        <v>946</v>
      </c>
      <c r="B753">
        <v>15709295</v>
      </c>
      <c r="C753" t="s">
        <v>728</v>
      </c>
      <c r="D753" t="s">
        <v>18</v>
      </c>
      <c r="E753" t="s">
        <v>16</v>
      </c>
      <c r="F753">
        <v>697</v>
      </c>
      <c r="G753">
        <v>25</v>
      </c>
      <c r="H753">
        <v>5</v>
      </c>
      <c r="I753">
        <v>82931.850000000006</v>
      </c>
      <c r="J753">
        <v>2</v>
      </c>
      <c r="K753">
        <v>1</v>
      </c>
      <c r="L753">
        <v>1</v>
      </c>
      <c r="M753">
        <v>128373.88</v>
      </c>
      <c r="N753">
        <v>0</v>
      </c>
      <c r="O753" t="str">
        <f t="shared" si="33"/>
        <v>Good</v>
      </c>
      <c r="P753" t="str">
        <f t="shared" si="34"/>
        <v>Young Adult</v>
      </c>
      <c r="Q753" t="str">
        <f t="shared" si="35"/>
        <v>High Salary</v>
      </c>
    </row>
    <row r="754" spans="1:17" x14ac:dyDescent="0.25">
      <c r="A754">
        <v>949</v>
      </c>
      <c r="B754">
        <v>15783659</v>
      </c>
      <c r="C754" t="s">
        <v>729</v>
      </c>
      <c r="D754" t="s">
        <v>15</v>
      </c>
      <c r="E754" t="s">
        <v>23</v>
      </c>
      <c r="F754">
        <v>659</v>
      </c>
      <c r="G754">
        <v>67</v>
      </c>
      <c r="H754">
        <v>4</v>
      </c>
      <c r="I754">
        <v>145981.87</v>
      </c>
      <c r="J754">
        <v>1</v>
      </c>
      <c r="K754">
        <v>1</v>
      </c>
      <c r="L754">
        <v>1</v>
      </c>
      <c r="M754">
        <v>131043.2</v>
      </c>
      <c r="N754">
        <v>0</v>
      </c>
      <c r="O754" t="str">
        <f t="shared" si="33"/>
        <v>Average</v>
      </c>
      <c r="P754" t="str">
        <f t="shared" si="34"/>
        <v>Senior</v>
      </c>
      <c r="Q754" t="str">
        <f t="shared" si="35"/>
        <v>High Salary</v>
      </c>
    </row>
    <row r="755" spans="1:17" x14ac:dyDescent="0.25">
      <c r="A755">
        <v>951</v>
      </c>
      <c r="B755">
        <v>15630328</v>
      </c>
      <c r="C755" t="s">
        <v>731</v>
      </c>
      <c r="D755" t="s">
        <v>15</v>
      </c>
      <c r="E755" t="s">
        <v>16</v>
      </c>
      <c r="F755">
        <v>635</v>
      </c>
      <c r="G755">
        <v>48</v>
      </c>
      <c r="H755">
        <v>8</v>
      </c>
      <c r="I755">
        <v>130796.33</v>
      </c>
      <c r="J755">
        <v>2</v>
      </c>
      <c r="K755">
        <v>1</v>
      </c>
      <c r="L755">
        <v>1</v>
      </c>
      <c r="M755">
        <v>43250.3</v>
      </c>
      <c r="N755">
        <v>0</v>
      </c>
      <c r="O755" t="str">
        <f t="shared" si="33"/>
        <v>Average</v>
      </c>
      <c r="P755" t="str">
        <f t="shared" si="34"/>
        <v>Adult</v>
      </c>
      <c r="Q755" t="str">
        <f t="shared" si="35"/>
        <v>Medium Salary</v>
      </c>
    </row>
    <row r="756" spans="1:17" x14ac:dyDescent="0.25">
      <c r="A756">
        <v>952</v>
      </c>
      <c r="B756">
        <v>15785899</v>
      </c>
      <c r="C756" t="s">
        <v>404</v>
      </c>
      <c r="D756" t="s">
        <v>26</v>
      </c>
      <c r="E756" t="s">
        <v>23</v>
      </c>
      <c r="F756">
        <v>789</v>
      </c>
      <c r="G756">
        <v>33</v>
      </c>
      <c r="H756">
        <v>8</v>
      </c>
      <c r="I756">
        <v>151607.56</v>
      </c>
      <c r="J756">
        <v>1</v>
      </c>
      <c r="K756">
        <v>1</v>
      </c>
      <c r="L756">
        <v>0</v>
      </c>
      <c r="M756">
        <v>4389.3999999999996</v>
      </c>
      <c r="N756">
        <v>0</v>
      </c>
      <c r="O756" t="str">
        <f t="shared" si="33"/>
        <v>Good</v>
      </c>
      <c r="P756" t="str">
        <f t="shared" si="34"/>
        <v>Adult</v>
      </c>
      <c r="Q756" t="str">
        <f t="shared" si="35"/>
        <v>Low Salary</v>
      </c>
    </row>
    <row r="757" spans="1:17" x14ac:dyDescent="0.25">
      <c r="A757">
        <v>953</v>
      </c>
      <c r="B757">
        <v>15606149</v>
      </c>
      <c r="C757" t="s">
        <v>178</v>
      </c>
      <c r="D757" t="s">
        <v>26</v>
      </c>
      <c r="E757" t="s">
        <v>16</v>
      </c>
      <c r="F757">
        <v>571</v>
      </c>
      <c r="G757">
        <v>66</v>
      </c>
      <c r="H757">
        <v>9</v>
      </c>
      <c r="I757">
        <v>111577.01</v>
      </c>
      <c r="J757">
        <v>1</v>
      </c>
      <c r="K757">
        <v>0</v>
      </c>
      <c r="L757">
        <v>1</v>
      </c>
      <c r="M757">
        <v>189271.9</v>
      </c>
      <c r="N757">
        <v>0</v>
      </c>
      <c r="O757" t="str">
        <f t="shared" si="33"/>
        <v>Poor</v>
      </c>
      <c r="P757" t="str">
        <f t="shared" si="34"/>
        <v>Senior</v>
      </c>
      <c r="Q757" t="str">
        <f t="shared" si="35"/>
        <v>High Salary</v>
      </c>
    </row>
    <row r="758" spans="1:17" x14ac:dyDescent="0.25">
      <c r="A758">
        <v>954</v>
      </c>
      <c r="B758">
        <v>15671139</v>
      </c>
      <c r="C758" t="s">
        <v>732</v>
      </c>
      <c r="D758" t="s">
        <v>18</v>
      </c>
      <c r="E758" t="s">
        <v>23</v>
      </c>
      <c r="F758">
        <v>694</v>
      </c>
      <c r="G758">
        <v>39</v>
      </c>
      <c r="H758">
        <v>0</v>
      </c>
      <c r="I758">
        <v>107042.74</v>
      </c>
      <c r="J758">
        <v>1</v>
      </c>
      <c r="K758">
        <v>1</v>
      </c>
      <c r="L758">
        <v>1</v>
      </c>
      <c r="M758">
        <v>102284.2</v>
      </c>
      <c r="N758">
        <v>0</v>
      </c>
      <c r="O758" t="str">
        <f t="shared" si="33"/>
        <v>Good</v>
      </c>
      <c r="P758" t="str">
        <f t="shared" si="34"/>
        <v>Adult</v>
      </c>
      <c r="Q758" t="str">
        <f t="shared" si="35"/>
        <v>High Salary</v>
      </c>
    </row>
    <row r="759" spans="1:17" x14ac:dyDescent="0.25">
      <c r="A759">
        <v>956</v>
      </c>
      <c r="B759">
        <v>15571002</v>
      </c>
      <c r="C759" t="s">
        <v>734</v>
      </c>
      <c r="D759" t="s">
        <v>15</v>
      </c>
      <c r="E759" t="s">
        <v>16</v>
      </c>
      <c r="F759">
        <v>706</v>
      </c>
      <c r="G759">
        <v>44</v>
      </c>
      <c r="H759">
        <v>4</v>
      </c>
      <c r="I759">
        <v>129605.99</v>
      </c>
      <c r="J759">
        <v>1</v>
      </c>
      <c r="K759">
        <v>0</v>
      </c>
      <c r="L759">
        <v>0</v>
      </c>
      <c r="M759">
        <v>69865.490000000005</v>
      </c>
      <c r="N759">
        <v>0</v>
      </c>
      <c r="O759" t="str">
        <f t="shared" si="33"/>
        <v>Good</v>
      </c>
      <c r="P759" t="str">
        <f t="shared" si="34"/>
        <v>Adult</v>
      </c>
      <c r="Q759" t="str">
        <f t="shared" si="35"/>
        <v>Medium Salary</v>
      </c>
    </row>
    <row r="760" spans="1:17" x14ac:dyDescent="0.25">
      <c r="A760">
        <v>957</v>
      </c>
      <c r="B760">
        <v>15631681</v>
      </c>
      <c r="C760" t="s">
        <v>735</v>
      </c>
      <c r="D760" t="s">
        <v>18</v>
      </c>
      <c r="E760" t="s">
        <v>16</v>
      </c>
      <c r="F760">
        <v>807</v>
      </c>
      <c r="G760">
        <v>43</v>
      </c>
      <c r="H760">
        <v>0</v>
      </c>
      <c r="I760">
        <v>0</v>
      </c>
      <c r="J760">
        <v>2</v>
      </c>
      <c r="K760">
        <v>0</v>
      </c>
      <c r="L760">
        <v>1</v>
      </c>
      <c r="M760">
        <v>85523.24</v>
      </c>
      <c r="N760">
        <v>0</v>
      </c>
      <c r="O760" t="str">
        <f t="shared" si="33"/>
        <v>Good</v>
      </c>
      <c r="P760" t="str">
        <f t="shared" si="34"/>
        <v>Adult</v>
      </c>
      <c r="Q760" t="str">
        <f t="shared" si="35"/>
        <v>High Salary</v>
      </c>
    </row>
    <row r="761" spans="1:17" x14ac:dyDescent="0.25">
      <c r="A761">
        <v>958</v>
      </c>
      <c r="B761">
        <v>15731522</v>
      </c>
      <c r="C761" t="s">
        <v>616</v>
      </c>
      <c r="D761" t="s">
        <v>18</v>
      </c>
      <c r="E761" t="s">
        <v>16</v>
      </c>
      <c r="F761">
        <v>771</v>
      </c>
      <c r="G761">
        <v>67</v>
      </c>
      <c r="H761">
        <v>8</v>
      </c>
      <c r="I761">
        <v>0</v>
      </c>
      <c r="J761">
        <v>2</v>
      </c>
      <c r="K761">
        <v>1</v>
      </c>
      <c r="L761">
        <v>1</v>
      </c>
      <c r="M761">
        <v>51219.8</v>
      </c>
      <c r="N761">
        <v>0</v>
      </c>
      <c r="O761" t="str">
        <f t="shared" si="33"/>
        <v>Good</v>
      </c>
      <c r="P761" t="str">
        <f t="shared" si="34"/>
        <v>Senior</v>
      </c>
      <c r="Q761" t="str">
        <f t="shared" si="35"/>
        <v>Medium Salary</v>
      </c>
    </row>
    <row r="762" spans="1:17" x14ac:dyDescent="0.25">
      <c r="A762">
        <v>959</v>
      </c>
      <c r="B762">
        <v>15619529</v>
      </c>
      <c r="C762" t="s">
        <v>104</v>
      </c>
      <c r="D762" t="s">
        <v>18</v>
      </c>
      <c r="E762" t="s">
        <v>23</v>
      </c>
      <c r="F762">
        <v>531</v>
      </c>
      <c r="G762">
        <v>27</v>
      </c>
      <c r="H762">
        <v>8</v>
      </c>
      <c r="I762">
        <v>132576.25</v>
      </c>
      <c r="J762">
        <v>1</v>
      </c>
      <c r="K762">
        <v>0</v>
      </c>
      <c r="L762">
        <v>0</v>
      </c>
      <c r="M762">
        <v>7222.92</v>
      </c>
      <c r="N762">
        <v>0</v>
      </c>
      <c r="O762" t="str">
        <f t="shared" si="33"/>
        <v>Poor</v>
      </c>
      <c r="P762" t="str">
        <f t="shared" si="34"/>
        <v>Young Adult</v>
      </c>
      <c r="Q762" t="str">
        <f t="shared" si="35"/>
        <v>Low Salary</v>
      </c>
    </row>
    <row r="763" spans="1:17" x14ac:dyDescent="0.25">
      <c r="A763">
        <v>960</v>
      </c>
      <c r="B763">
        <v>15628034</v>
      </c>
      <c r="C763" t="s">
        <v>736</v>
      </c>
      <c r="D763" t="s">
        <v>15</v>
      </c>
      <c r="E763" t="s">
        <v>16</v>
      </c>
      <c r="F763">
        <v>629</v>
      </c>
      <c r="G763">
        <v>37</v>
      </c>
      <c r="H763">
        <v>6</v>
      </c>
      <c r="I763">
        <v>129101.3</v>
      </c>
      <c r="J763">
        <v>1</v>
      </c>
      <c r="K763">
        <v>1</v>
      </c>
      <c r="L763">
        <v>1</v>
      </c>
      <c r="M763">
        <v>23971.33</v>
      </c>
      <c r="N763">
        <v>0</v>
      </c>
      <c r="O763" t="str">
        <f t="shared" si="33"/>
        <v>Average</v>
      </c>
      <c r="P763" t="str">
        <f t="shared" si="34"/>
        <v>Adult</v>
      </c>
      <c r="Q763" t="str">
        <f t="shared" si="35"/>
        <v>Low Salary</v>
      </c>
    </row>
    <row r="764" spans="1:17" x14ac:dyDescent="0.25">
      <c r="A764">
        <v>961</v>
      </c>
      <c r="B764">
        <v>15686164</v>
      </c>
      <c r="C764" t="s">
        <v>44</v>
      </c>
      <c r="D764" t="s">
        <v>26</v>
      </c>
      <c r="E764" t="s">
        <v>16</v>
      </c>
      <c r="F764">
        <v>850</v>
      </c>
      <c r="G764">
        <v>31</v>
      </c>
      <c r="H764">
        <v>1</v>
      </c>
      <c r="I764">
        <v>108822.39999999999</v>
      </c>
      <c r="J764">
        <v>1</v>
      </c>
      <c r="K764">
        <v>1</v>
      </c>
      <c r="L764">
        <v>1</v>
      </c>
      <c r="M764">
        <v>132173.31</v>
      </c>
      <c r="N764">
        <v>0</v>
      </c>
      <c r="O764" t="str">
        <f t="shared" si="33"/>
        <v>Good</v>
      </c>
      <c r="P764" t="str">
        <f t="shared" si="34"/>
        <v>Adult</v>
      </c>
      <c r="Q764" t="str">
        <f t="shared" si="35"/>
        <v>High Salary</v>
      </c>
    </row>
    <row r="765" spans="1:17" x14ac:dyDescent="0.25">
      <c r="A765">
        <v>962</v>
      </c>
      <c r="B765">
        <v>15582797</v>
      </c>
      <c r="C765" t="s">
        <v>262</v>
      </c>
      <c r="D765" t="s">
        <v>18</v>
      </c>
      <c r="E765" t="s">
        <v>23</v>
      </c>
      <c r="F765">
        <v>685</v>
      </c>
      <c r="G765">
        <v>35</v>
      </c>
      <c r="H765">
        <v>4</v>
      </c>
      <c r="I765">
        <v>137948.51</v>
      </c>
      <c r="J765">
        <v>1</v>
      </c>
      <c r="K765">
        <v>1</v>
      </c>
      <c r="L765">
        <v>0</v>
      </c>
      <c r="M765">
        <v>113639.64</v>
      </c>
      <c r="N765">
        <v>0</v>
      </c>
      <c r="O765" t="str">
        <f t="shared" si="33"/>
        <v>Good</v>
      </c>
      <c r="P765" t="str">
        <f t="shared" si="34"/>
        <v>Adult</v>
      </c>
      <c r="Q765" t="str">
        <f t="shared" si="35"/>
        <v>High Salary</v>
      </c>
    </row>
    <row r="766" spans="1:17" x14ac:dyDescent="0.25">
      <c r="A766">
        <v>963</v>
      </c>
      <c r="B766">
        <v>15753831</v>
      </c>
      <c r="C766" t="s">
        <v>648</v>
      </c>
      <c r="D766" t="s">
        <v>18</v>
      </c>
      <c r="E766" t="s">
        <v>23</v>
      </c>
      <c r="F766">
        <v>642</v>
      </c>
      <c r="G766">
        <v>32</v>
      </c>
      <c r="H766">
        <v>7</v>
      </c>
      <c r="I766">
        <v>100433.8</v>
      </c>
      <c r="J766">
        <v>1</v>
      </c>
      <c r="K766">
        <v>1</v>
      </c>
      <c r="L766">
        <v>1</v>
      </c>
      <c r="M766">
        <v>39768.589999999997</v>
      </c>
      <c r="N766">
        <v>0</v>
      </c>
      <c r="O766" t="str">
        <f t="shared" si="33"/>
        <v>Average</v>
      </c>
      <c r="P766" t="str">
        <f t="shared" si="34"/>
        <v>Adult</v>
      </c>
      <c r="Q766" t="str">
        <f t="shared" si="35"/>
        <v>Medium Salary</v>
      </c>
    </row>
    <row r="767" spans="1:17" x14ac:dyDescent="0.25">
      <c r="A767">
        <v>966</v>
      </c>
      <c r="B767">
        <v>15602084</v>
      </c>
      <c r="C767" t="s">
        <v>739</v>
      </c>
      <c r="D767" t="s">
        <v>15</v>
      </c>
      <c r="E767" t="s">
        <v>16</v>
      </c>
      <c r="F767">
        <v>663</v>
      </c>
      <c r="G767">
        <v>42</v>
      </c>
      <c r="H767">
        <v>5</v>
      </c>
      <c r="I767">
        <v>124626.07</v>
      </c>
      <c r="J767">
        <v>1</v>
      </c>
      <c r="K767">
        <v>1</v>
      </c>
      <c r="L767">
        <v>1</v>
      </c>
      <c r="M767">
        <v>78004.5</v>
      </c>
      <c r="N767">
        <v>0</v>
      </c>
      <c r="O767" t="str">
        <f t="shared" si="33"/>
        <v>Average</v>
      </c>
      <c r="P767" t="str">
        <f t="shared" si="34"/>
        <v>Adult</v>
      </c>
      <c r="Q767" t="str">
        <f t="shared" si="35"/>
        <v>High Salary</v>
      </c>
    </row>
    <row r="768" spans="1:17" x14ac:dyDescent="0.25">
      <c r="A768">
        <v>967</v>
      </c>
      <c r="B768">
        <v>15589805</v>
      </c>
      <c r="C768" t="s">
        <v>740</v>
      </c>
      <c r="D768" t="s">
        <v>15</v>
      </c>
      <c r="E768" t="s">
        <v>16</v>
      </c>
      <c r="F768">
        <v>563</v>
      </c>
      <c r="G768">
        <v>34</v>
      </c>
      <c r="H768">
        <v>6</v>
      </c>
      <c r="I768">
        <v>139810.34</v>
      </c>
      <c r="J768">
        <v>1</v>
      </c>
      <c r="K768">
        <v>1</v>
      </c>
      <c r="L768">
        <v>1</v>
      </c>
      <c r="M768">
        <v>152417.79</v>
      </c>
      <c r="N768">
        <v>0</v>
      </c>
      <c r="O768" t="str">
        <f t="shared" si="33"/>
        <v>Poor</v>
      </c>
      <c r="P768" t="str">
        <f t="shared" si="34"/>
        <v>Adult</v>
      </c>
      <c r="Q768" t="str">
        <f t="shared" si="35"/>
        <v>High Salary</v>
      </c>
    </row>
    <row r="769" spans="1:17" x14ac:dyDescent="0.25">
      <c r="A769">
        <v>968</v>
      </c>
      <c r="B769">
        <v>15720893</v>
      </c>
      <c r="C769" t="s">
        <v>741</v>
      </c>
      <c r="D769" t="s">
        <v>18</v>
      </c>
      <c r="E769" t="s">
        <v>16</v>
      </c>
      <c r="F769">
        <v>637</v>
      </c>
      <c r="G769">
        <v>34</v>
      </c>
      <c r="H769">
        <v>9</v>
      </c>
      <c r="I769">
        <v>0</v>
      </c>
      <c r="J769">
        <v>2</v>
      </c>
      <c r="K769">
        <v>0</v>
      </c>
      <c r="L769">
        <v>0</v>
      </c>
      <c r="M769">
        <v>26057.08</v>
      </c>
      <c r="N769">
        <v>0</v>
      </c>
      <c r="O769" t="str">
        <f t="shared" si="33"/>
        <v>Average</v>
      </c>
      <c r="P769" t="str">
        <f t="shared" si="34"/>
        <v>Adult</v>
      </c>
      <c r="Q769" t="str">
        <f t="shared" si="35"/>
        <v>Low Salary</v>
      </c>
    </row>
    <row r="770" spans="1:17" x14ac:dyDescent="0.25">
      <c r="A770">
        <v>969</v>
      </c>
      <c r="B770">
        <v>15641009</v>
      </c>
      <c r="C770" t="s">
        <v>742</v>
      </c>
      <c r="D770" t="s">
        <v>15</v>
      </c>
      <c r="E770" t="s">
        <v>23</v>
      </c>
      <c r="F770">
        <v>544</v>
      </c>
      <c r="G770">
        <v>37</v>
      </c>
      <c r="H770">
        <v>3</v>
      </c>
      <c r="I770">
        <v>84496.71</v>
      </c>
      <c r="J770">
        <v>1</v>
      </c>
      <c r="K770">
        <v>0</v>
      </c>
      <c r="L770">
        <v>0</v>
      </c>
      <c r="M770">
        <v>79972.09</v>
      </c>
      <c r="N770">
        <v>0</v>
      </c>
      <c r="O770" t="str">
        <f t="shared" si="33"/>
        <v>Poor</v>
      </c>
      <c r="P770" t="str">
        <f t="shared" si="34"/>
        <v>Adult</v>
      </c>
      <c r="Q770" t="str">
        <f t="shared" si="35"/>
        <v>High Salary</v>
      </c>
    </row>
    <row r="771" spans="1:17" x14ac:dyDescent="0.25">
      <c r="A771">
        <v>970</v>
      </c>
      <c r="B771">
        <v>15605926</v>
      </c>
      <c r="C771" t="s">
        <v>743</v>
      </c>
      <c r="D771" t="s">
        <v>26</v>
      </c>
      <c r="E771" t="s">
        <v>23</v>
      </c>
      <c r="F771">
        <v>649</v>
      </c>
      <c r="G771">
        <v>70</v>
      </c>
      <c r="H771">
        <v>9</v>
      </c>
      <c r="I771">
        <v>116854.71</v>
      </c>
      <c r="J771">
        <v>2</v>
      </c>
      <c r="K771">
        <v>0</v>
      </c>
      <c r="L771">
        <v>1</v>
      </c>
      <c r="M771">
        <v>107125.79</v>
      </c>
      <c r="N771">
        <v>0</v>
      </c>
      <c r="O771" t="str">
        <f t="shared" ref="O771:O788" si="36">IF(F771&lt;580, "Poor", IF(AND(F771&gt;=580, F771&lt;=669), "Average", "Good"))</f>
        <v>Average</v>
      </c>
      <c r="P771" t="str">
        <f t="shared" ref="P771:P788" si="37">IF(G771&lt;=30, "Young Adult", IF(AND(G771&gt;=31, G771&lt;=60), "Adult", "Senior"))</f>
        <v>Senior</v>
      </c>
      <c r="Q771" t="str">
        <f t="shared" ref="Q771:Q788" si="38">IF(M771&lt;30000, "Low Salary", IF(AND(M771&gt;=30000, M771&lt;=70000), "Medium Salary", "High Salary"))</f>
        <v>High Salary</v>
      </c>
    </row>
    <row r="772" spans="1:17" x14ac:dyDescent="0.25">
      <c r="A772">
        <v>971</v>
      </c>
      <c r="B772">
        <v>15805955</v>
      </c>
      <c r="C772" t="s">
        <v>311</v>
      </c>
      <c r="D772" t="s">
        <v>15</v>
      </c>
      <c r="E772" t="s">
        <v>16</v>
      </c>
      <c r="F772">
        <v>638</v>
      </c>
      <c r="G772">
        <v>48</v>
      </c>
      <c r="H772">
        <v>10</v>
      </c>
      <c r="I772">
        <v>138333.03</v>
      </c>
      <c r="J772">
        <v>1</v>
      </c>
      <c r="K772">
        <v>1</v>
      </c>
      <c r="L772">
        <v>1</v>
      </c>
      <c r="M772">
        <v>47679.14</v>
      </c>
      <c r="N772">
        <v>0</v>
      </c>
      <c r="O772" t="str">
        <f t="shared" si="36"/>
        <v>Average</v>
      </c>
      <c r="P772" t="str">
        <f t="shared" si="37"/>
        <v>Adult</v>
      </c>
      <c r="Q772" t="str">
        <f t="shared" si="38"/>
        <v>Medium Salary</v>
      </c>
    </row>
    <row r="773" spans="1:17" x14ac:dyDescent="0.25">
      <c r="A773">
        <v>972</v>
      </c>
      <c r="B773">
        <v>15801488</v>
      </c>
      <c r="C773" t="s">
        <v>744</v>
      </c>
      <c r="D773" t="s">
        <v>15</v>
      </c>
      <c r="E773" t="s">
        <v>23</v>
      </c>
      <c r="F773">
        <v>723</v>
      </c>
      <c r="G773">
        <v>25</v>
      </c>
      <c r="H773">
        <v>3</v>
      </c>
      <c r="I773">
        <v>0</v>
      </c>
      <c r="J773">
        <v>2</v>
      </c>
      <c r="K773">
        <v>1</v>
      </c>
      <c r="L773">
        <v>1</v>
      </c>
      <c r="M773">
        <v>134509.47</v>
      </c>
      <c r="N773">
        <v>0</v>
      </c>
      <c r="O773" t="str">
        <f t="shared" si="36"/>
        <v>Good</v>
      </c>
      <c r="P773" t="str">
        <f t="shared" si="37"/>
        <v>Young Adult</v>
      </c>
      <c r="Q773" t="str">
        <f t="shared" si="38"/>
        <v>High Salary</v>
      </c>
    </row>
    <row r="774" spans="1:17" x14ac:dyDescent="0.25">
      <c r="A774">
        <v>973</v>
      </c>
      <c r="B774">
        <v>15605918</v>
      </c>
      <c r="C774" t="s">
        <v>745</v>
      </c>
      <c r="D774" t="s">
        <v>26</v>
      </c>
      <c r="E774" t="s">
        <v>23</v>
      </c>
      <c r="F774">
        <v>635</v>
      </c>
      <c r="G774">
        <v>43</v>
      </c>
      <c r="H774">
        <v>5</v>
      </c>
      <c r="I774">
        <v>78992.75</v>
      </c>
      <c r="J774">
        <v>2</v>
      </c>
      <c r="K774">
        <v>0</v>
      </c>
      <c r="L774">
        <v>0</v>
      </c>
      <c r="M774">
        <v>153265.31</v>
      </c>
      <c r="N774">
        <v>0</v>
      </c>
      <c r="O774" t="str">
        <f t="shared" si="36"/>
        <v>Average</v>
      </c>
      <c r="P774" t="str">
        <f t="shared" si="37"/>
        <v>Adult</v>
      </c>
      <c r="Q774" t="str">
        <f t="shared" si="38"/>
        <v>High Salary</v>
      </c>
    </row>
    <row r="775" spans="1:17" x14ac:dyDescent="0.25">
      <c r="A775">
        <v>974</v>
      </c>
      <c r="B775">
        <v>15779711</v>
      </c>
      <c r="C775" t="s">
        <v>485</v>
      </c>
      <c r="D775" t="s">
        <v>18</v>
      </c>
      <c r="E775" t="s">
        <v>16</v>
      </c>
      <c r="F775">
        <v>750</v>
      </c>
      <c r="G775">
        <v>38</v>
      </c>
      <c r="H775">
        <v>7</v>
      </c>
      <c r="I775">
        <v>97257.41</v>
      </c>
      <c r="J775">
        <v>2</v>
      </c>
      <c r="K775">
        <v>0</v>
      </c>
      <c r="L775">
        <v>1</v>
      </c>
      <c r="M775">
        <v>179883.04</v>
      </c>
      <c r="N775">
        <v>0</v>
      </c>
      <c r="O775" t="str">
        <f t="shared" si="36"/>
        <v>Good</v>
      </c>
      <c r="P775" t="str">
        <f t="shared" si="37"/>
        <v>Adult</v>
      </c>
      <c r="Q775" t="str">
        <f t="shared" si="38"/>
        <v>High Salary</v>
      </c>
    </row>
    <row r="776" spans="1:17" x14ac:dyDescent="0.25">
      <c r="A776">
        <v>975</v>
      </c>
      <c r="B776">
        <v>15705620</v>
      </c>
      <c r="C776" t="s">
        <v>456</v>
      </c>
      <c r="D776" t="s">
        <v>15</v>
      </c>
      <c r="E776" t="s">
        <v>23</v>
      </c>
      <c r="F776">
        <v>730</v>
      </c>
      <c r="G776">
        <v>34</v>
      </c>
      <c r="H776">
        <v>5</v>
      </c>
      <c r="I776">
        <v>122453.37</v>
      </c>
      <c r="J776">
        <v>2</v>
      </c>
      <c r="K776">
        <v>1</v>
      </c>
      <c r="L776">
        <v>0</v>
      </c>
      <c r="M776">
        <v>138882.98000000001</v>
      </c>
      <c r="N776">
        <v>0</v>
      </c>
      <c r="O776" t="str">
        <f t="shared" si="36"/>
        <v>Good</v>
      </c>
      <c r="P776" t="str">
        <f t="shared" si="37"/>
        <v>Adult</v>
      </c>
      <c r="Q776" t="str">
        <f t="shared" si="38"/>
        <v>High Salary</v>
      </c>
    </row>
    <row r="777" spans="1:17" x14ac:dyDescent="0.25">
      <c r="A777">
        <v>976</v>
      </c>
      <c r="B777">
        <v>15685357</v>
      </c>
      <c r="C777" t="s">
        <v>698</v>
      </c>
      <c r="D777" t="s">
        <v>18</v>
      </c>
      <c r="E777" t="s">
        <v>16</v>
      </c>
      <c r="F777">
        <v>750</v>
      </c>
      <c r="G777">
        <v>36</v>
      </c>
      <c r="H777">
        <v>8</v>
      </c>
      <c r="I777">
        <v>112940.07</v>
      </c>
      <c r="J777">
        <v>1</v>
      </c>
      <c r="K777">
        <v>0</v>
      </c>
      <c r="L777">
        <v>1</v>
      </c>
      <c r="M777">
        <v>9855.81</v>
      </c>
      <c r="N777">
        <v>0</v>
      </c>
      <c r="O777" t="str">
        <f t="shared" si="36"/>
        <v>Good</v>
      </c>
      <c r="P777" t="str">
        <f t="shared" si="37"/>
        <v>Adult</v>
      </c>
      <c r="Q777" t="str">
        <f t="shared" si="38"/>
        <v>Low Salary</v>
      </c>
    </row>
    <row r="778" spans="1:17" x14ac:dyDescent="0.25">
      <c r="A778">
        <v>978</v>
      </c>
      <c r="B778">
        <v>15582616</v>
      </c>
      <c r="C778" t="s">
        <v>726</v>
      </c>
      <c r="D778" t="s">
        <v>15</v>
      </c>
      <c r="E778" t="s">
        <v>16</v>
      </c>
      <c r="F778">
        <v>520</v>
      </c>
      <c r="G778">
        <v>38</v>
      </c>
      <c r="H778">
        <v>4</v>
      </c>
      <c r="I778">
        <v>0</v>
      </c>
      <c r="J778">
        <v>2</v>
      </c>
      <c r="K778">
        <v>1</v>
      </c>
      <c r="L778">
        <v>0</v>
      </c>
      <c r="M778">
        <v>56388.63</v>
      </c>
      <c r="N778">
        <v>0</v>
      </c>
      <c r="O778" t="str">
        <f t="shared" si="36"/>
        <v>Poor</v>
      </c>
      <c r="P778" t="str">
        <f t="shared" si="37"/>
        <v>Adult</v>
      </c>
      <c r="Q778" t="str">
        <f t="shared" si="38"/>
        <v>Medium Salary</v>
      </c>
    </row>
    <row r="779" spans="1:17" x14ac:dyDescent="0.25">
      <c r="A779">
        <v>979</v>
      </c>
      <c r="B779">
        <v>15799515</v>
      </c>
      <c r="C779" t="s">
        <v>171</v>
      </c>
      <c r="D779" t="s">
        <v>15</v>
      </c>
      <c r="E779" t="s">
        <v>16</v>
      </c>
      <c r="F779">
        <v>652</v>
      </c>
      <c r="G779">
        <v>48</v>
      </c>
      <c r="H779">
        <v>8</v>
      </c>
      <c r="I779">
        <v>133297.24</v>
      </c>
      <c r="J779">
        <v>1</v>
      </c>
      <c r="K779">
        <v>1</v>
      </c>
      <c r="L779">
        <v>0</v>
      </c>
      <c r="M779">
        <v>77764.37</v>
      </c>
      <c r="N779">
        <v>0</v>
      </c>
      <c r="O779" t="str">
        <f t="shared" si="36"/>
        <v>Average</v>
      </c>
      <c r="P779" t="str">
        <f t="shared" si="37"/>
        <v>Adult</v>
      </c>
      <c r="Q779" t="str">
        <f t="shared" si="38"/>
        <v>High Salary</v>
      </c>
    </row>
    <row r="780" spans="1:17" x14ac:dyDescent="0.25">
      <c r="A780">
        <v>980</v>
      </c>
      <c r="B780">
        <v>15642937</v>
      </c>
      <c r="C780" t="s">
        <v>745</v>
      </c>
      <c r="D780" t="s">
        <v>15</v>
      </c>
      <c r="E780" t="s">
        <v>16</v>
      </c>
      <c r="F780">
        <v>550</v>
      </c>
      <c r="G780">
        <v>46</v>
      </c>
      <c r="H780">
        <v>7</v>
      </c>
      <c r="I780">
        <v>0</v>
      </c>
      <c r="J780">
        <v>2</v>
      </c>
      <c r="K780">
        <v>1</v>
      </c>
      <c r="L780">
        <v>0</v>
      </c>
      <c r="M780">
        <v>130590.35</v>
      </c>
      <c r="N780">
        <v>0</v>
      </c>
      <c r="O780" t="str">
        <f t="shared" si="36"/>
        <v>Poor</v>
      </c>
      <c r="P780" t="str">
        <f t="shared" si="37"/>
        <v>Adult</v>
      </c>
      <c r="Q780" t="str">
        <f t="shared" si="38"/>
        <v>High Salary</v>
      </c>
    </row>
    <row r="781" spans="1:17" x14ac:dyDescent="0.25">
      <c r="A781">
        <v>981</v>
      </c>
      <c r="B781">
        <v>15624729</v>
      </c>
      <c r="C781" t="s">
        <v>75</v>
      </c>
      <c r="D781" t="s">
        <v>15</v>
      </c>
      <c r="E781" t="s">
        <v>23</v>
      </c>
      <c r="F781">
        <v>594</v>
      </c>
      <c r="G781">
        <v>27</v>
      </c>
      <c r="H781">
        <v>0</v>
      </c>
      <c r="I781">
        <v>197041.8</v>
      </c>
      <c r="J781">
        <v>1</v>
      </c>
      <c r="K781">
        <v>0</v>
      </c>
      <c r="L781">
        <v>0</v>
      </c>
      <c r="M781">
        <v>151912.49</v>
      </c>
      <c r="N781">
        <v>0</v>
      </c>
      <c r="O781" t="str">
        <f t="shared" si="36"/>
        <v>Average</v>
      </c>
      <c r="P781" t="str">
        <f t="shared" si="37"/>
        <v>Young Adult</v>
      </c>
      <c r="Q781" t="str">
        <f t="shared" si="38"/>
        <v>High Salary</v>
      </c>
    </row>
    <row r="782" spans="1:17" x14ac:dyDescent="0.25">
      <c r="A782">
        <v>982</v>
      </c>
      <c r="B782">
        <v>15566156</v>
      </c>
      <c r="C782" t="s">
        <v>369</v>
      </c>
      <c r="D782" t="s">
        <v>26</v>
      </c>
      <c r="E782" t="s">
        <v>16</v>
      </c>
      <c r="F782">
        <v>749</v>
      </c>
      <c r="G782">
        <v>44</v>
      </c>
      <c r="H782">
        <v>0</v>
      </c>
      <c r="I782">
        <v>71497.789999999994</v>
      </c>
      <c r="J782">
        <v>2</v>
      </c>
      <c r="K782">
        <v>0</v>
      </c>
      <c r="L782">
        <v>0</v>
      </c>
      <c r="M782">
        <v>151083.79999999999</v>
      </c>
      <c r="N782">
        <v>0</v>
      </c>
      <c r="O782" t="str">
        <f t="shared" si="36"/>
        <v>Good</v>
      </c>
      <c r="P782" t="str">
        <f t="shared" si="37"/>
        <v>Adult</v>
      </c>
      <c r="Q782" t="str">
        <f t="shared" si="38"/>
        <v>High Salary</v>
      </c>
    </row>
    <row r="783" spans="1:17" x14ac:dyDescent="0.25">
      <c r="A783">
        <v>983</v>
      </c>
      <c r="B783">
        <v>15792360</v>
      </c>
      <c r="C783" t="s">
        <v>80</v>
      </c>
      <c r="D783" t="s">
        <v>15</v>
      </c>
      <c r="E783" t="s">
        <v>23</v>
      </c>
      <c r="F783">
        <v>668</v>
      </c>
      <c r="G783">
        <v>32</v>
      </c>
      <c r="H783">
        <v>7</v>
      </c>
      <c r="I783">
        <v>0</v>
      </c>
      <c r="J783">
        <v>2</v>
      </c>
      <c r="K783">
        <v>1</v>
      </c>
      <c r="L783">
        <v>1</v>
      </c>
      <c r="M783">
        <v>777.37</v>
      </c>
      <c r="N783">
        <v>0</v>
      </c>
      <c r="O783" t="str">
        <f t="shared" si="36"/>
        <v>Average</v>
      </c>
      <c r="P783" t="str">
        <f t="shared" si="37"/>
        <v>Adult</v>
      </c>
      <c r="Q783" t="str">
        <f t="shared" si="38"/>
        <v>Low Salary</v>
      </c>
    </row>
    <row r="784" spans="1:17" x14ac:dyDescent="0.25">
      <c r="A784">
        <v>985</v>
      </c>
      <c r="B784">
        <v>15704770</v>
      </c>
      <c r="C784" t="s">
        <v>747</v>
      </c>
      <c r="D784" t="s">
        <v>15</v>
      </c>
      <c r="E784" t="s">
        <v>23</v>
      </c>
      <c r="F784">
        <v>773</v>
      </c>
      <c r="G784">
        <v>25</v>
      </c>
      <c r="H784">
        <v>1</v>
      </c>
      <c r="I784">
        <v>124532.78</v>
      </c>
      <c r="J784">
        <v>2</v>
      </c>
      <c r="K784">
        <v>0</v>
      </c>
      <c r="L784">
        <v>1</v>
      </c>
      <c r="M784">
        <v>11723.57</v>
      </c>
      <c r="N784">
        <v>0</v>
      </c>
      <c r="O784" t="str">
        <f t="shared" si="36"/>
        <v>Good</v>
      </c>
      <c r="P784" t="str">
        <f t="shared" si="37"/>
        <v>Young Adult</v>
      </c>
      <c r="Q784" t="str">
        <f t="shared" si="38"/>
        <v>Low Salary</v>
      </c>
    </row>
    <row r="785" spans="1:17" x14ac:dyDescent="0.25">
      <c r="A785">
        <v>986</v>
      </c>
      <c r="B785">
        <v>15756475</v>
      </c>
      <c r="C785" t="s">
        <v>748</v>
      </c>
      <c r="D785" t="s">
        <v>26</v>
      </c>
      <c r="E785" t="s">
        <v>23</v>
      </c>
      <c r="F785">
        <v>551</v>
      </c>
      <c r="G785">
        <v>31</v>
      </c>
      <c r="H785">
        <v>9</v>
      </c>
      <c r="I785">
        <v>82293.820000000007</v>
      </c>
      <c r="J785">
        <v>2</v>
      </c>
      <c r="K785">
        <v>1</v>
      </c>
      <c r="L785">
        <v>1</v>
      </c>
      <c r="M785">
        <v>91565.25</v>
      </c>
      <c r="N785">
        <v>0</v>
      </c>
      <c r="O785" t="str">
        <f t="shared" si="36"/>
        <v>Poor</v>
      </c>
      <c r="P785" t="str">
        <f t="shared" si="37"/>
        <v>Adult</v>
      </c>
      <c r="Q785" t="str">
        <f t="shared" si="38"/>
        <v>High Salary</v>
      </c>
    </row>
    <row r="786" spans="1:17" x14ac:dyDescent="0.25">
      <c r="A786">
        <v>987</v>
      </c>
      <c r="B786">
        <v>15655339</v>
      </c>
      <c r="C786" t="s">
        <v>749</v>
      </c>
      <c r="D786" t="s">
        <v>15</v>
      </c>
      <c r="E786" t="s">
        <v>23</v>
      </c>
      <c r="F786">
        <v>566</v>
      </c>
      <c r="G786">
        <v>36</v>
      </c>
      <c r="H786">
        <v>1</v>
      </c>
      <c r="I786">
        <v>142120.91</v>
      </c>
      <c r="J786">
        <v>1</v>
      </c>
      <c r="K786">
        <v>1</v>
      </c>
      <c r="L786">
        <v>0</v>
      </c>
      <c r="M786">
        <v>79616.37</v>
      </c>
      <c r="N786">
        <v>0</v>
      </c>
      <c r="O786" t="str">
        <f t="shared" si="36"/>
        <v>Poor</v>
      </c>
      <c r="P786" t="str">
        <f t="shared" si="37"/>
        <v>Adult</v>
      </c>
      <c r="Q786" t="str">
        <f t="shared" si="38"/>
        <v>High Salary</v>
      </c>
    </row>
    <row r="787" spans="1:17" x14ac:dyDescent="0.25">
      <c r="A787">
        <v>989</v>
      </c>
      <c r="B787">
        <v>15664521</v>
      </c>
      <c r="C787" t="s">
        <v>751</v>
      </c>
      <c r="D787" t="s">
        <v>18</v>
      </c>
      <c r="E787" t="s">
        <v>23</v>
      </c>
      <c r="F787">
        <v>659</v>
      </c>
      <c r="G787">
        <v>31</v>
      </c>
      <c r="H787">
        <v>7</v>
      </c>
      <c r="I787">
        <v>149620.88</v>
      </c>
      <c r="J787">
        <v>2</v>
      </c>
      <c r="K787">
        <v>1</v>
      </c>
      <c r="L787">
        <v>1</v>
      </c>
      <c r="M787">
        <v>104533.51</v>
      </c>
      <c r="N787">
        <v>0</v>
      </c>
      <c r="O787" t="str">
        <f t="shared" si="36"/>
        <v>Average</v>
      </c>
      <c r="P787" t="str">
        <f t="shared" si="37"/>
        <v>Adult</v>
      </c>
      <c r="Q787" t="str">
        <f t="shared" si="38"/>
        <v>High Salary</v>
      </c>
    </row>
    <row r="788" spans="1:17" x14ac:dyDescent="0.25">
      <c r="A788">
        <v>991</v>
      </c>
      <c r="B788">
        <v>15745527</v>
      </c>
      <c r="C788" t="s">
        <v>506</v>
      </c>
      <c r="D788" t="s">
        <v>15</v>
      </c>
      <c r="E788" t="s">
        <v>23</v>
      </c>
      <c r="F788">
        <v>655</v>
      </c>
      <c r="G788">
        <v>37</v>
      </c>
      <c r="H788">
        <v>5</v>
      </c>
      <c r="I788">
        <v>93147</v>
      </c>
      <c r="J788">
        <v>2</v>
      </c>
      <c r="K788">
        <v>1</v>
      </c>
      <c r="L788">
        <v>0</v>
      </c>
      <c r="M788">
        <v>66214.13</v>
      </c>
      <c r="N788">
        <v>0</v>
      </c>
      <c r="O788" t="str">
        <f t="shared" si="36"/>
        <v>Average</v>
      </c>
      <c r="P788" t="str">
        <f t="shared" si="37"/>
        <v>Adult</v>
      </c>
      <c r="Q788" t="str">
        <f t="shared" si="38"/>
        <v>Medium Salary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42EC2-8810-4175-ABDF-DB647C9AB0CB}">
  <sheetPr>
    <tabColor rgb="FFFFC000"/>
  </sheetPr>
  <dimension ref="A3:G80"/>
  <sheetViews>
    <sheetView topLeftCell="A52" workbookViewId="0">
      <selection activeCell="F24" sqref="F24"/>
    </sheetView>
  </sheetViews>
  <sheetFormatPr defaultRowHeight="15" x14ac:dyDescent="0.25"/>
  <cols>
    <col min="1" max="1" width="20" bestFit="1" customWidth="1"/>
    <col min="2" max="2" width="18.7109375" bestFit="1" customWidth="1"/>
    <col min="3" max="3" width="8.140625" bestFit="1" customWidth="1"/>
    <col min="4" max="4" width="11.28515625" bestFit="1" customWidth="1"/>
    <col min="5" max="5" width="16.140625" bestFit="1" customWidth="1"/>
    <col min="6" max="6" width="25" bestFit="1" customWidth="1"/>
    <col min="7" max="7" width="21.140625" bestFit="1" customWidth="1"/>
  </cols>
  <sheetData>
    <row r="3" spans="1:7" x14ac:dyDescent="0.25">
      <c r="A3" s="76" t="s">
        <v>841</v>
      </c>
    </row>
    <row r="4" spans="1:7" x14ac:dyDescent="0.25">
      <c r="A4" s="37" t="s">
        <v>842</v>
      </c>
      <c r="B4" s="37" t="s">
        <v>846</v>
      </c>
      <c r="D4" s="80"/>
      <c r="E4" s="80"/>
      <c r="F4" s="81"/>
      <c r="G4" s="80"/>
    </row>
    <row r="5" spans="1:7" x14ac:dyDescent="0.25">
      <c r="A5" s="37" t="s">
        <v>820</v>
      </c>
      <c r="B5" t="s">
        <v>785</v>
      </c>
      <c r="C5" t="s">
        <v>786</v>
      </c>
      <c r="D5" s="80" t="s">
        <v>776</v>
      </c>
      <c r="E5" s="80"/>
      <c r="F5" s="80"/>
      <c r="G5" s="80"/>
    </row>
    <row r="6" spans="1:7" x14ac:dyDescent="0.25">
      <c r="A6" s="55" t="s">
        <v>843</v>
      </c>
      <c r="B6" s="79">
        <v>0.31385006353240152</v>
      </c>
      <c r="C6" s="79">
        <v>0.3235294117647059</v>
      </c>
      <c r="D6" s="79">
        <v>0.31584258324924319</v>
      </c>
      <c r="F6" s="82"/>
      <c r="G6" s="82"/>
    </row>
    <row r="7" spans="1:7" x14ac:dyDescent="0.25">
      <c r="A7" s="55" t="s">
        <v>844</v>
      </c>
      <c r="B7" s="79">
        <v>0.23888182973316391</v>
      </c>
      <c r="C7" s="79">
        <v>0.28921568627450983</v>
      </c>
      <c r="D7" s="79">
        <v>0.24924318869828457</v>
      </c>
      <c r="F7" s="82"/>
      <c r="G7" s="82"/>
    </row>
    <row r="8" spans="1:7" x14ac:dyDescent="0.25">
      <c r="A8" s="55" t="s">
        <v>845</v>
      </c>
      <c r="B8" s="79">
        <v>0.44726810673443457</v>
      </c>
      <c r="C8" s="79">
        <v>0.38725490196078433</v>
      </c>
      <c r="D8" s="79">
        <v>0.43491422805247226</v>
      </c>
      <c r="F8" s="82"/>
      <c r="G8" s="82"/>
    </row>
    <row r="9" spans="1:7" x14ac:dyDescent="0.25">
      <c r="A9" s="55" t="s">
        <v>776</v>
      </c>
      <c r="B9" s="79">
        <v>1</v>
      </c>
      <c r="C9" s="79">
        <v>1</v>
      </c>
      <c r="D9" s="79">
        <v>1</v>
      </c>
    </row>
    <row r="11" spans="1:7" x14ac:dyDescent="0.25">
      <c r="A11" s="78" t="s">
        <v>4</v>
      </c>
    </row>
    <row r="12" spans="1:7" x14ac:dyDescent="0.25">
      <c r="A12" s="37" t="s">
        <v>823</v>
      </c>
      <c r="B12" s="37" t="s">
        <v>775</v>
      </c>
      <c r="F12" s="76"/>
    </row>
    <row r="13" spans="1:7" x14ac:dyDescent="0.25">
      <c r="A13" s="37" t="s">
        <v>820</v>
      </c>
      <c r="B13" t="s">
        <v>785</v>
      </c>
      <c r="C13">
        <v>1</v>
      </c>
      <c r="D13" t="s">
        <v>776</v>
      </c>
    </row>
    <row r="14" spans="1:7" x14ac:dyDescent="0.25">
      <c r="A14" s="55" t="s">
        <v>15</v>
      </c>
      <c r="B14" s="79">
        <v>0.51207115628970779</v>
      </c>
      <c r="C14" s="79">
        <v>0.37745098039215685</v>
      </c>
      <c r="D14" s="79">
        <v>0.48435923309788093</v>
      </c>
      <c r="F14" s="82"/>
      <c r="G14" s="82"/>
    </row>
    <row r="15" spans="1:7" x14ac:dyDescent="0.25">
      <c r="A15" s="55" t="s">
        <v>26</v>
      </c>
      <c r="B15" s="79">
        <v>0.23125794155019061</v>
      </c>
      <c r="C15" s="79">
        <v>0.36764705882352944</v>
      </c>
      <c r="D15" s="79">
        <v>0.25933400605449042</v>
      </c>
      <c r="F15" s="82"/>
      <c r="G15" s="82"/>
    </row>
    <row r="16" spans="1:7" x14ac:dyDescent="0.25">
      <c r="A16" s="55" t="s">
        <v>18</v>
      </c>
      <c r="B16" s="79">
        <v>0.25667090216010163</v>
      </c>
      <c r="C16" s="79">
        <v>0.25490196078431371</v>
      </c>
      <c r="D16" s="79">
        <v>0.25630676084762866</v>
      </c>
      <c r="F16" s="82"/>
      <c r="G16" s="82"/>
    </row>
    <row r="17" spans="1:7" x14ac:dyDescent="0.25">
      <c r="A17" s="55" t="s">
        <v>776</v>
      </c>
      <c r="B17" s="79">
        <v>1</v>
      </c>
      <c r="C17" s="79">
        <v>1</v>
      </c>
      <c r="D17" s="79">
        <v>1</v>
      </c>
    </row>
    <row r="19" spans="1:7" x14ac:dyDescent="0.25">
      <c r="A19" s="76" t="s">
        <v>6</v>
      </c>
    </row>
    <row r="20" spans="1:7" x14ac:dyDescent="0.25">
      <c r="A20" s="37" t="s">
        <v>818</v>
      </c>
      <c r="B20" s="37" t="s">
        <v>775</v>
      </c>
      <c r="F20" s="76"/>
    </row>
    <row r="21" spans="1:7" x14ac:dyDescent="0.25">
      <c r="A21" s="37" t="s">
        <v>820</v>
      </c>
      <c r="B21">
        <v>0</v>
      </c>
      <c r="C21">
        <v>1</v>
      </c>
      <c r="D21" t="s">
        <v>776</v>
      </c>
    </row>
    <row r="22" spans="1:7" x14ac:dyDescent="0.25">
      <c r="A22" s="55" t="s">
        <v>847</v>
      </c>
      <c r="B22" s="79">
        <v>0.69631512071156287</v>
      </c>
      <c r="C22" s="79">
        <v>0.67647058823529416</v>
      </c>
      <c r="D22" s="79">
        <v>0.69223007063572151</v>
      </c>
      <c r="F22" s="82"/>
      <c r="G22" s="82"/>
    </row>
    <row r="23" spans="1:7" x14ac:dyDescent="0.25">
      <c r="A23" s="55" t="s">
        <v>848</v>
      </c>
      <c r="B23" s="79">
        <v>8.8945362134688691E-2</v>
      </c>
      <c r="C23" s="79">
        <v>0.26470588235294118</v>
      </c>
      <c r="D23" s="79">
        <v>0.12512613521695257</v>
      </c>
      <c r="F23" s="82"/>
      <c r="G23" s="82"/>
    </row>
    <row r="24" spans="1:7" x14ac:dyDescent="0.25">
      <c r="A24" s="55" t="s">
        <v>849</v>
      </c>
      <c r="B24" s="79">
        <v>0.21473951715374842</v>
      </c>
      <c r="C24" s="79">
        <v>5.8823529411764705E-2</v>
      </c>
      <c r="D24" s="79">
        <v>0.18264379414732593</v>
      </c>
      <c r="F24" s="82"/>
      <c r="G24" s="82"/>
    </row>
    <row r="25" spans="1:7" x14ac:dyDescent="0.25">
      <c r="A25" s="55" t="s">
        <v>776</v>
      </c>
      <c r="B25" s="79">
        <v>1</v>
      </c>
      <c r="C25" s="79">
        <v>1</v>
      </c>
      <c r="D25" s="79">
        <v>1</v>
      </c>
    </row>
    <row r="27" spans="1:7" x14ac:dyDescent="0.25">
      <c r="A27" s="78" t="s">
        <v>7</v>
      </c>
    </row>
    <row r="28" spans="1:7" x14ac:dyDescent="0.25">
      <c r="A28" s="37" t="s">
        <v>850</v>
      </c>
      <c r="B28" s="37" t="s">
        <v>775</v>
      </c>
      <c r="F28" s="76"/>
    </row>
    <row r="29" spans="1:7" x14ac:dyDescent="0.25">
      <c r="A29" s="37" t="s">
        <v>820</v>
      </c>
      <c r="B29">
        <v>0</v>
      </c>
      <c r="C29">
        <v>1</v>
      </c>
      <c r="D29" t="s">
        <v>776</v>
      </c>
    </row>
    <row r="30" spans="1:7" x14ac:dyDescent="0.25">
      <c r="A30" s="55">
        <v>0</v>
      </c>
      <c r="B30" s="79">
        <v>4.0660736975857689E-2</v>
      </c>
      <c r="C30" s="79">
        <v>2.9411764705882353E-2</v>
      </c>
      <c r="D30" s="79">
        <v>3.8345105953582238E-2</v>
      </c>
    </row>
    <row r="31" spans="1:7" x14ac:dyDescent="0.25">
      <c r="A31" s="55">
        <v>1</v>
      </c>
      <c r="B31" s="79">
        <v>9.2757306226175354E-2</v>
      </c>
      <c r="C31" s="79">
        <v>0.14705882352941177</v>
      </c>
      <c r="D31" s="79">
        <v>0.10393541876892028</v>
      </c>
    </row>
    <row r="32" spans="1:7" x14ac:dyDescent="0.25">
      <c r="A32" s="55">
        <v>2</v>
      </c>
      <c r="B32" s="79">
        <v>0.10546378653113088</v>
      </c>
      <c r="C32" s="79">
        <v>0.13235294117647059</v>
      </c>
      <c r="D32" s="79">
        <v>0.11099899091826437</v>
      </c>
    </row>
    <row r="33" spans="1:6" x14ac:dyDescent="0.25">
      <c r="A33" s="55">
        <v>3</v>
      </c>
      <c r="B33" s="79">
        <v>0.10292249047013977</v>
      </c>
      <c r="C33" s="79">
        <v>9.8039215686274508E-2</v>
      </c>
      <c r="D33" s="79">
        <v>0.10191725529767912</v>
      </c>
    </row>
    <row r="34" spans="1:6" x14ac:dyDescent="0.25">
      <c r="A34" s="55">
        <v>4</v>
      </c>
      <c r="B34" s="79">
        <v>8.7674714104193141E-2</v>
      </c>
      <c r="C34" s="79">
        <v>8.3333333333333329E-2</v>
      </c>
      <c r="D34" s="79">
        <v>8.6781029263370335E-2</v>
      </c>
    </row>
    <row r="35" spans="1:6" x14ac:dyDescent="0.25">
      <c r="A35" s="55">
        <v>5</v>
      </c>
      <c r="B35" s="79">
        <v>0.10165184243964422</v>
      </c>
      <c r="C35" s="79">
        <v>9.8039215686274508E-2</v>
      </c>
      <c r="D35" s="79">
        <v>0.10090817356205853</v>
      </c>
    </row>
    <row r="36" spans="1:6" x14ac:dyDescent="0.25">
      <c r="A36" s="55">
        <v>6</v>
      </c>
      <c r="B36" s="79">
        <v>9.2757306226175354E-2</v>
      </c>
      <c r="C36" s="79">
        <v>0.10294117647058823</v>
      </c>
      <c r="D36" s="79">
        <v>9.4853683148335019E-2</v>
      </c>
    </row>
    <row r="37" spans="1:6" x14ac:dyDescent="0.25">
      <c r="A37" s="55">
        <v>7</v>
      </c>
      <c r="B37" s="79">
        <v>9.9110546378653117E-2</v>
      </c>
      <c r="C37" s="79">
        <v>7.3529411764705885E-2</v>
      </c>
      <c r="D37" s="79">
        <v>9.3844601412714432E-2</v>
      </c>
    </row>
    <row r="38" spans="1:6" x14ac:dyDescent="0.25">
      <c r="A38" s="55">
        <v>8</v>
      </c>
      <c r="B38" s="79">
        <v>0.11181702668360864</v>
      </c>
      <c r="C38" s="79">
        <v>9.8039215686274508E-2</v>
      </c>
      <c r="D38" s="79">
        <v>0.10898082744702321</v>
      </c>
    </row>
    <row r="39" spans="1:6" x14ac:dyDescent="0.25">
      <c r="A39" s="55">
        <v>9</v>
      </c>
      <c r="B39" s="79">
        <v>0.11054637865311309</v>
      </c>
      <c r="C39" s="79">
        <v>0.10294117647058823</v>
      </c>
      <c r="D39" s="79">
        <v>0.10898082744702321</v>
      </c>
    </row>
    <row r="40" spans="1:6" x14ac:dyDescent="0.25">
      <c r="A40" s="55">
        <v>10</v>
      </c>
      <c r="B40" s="79">
        <v>5.4637865311308764E-2</v>
      </c>
      <c r="C40" s="79">
        <v>3.4313725490196081E-2</v>
      </c>
      <c r="D40" s="79">
        <v>5.0454086781029264E-2</v>
      </c>
      <c r="F40" s="76"/>
    </row>
    <row r="41" spans="1:6" x14ac:dyDescent="0.25">
      <c r="A41" s="55" t="s">
        <v>776</v>
      </c>
      <c r="B41" s="79">
        <v>1</v>
      </c>
      <c r="C41" s="79">
        <v>1</v>
      </c>
      <c r="D41" s="79">
        <v>1</v>
      </c>
    </row>
    <row r="43" spans="1:6" x14ac:dyDescent="0.25">
      <c r="A43" s="76" t="s">
        <v>8</v>
      </c>
    </row>
    <row r="44" spans="1:6" x14ac:dyDescent="0.25">
      <c r="A44" s="37" t="s">
        <v>819</v>
      </c>
      <c r="B44" s="37" t="s">
        <v>775</v>
      </c>
      <c r="F44" s="76"/>
    </row>
    <row r="45" spans="1:6" x14ac:dyDescent="0.25">
      <c r="A45" s="37" t="s">
        <v>820</v>
      </c>
      <c r="B45">
        <v>0</v>
      </c>
      <c r="C45">
        <v>1</v>
      </c>
      <c r="D45" t="s">
        <v>776</v>
      </c>
    </row>
    <row r="46" spans="1:6" x14ac:dyDescent="0.25">
      <c r="A46" s="55" t="s">
        <v>855</v>
      </c>
      <c r="B46" s="79">
        <v>0.46251588310038122</v>
      </c>
      <c r="C46" s="79">
        <v>0.6029411764705882</v>
      </c>
      <c r="D46" s="79">
        <v>0.49142280524722504</v>
      </c>
    </row>
    <row r="47" spans="1:6" x14ac:dyDescent="0.25">
      <c r="A47" s="55" t="s">
        <v>856</v>
      </c>
      <c r="B47" s="79">
        <v>0.37992376111817028</v>
      </c>
      <c r="C47" s="79">
        <v>0.28921568627450983</v>
      </c>
      <c r="D47" s="79">
        <v>0.36125126135216951</v>
      </c>
    </row>
    <row r="48" spans="1:6" x14ac:dyDescent="0.25">
      <c r="A48" s="55" t="s">
        <v>857</v>
      </c>
      <c r="B48" s="79">
        <v>0.15756035578144853</v>
      </c>
      <c r="C48" s="79">
        <v>0.10784313725490197</v>
      </c>
      <c r="D48" s="79">
        <v>0.14732593340060546</v>
      </c>
    </row>
    <row r="49" spans="1:6" x14ac:dyDescent="0.25">
      <c r="A49" s="55" t="s">
        <v>776</v>
      </c>
      <c r="B49" s="79">
        <v>1</v>
      </c>
      <c r="C49" s="79">
        <v>1</v>
      </c>
      <c r="D49" s="79">
        <v>1</v>
      </c>
    </row>
    <row r="51" spans="1:6" x14ac:dyDescent="0.25">
      <c r="A51" s="76" t="s">
        <v>858</v>
      </c>
    </row>
    <row r="52" spans="1:6" x14ac:dyDescent="0.25">
      <c r="A52" s="37" t="s">
        <v>821</v>
      </c>
      <c r="B52" s="37" t="s">
        <v>775</v>
      </c>
      <c r="F52" s="76"/>
    </row>
    <row r="53" spans="1:6" x14ac:dyDescent="0.25">
      <c r="A53" s="37" t="s">
        <v>820</v>
      </c>
      <c r="B53">
        <v>0</v>
      </c>
      <c r="C53">
        <v>1</v>
      </c>
      <c r="D53" t="s">
        <v>776</v>
      </c>
    </row>
    <row r="54" spans="1:6" x14ac:dyDescent="0.25">
      <c r="A54" s="55">
        <v>1</v>
      </c>
      <c r="B54" s="79">
        <v>0.46759847522236342</v>
      </c>
      <c r="C54" s="79">
        <v>0.69607843137254899</v>
      </c>
      <c r="D54" s="79">
        <v>0.51463168516649849</v>
      </c>
    </row>
    <row r="55" spans="1:6" x14ac:dyDescent="0.25">
      <c r="A55" s="55">
        <v>2</v>
      </c>
      <c r="B55" s="79">
        <v>0.52604828462515885</v>
      </c>
      <c r="C55" s="79">
        <v>0.15686274509803921</v>
      </c>
      <c r="D55" s="79">
        <v>0.45005045408678102</v>
      </c>
    </row>
    <row r="56" spans="1:6" x14ac:dyDescent="0.25">
      <c r="A56" s="55">
        <v>3</v>
      </c>
      <c r="B56" s="79">
        <v>6.3532401524777635E-3</v>
      </c>
      <c r="C56" s="79">
        <v>0.13725490196078433</v>
      </c>
      <c r="D56" s="79">
        <v>3.3299697275479316E-2</v>
      </c>
    </row>
    <row r="57" spans="1:6" x14ac:dyDescent="0.25">
      <c r="A57" s="55">
        <v>4</v>
      </c>
      <c r="B57" s="79">
        <v>0</v>
      </c>
      <c r="C57" s="79">
        <v>9.8039215686274508E-3</v>
      </c>
      <c r="D57" s="79">
        <v>2.0181634712411706E-3</v>
      </c>
    </row>
    <row r="58" spans="1:6" x14ac:dyDescent="0.25">
      <c r="A58" s="55" t="s">
        <v>776</v>
      </c>
      <c r="B58" s="79">
        <v>1</v>
      </c>
      <c r="C58" s="79">
        <v>1</v>
      </c>
      <c r="D58" s="79">
        <v>1</v>
      </c>
    </row>
    <row r="60" spans="1:6" x14ac:dyDescent="0.25">
      <c r="A60" s="76" t="s">
        <v>859</v>
      </c>
    </row>
    <row r="61" spans="1:6" x14ac:dyDescent="0.25">
      <c r="A61" s="37" t="s">
        <v>824</v>
      </c>
      <c r="B61" s="37" t="s">
        <v>775</v>
      </c>
      <c r="F61" s="76"/>
    </row>
    <row r="62" spans="1:6" x14ac:dyDescent="0.25">
      <c r="A62" s="37" t="s">
        <v>820</v>
      </c>
      <c r="B62">
        <v>0</v>
      </c>
      <c r="C62">
        <v>1</v>
      </c>
      <c r="D62" t="s">
        <v>776</v>
      </c>
    </row>
    <row r="63" spans="1:6" x14ac:dyDescent="0.25">
      <c r="A63" s="55">
        <v>0</v>
      </c>
      <c r="B63" s="79">
        <v>0.29351969504447267</v>
      </c>
      <c r="C63" s="79">
        <v>0.29411764705882354</v>
      </c>
      <c r="D63" s="79">
        <v>0.29364278506559033</v>
      </c>
    </row>
    <row r="64" spans="1:6" x14ac:dyDescent="0.25">
      <c r="A64" s="55">
        <v>1</v>
      </c>
      <c r="B64" s="79">
        <v>0.70648030495552727</v>
      </c>
      <c r="C64" s="79">
        <v>0.70588235294117652</v>
      </c>
      <c r="D64" s="79">
        <v>0.70635721493440973</v>
      </c>
    </row>
    <row r="65" spans="1:6" x14ac:dyDescent="0.25">
      <c r="A65" s="55" t="s">
        <v>776</v>
      </c>
      <c r="B65" s="79">
        <v>1</v>
      </c>
      <c r="C65" s="79">
        <v>1</v>
      </c>
      <c r="D65" s="79">
        <v>1</v>
      </c>
    </row>
    <row r="67" spans="1:6" x14ac:dyDescent="0.25">
      <c r="A67" s="76" t="s">
        <v>860</v>
      </c>
    </row>
    <row r="68" spans="1:6" x14ac:dyDescent="0.25">
      <c r="A68" s="37" t="s">
        <v>825</v>
      </c>
      <c r="B68" s="37" t="s">
        <v>775</v>
      </c>
      <c r="F68" s="76"/>
    </row>
    <row r="69" spans="1:6" x14ac:dyDescent="0.25">
      <c r="A69" s="37" t="s">
        <v>820</v>
      </c>
      <c r="B69">
        <v>0</v>
      </c>
      <c r="C69">
        <v>1</v>
      </c>
      <c r="D69" t="s">
        <v>776</v>
      </c>
    </row>
    <row r="70" spans="1:6" x14ac:dyDescent="0.25">
      <c r="A70" s="55">
        <v>0</v>
      </c>
      <c r="B70" s="79">
        <v>0.43837357052096571</v>
      </c>
      <c r="C70" s="79">
        <v>0.7009803921568627</v>
      </c>
      <c r="D70" s="79">
        <v>0.49243188698284562</v>
      </c>
    </row>
    <row r="71" spans="1:6" x14ac:dyDescent="0.25">
      <c r="A71" s="55">
        <v>1</v>
      </c>
      <c r="B71" s="79">
        <v>0.56162642947903429</v>
      </c>
      <c r="C71" s="79">
        <v>0.29901960784313725</v>
      </c>
      <c r="D71" s="79">
        <v>0.50756811301715443</v>
      </c>
    </row>
    <row r="72" spans="1:6" x14ac:dyDescent="0.25">
      <c r="A72" s="55" t="s">
        <v>776</v>
      </c>
      <c r="B72" s="79">
        <v>1</v>
      </c>
      <c r="C72" s="79">
        <v>1</v>
      </c>
      <c r="D72" s="79">
        <v>1</v>
      </c>
    </row>
    <row r="74" spans="1:6" x14ac:dyDescent="0.25">
      <c r="A74" s="76" t="s">
        <v>822</v>
      </c>
    </row>
    <row r="75" spans="1:6" x14ac:dyDescent="0.25">
      <c r="A75" s="37" t="s">
        <v>861</v>
      </c>
      <c r="B75" s="37" t="s">
        <v>775</v>
      </c>
      <c r="F75" s="76"/>
    </row>
    <row r="76" spans="1:6" x14ac:dyDescent="0.25">
      <c r="A76" s="37" t="s">
        <v>820</v>
      </c>
      <c r="B76">
        <v>0</v>
      </c>
      <c r="C76">
        <v>1</v>
      </c>
      <c r="D76" t="s">
        <v>776</v>
      </c>
    </row>
    <row r="77" spans="1:6" x14ac:dyDescent="0.25">
      <c r="A77" s="55" t="s">
        <v>862</v>
      </c>
      <c r="B77" s="79">
        <v>0.66836086404066075</v>
      </c>
      <c r="C77" s="79">
        <v>0.63725490196078427</v>
      </c>
      <c r="D77" s="79">
        <v>0.66195761856710389</v>
      </c>
    </row>
    <row r="78" spans="1:6" x14ac:dyDescent="0.25">
      <c r="A78" s="55" t="s">
        <v>863</v>
      </c>
      <c r="B78" s="79">
        <v>0.14993646759847523</v>
      </c>
      <c r="C78" s="79">
        <v>0.19117647058823528</v>
      </c>
      <c r="D78" s="79">
        <v>0.15842583249243189</v>
      </c>
    </row>
    <row r="79" spans="1:6" x14ac:dyDescent="0.25">
      <c r="A79" s="55" t="s">
        <v>864</v>
      </c>
      <c r="B79" s="79">
        <v>0.18170266836086404</v>
      </c>
      <c r="C79" s="79">
        <v>0.17156862745098039</v>
      </c>
      <c r="D79" s="79">
        <v>0.17961654894046417</v>
      </c>
    </row>
    <row r="80" spans="1:6" x14ac:dyDescent="0.25">
      <c r="A80" s="55" t="s">
        <v>776</v>
      </c>
      <c r="B80" s="79">
        <v>1</v>
      </c>
      <c r="C80" s="79">
        <v>1</v>
      </c>
      <c r="D80" s="79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18E5F-C5DB-4C2C-A7E2-48AC5D5C6D3A}">
  <sheetPr>
    <tabColor rgb="FF92D050"/>
  </sheetPr>
  <dimension ref="A1:U84"/>
  <sheetViews>
    <sheetView topLeftCell="A41" workbookViewId="0">
      <selection activeCell="Q2" sqref="Q2:U2"/>
    </sheetView>
  </sheetViews>
  <sheetFormatPr defaultRowHeight="15" x14ac:dyDescent="0.25"/>
  <cols>
    <col min="1" max="1" width="20.7109375" bestFit="1" customWidth="1"/>
    <col min="2" max="2" width="16.28515625" bestFit="1" customWidth="1"/>
    <col min="3" max="3" width="22.140625" bestFit="1" customWidth="1"/>
    <col min="4" max="4" width="18.140625" bestFit="1" customWidth="1"/>
    <col min="5" max="5" width="25.7109375" bestFit="1" customWidth="1"/>
    <col min="6" max="6" width="26.28515625" bestFit="1" customWidth="1"/>
    <col min="7" max="7" width="21.42578125" bestFit="1" customWidth="1"/>
    <col min="8" max="8" width="26.140625" bestFit="1" customWidth="1"/>
    <col min="9" max="9" width="16.28515625" bestFit="1" customWidth="1"/>
    <col min="10" max="12" width="4.5703125" bestFit="1" customWidth="1"/>
    <col min="13" max="13" width="11.28515625" bestFit="1" customWidth="1"/>
    <col min="14" max="14" width="26.28515625" bestFit="1" customWidth="1"/>
    <col min="15" max="15" width="9.140625" bestFit="1" customWidth="1"/>
    <col min="16" max="16" width="5.85546875" bestFit="1" customWidth="1"/>
    <col min="17" max="17" width="93.28515625" bestFit="1" customWidth="1"/>
    <col min="18" max="18" width="9.140625" bestFit="1" customWidth="1"/>
    <col min="19" max="19" width="5.85546875" bestFit="1" customWidth="1"/>
    <col min="20" max="20" width="26.140625" bestFit="1" customWidth="1"/>
    <col min="21" max="22" width="9.5703125" bestFit="1" customWidth="1"/>
    <col min="23" max="23" width="19.5703125" bestFit="1" customWidth="1"/>
    <col min="24" max="24" width="27.140625" bestFit="1" customWidth="1"/>
    <col min="25" max="25" width="23.140625" bestFit="1" customWidth="1"/>
    <col min="26" max="26" width="30.7109375" bestFit="1" customWidth="1"/>
    <col min="27" max="27" width="31.28515625" bestFit="1" customWidth="1"/>
    <col min="28" max="28" width="26.42578125" bestFit="1" customWidth="1"/>
    <col min="29" max="29" width="31.140625" bestFit="1" customWidth="1"/>
    <col min="30" max="30" width="27.7109375" bestFit="1" customWidth="1"/>
    <col min="31" max="31" width="27.5703125" bestFit="1" customWidth="1"/>
  </cols>
  <sheetData>
    <row r="1" spans="1:21" ht="28.5" x14ac:dyDescent="0.25">
      <c r="Q1" s="101" t="s">
        <v>817</v>
      </c>
      <c r="R1" s="102"/>
      <c r="S1" s="102"/>
      <c r="T1" s="102"/>
      <c r="U1" s="103"/>
    </row>
    <row r="2" spans="1:21" ht="15.75" thickBot="1" x14ac:dyDescent="0.3">
      <c r="Q2" s="107" t="s">
        <v>868</v>
      </c>
      <c r="R2" s="108"/>
      <c r="S2" s="108"/>
      <c r="T2" s="108"/>
      <c r="U2" s="109"/>
    </row>
    <row r="3" spans="1:21" ht="15.75" thickBot="1" x14ac:dyDescent="0.3">
      <c r="A3" s="62" t="s">
        <v>784</v>
      </c>
      <c r="B3" s="63" t="s">
        <v>777</v>
      </c>
      <c r="C3" s="75" t="s">
        <v>778</v>
      </c>
      <c r="D3" s="75" t="s">
        <v>779</v>
      </c>
      <c r="E3" s="75" t="s">
        <v>780</v>
      </c>
      <c r="F3" s="75" t="s">
        <v>782</v>
      </c>
      <c r="G3" s="75" t="s">
        <v>783</v>
      </c>
      <c r="H3" s="64" t="s">
        <v>781</v>
      </c>
      <c r="Q3" s="107" t="s">
        <v>865</v>
      </c>
      <c r="R3" s="108"/>
      <c r="S3" s="108"/>
      <c r="T3" s="108"/>
      <c r="U3" s="109"/>
    </row>
    <row r="4" spans="1:21" x14ac:dyDescent="0.25">
      <c r="A4" s="65" t="s">
        <v>785</v>
      </c>
      <c r="B4" s="70">
        <v>37.484116899618805</v>
      </c>
      <c r="C4" s="71">
        <v>651.62007623888178</v>
      </c>
      <c r="D4" s="71">
        <v>74830.867789072436</v>
      </c>
      <c r="E4" s="71">
        <v>1.5387547649301143</v>
      </c>
      <c r="F4" s="71">
        <v>0.56162642947903429</v>
      </c>
      <c r="G4" s="71">
        <v>0.70648030495552727</v>
      </c>
      <c r="H4" s="72">
        <v>98941.928564167902</v>
      </c>
      <c r="Q4" s="107" t="s">
        <v>787</v>
      </c>
      <c r="R4" s="108"/>
      <c r="S4" s="108"/>
      <c r="T4" s="108"/>
      <c r="U4" s="109"/>
    </row>
    <row r="5" spans="1:21" ht="15.75" thickBot="1" x14ac:dyDescent="0.3">
      <c r="A5" s="66" t="s">
        <v>786</v>
      </c>
      <c r="B5" s="73">
        <v>45.196078431372548</v>
      </c>
      <c r="C5" s="69">
        <v>636.59558823529414</v>
      </c>
      <c r="D5" s="69">
        <v>90239.218872549027</v>
      </c>
      <c r="E5" s="69">
        <v>1.4607843137254901</v>
      </c>
      <c r="F5" s="69">
        <v>0.29901960784313725</v>
      </c>
      <c r="G5" s="69">
        <v>0.70588235294117652</v>
      </c>
      <c r="H5" s="39">
        <v>97155.204607843145</v>
      </c>
      <c r="Q5" s="104" t="s">
        <v>789</v>
      </c>
      <c r="R5" s="105"/>
      <c r="S5" s="105"/>
      <c r="T5" s="105"/>
      <c r="U5" s="106"/>
    </row>
    <row r="6" spans="1:21" ht="15.75" thickBot="1" x14ac:dyDescent="0.3">
      <c r="A6" s="67" t="s">
        <v>776</v>
      </c>
      <c r="B6" s="74">
        <v>39.071644803229063</v>
      </c>
      <c r="C6" s="40">
        <v>648.52724520686172</v>
      </c>
      <c r="D6" s="40">
        <v>78002.718062563043</v>
      </c>
      <c r="E6" s="40">
        <v>1.5227043390514632</v>
      </c>
      <c r="F6" s="40">
        <v>0.50756811301715443</v>
      </c>
      <c r="G6" s="40">
        <v>0.70635721493440973</v>
      </c>
      <c r="H6" s="41">
        <v>98574.126659939531</v>
      </c>
      <c r="Q6" s="107" t="s">
        <v>790</v>
      </c>
      <c r="R6" s="108"/>
      <c r="S6" s="108"/>
      <c r="T6" s="108"/>
      <c r="U6" s="109"/>
    </row>
    <row r="7" spans="1:21" ht="15.75" thickBot="1" x14ac:dyDescent="0.3">
      <c r="Q7" s="107" t="s">
        <v>788</v>
      </c>
      <c r="R7" s="108"/>
      <c r="S7" s="108"/>
      <c r="T7" s="108"/>
      <c r="U7" s="109"/>
    </row>
    <row r="8" spans="1:21" ht="24" thickBot="1" x14ac:dyDescent="0.4">
      <c r="A8" s="38" t="s">
        <v>5</v>
      </c>
      <c r="B8" s="35"/>
      <c r="C8" s="35"/>
      <c r="D8" s="36"/>
      <c r="Q8" s="107" t="s">
        <v>791</v>
      </c>
      <c r="R8" s="108"/>
      <c r="S8" s="108"/>
      <c r="T8" s="108"/>
      <c r="U8" s="109"/>
    </row>
    <row r="9" spans="1:21" ht="15.75" thickBot="1" x14ac:dyDescent="0.3">
      <c r="A9" s="62" t="s">
        <v>793</v>
      </c>
      <c r="B9" s="62" t="s">
        <v>775</v>
      </c>
      <c r="C9" s="63"/>
      <c r="D9" s="64"/>
      <c r="Q9" s="107" t="s">
        <v>798</v>
      </c>
      <c r="R9" s="108"/>
      <c r="S9" s="108"/>
      <c r="T9" s="108"/>
      <c r="U9" s="109"/>
    </row>
    <row r="10" spans="1:21" ht="15.75" thickBot="1" x14ac:dyDescent="0.3">
      <c r="A10" s="62" t="s">
        <v>792</v>
      </c>
      <c r="B10" s="63" t="s">
        <v>16</v>
      </c>
      <c r="C10" s="64" t="s">
        <v>23</v>
      </c>
      <c r="D10" s="68" t="s">
        <v>776</v>
      </c>
      <c r="Q10" s="107" t="s">
        <v>799</v>
      </c>
      <c r="R10" s="108"/>
      <c r="S10" s="108"/>
      <c r="T10" s="108"/>
      <c r="U10" s="109"/>
    </row>
    <row r="11" spans="1:21" ht="15.75" thickBot="1" x14ac:dyDescent="0.3">
      <c r="A11" s="65" t="s">
        <v>785</v>
      </c>
      <c r="B11" s="59">
        <v>341</v>
      </c>
      <c r="C11" s="35">
        <v>446</v>
      </c>
      <c r="D11" s="36">
        <v>787</v>
      </c>
      <c r="Q11" s="110" t="s">
        <v>800</v>
      </c>
      <c r="R11" s="111"/>
      <c r="S11" s="111"/>
      <c r="T11" s="111"/>
      <c r="U11" s="112"/>
    </row>
    <row r="12" spans="1:21" ht="15.75" thickBot="1" x14ac:dyDescent="0.3">
      <c r="A12" s="66" t="s">
        <v>786</v>
      </c>
      <c r="B12" s="60">
        <v>121</v>
      </c>
      <c r="C12">
        <v>83</v>
      </c>
      <c r="D12" s="56">
        <v>204</v>
      </c>
    </row>
    <row r="13" spans="1:21" ht="15.75" thickBot="1" x14ac:dyDescent="0.3">
      <c r="A13" s="67" t="s">
        <v>776</v>
      </c>
      <c r="B13" s="61">
        <v>462</v>
      </c>
      <c r="C13" s="57">
        <v>529</v>
      </c>
      <c r="D13" s="58">
        <v>991</v>
      </c>
      <c r="Q13" s="84" t="s">
        <v>866</v>
      </c>
    </row>
    <row r="14" spans="1:21" ht="15.75" thickBot="1" x14ac:dyDescent="0.3">
      <c r="Q14" s="83" t="s">
        <v>867</v>
      </c>
    </row>
    <row r="15" spans="1:21" ht="24" thickBot="1" x14ac:dyDescent="0.4">
      <c r="A15" s="34" t="s">
        <v>4</v>
      </c>
      <c r="B15" s="35"/>
      <c r="C15" s="35"/>
      <c r="D15" s="35"/>
      <c r="E15" s="36"/>
    </row>
    <row r="16" spans="1:21" ht="15.75" thickBot="1" x14ac:dyDescent="0.3">
      <c r="A16" s="62" t="s">
        <v>793</v>
      </c>
      <c r="B16" s="62" t="s">
        <v>775</v>
      </c>
      <c r="C16" s="63"/>
      <c r="D16" s="75"/>
      <c r="E16" s="64"/>
    </row>
    <row r="17" spans="1:13" ht="15.75" thickBot="1" x14ac:dyDescent="0.3">
      <c r="A17" s="62" t="s">
        <v>792</v>
      </c>
      <c r="B17" s="63" t="s">
        <v>15</v>
      </c>
      <c r="C17" s="75" t="s">
        <v>26</v>
      </c>
      <c r="D17" s="64" t="s">
        <v>18</v>
      </c>
      <c r="E17" s="68" t="s">
        <v>776</v>
      </c>
    </row>
    <row r="18" spans="1:13" x14ac:dyDescent="0.25">
      <c r="A18" s="65" t="s">
        <v>785</v>
      </c>
      <c r="B18" s="59">
        <v>403</v>
      </c>
      <c r="C18" s="35">
        <v>182</v>
      </c>
      <c r="D18" s="35">
        <v>202</v>
      </c>
      <c r="E18" s="36">
        <v>787</v>
      </c>
    </row>
    <row r="19" spans="1:13" ht="15.75" thickBot="1" x14ac:dyDescent="0.3">
      <c r="A19" s="66" t="s">
        <v>786</v>
      </c>
      <c r="B19" s="60">
        <v>77</v>
      </c>
      <c r="C19">
        <v>75</v>
      </c>
      <c r="D19">
        <v>52</v>
      </c>
      <c r="E19" s="56">
        <v>204</v>
      </c>
    </row>
    <row r="20" spans="1:13" ht="15.75" thickBot="1" x14ac:dyDescent="0.3">
      <c r="A20" s="67" t="s">
        <v>776</v>
      </c>
      <c r="B20" s="61">
        <v>480</v>
      </c>
      <c r="C20" s="57">
        <v>257</v>
      </c>
      <c r="D20" s="57">
        <v>254</v>
      </c>
      <c r="E20" s="58">
        <v>991</v>
      </c>
    </row>
    <row r="21" spans="1:13" ht="15.75" thickBot="1" x14ac:dyDescent="0.3"/>
    <row r="22" spans="1:13" ht="24" thickBot="1" x14ac:dyDescent="0.4">
      <c r="A22" s="34" t="s">
        <v>7</v>
      </c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6"/>
    </row>
    <row r="23" spans="1:13" ht="15.75" thickBot="1" x14ac:dyDescent="0.3">
      <c r="A23" s="62" t="s">
        <v>793</v>
      </c>
      <c r="B23" s="62" t="s">
        <v>775</v>
      </c>
      <c r="C23" s="63"/>
      <c r="D23" s="75"/>
      <c r="E23" s="75"/>
      <c r="F23" s="75"/>
      <c r="G23" s="75"/>
      <c r="H23" s="75"/>
      <c r="I23" s="75"/>
      <c r="J23" s="75"/>
      <c r="K23" s="75"/>
      <c r="L23" s="75"/>
      <c r="M23" s="64"/>
    </row>
    <row r="24" spans="1:13" ht="15.75" thickBot="1" x14ac:dyDescent="0.3">
      <c r="A24" s="62" t="s">
        <v>792</v>
      </c>
      <c r="B24" s="63">
        <v>0</v>
      </c>
      <c r="C24" s="75">
        <v>1</v>
      </c>
      <c r="D24" s="75">
        <v>2</v>
      </c>
      <c r="E24" s="75">
        <v>3</v>
      </c>
      <c r="F24" s="75">
        <v>4</v>
      </c>
      <c r="G24" s="75">
        <v>5</v>
      </c>
      <c r="H24" s="75">
        <v>6</v>
      </c>
      <c r="I24" s="75">
        <v>7</v>
      </c>
      <c r="J24" s="75">
        <v>8</v>
      </c>
      <c r="K24" s="75">
        <v>9</v>
      </c>
      <c r="L24" s="64">
        <v>10</v>
      </c>
      <c r="M24" s="68" t="s">
        <v>776</v>
      </c>
    </row>
    <row r="25" spans="1:13" x14ac:dyDescent="0.25">
      <c r="A25" s="65" t="s">
        <v>785</v>
      </c>
      <c r="B25" s="59">
        <v>32</v>
      </c>
      <c r="C25" s="35">
        <v>73</v>
      </c>
      <c r="D25" s="35">
        <v>83</v>
      </c>
      <c r="E25" s="35">
        <v>81</v>
      </c>
      <c r="F25" s="35">
        <v>69</v>
      </c>
      <c r="G25" s="35">
        <v>80</v>
      </c>
      <c r="H25" s="35">
        <v>73</v>
      </c>
      <c r="I25" s="35">
        <v>78</v>
      </c>
      <c r="J25" s="35">
        <v>88</v>
      </c>
      <c r="K25" s="35">
        <v>87</v>
      </c>
      <c r="L25" s="35">
        <v>43</v>
      </c>
      <c r="M25" s="36">
        <v>787</v>
      </c>
    </row>
    <row r="26" spans="1:13" ht="15.75" thickBot="1" x14ac:dyDescent="0.3">
      <c r="A26" s="66" t="s">
        <v>786</v>
      </c>
      <c r="B26" s="60">
        <v>6</v>
      </c>
      <c r="C26">
        <v>30</v>
      </c>
      <c r="D26">
        <v>27</v>
      </c>
      <c r="E26">
        <v>20</v>
      </c>
      <c r="F26">
        <v>17</v>
      </c>
      <c r="G26">
        <v>20</v>
      </c>
      <c r="H26">
        <v>21</v>
      </c>
      <c r="I26">
        <v>15</v>
      </c>
      <c r="J26">
        <v>20</v>
      </c>
      <c r="K26">
        <v>21</v>
      </c>
      <c r="L26">
        <v>7</v>
      </c>
      <c r="M26" s="56">
        <v>204</v>
      </c>
    </row>
    <row r="27" spans="1:13" ht="15.75" thickBot="1" x14ac:dyDescent="0.3">
      <c r="A27" s="67" t="s">
        <v>776</v>
      </c>
      <c r="B27" s="61">
        <v>38</v>
      </c>
      <c r="C27" s="57">
        <v>103</v>
      </c>
      <c r="D27" s="57">
        <v>110</v>
      </c>
      <c r="E27" s="57">
        <v>101</v>
      </c>
      <c r="F27" s="57">
        <v>86</v>
      </c>
      <c r="G27" s="57">
        <v>100</v>
      </c>
      <c r="H27" s="57">
        <v>94</v>
      </c>
      <c r="I27" s="57">
        <v>93</v>
      </c>
      <c r="J27" s="57">
        <v>108</v>
      </c>
      <c r="K27" s="57">
        <v>108</v>
      </c>
      <c r="L27" s="57">
        <v>50</v>
      </c>
      <c r="M27" s="58">
        <v>991</v>
      </c>
    </row>
    <row r="29" spans="1:13" ht="15.75" thickBot="1" x14ac:dyDescent="0.3"/>
    <row r="30" spans="1:13" x14ac:dyDescent="0.25">
      <c r="A30" s="28" t="s">
        <v>794</v>
      </c>
      <c r="B30" s="29" t="s">
        <v>23</v>
      </c>
      <c r="C30" s="30" t="s">
        <v>16</v>
      </c>
    </row>
    <row r="31" spans="1:13" ht="15.75" thickBot="1" x14ac:dyDescent="0.3">
      <c r="A31" s="31"/>
      <c r="B31" s="32">
        <f>GETPIVOTDATA("Customer_ID",$A$9,"Gender","Male","ExitedFromBank?","Yes")/GETPIVOTDATA("Customer_ID",$A$9,"Gender","Male")</f>
        <v>0.15689981096408318</v>
      </c>
      <c r="C31" s="33">
        <f>GETPIVOTDATA("Customer_ID",$A$9,"Gender","Female","ExitedFromBank?","Yes")/GETPIVOTDATA("Customer_ID",$A$9,"Gender","Female")</f>
        <v>0.26190476190476192</v>
      </c>
    </row>
    <row r="32" spans="1:13" ht="15.75" thickBot="1" x14ac:dyDescent="0.3"/>
    <row r="33" spans="1:12" x14ac:dyDescent="0.25">
      <c r="A33" s="28" t="s">
        <v>795</v>
      </c>
      <c r="B33" s="29" t="s">
        <v>15</v>
      </c>
      <c r="C33" s="29" t="s">
        <v>796</v>
      </c>
      <c r="D33" s="30" t="s">
        <v>18</v>
      </c>
    </row>
    <row r="34" spans="1:12" ht="15.75" thickBot="1" x14ac:dyDescent="0.3">
      <c r="A34" s="31"/>
      <c r="B34" s="32">
        <f>GETPIVOTDATA("Customer_ID",$A$16,"Country","France","ExitedFromBank?","Yes")/GETPIVOTDATA("Customer_ID",$A$16,"Country","France")</f>
        <v>0.16041666666666668</v>
      </c>
      <c r="C34" s="32">
        <f>GETPIVOTDATA("Customer_ID",$A$16,"Country","Germany","ExitedFromBank?","Yes")/GETPIVOTDATA("Customer_ID",$A$16,"Country","Germany")</f>
        <v>0.29182879377431908</v>
      </c>
      <c r="D34" s="33">
        <f>GETPIVOTDATA("Customer_ID",$A$16,"Country","Spain","ExitedFromBank?","Yes")/GETPIVOTDATA("Customer_ID",$A$16,"Country","Spain")</f>
        <v>0.20472440944881889</v>
      </c>
    </row>
    <row r="35" spans="1:12" ht="15.75" thickBot="1" x14ac:dyDescent="0.3"/>
    <row r="36" spans="1:12" x14ac:dyDescent="0.25">
      <c r="A36" s="28" t="s">
        <v>797</v>
      </c>
      <c r="B36" s="29">
        <v>0</v>
      </c>
      <c r="C36" s="29">
        <v>1</v>
      </c>
      <c r="D36" s="29">
        <v>2</v>
      </c>
      <c r="E36" s="29">
        <v>3</v>
      </c>
      <c r="F36" s="29">
        <v>4</v>
      </c>
      <c r="G36" s="29">
        <v>5</v>
      </c>
      <c r="H36" s="29">
        <v>6</v>
      </c>
      <c r="I36" s="29">
        <v>7</v>
      </c>
      <c r="J36" s="29">
        <v>8</v>
      </c>
      <c r="K36" s="29">
        <v>9</v>
      </c>
      <c r="L36" s="30">
        <v>10</v>
      </c>
    </row>
    <row r="37" spans="1:12" ht="15.75" thickBot="1" x14ac:dyDescent="0.3">
      <c r="A37" s="31"/>
      <c r="B37" s="32">
        <f t="shared" ref="B37:L37" si="0">GETPIVOTDATA("Customer_ID",$A$23,"Tenure",0,"ExitedFromBank?","Yes")/GETPIVOTDATA("Customer_ID",$A$23,"Tenure",0)</f>
        <v>0.15789473684210525</v>
      </c>
      <c r="C37" s="32">
        <f t="shared" si="0"/>
        <v>0.15789473684210525</v>
      </c>
      <c r="D37" s="32">
        <f t="shared" si="0"/>
        <v>0.15789473684210525</v>
      </c>
      <c r="E37" s="32">
        <f t="shared" si="0"/>
        <v>0.15789473684210525</v>
      </c>
      <c r="F37" s="32">
        <f t="shared" si="0"/>
        <v>0.15789473684210525</v>
      </c>
      <c r="G37" s="32">
        <f t="shared" si="0"/>
        <v>0.15789473684210525</v>
      </c>
      <c r="H37" s="32">
        <f t="shared" si="0"/>
        <v>0.15789473684210525</v>
      </c>
      <c r="I37" s="32">
        <f t="shared" si="0"/>
        <v>0.15789473684210525</v>
      </c>
      <c r="J37" s="32">
        <f t="shared" si="0"/>
        <v>0.15789473684210525</v>
      </c>
      <c r="K37" s="32">
        <f t="shared" si="0"/>
        <v>0.15789473684210525</v>
      </c>
      <c r="L37" s="33">
        <f t="shared" si="0"/>
        <v>0.15789473684210525</v>
      </c>
    </row>
    <row r="39" spans="1:12" ht="15.75" thickBot="1" x14ac:dyDescent="0.3"/>
    <row r="40" spans="1:12" x14ac:dyDescent="0.25">
      <c r="A40" s="95" t="s">
        <v>816</v>
      </c>
      <c r="B40" s="96"/>
      <c r="C40" s="96"/>
      <c r="D40" s="96"/>
      <c r="E40" s="96"/>
      <c r="F40" s="96"/>
      <c r="G40" s="96"/>
      <c r="H40" s="96"/>
      <c r="I40" s="97"/>
    </row>
    <row r="41" spans="1:12" ht="15.75" thickBot="1" x14ac:dyDescent="0.3">
      <c r="A41" s="98"/>
      <c r="B41" s="99"/>
      <c r="C41" s="99"/>
      <c r="D41" s="99"/>
      <c r="E41" s="99"/>
      <c r="F41" s="99"/>
      <c r="G41" s="99"/>
      <c r="H41" s="99"/>
      <c r="I41" s="100"/>
    </row>
    <row r="42" spans="1:12" ht="21.75" thickBot="1" x14ac:dyDescent="0.4">
      <c r="A42" s="89" t="s">
        <v>815</v>
      </c>
      <c r="B42" s="90"/>
      <c r="C42" s="90"/>
      <c r="D42" s="90"/>
      <c r="E42" s="90"/>
      <c r="F42" s="90"/>
      <c r="G42" s="90"/>
      <c r="H42" s="90"/>
      <c r="I42" s="91"/>
    </row>
    <row r="43" spans="1:12" x14ac:dyDescent="0.25">
      <c r="A43" s="47"/>
      <c r="B43" s="46" t="s">
        <v>3</v>
      </c>
      <c r="C43" s="46" t="s">
        <v>6</v>
      </c>
      <c r="D43" s="46" t="s">
        <v>7</v>
      </c>
      <c r="E43" s="46" t="s">
        <v>8</v>
      </c>
      <c r="F43" s="46" t="s">
        <v>9</v>
      </c>
      <c r="G43" s="46" t="s">
        <v>10</v>
      </c>
      <c r="H43" s="46" t="s">
        <v>11</v>
      </c>
      <c r="I43" s="48" t="s">
        <v>12</v>
      </c>
    </row>
    <row r="44" spans="1:12" x14ac:dyDescent="0.25">
      <c r="A44" s="49" t="s">
        <v>803</v>
      </c>
      <c r="B44" s="45">
        <v>636.59558823529414</v>
      </c>
      <c r="C44" s="45">
        <v>45.196078431372548</v>
      </c>
      <c r="D44" s="45">
        <v>4.715686274509804</v>
      </c>
      <c r="E44" s="45">
        <v>90239.218872549027</v>
      </c>
      <c r="F44" s="45">
        <v>1.4607843137254901</v>
      </c>
      <c r="G44" s="45">
        <v>0.70588235294117652</v>
      </c>
      <c r="H44" s="45">
        <v>0.29901960784313725</v>
      </c>
      <c r="I44" s="50">
        <v>97155.204607843145</v>
      </c>
    </row>
    <row r="45" spans="1:12" x14ac:dyDescent="0.25">
      <c r="A45" s="49" t="s">
        <v>804</v>
      </c>
      <c r="B45" s="45">
        <v>6.9756754135260763</v>
      </c>
      <c r="C45" s="45">
        <v>0.66978930731030561</v>
      </c>
      <c r="D45" s="45">
        <v>0.20412472512595281</v>
      </c>
      <c r="E45" s="45">
        <v>4295.503850475603</v>
      </c>
      <c r="F45" s="45">
        <v>5.3534918547233065E-2</v>
      </c>
      <c r="G45" s="45">
        <v>3.1980016601150726E-2</v>
      </c>
      <c r="H45" s="45">
        <v>3.2133257173736163E-2</v>
      </c>
      <c r="I45" s="50">
        <v>4168.4344983860738</v>
      </c>
    </row>
    <row r="46" spans="1:12" x14ac:dyDescent="0.25">
      <c r="A46" s="49" t="s">
        <v>801</v>
      </c>
      <c r="B46" s="45">
        <v>643.5</v>
      </c>
      <c r="C46" s="45">
        <v>45</v>
      </c>
      <c r="D46" s="45">
        <v>5</v>
      </c>
      <c r="E46" s="45">
        <v>112433.965</v>
      </c>
      <c r="F46" s="45">
        <v>1</v>
      </c>
      <c r="G46" s="45">
        <v>1</v>
      </c>
      <c r="H46" s="45">
        <v>0</v>
      </c>
      <c r="I46" s="50">
        <v>100375.4</v>
      </c>
    </row>
    <row r="47" spans="1:12" x14ac:dyDescent="0.25">
      <c r="A47" s="49" t="s">
        <v>805</v>
      </c>
      <c r="B47" s="45">
        <v>750</v>
      </c>
      <c r="C47" s="45">
        <v>39</v>
      </c>
      <c r="D47" s="45">
        <v>1</v>
      </c>
      <c r="E47" s="45">
        <v>0</v>
      </c>
      <c r="F47" s="45">
        <v>1</v>
      </c>
      <c r="G47" s="45">
        <v>1</v>
      </c>
      <c r="H47" s="45">
        <v>0</v>
      </c>
      <c r="I47" s="50" t="e">
        <v>#N/A</v>
      </c>
    </row>
    <row r="48" spans="1:12" x14ac:dyDescent="0.25">
      <c r="A48" s="49" t="s">
        <v>802</v>
      </c>
      <c r="B48" s="45">
        <v>99.632573412885051</v>
      </c>
      <c r="C48" s="45">
        <v>9.5665048007196809</v>
      </c>
      <c r="D48" s="45">
        <v>2.9154842299659491</v>
      </c>
      <c r="E48" s="45">
        <v>61352.066625403502</v>
      </c>
      <c r="F48" s="45">
        <v>0.76463157846587226</v>
      </c>
      <c r="G48" s="45">
        <v>0.45676599940146023</v>
      </c>
      <c r="H48" s="45">
        <v>0.45895471256439579</v>
      </c>
      <c r="I48" s="50">
        <v>59537.153258586128</v>
      </c>
    </row>
    <row r="49" spans="1:9" x14ac:dyDescent="0.25">
      <c r="A49" s="49" t="s">
        <v>806</v>
      </c>
      <c r="B49" s="45">
        <v>9926.649684873928</v>
      </c>
      <c r="C49" s="45">
        <v>91.518014102192708</v>
      </c>
      <c r="D49" s="45">
        <v>8.500048295180143</v>
      </c>
      <c r="E49" s="45">
        <v>3764076079.2079501</v>
      </c>
      <c r="F49" s="45">
        <v>0.58466145078721143</v>
      </c>
      <c r="G49" s="45">
        <v>0.20863517820921476</v>
      </c>
      <c r="H49" s="45">
        <v>0.21063942818506715</v>
      </c>
      <c r="I49" s="50">
        <v>3544672618.1363726</v>
      </c>
    </row>
    <row r="50" spans="1:9" x14ac:dyDescent="0.25">
      <c r="A50" s="49" t="s">
        <v>807</v>
      </c>
      <c r="B50" s="45">
        <v>-0.46688018561447864</v>
      </c>
      <c r="C50" s="45">
        <v>-0.37539119517494024</v>
      </c>
      <c r="D50" s="45">
        <v>-1.2429851437676294</v>
      </c>
      <c r="E50" s="45">
        <v>-1.1011313050340858</v>
      </c>
      <c r="F50" s="45">
        <v>0.65730496511695469</v>
      </c>
      <c r="G50" s="45">
        <v>-1.1828583977800735</v>
      </c>
      <c r="H50" s="45">
        <v>-1.2298328024065543</v>
      </c>
      <c r="I50" s="50">
        <v>-1.2175929763556403</v>
      </c>
    </row>
    <row r="51" spans="1:9" x14ac:dyDescent="0.25">
      <c r="A51" s="49" t="s">
        <v>808</v>
      </c>
      <c r="B51" s="45">
        <v>-0.15123736156774739</v>
      </c>
      <c r="C51" s="45">
        <v>0.21131351418553554</v>
      </c>
      <c r="D51" s="45">
        <v>0.16068787831007411</v>
      </c>
      <c r="E51" s="45">
        <v>-0.4492738209584084</v>
      </c>
      <c r="F51" s="45">
        <v>1.4018830856397426</v>
      </c>
      <c r="G51" s="45">
        <v>-0.91040398082022223</v>
      </c>
      <c r="H51" s="45">
        <v>0.88448943424335746</v>
      </c>
      <c r="I51" s="50">
        <v>2.6873846507043525E-2</v>
      </c>
    </row>
    <row r="52" spans="1:9" x14ac:dyDescent="0.25">
      <c r="A52" s="49" t="s">
        <v>809</v>
      </c>
      <c r="B52" s="45">
        <v>474</v>
      </c>
      <c r="C52" s="45">
        <v>47</v>
      </c>
      <c r="D52" s="45">
        <v>10</v>
      </c>
      <c r="E52" s="45">
        <v>213146.2</v>
      </c>
      <c r="F52" s="45">
        <v>3</v>
      </c>
      <c r="G52" s="45">
        <v>1</v>
      </c>
      <c r="H52" s="45">
        <v>1</v>
      </c>
      <c r="I52" s="50">
        <v>199307.98</v>
      </c>
    </row>
    <row r="53" spans="1:9" x14ac:dyDescent="0.25">
      <c r="A53" s="49" t="s">
        <v>810</v>
      </c>
      <c r="B53" s="45">
        <v>376</v>
      </c>
      <c r="C53" s="45">
        <v>22</v>
      </c>
      <c r="D53" s="45">
        <v>0</v>
      </c>
      <c r="E53" s="45">
        <v>0</v>
      </c>
      <c r="F53" s="45">
        <v>1</v>
      </c>
      <c r="G53" s="45">
        <v>0</v>
      </c>
      <c r="H53" s="45">
        <v>0</v>
      </c>
      <c r="I53" s="50">
        <v>417.41</v>
      </c>
    </row>
    <row r="54" spans="1:9" x14ac:dyDescent="0.25">
      <c r="A54" s="49" t="s">
        <v>811</v>
      </c>
      <c r="B54" s="45">
        <v>850</v>
      </c>
      <c r="C54" s="45">
        <v>69</v>
      </c>
      <c r="D54" s="45">
        <v>10</v>
      </c>
      <c r="E54" s="45">
        <v>213146.2</v>
      </c>
      <c r="F54" s="45">
        <v>4</v>
      </c>
      <c r="G54" s="45">
        <v>1</v>
      </c>
      <c r="H54" s="45">
        <v>1</v>
      </c>
      <c r="I54" s="50">
        <v>199725.39</v>
      </c>
    </row>
    <row r="55" spans="1:9" x14ac:dyDescent="0.25">
      <c r="A55" s="49" t="s">
        <v>812</v>
      </c>
      <c r="B55" s="45">
        <v>129865.5</v>
      </c>
      <c r="C55" s="45">
        <v>9220</v>
      </c>
      <c r="D55" s="45">
        <v>962</v>
      </c>
      <c r="E55" s="45">
        <v>18408800.650000002</v>
      </c>
      <c r="F55" s="45">
        <v>298</v>
      </c>
      <c r="G55" s="45">
        <v>144</v>
      </c>
      <c r="H55" s="45">
        <v>61</v>
      </c>
      <c r="I55" s="50">
        <v>19819661.740000002</v>
      </c>
    </row>
    <row r="56" spans="1:9" ht="15.75" thickBot="1" x14ac:dyDescent="0.3">
      <c r="A56" s="51" t="s">
        <v>813</v>
      </c>
      <c r="B56" s="52">
        <v>204</v>
      </c>
      <c r="C56" s="52">
        <v>204</v>
      </c>
      <c r="D56" s="52">
        <v>204</v>
      </c>
      <c r="E56" s="52">
        <v>204</v>
      </c>
      <c r="F56" s="52">
        <v>204</v>
      </c>
      <c r="G56" s="52">
        <v>204</v>
      </c>
      <c r="H56" s="52">
        <v>204</v>
      </c>
      <c r="I56" s="53">
        <v>204</v>
      </c>
    </row>
    <row r="57" spans="1:9" ht="21.75" thickBot="1" x14ac:dyDescent="0.4">
      <c r="A57" s="92" t="s">
        <v>814</v>
      </c>
      <c r="B57" s="93"/>
      <c r="C57" s="93"/>
      <c r="D57" s="93"/>
      <c r="E57" s="93"/>
      <c r="F57" s="93"/>
      <c r="G57" s="93"/>
      <c r="H57" s="93"/>
      <c r="I57" s="94"/>
    </row>
    <row r="58" spans="1:9" x14ac:dyDescent="0.25">
      <c r="A58" s="54"/>
      <c r="B58" s="46" t="s">
        <v>3</v>
      </c>
      <c r="C58" s="46" t="s">
        <v>6</v>
      </c>
      <c r="D58" s="46" t="s">
        <v>7</v>
      </c>
      <c r="E58" s="46" t="s">
        <v>8</v>
      </c>
      <c r="F58" s="46" t="s">
        <v>9</v>
      </c>
      <c r="G58" s="46" t="s">
        <v>10</v>
      </c>
      <c r="H58" s="46" t="s">
        <v>11</v>
      </c>
      <c r="I58" s="48" t="s">
        <v>12</v>
      </c>
    </row>
    <row r="59" spans="1:9" x14ac:dyDescent="0.25">
      <c r="A59" s="49" t="s">
        <v>803</v>
      </c>
      <c r="B59" s="45">
        <v>651.62007623888178</v>
      </c>
      <c r="C59" s="45">
        <v>37.484116899618805</v>
      </c>
      <c r="D59" s="45">
        <v>5.1575603557814489</v>
      </c>
      <c r="E59" s="45">
        <v>74830.867789072436</v>
      </c>
      <c r="F59" s="45">
        <v>1.5387547649301143</v>
      </c>
      <c r="G59" s="45">
        <v>0.70648030495552727</v>
      </c>
      <c r="H59" s="45">
        <v>0.56162642947903429</v>
      </c>
      <c r="I59" s="50">
        <v>98941.928564167902</v>
      </c>
    </row>
    <row r="60" spans="1:9" x14ac:dyDescent="0.25">
      <c r="A60" s="49" t="s">
        <v>804</v>
      </c>
      <c r="B60" s="45">
        <v>3.4743162244492005</v>
      </c>
      <c r="C60" s="45">
        <v>0.34966325359612005</v>
      </c>
      <c r="D60" s="45">
        <v>0.10432498545686483</v>
      </c>
      <c r="E60" s="45">
        <v>2239.2562563094702</v>
      </c>
      <c r="F60" s="45">
        <v>1.8229682074144511E-2</v>
      </c>
      <c r="G60" s="45">
        <v>1.6242668483737864E-2</v>
      </c>
      <c r="H60" s="45">
        <v>1.7698427324421916E-2</v>
      </c>
      <c r="I60" s="50">
        <v>2016.4854459337314</v>
      </c>
    </row>
    <row r="61" spans="1:9" x14ac:dyDescent="0.25">
      <c r="A61" s="49" t="s">
        <v>801</v>
      </c>
      <c r="B61" s="45">
        <v>657</v>
      </c>
      <c r="C61" s="45">
        <v>36</v>
      </c>
      <c r="D61" s="45">
        <v>5</v>
      </c>
      <c r="E61" s="45">
        <v>93147</v>
      </c>
      <c r="F61" s="45">
        <v>2</v>
      </c>
      <c r="G61" s="45">
        <v>1</v>
      </c>
      <c r="H61" s="45">
        <v>1</v>
      </c>
      <c r="I61" s="50">
        <v>98368.24</v>
      </c>
    </row>
    <row r="62" spans="1:9" x14ac:dyDescent="0.25">
      <c r="A62" s="49" t="s">
        <v>805</v>
      </c>
      <c r="B62" s="45">
        <v>850</v>
      </c>
      <c r="C62" s="45">
        <v>36</v>
      </c>
      <c r="D62" s="45">
        <v>8</v>
      </c>
      <c r="E62" s="45">
        <v>0</v>
      </c>
      <c r="F62" s="45">
        <v>2</v>
      </c>
      <c r="G62" s="45">
        <v>1</v>
      </c>
      <c r="H62" s="45">
        <v>1</v>
      </c>
      <c r="I62" s="50">
        <v>98368.24</v>
      </c>
    </row>
    <row r="63" spans="1:9" x14ac:dyDescent="0.25">
      <c r="A63" s="49" t="s">
        <v>802</v>
      </c>
      <c r="B63" s="45">
        <v>97.466800655503391</v>
      </c>
      <c r="C63" s="45">
        <v>9.8092851753040158</v>
      </c>
      <c r="D63" s="45">
        <v>2.926683095038233</v>
      </c>
      <c r="E63" s="45">
        <v>62819.020794488737</v>
      </c>
      <c r="F63" s="45">
        <v>0.51140675573235395</v>
      </c>
      <c r="G63" s="45">
        <v>0.45566402968080011</v>
      </c>
      <c r="H63" s="45">
        <v>0.4965031898381152</v>
      </c>
      <c r="I63" s="50">
        <v>56569.515348219436</v>
      </c>
    </row>
    <row r="64" spans="1:9" x14ac:dyDescent="0.25">
      <c r="A64" s="49" t="s">
        <v>806</v>
      </c>
      <c r="B64" s="45">
        <v>9499.7772300196357</v>
      </c>
      <c r="C64" s="45">
        <v>96.222075650439137</v>
      </c>
      <c r="D64" s="45">
        <v>8.5654739387825707</v>
      </c>
      <c r="E64" s="45">
        <v>3946229373.5784082</v>
      </c>
      <c r="F64" s="45">
        <v>0.26153686980869151</v>
      </c>
      <c r="G64" s="45">
        <v>0.20762970794494509</v>
      </c>
      <c r="H64" s="45">
        <v>0.24651541751942344</v>
      </c>
      <c r="I64" s="50">
        <v>3200110066.7324343</v>
      </c>
    </row>
    <row r="65" spans="1:9" x14ac:dyDescent="0.25">
      <c r="A65" s="49" t="s">
        <v>807</v>
      </c>
      <c r="B65" s="45">
        <v>-0.57744809228142779</v>
      </c>
      <c r="C65" s="45">
        <v>2.8003106449608608</v>
      </c>
      <c r="D65" s="45">
        <v>-1.1964264360889028</v>
      </c>
      <c r="E65" s="45">
        <v>-1.5300076578322432</v>
      </c>
      <c r="F65" s="45">
        <v>-1.6519428580960511</v>
      </c>
      <c r="G65" s="45">
        <v>-1.1774591392773357</v>
      </c>
      <c r="H65" s="45">
        <v>-1.9430058230821117</v>
      </c>
      <c r="I65" s="50">
        <v>-1.1249486485454423</v>
      </c>
    </row>
    <row r="66" spans="1:9" x14ac:dyDescent="0.25">
      <c r="A66" s="49" t="s">
        <v>808</v>
      </c>
      <c r="B66" s="45">
        <v>-0.1322344277853191</v>
      </c>
      <c r="C66" s="45">
        <v>1.348252163593783</v>
      </c>
      <c r="D66" s="45">
        <v>-4.0673534753676174E-2</v>
      </c>
      <c r="E66" s="45">
        <v>-8.0208788357340147E-2</v>
      </c>
      <c r="F66" s="45">
        <v>-1.2597785783454791E-2</v>
      </c>
      <c r="G66" s="45">
        <v>-0.90859210270233493</v>
      </c>
      <c r="H66" s="45">
        <v>-0.2488742902561758</v>
      </c>
      <c r="I66" s="50">
        <v>3.9025507369852639E-3</v>
      </c>
    </row>
    <row r="67" spans="1:9" x14ac:dyDescent="0.25">
      <c r="A67" s="49" t="s">
        <v>809</v>
      </c>
      <c r="B67" s="45">
        <v>439</v>
      </c>
      <c r="C67" s="45">
        <v>64</v>
      </c>
      <c r="D67" s="45">
        <v>10</v>
      </c>
      <c r="E67" s="45">
        <v>197041.8</v>
      </c>
      <c r="F67" s="45">
        <v>2</v>
      </c>
      <c r="G67" s="45">
        <v>1</v>
      </c>
      <c r="H67" s="45">
        <v>1</v>
      </c>
      <c r="I67" s="50">
        <v>199290.45</v>
      </c>
    </row>
    <row r="68" spans="1:9" x14ac:dyDescent="0.25">
      <c r="A68" s="49" t="s">
        <v>810</v>
      </c>
      <c r="B68" s="45">
        <v>411</v>
      </c>
      <c r="C68" s="45">
        <v>18</v>
      </c>
      <c r="D68" s="45">
        <v>0</v>
      </c>
      <c r="E68" s="45">
        <v>0</v>
      </c>
      <c r="F68" s="45">
        <v>1</v>
      </c>
      <c r="G68" s="45">
        <v>0</v>
      </c>
      <c r="H68" s="45">
        <v>0</v>
      </c>
      <c r="I68" s="50">
        <v>371.05</v>
      </c>
    </row>
    <row r="69" spans="1:9" x14ac:dyDescent="0.25">
      <c r="A69" s="49" t="s">
        <v>811</v>
      </c>
      <c r="B69" s="45">
        <v>850</v>
      </c>
      <c r="C69" s="45">
        <v>82</v>
      </c>
      <c r="D69" s="45">
        <v>10</v>
      </c>
      <c r="E69" s="45">
        <v>197041.8</v>
      </c>
      <c r="F69" s="45">
        <v>3</v>
      </c>
      <c r="G69" s="45">
        <v>1</v>
      </c>
      <c r="H69" s="45">
        <v>1</v>
      </c>
      <c r="I69" s="50">
        <v>199661.5</v>
      </c>
    </row>
    <row r="70" spans="1:9" x14ac:dyDescent="0.25">
      <c r="A70" s="49" t="s">
        <v>812</v>
      </c>
      <c r="B70" s="45">
        <v>512825</v>
      </c>
      <c r="C70" s="45">
        <v>29500</v>
      </c>
      <c r="D70" s="45">
        <v>4059</v>
      </c>
      <c r="E70" s="45">
        <v>58891892.95000001</v>
      </c>
      <c r="F70" s="45">
        <v>1211</v>
      </c>
      <c r="G70" s="45">
        <v>556</v>
      </c>
      <c r="H70" s="45">
        <v>442</v>
      </c>
      <c r="I70" s="50">
        <v>77867297.780000135</v>
      </c>
    </row>
    <row r="71" spans="1:9" ht="15.75" thickBot="1" x14ac:dyDescent="0.3">
      <c r="A71" s="51" t="s">
        <v>813</v>
      </c>
      <c r="B71" s="52">
        <v>787</v>
      </c>
      <c r="C71" s="52">
        <v>787</v>
      </c>
      <c r="D71" s="52">
        <v>787</v>
      </c>
      <c r="E71" s="52">
        <v>787</v>
      </c>
      <c r="F71" s="52">
        <v>787</v>
      </c>
      <c r="G71" s="52">
        <v>787</v>
      </c>
      <c r="H71" s="52">
        <v>787</v>
      </c>
      <c r="I71" s="53">
        <v>787</v>
      </c>
    </row>
    <row r="74" spans="1:9" ht="50.25" customHeight="1" x14ac:dyDescent="0.25"/>
    <row r="75" spans="1:9" ht="24.75" customHeight="1" x14ac:dyDescent="0.25"/>
    <row r="76" spans="1:9" ht="24.75" customHeight="1" x14ac:dyDescent="0.25"/>
    <row r="77" spans="1:9" ht="24.75" customHeight="1" x14ac:dyDescent="0.25"/>
    <row r="78" spans="1:9" ht="24.75" customHeight="1" x14ac:dyDescent="0.25"/>
    <row r="79" spans="1:9" ht="24.75" customHeight="1" x14ac:dyDescent="0.25"/>
    <row r="80" spans="1:9" ht="24.75" customHeight="1" x14ac:dyDescent="0.25"/>
    <row r="81" ht="24.75" customHeight="1" x14ac:dyDescent="0.25"/>
    <row r="82" ht="24.75" customHeight="1" x14ac:dyDescent="0.25"/>
    <row r="83" ht="24.75" customHeight="1" x14ac:dyDescent="0.25"/>
    <row r="84" ht="24.75" customHeight="1" x14ac:dyDescent="0.25"/>
  </sheetData>
  <mergeCells count="14">
    <mergeCell ref="A42:I42"/>
    <mergeCell ref="A57:I57"/>
    <mergeCell ref="A40:I41"/>
    <mergeCell ref="Q1:U1"/>
    <mergeCell ref="Q5:U5"/>
    <mergeCell ref="Q3:U3"/>
    <mergeCell ref="Q2:U2"/>
    <mergeCell ref="Q4:U4"/>
    <mergeCell ref="Q11:U11"/>
    <mergeCell ref="Q10:U10"/>
    <mergeCell ref="Q9:U9"/>
    <mergeCell ref="Q8:U8"/>
    <mergeCell ref="Q6:U6"/>
    <mergeCell ref="Q7:U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3BD02-2918-465B-99D8-C94D3E045AF9}">
  <sheetPr>
    <tabColor theme="4" tint="-0.249977111117893"/>
  </sheetPr>
  <dimension ref="A1"/>
  <sheetViews>
    <sheetView tabSelected="1" topLeftCell="A4" workbookViewId="0">
      <selection activeCell="W33" sqref="W33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Dataset-RAW</vt:lpstr>
      <vt:lpstr>Data Cleaning</vt:lpstr>
      <vt:lpstr>Dataset-CLEAN</vt:lpstr>
      <vt:lpstr>Left Bank</vt:lpstr>
      <vt:lpstr>Stayed Bank</vt:lpstr>
      <vt:lpstr>Descriptive pivots</vt:lpstr>
      <vt:lpstr>Statistical analysis &amp; insight</vt:lpstr>
      <vt:lpstr>Decision Tree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</dc:creator>
  <cp:lastModifiedBy>Amuro Ray</cp:lastModifiedBy>
  <dcterms:created xsi:type="dcterms:W3CDTF">2020-05-11T14:22:03Z</dcterms:created>
  <dcterms:modified xsi:type="dcterms:W3CDTF">2025-03-04T19:51:49Z</dcterms:modified>
</cp:coreProperties>
</file>